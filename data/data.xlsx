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44ECFCA7-79E2-4CD6-9909-8B594A06AC80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M_YT_LIVE!$A$1:$D$1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Z1184" i="3" s="1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AA952" i="3"/>
  <c r="A953" i="3"/>
  <c r="G953" i="3"/>
  <c r="W953" i="3"/>
  <c r="X953" i="3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AA958" i="3"/>
  <c r="A959" i="3"/>
  <c r="G959" i="3"/>
  <c r="W959" i="3"/>
  <c r="X959" i="3"/>
  <c r="AA959" i="3"/>
  <c r="A960" i="3"/>
  <c r="G960" i="3"/>
  <c r="W960" i="3"/>
  <c r="X960" i="3"/>
  <c r="AA960" i="3"/>
  <c r="A961" i="3"/>
  <c r="G961" i="3"/>
  <c r="W961" i="3"/>
  <c r="X961" i="3"/>
  <c r="AA961" i="3"/>
  <c r="A962" i="3"/>
  <c r="G962" i="3"/>
  <c r="W962" i="3"/>
  <c r="X962" i="3"/>
  <c r="AA962" i="3"/>
  <c r="A963" i="3"/>
  <c r="G963" i="3"/>
  <c r="W963" i="3"/>
  <c r="X963" i="3"/>
  <c r="Z963" i="3" s="1"/>
  <c r="AA963" i="3"/>
  <c r="A964" i="3"/>
  <c r="G964" i="3"/>
  <c r="W964" i="3"/>
  <c r="X964" i="3"/>
  <c r="Z964" i="3" s="1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Z969" i="3" s="1"/>
  <c r="AA969" i="3"/>
  <c r="A970" i="3"/>
  <c r="G970" i="3"/>
  <c r="W970" i="3"/>
  <c r="X970" i="3"/>
  <c r="AA970" i="3"/>
  <c r="A971" i="3"/>
  <c r="G971" i="3"/>
  <c r="W971" i="3"/>
  <c r="X971" i="3"/>
  <c r="Z971" i="3" s="1"/>
  <c r="AA971" i="3"/>
  <c r="A972" i="3"/>
  <c r="G972" i="3"/>
  <c r="W972" i="3"/>
  <c r="X972" i="3"/>
  <c r="Z972" i="3" s="1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Z979" i="3" s="1"/>
  <c r="AA979" i="3"/>
  <c r="A980" i="3"/>
  <c r="G980" i="3"/>
  <c r="W980" i="3"/>
  <c r="X980" i="3"/>
  <c r="Z980" i="3" s="1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Z985" i="3" s="1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Z988" i="3" s="1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Z996" i="3" s="1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Z1012" i="3" s="1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Z1020" i="3" s="1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Z1028" i="3" s="1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Z1032" i="3" s="1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 s="1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 s="1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960" i="3" l="1"/>
  <c r="Z952" i="3"/>
  <c r="Z958" i="3"/>
  <c r="Z961" i="3"/>
  <c r="Z953" i="3"/>
  <c r="Z945" i="3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Z899" i="3"/>
  <c r="Z891" i="3"/>
  <c r="Z881" i="3"/>
  <c r="Z882" i="3"/>
  <c r="Z1174" i="3"/>
  <c r="Z1178" i="3"/>
  <c r="Z874" i="3"/>
  <c r="Z866" i="3"/>
  <c r="Z875" i="3"/>
  <c r="Z867" i="3"/>
  <c r="Z873" i="3"/>
  <c r="Z865" i="3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Z552" i="3"/>
  <c r="Z649" i="3"/>
  <c r="Z625" i="3"/>
  <c r="Z617" i="3"/>
  <c r="Z601" i="3"/>
  <c r="Z893" i="3"/>
  <c r="Z885" i="3"/>
  <c r="Z877" i="3"/>
  <c r="Z869" i="3"/>
  <c r="Z861" i="3"/>
  <c r="Z842" i="3"/>
  <c r="Z852" i="3"/>
  <c r="Z844" i="3"/>
  <c r="Z853" i="3"/>
  <c r="Z845" i="3"/>
  <c r="Z846" i="3"/>
  <c r="Z837" i="3"/>
  <c r="Z829" i="3"/>
  <c r="Z838" i="3"/>
  <c r="Z830" i="3"/>
  <c r="Z836" i="3"/>
  <c r="Z821" i="3"/>
  <c r="Z822" i="3"/>
  <c r="Z828" i="3"/>
  <c r="Z820" i="3"/>
  <c r="Z812" i="3"/>
  <c r="Z804" i="3"/>
  <c r="Z813" i="3"/>
  <c r="Z805" i="3"/>
  <c r="Z797" i="3"/>
  <c r="Z814" i="3"/>
  <c r="Z806" i="3"/>
  <c r="Z798" i="3"/>
  <c r="Z790" i="3"/>
  <c r="Z796" i="3"/>
  <c r="Z782" i="3"/>
  <c r="Z788" i="3"/>
  <c r="Z786" i="3"/>
  <c r="Z789" i="3"/>
  <c r="Z781" i="3"/>
  <c r="Z774" i="3"/>
  <c r="Z780" i="3"/>
  <c r="Z772" i="3"/>
  <c r="Z778" i="3"/>
  <c r="Z770" i="3"/>
  <c r="Z773" i="3"/>
  <c r="Z764" i="3"/>
  <c r="Z756" i="3"/>
  <c r="Z765" i="3"/>
  <c r="Z757" i="3"/>
  <c r="Z766" i="3"/>
  <c r="Z758" i="3"/>
  <c r="Z750" i="3"/>
  <c r="Z742" i="3"/>
  <c r="Z748" i="3"/>
  <c r="Z740" i="3"/>
  <c r="Z746" i="3"/>
  <c r="Z738" i="3"/>
  <c r="Z749" i="3"/>
  <c r="Z741" i="3"/>
  <c r="Z729" i="3"/>
  <c r="Z727" i="3"/>
  <c r="Z733" i="3"/>
  <c r="Z725" i="3"/>
  <c r="Z728" i="3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Z697" i="3"/>
  <c r="Z689" i="3"/>
  <c r="Z681" i="3"/>
  <c r="Z673" i="3"/>
  <c r="Z665" i="3"/>
  <c r="Z657" i="3"/>
  <c r="Z654" i="3"/>
  <c r="Z646" i="3"/>
  <c r="Z643" i="3"/>
  <c r="Z652" i="3"/>
  <c r="Z641" i="3"/>
  <c r="Z698" i="3"/>
  <c r="Z690" i="3"/>
  <c r="Z682" i="3"/>
  <c r="Z674" i="3"/>
  <c r="Z666" i="3"/>
  <c r="Z658" i="3"/>
  <c r="Z655" i="3"/>
  <c r="Z647" i="3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Z635" i="3"/>
  <c r="Z633" i="3"/>
  <c r="Z636" i="3"/>
  <c r="Z634" i="3"/>
  <c r="Z637" i="3"/>
  <c r="Z629" i="3"/>
  <c r="Z632" i="3"/>
  <c r="Z627" i="3"/>
  <c r="Z619" i="3"/>
  <c r="Z628" i="3"/>
  <c r="Z620" i="3"/>
  <c r="Z623" i="3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Z562" i="3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Z385" i="3"/>
  <c r="Z381" i="3"/>
  <c r="Z377" i="3"/>
  <c r="Z373" i="3"/>
  <c r="Z536" i="3"/>
  <c r="Z520" i="3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<sst xmlns="http://schemas.openxmlformats.org/spreadsheetml/2006/main" count="3754" uniqueCount="2150">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</sst>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printerSettings" Target="../printerSettings/printerSettings1.bin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C126" sqref="C126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5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5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</hyperlinks>
  <pageMargins left="0.7" right="0.7" top="0.75" bottom="0.75" header="0.3" footer="0.3"/>
  <pageSetup paperSize="9" orientation="portrait" r:id="rId1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tabSelected="1" zoomScale="85" zoomScaleNormal="85" workbookViewId="0">
      <pane xSplit="1" ySplit="1" topLeftCell="B932" activePane="bottomRight" state="frozen"/>
      <selection pane="topRight" activeCell="B1" sqref="B1"/>
      <selection pane="bottomLeft" activeCell="A2" sqref="A2"/>
      <selection pane="bottomRight" activeCell="B960" sqref="B960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/>
      <c r="C961" s="18"/>
      <c r="D961" s="14"/>
      <c r="E961" s="14"/>
      <c r="G961" s="1">
        <f>_xlfn.XLOOKUP(B961,M_YT_LIVE!A:A,M_YT_LIVE!F:F,"ERROR",0,1)</f>
        <v>0</v>
      </c>
      <c r="W961" s="13" t="e">
        <f t="shared" si="44"/>
        <v>#VALUE!</v>
      </c>
      <c r="X961" s="12">
        <f>_xlfn.XLOOKUP($B961,M_YT_LIVE!$A:$A,M_YT_LIVE!$D:$D)</f>
        <v>0</v>
      </c>
      <c r="Z961" s="16" t="e">
        <f>HYPERLINK($X961&amp;SUBSTITUTE(マスタ!$C$3,"XXXXX",$W961))</f>
        <v>#VALUE!</v>
      </c>
      <c r="AA961" s="12" t="str">
        <f t="shared" si="45"/>
        <v/>
      </c>
    </row>
    <row r="962" spans="1:27" x14ac:dyDescent="0.4">
      <c r="A962" s="14">
        <f t="shared" si="46"/>
        <v>961</v>
      </c>
      <c r="B962" s="14"/>
      <c r="C962" s="18"/>
      <c r="D962" s="14"/>
      <c r="E962" s="14"/>
      <c r="G962" s="1">
        <f>_xlfn.XLOOKUP(B962,M_YT_LIVE!A:A,M_YT_LIVE!F:F,"ERROR",0,1)</f>
        <v>0</v>
      </c>
      <c r="W962" s="13" t="e">
        <f t="shared" si="44"/>
        <v>#VALUE!</v>
      </c>
      <c r="X962" s="12">
        <f>_xlfn.XLOOKUP($B962,M_YT_LIVE!$A:$A,M_YT_LIVE!$D:$D)</f>
        <v>0</v>
      </c>
      <c r="Z962" s="16" t="e">
        <f>HYPERLINK($X962&amp;SUBSTITUTE(マスタ!$C$3,"XXXXX",$W962))</f>
        <v>#VALUE!</v>
      </c>
      <c r="AA962" s="12" t="str">
        <f t="shared" si="45"/>
        <v/>
      </c>
    </row>
    <row r="963" spans="1:27" x14ac:dyDescent="0.4">
      <c r="A963" s="14">
        <f t="shared" si="46"/>
        <v>962</v>
      </c>
      <c r="B963" s="14"/>
      <c r="C963" s="18"/>
      <c r="D963" s="14"/>
      <c r="E963" s="14"/>
      <c r="G963" s="1">
        <f>_xlfn.XLOOKUP(B963,M_YT_LIVE!A:A,M_YT_LIVE!F:F,"ERROR",0,1)</f>
        <v>0</v>
      </c>
      <c r="W963" s="13" t="e">
        <f t="shared" si="44"/>
        <v>#VALUE!</v>
      </c>
      <c r="X963" s="12">
        <f>_xlfn.XLOOKUP($B963,M_YT_LIVE!$A:$A,M_YT_LIVE!$D:$D)</f>
        <v>0</v>
      </c>
      <c r="Z963" s="16" t="e">
        <f>HYPERLINK($X963&amp;SUBSTITUTE(マスタ!$C$3,"XXXXX",$W963))</f>
        <v>#VALUE!</v>
      </c>
      <c r="AA963" s="12" t="str">
        <f t="shared" si="45"/>
        <v/>
      </c>
    </row>
    <row r="964" spans="1:27" x14ac:dyDescent="0.4">
      <c r="A964" s="14">
        <f t="shared" si="46"/>
        <v>963</v>
      </c>
      <c r="B964" s="14"/>
      <c r="C964" s="18"/>
      <c r="D964" s="14"/>
      <c r="E964" s="14"/>
      <c r="G964" s="1">
        <f>_xlfn.XLOOKUP(B964,M_YT_LIVE!A:A,M_YT_LIVE!F:F,"ERROR",0,1)</f>
        <v>0</v>
      </c>
      <c r="W964" s="13" t="e">
        <f t="shared" ref="W964:W1027" si="47">TIMEVALUE($C964)*86400</f>
        <v>#VALUE!</v>
      </c>
      <c r="X964" s="12">
        <f>_xlfn.XLOOKUP($B964,M_YT_LIVE!$A:$A,M_YT_LIVE!$D:$D)</f>
        <v>0</v>
      </c>
      <c r="Z964" s="16" t="e">
        <f>HYPERLINK($X964&amp;SUBSTITUTE(マスタ!$C$3,"XXXXX",$W964))</f>
        <v>#VALUE!</v>
      </c>
      <c r="AA964" s="12" t="str">
        <f t="shared" si="45"/>
        <v/>
      </c>
    </row>
    <row r="965" spans="1:27" x14ac:dyDescent="0.4">
      <c r="A965" s="14">
        <f t="shared" si="46"/>
        <v>964</v>
      </c>
      <c r="B965" s="14"/>
      <c r="C965" s="18"/>
      <c r="D965" s="14"/>
      <c r="E965" s="14"/>
      <c r="G965" s="1">
        <f>_xlfn.XLOOKUP(B965,M_YT_LIVE!A:A,M_YT_LIVE!F:F,"ERROR",0,1)</f>
        <v>0</v>
      </c>
      <c r="W965" s="13" t="e">
        <f t="shared" si="47"/>
        <v>#VALUE!</v>
      </c>
      <c r="X965" s="12">
        <f>_xlfn.XLOOKUP($B965,M_YT_LIVE!$A:$A,M_YT_LIVE!$D:$D)</f>
        <v>0</v>
      </c>
      <c r="Z965" s="16" t="e">
        <f>HYPERLINK($X965&amp;SUBSTITUTE(マスタ!$C$3,"XXXXX",$W965))</f>
        <v>#VALUE!</v>
      </c>
      <c r="AA965" s="12" t="str">
        <f t="shared" ref="AA965:AA1028" si="48">TRIM(E965)&amp;TRIM(D965)</f>
        <v/>
      </c>
    </row>
    <row r="966" spans="1:27" x14ac:dyDescent="0.4">
      <c r="A966" s="14">
        <f t="shared" ref="A966:A1029" si="49">ROW()-1</f>
        <v>965</v>
      </c>
      <c r="B966" s="14"/>
      <c r="C966" s="18"/>
      <c r="D966" s="14"/>
      <c r="E966" s="14"/>
      <c r="G966" s="1">
        <f>_xlfn.XLOOKUP(B966,M_YT_LIVE!A:A,M_YT_LIVE!F:F,"ERROR",0,1)</f>
        <v>0</v>
      </c>
      <c r="W966" s="13" t="e">
        <f t="shared" si="47"/>
        <v>#VALUE!</v>
      </c>
      <c r="X966" s="12">
        <f>_xlfn.XLOOKUP($B966,M_YT_LIVE!$A:$A,M_YT_LIVE!$D:$D)</f>
        <v>0</v>
      </c>
      <c r="Z966" s="16" t="e">
        <f>HYPERLINK($X966&amp;SUBSTITUTE(マスタ!$C$3,"XXXXX",$W966))</f>
        <v>#VALUE!</v>
      </c>
      <c r="AA966" s="12" t="str">
        <f t="shared" si="48"/>
        <v/>
      </c>
    </row>
    <row r="967" spans="1:27" x14ac:dyDescent="0.4">
      <c r="A967" s="14">
        <f t="shared" si="49"/>
        <v>966</v>
      </c>
      <c r="B967" s="14"/>
      <c r="C967" s="18"/>
      <c r="D967" s="14"/>
      <c r="E967" s="14"/>
      <c r="G967" s="1">
        <f>_xlfn.XLOOKUP(B967,M_YT_LIVE!A:A,M_YT_LIVE!F:F,"ERROR",0,1)</f>
        <v>0</v>
      </c>
      <c r="W967" s="13" t="e">
        <f t="shared" si="47"/>
        <v>#VALUE!</v>
      </c>
      <c r="X967" s="12">
        <f>_xlfn.XLOOKUP($B967,M_YT_LIVE!$A:$A,M_YT_LIVE!$D:$D)</f>
        <v>0</v>
      </c>
      <c r="Z967" s="16" t="e">
        <f>HYPERLINK($X967&amp;SUBSTITUTE(マスタ!$C$3,"XXXXX",$W967))</f>
        <v>#VALUE!</v>
      </c>
      <c r="AA967" s="12" t="str">
        <f t="shared" si="48"/>
        <v/>
      </c>
    </row>
    <row r="968" spans="1:27" x14ac:dyDescent="0.4">
      <c r="A968" s="14">
        <f t="shared" si="49"/>
        <v>967</v>
      </c>
      <c r="B968" s="14"/>
      <c r="C968" s="18"/>
      <c r="D968" s="14"/>
      <c r="E968" s="14"/>
      <c r="G968" s="1">
        <f>_xlfn.XLOOKUP(B968,M_YT_LIVE!A:A,M_YT_LIVE!F:F,"ERROR",0,1)</f>
        <v>0</v>
      </c>
      <c r="W968" s="13" t="e">
        <f t="shared" si="47"/>
        <v>#VALUE!</v>
      </c>
      <c r="X968" s="12">
        <f>_xlfn.XLOOKUP($B968,M_YT_LIVE!$A:$A,M_YT_LIVE!$D:$D)</f>
        <v>0</v>
      </c>
      <c r="Z968" s="16" t="e">
        <f>HYPERLINK($X968&amp;SUBSTITUTE(マスタ!$C$3,"XXXXX",$W968))</f>
        <v>#VALUE!</v>
      </c>
      <c r="AA968" s="12" t="str">
        <f t="shared" si="48"/>
        <v/>
      </c>
    </row>
    <row r="969" spans="1:27" x14ac:dyDescent="0.4">
      <c r="A969" s="14">
        <f t="shared" si="49"/>
        <v>968</v>
      </c>
      <c r="B969" s="14"/>
      <c r="C969" s="18"/>
      <c r="D969" s="14"/>
      <c r="E969" s="14"/>
      <c r="G969" s="1">
        <f>_xlfn.XLOOKUP(B969,M_YT_LIVE!A:A,M_YT_LIVE!F:F,"ERROR",0,1)</f>
        <v>0</v>
      </c>
      <c r="W969" s="13" t="e">
        <f t="shared" si="47"/>
        <v>#VALUE!</v>
      </c>
      <c r="X969" s="12">
        <f>_xlfn.XLOOKUP($B969,M_YT_LIVE!$A:$A,M_YT_LIVE!$D:$D)</f>
        <v>0</v>
      </c>
      <c r="Z969" s="16" t="e">
        <f>HYPERLINK($X969&amp;SUBSTITUTE(マスタ!$C$3,"XXXXX",$W969))</f>
        <v>#VALUE!</v>
      </c>
      <c r="AA969" s="12" t="str">
        <f t="shared" si="48"/>
        <v/>
      </c>
    </row>
    <row r="970" spans="1:27" x14ac:dyDescent="0.4">
      <c r="A970" s="14">
        <f t="shared" si="49"/>
        <v>969</v>
      </c>
      <c r="B970" s="14"/>
      <c r="C970" s="18"/>
      <c r="D970" s="14"/>
      <c r="E970" s="14"/>
      <c r="G970" s="1">
        <f>_xlfn.XLOOKUP(B970,M_YT_LIVE!A:A,M_YT_LIVE!F:F,"ERROR",0,1)</f>
        <v>0</v>
      </c>
      <c r="W970" s="13" t="e">
        <f t="shared" si="47"/>
        <v>#VALUE!</v>
      </c>
      <c r="X970" s="12">
        <f>_xlfn.XLOOKUP($B970,M_YT_LIVE!$A:$A,M_YT_LIVE!$D:$D)</f>
        <v>0</v>
      </c>
      <c r="Z970" s="16" t="e">
        <f>HYPERLINK($X970&amp;SUBSTITUTE(マスタ!$C$3,"XXXXX",$W970))</f>
        <v>#VALUE!</v>
      </c>
      <c r="AA970" s="12" t="str">
        <f t="shared" si="48"/>
        <v/>
      </c>
    </row>
    <row r="971" spans="1:27" x14ac:dyDescent="0.4">
      <c r="A971" s="14">
        <f t="shared" si="49"/>
        <v>970</v>
      </c>
      <c r="B971" s="14"/>
      <c r="C971" s="18"/>
      <c r="D971" s="14"/>
      <c r="E971" s="14"/>
      <c r="G971" s="1">
        <f>_xlfn.XLOOKUP(B971,M_YT_LIVE!A:A,M_YT_LIVE!F:F,"ERROR",0,1)</f>
        <v>0</v>
      </c>
      <c r="W971" s="13" t="e">
        <f t="shared" si="47"/>
        <v>#VALUE!</v>
      </c>
      <c r="X971" s="12">
        <f>_xlfn.XLOOKUP($B971,M_YT_LIVE!$A:$A,M_YT_LIVE!$D:$D)</f>
        <v>0</v>
      </c>
      <c r="Z971" s="16" t="e">
        <f>HYPERLINK($X971&amp;SUBSTITUTE(マスタ!$C$3,"XXXXX",$W971))</f>
        <v>#VALUE!</v>
      </c>
      <c r="AA971" s="12" t="str">
        <f t="shared" si="48"/>
        <v/>
      </c>
    </row>
    <row r="972" spans="1:27" x14ac:dyDescent="0.4">
      <c r="A972" s="14">
        <f t="shared" si="49"/>
        <v>971</v>
      </c>
      <c r="B972" s="14"/>
      <c r="C972" s="18"/>
      <c r="D972" s="14"/>
      <c r="E972" s="14"/>
      <c r="G972" s="1">
        <f>_xlfn.XLOOKUP(B972,M_YT_LIVE!A:A,M_YT_LIVE!F:F,"ERROR",0,1)</f>
        <v>0</v>
      </c>
      <c r="W972" s="13" t="e">
        <f t="shared" si="47"/>
        <v>#VALUE!</v>
      </c>
      <c r="X972" s="12">
        <f>_xlfn.XLOOKUP($B972,M_YT_LIVE!$A:$A,M_YT_LIVE!$D:$D)</f>
        <v>0</v>
      </c>
      <c r="Z972" s="16" t="e">
        <f>HYPERLINK($X972&amp;SUBSTITUTE(マスタ!$C$3,"XXXXX",$W972))</f>
        <v>#VALUE!</v>
      </c>
      <c r="AA972" s="12" t="str">
        <f t="shared" si="48"/>
        <v/>
      </c>
    </row>
    <row r="973" spans="1:27" x14ac:dyDescent="0.4">
      <c r="A973" s="14">
        <f t="shared" si="49"/>
        <v>972</v>
      </c>
      <c r="B973" s="14"/>
      <c r="C973" s="18"/>
      <c r="D973" s="14"/>
      <c r="E973" s="14"/>
      <c r="G973" s="1">
        <f>_xlfn.XLOOKUP(B973,M_YT_LIVE!A:A,M_YT_LIVE!F:F,"ERROR",0,1)</f>
        <v>0</v>
      </c>
      <c r="W973" s="13" t="e">
        <f t="shared" si="47"/>
        <v>#VALUE!</v>
      </c>
      <c r="X973" s="12">
        <f>_xlfn.XLOOKUP($B973,M_YT_LIVE!$A:$A,M_YT_LIVE!$D:$D)</f>
        <v>0</v>
      </c>
      <c r="Z973" s="16" t="e">
        <f>HYPERLINK($X973&amp;SUBSTITUTE(マスタ!$C$3,"XXXXX",$W973))</f>
        <v>#VALUE!</v>
      </c>
      <c r="AA973" s="12" t="str">
        <f t="shared" si="48"/>
        <v/>
      </c>
    </row>
    <row r="974" spans="1:27" x14ac:dyDescent="0.4">
      <c r="A974" s="14">
        <f t="shared" si="49"/>
        <v>973</v>
      </c>
      <c r="B974" s="14"/>
      <c r="C974" s="18"/>
      <c r="D974" s="14"/>
      <c r="E974" s="14"/>
      <c r="G974" s="1">
        <f>_xlfn.XLOOKUP(B974,M_YT_LIVE!A:A,M_YT_LIVE!F:F,"ERROR",0,1)</f>
        <v>0</v>
      </c>
      <c r="W974" s="13" t="e">
        <f t="shared" si="47"/>
        <v>#VALUE!</v>
      </c>
      <c r="X974" s="12">
        <f>_xlfn.XLOOKUP($B974,M_YT_LIVE!$A:$A,M_YT_LIVE!$D:$D)</f>
        <v>0</v>
      </c>
      <c r="Z974" s="16" t="e">
        <f>HYPERLINK($X974&amp;SUBSTITUTE(マスタ!$C$3,"XXXXX",$W974))</f>
        <v>#VALUE!</v>
      </c>
      <c r="AA974" s="12" t="str">
        <f t="shared" si="48"/>
        <v/>
      </c>
    </row>
    <row r="975" spans="1:27" x14ac:dyDescent="0.4">
      <c r="A975" s="14">
        <f t="shared" si="49"/>
        <v>974</v>
      </c>
      <c r="B975" s="14"/>
      <c r="C975" s="18"/>
      <c r="D975" s="14"/>
      <c r="E975" s="14"/>
      <c r="G975" s="1">
        <f>_xlfn.XLOOKUP(B975,M_YT_LIVE!A:A,M_YT_LIVE!F:F,"ERROR",0,1)</f>
        <v>0</v>
      </c>
      <c r="W975" s="13" t="e">
        <f t="shared" si="47"/>
        <v>#VALUE!</v>
      </c>
      <c r="X975" s="12">
        <f>_xlfn.XLOOKUP($B975,M_YT_LIVE!$A:$A,M_YT_LIVE!$D:$D)</f>
        <v>0</v>
      </c>
      <c r="Z975" s="16" t="e">
        <f>HYPERLINK($X975&amp;SUBSTITUTE(マスタ!$C$3,"XXXXX",$W975))</f>
        <v>#VALUE!</v>
      </c>
      <c r="AA975" s="12" t="str">
        <f t="shared" si="48"/>
        <v/>
      </c>
    </row>
    <row r="976" spans="1:27" x14ac:dyDescent="0.4">
      <c r="A976" s="14">
        <f t="shared" si="49"/>
        <v>975</v>
      </c>
      <c r="B976" s="14"/>
      <c r="C976" s="18"/>
      <c r="D976" s="14"/>
      <c r="E976" s="14"/>
      <c r="G976" s="1">
        <f>_xlfn.XLOOKUP(B976,M_YT_LIVE!A:A,M_YT_LIVE!F:F,"ERROR",0,1)</f>
        <v>0</v>
      </c>
      <c r="W976" s="13" t="e">
        <f t="shared" si="47"/>
        <v>#VALUE!</v>
      </c>
      <c r="X976" s="12">
        <f>_xlfn.XLOOKUP($B976,M_YT_LIVE!$A:$A,M_YT_LIVE!$D:$D)</f>
        <v>0</v>
      </c>
      <c r="Z976" s="16" t="e">
        <f>HYPERLINK($X976&amp;SUBSTITUTE(マスタ!$C$3,"XXXXX",$W976))</f>
        <v>#VALUE!</v>
      </c>
      <c r="AA976" s="12" t="str">
        <f t="shared" si="48"/>
        <v/>
      </c>
    </row>
    <row r="977" spans="1:27" x14ac:dyDescent="0.4">
      <c r="A977" s="14">
        <f t="shared" si="49"/>
        <v>976</v>
      </c>
      <c r="B977" s="14"/>
      <c r="C977" s="18"/>
      <c r="D977" s="14"/>
      <c r="E977" s="14"/>
      <c r="G977" s="1">
        <f>_xlfn.XLOOKUP(B977,M_YT_LIVE!A:A,M_YT_LIVE!F:F,"ERROR",0,1)</f>
        <v>0</v>
      </c>
      <c r="W977" s="13" t="e">
        <f t="shared" si="47"/>
        <v>#VALUE!</v>
      </c>
      <c r="X977" s="12">
        <f>_xlfn.XLOOKUP($B977,M_YT_LIVE!$A:$A,M_YT_LIVE!$D:$D)</f>
        <v>0</v>
      </c>
      <c r="Z977" s="16" t="e">
        <f>HYPERLINK($X977&amp;SUBSTITUTE(マスタ!$C$3,"XXXXX",$W977))</f>
        <v>#VALUE!</v>
      </c>
      <c r="AA977" s="12" t="str">
        <f t="shared" si="48"/>
        <v/>
      </c>
    </row>
    <row r="978" spans="1:27" x14ac:dyDescent="0.4">
      <c r="A978" s="14">
        <f t="shared" si="49"/>
        <v>977</v>
      </c>
      <c r="B978" s="14"/>
      <c r="C978" s="18"/>
      <c r="D978" s="14"/>
      <c r="E978" s="14"/>
      <c r="G978" s="1">
        <f>_xlfn.XLOOKUP(B978,M_YT_LIVE!A:A,M_YT_LIVE!F:F,"ERROR",0,1)</f>
        <v>0</v>
      </c>
      <c r="W978" s="13" t="e">
        <f t="shared" si="47"/>
        <v>#VALUE!</v>
      </c>
      <c r="X978" s="12">
        <f>_xlfn.XLOOKUP($B978,M_YT_LIVE!$A:$A,M_YT_LIVE!$D:$D)</f>
        <v>0</v>
      </c>
      <c r="Z978" s="16" t="e">
        <f>HYPERLINK($X978&amp;SUBSTITUTE(マスタ!$C$3,"XXXXX",$W978))</f>
        <v>#VALUE!</v>
      </c>
      <c r="AA978" s="12" t="str">
        <f t="shared" si="48"/>
        <v/>
      </c>
    </row>
    <row r="979" spans="1:27" x14ac:dyDescent="0.4">
      <c r="A979" s="14">
        <f t="shared" si="49"/>
        <v>978</v>
      </c>
      <c r="B979" s="14"/>
      <c r="C979" s="18"/>
      <c r="D979" s="14"/>
      <c r="E979" s="14"/>
      <c r="G979" s="1">
        <f>_xlfn.XLOOKUP(B979,M_YT_LIVE!A:A,M_YT_LIVE!F:F,"ERROR",0,1)</f>
        <v>0</v>
      </c>
      <c r="W979" s="13" t="e">
        <f t="shared" si="47"/>
        <v>#VALUE!</v>
      </c>
      <c r="X979" s="12">
        <f>_xlfn.XLOOKUP($B979,M_YT_LIVE!$A:$A,M_YT_LIVE!$D:$D)</f>
        <v>0</v>
      </c>
      <c r="Z979" s="16" t="e">
        <f>HYPERLINK($X979&amp;SUBSTITUTE(マスタ!$C$3,"XXXXX",$W979))</f>
        <v>#VALUE!</v>
      </c>
      <c r="AA979" s="12" t="str">
        <f t="shared" si="48"/>
        <v/>
      </c>
    </row>
    <row r="980" spans="1:27" x14ac:dyDescent="0.4">
      <c r="A980" s="14">
        <f t="shared" si="49"/>
        <v>979</v>
      </c>
      <c r="B980" s="14"/>
      <c r="C980" s="18"/>
      <c r="D980" s="14"/>
      <c r="E980" s="14"/>
      <c r="G980" s="1">
        <f>_xlfn.XLOOKUP(B980,M_YT_LIVE!A:A,M_YT_LIVE!F:F,"ERROR",0,1)</f>
        <v>0</v>
      </c>
      <c r="W980" s="13" t="e">
        <f t="shared" si="47"/>
        <v>#VALUE!</v>
      </c>
      <c r="X980" s="12">
        <f>_xlfn.XLOOKUP($B980,M_YT_LIVE!$A:$A,M_YT_LIVE!$D:$D)</f>
        <v>0</v>
      </c>
      <c r="Z980" s="16" t="e">
        <f>HYPERLINK($X980&amp;SUBSTITUTE(マスタ!$C$3,"XXXXX",$W980))</f>
        <v>#VALUE!</v>
      </c>
      <c r="AA980" s="12" t="str">
        <f t="shared" si="48"/>
        <v/>
      </c>
    </row>
    <row r="981" spans="1:27" x14ac:dyDescent="0.4">
      <c r="A981" s="14">
        <f t="shared" si="49"/>
        <v>980</v>
      </c>
      <c r="B981" s="14"/>
      <c r="C981" s="18"/>
      <c r="D981" s="14"/>
      <c r="E981" s="14"/>
      <c r="G981" s="1">
        <f>_xlfn.XLOOKUP(B981,M_YT_LIVE!A:A,M_YT_LIVE!F:F,"ERROR",0,1)</f>
        <v>0</v>
      </c>
      <c r="W981" s="13" t="e">
        <f t="shared" si="47"/>
        <v>#VALUE!</v>
      </c>
      <c r="X981" s="12">
        <f>_xlfn.XLOOKUP($B981,M_YT_LIVE!$A:$A,M_YT_LIVE!$D:$D)</f>
        <v>0</v>
      </c>
      <c r="Z981" s="16" t="e">
        <f>HYPERLINK($X981&amp;SUBSTITUTE(マスタ!$C$3,"XXXXX",$W981))</f>
        <v>#VALUE!</v>
      </c>
      <c r="AA981" s="12" t="str">
        <f t="shared" si="48"/>
        <v/>
      </c>
    </row>
    <row r="982" spans="1:27" x14ac:dyDescent="0.4">
      <c r="A982" s="14">
        <f t="shared" si="49"/>
        <v>981</v>
      </c>
      <c r="B982" s="14"/>
      <c r="C982" s="18"/>
      <c r="D982" s="14"/>
      <c r="E982" s="14"/>
      <c r="G982" s="1">
        <f>_xlfn.XLOOKUP(B982,M_YT_LIVE!A:A,M_YT_LIVE!F:F,"ERROR",0,1)</f>
        <v>0</v>
      </c>
      <c r="W982" s="13" t="e">
        <f t="shared" si="47"/>
        <v>#VALUE!</v>
      </c>
      <c r="X982" s="12">
        <f>_xlfn.XLOOKUP($B982,M_YT_LIVE!$A:$A,M_YT_LIVE!$D:$D)</f>
        <v>0</v>
      </c>
      <c r="Z982" s="16" t="e">
        <f>HYPERLINK($X982&amp;SUBSTITUTE(マスタ!$C$3,"XXXXX",$W982))</f>
        <v>#VALUE!</v>
      </c>
      <c r="AA982" s="12" t="str">
        <f t="shared" si="48"/>
        <v/>
      </c>
    </row>
    <row r="983" spans="1:27" x14ac:dyDescent="0.4">
      <c r="A983" s="14">
        <f t="shared" si="49"/>
        <v>982</v>
      </c>
      <c r="B983" s="14"/>
      <c r="C983" s="18"/>
      <c r="D983" s="14"/>
      <c r="E983" s="14"/>
      <c r="G983" s="1">
        <f>_xlfn.XLOOKUP(B983,M_YT_LIVE!A:A,M_YT_LIVE!F:F,"ERROR",0,1)</f>
        <v>0</v>
      </c>
      <c r="W983" s="13" t="e">
        <f t="shared" si="47"/>
        <v>#VALUE!</v>
      </c>
      <c r="X983" s="12">
        <f>_xlfn.XLOOKUP($B983,M_YT_LIVE!$A:$A,M_YT_LIVE!$D:$D)</f>
        <v>0</v>
      </c>
      <c r="Z983" s="16" t="e">
        <f>HYPERLINK($X983&amp;SUBSTITUTE(マスタ!$C$3,"XXXXX",$W983))</f>
        <v>#VALUE!</v>
      </c>
      <c r="AA983" s="12" t="str">
        <f t="shared" si="48"/>
        <v/>
      </c>
    </row>
    <row r="984" spans="1:27" x14ac:dyDescent="0.4">
      <c r="A984" s="14">
        <f t="shared" si="49"/>
        <v>983</v>
      </c>
      <c r="B984" s="14"/>
      <c r="C984" s="18"/>
      <c r="D984" s="14"/>
      <c r="E984" s="14"/>
      <c r="G984" s="1">
        <f>_xlfn.XLOOKUP(B984,M_YT_LIVE!A:A,M_YT_LIVE!F:F,"ERROR",0,1)</f>
        <v>0</v>
      </c>
      <c r="W984" s="13" t="e">
        <f t="shared" si="47"/>
        <v>#VALUE!</v>
      </c>
      <c r="X984" s="12">
        <f>_xlfn.XLOOKUP($B984,M_YT_LIVE!$A:$A,M_YT_LIVE!$D:$D)</f>
        <v>0</v>
      </c>
      <c r="Z984" s="16" t="e">
        <f>HYPERLINK($X984&amp;SUBSTITUTE(マスタ!$C$3,"XXXXX",$W984))</f>
        <v>#VALUE!</v>
      </c>
      <c r="AA984" s="12" t="str">
        <f t="shared" si="48"/>
        <v/>
      </c>
    </row>
    <row r="985" spans="1:27" x14ac:dyDescent="0.4">
      <c r="A985" s="14">
        <f t="shared" si="49"/>
        <v>984</v>
      </c>
      <c r="B985" s="14"/>
      <c r="C985" s="18"/>
      <c r="D985" s="14"/>
      <c r="E985" s="14"/>
      <c r="G985" s="1">
        <f>_xlfn.XLOOKUP(B985,M_YT_LIVE!A:A,M_YT_LIVE!F:F,"ERROR",0,1)</f>
        <v>0</v>
      </c>
      <c r="W985" s="13" t="e">
        <f t="shared" si="47"/>
        <v>#VALUE!</v>
      </c>
      <c r="X985" s="12">
        <f>_xlfn.XLOOKUP($B985,M_YT_LIVE!$A:$A,M_YT_LIVE!$D:$D)</f>
        <v>0</v>
      </c>
      <c r="Z985" s="16" t="e">
        <f>HYPERLINK($X985&amp;SUBSTITUTE(マスタ!$C$3,"XXXXX",$W985))</f>
        <v>#VALUE!</v>
      </c>
      <c r="AA985" s="12" t="str">
        <f t="shared" si="48"/>
        <v/>
      </c>
    </row>
    <row r="986" spans="1:27" x14ac:dyDescent="0.4">
      <c r="A986" s="14">
        <f t="shared" si="49"/>
        <v>985</v>
      </c>
      <c r="B986" s="14"/>
      <c r="C986" s="18"/>
      <c r="D986" s="14"/>
      <c r="E986" s="14"/>
      <c r="G986" s="1">
        <f>_xlfn.XLOOKUP(B986,M_YT_LIVE!A:A,M_YT_LIVE!F:F,"ERROR",0,1)</f>
        <v>0</v>
      </c>
      <c r="W986" s="13" t="e">
        <f t="shared" si="47"/>
        <v>#VALUE!</v>
      </c>
      <c r="X986" s="12">
        <f>_xlfn.XLOOKUP($B986,M_YT_LIVE!$A:$A,M_YT_LIVE!$D:$D)</f>
        <v>0</v>
      </c>
      <c r="Z986" s="16" t="e">
        <f>HYPERLINK($X986&amp;SUBSTITUTE(マスタ!$C$3,"XXXXX",$W986))</f>
        <v>#VALUE!</v>
      </c>
      <c r="AA986" s="12" t="str">
        <f t="shared" si="48"/>
        <v/>
      </c>
    </row>
    <row r="987" spans="1:27" x14ac:dyDescent="0.4">
      <c r="A987" s="14">
        <f t="shared" si="49"/>
        <v>986</v>
      </c>
      <c r="B987" s="14"/>
      <c r="C987" s="18"/>
      <c r="D987" s="14"/>
      <c r="E987" s="14"/>
      <c r="G987" s="1">
        <f>_xlfn.XLOOKUP(B987,M_YT_LIVE!A:A,M_YT_LIVE!F:F,"ERROR",0,1)</f>
        <v>0</v>
      </c>
      <c r="W987" s="13" t="e">
        <f t="shared" si="47"/>
        <v>#VALUE!</v>
      </c>
      <c r="X987" s="12">
        <f>_xlfn.XLOOKUP($B987,M_YT_LIVE!$A:$A,M_YT_LIVE!$D:$D)</f>
        <v>0</v>
      </c>
      <c r="Z987" s="16" t="e">
        <f>HYPERLINK($X987&amp;SUBSTITUTE(マスタ!$C$3,"XXXXX",$W987))</f>
        <v>#VALUE!</v>
      </c>
      <c r="AA987" s="12" t="str">
        <f t="shared" si="48"/>
        <v/>
      </c>
    </row>
    <row r="988" spans="1:27" x14ac:dyDescent="0.4">
      <c r="A988" s="14">
        <f t="shared" si="49"/>
        <v>987</v>
      </c>
      <c r="B988" s="14"/>
      <c r="C988" s="18"/>
      <c r="D988" s="14"/>
      <c r="E988" s="14"/>
      <c r="G988" s="1">
        <f>_xlfn.XLOOKUP(B988,M_YT_LIVE!A:A,M_YT_LIVE!F:F,"ERROR",0,1)</f>
        <v>0</v>
      </c>
      <c r="W988" s="13" t="e">
        <f t="shared" si="47"/>
        <v>#VALUE!</v>
      </c>
      <c r="X988" s="12">
        <f>_xlfn.XLOOKUP($B988,M_YT_LIVE!$A:$A,M_YT_LIVE!$D:$D)</f>
        <v>0</v>
      </c>
      <c r="Z988" s="16" t="e">
        <f>HYPERLINK($X988&amp;SUBSTITUTE(マスタ!$C$3,"XXXXX",$W988))</f>
        <v>#VALUE!</v>
      </c>
      <c r="AA988" s="12" t="str">
        <f t="shared" si="48"/>
        <v/>
      </c>
    </row>
    <row r="989" spans="1:27" x14ac:dyDescent="0.4">
      <c r="A989" s="14">
        <f t="shared" si="49"/>
        <v>988</v>
      </c>
      <c r="B989" s="14"/>
      <c r="C989" s="18"/>
      <c r="D989" s="14"/>
      <c r="E989" s="14"/>
      <c r="G989" s="1">
        <f>_xlfn.XLOOKUP(B989,M_YT_LIVE!A:A,M_YT_LIVE!F:F,"ERROR",0,1)</f>
        <v>0</v>
      </c>
      <c r="W989" s="13" t="e">
        <f t="shared" si="47"/>
        <v>#VALUE!</v>
      </c>
      <c r="X989" s="12">
        <f>_xlfn.XLOOKUP($B989,M_YT_LIVE!$A:$A,M_YT_LIVE!$D:$D)</f>
        <v>0</v>
      </c>
      <c r="Z989" s="16" t="e">
        <f>HYPERLINK($X989&amp;SUBSTITUTE(マスタ!$C$3,"XXXXX",$W989))</f>
        <v>#VALUE!</v>
      </c>
      <c r="AA989" s="12" t="str">
        <f t="shared" si="48"/>
        <v/>
      </c>
    </row>
    <row r="990" spans="1:27" x14ac:dyDescent="0.4">
      <c r="A990" s="14">
        <f t="shared" si="49"/>
        <v>989</v>
      </c>
      <c r="B990" s="14"/>
      <c r="C990" s="18"/>
      <c r="D990" s="14"/>
      <c r="E990" s="14"/>
      <c r="G990" s="1">
        <f>_xlfn.XLOOKUP(B990,M_YT_LIVE!A:A,M_YT_LIVE!F:F,"ERROR",0,1)</f>
        <v>0</v>
      </c>
      <c r="W990" s="13" t="e">
        <f t="shared" si="47"/>
        <v>#VALUE!</v>
      </c>
      <c r="X990" s="12">
        <f>_xlfn.XLOOKUP($B990,M_YT_LIVE!$A:$A,M_YT_LIVE!$D:$D)</f>
        <v>0</v>
      </c>
      <c r="Z990" s="16" t="e">
        <f>HYPERLINK($X990&amp;SUBSTITUTE(マスタ!$C$3,"XXXXX",$W990))</f>
        <v>#VALUE!</v>
      </c>
      <c r="AA990" s="12" t="str">
        <f t="shared" si="48"/>
        <v/>
      </c>
    </row>
    <row r="991" spans="1:27" x14ac:dyDescent="0.4">
      <c r="A991" s="14">
        <f t="shared" si="49"/>
        <v>990</v>
      </c>
      <c r="B991" s="14"/>
      <c r="C991" s="18"/>
      <c r="D991" s="14"/>
      <c r="E991" s="14"/>
      <c r="G991" s="1">
        <f>_xlfn.XLOOKUP(B991,M_YT_LIVE!A:A,M_YT_LIVE!F:F,"ERROR",0,1)</f>
        <v>0</v>
      </c>
      <c r="W991" s="13" t="e">
        <f t="shared" si="47"/>
        <v>#VALUE!</v>
      </c>
      <c r="X991" s="12">
        <f>_xlfn.XLOOKUP($B991,M_YT_LIVE!$A:$A,M_YT_LIVE!$D:$D)</f>
        <v>0</v>
      </c>
      <c r="Z991" s="16" t="e">
        <f>HYPERLINK($X991&amp;SUBSTITUTE(マスタ!$C$3,"XXXXX",$W991))</f>
        <v>#VALUE!</v>
      </c>
      <c r="AA991" s="12" t="str">
        <f t="shared" si="48"/>
        <v/>
      </c>
    </row>
    <row r="992" spans="1:27" x14ac:dyDescent="0.4">
      <c r="A992" s="14">
        <f t="shared" si="49"/>
        <v>991</v>
      </c>
      <c r="B992" s="14"/>
      <c r="C992" s="18"/>
      <c r="D992" s="14"/>
      <c r="E992" s="14"/>
      <c r="G992" s="1">
        <f>_xlfn.XLOOKUP(B992,M_YT_LIVE!A:A,M_YT_LIVE!F:F,"ERROR",0,1)</f>
        <v>0</v>
      </c>
      <c r="W992" s="13" t="e">
        <f t="shared" si="47"/>
        <v>#VALUE!</v>
      </c>
      <c r="X992" s="12">
        <f>_xlfn.XLOOKUP($B992,M_YT_LIVE!$A:$A,M_YT_LIVE!$D:$D)</f>
        <v>0</v>
      </c>
      <c r="Z992" s="16" t="e">
        <f>HYPERLINK($X992&amp;SUBSTITUTE(マスタ!$C$3,"XXXXX",$W992))</f>
        <v>#VALUE!</v>
      </c>
      <c r="AA992" s="12" t="str">
        <f t="shared" si="48"/>
        <v/>
      </c>
    </row>
    <row r="993" spans="1:27" x14ac:dyDescent="0.4">
      <c r="A993" s="14">
        <f t="shared" si="49"/>
        <v>992</v>
      </c>
      <c r="B993" s="14"/>
      <c r="C993" s="18"/>
      <c r="D993" s="14"/>
      <c r="E993" s="14"/>
      <c r="G993" s="1">
        <f>_xlfn.XLOOKUP(B993,M_YT_LIVE!A:A,M_YT_LIVE!F:F,"ERROR",0,1)</f>
        <v>0</v>
      </c>
      <c r="W993" s="13" t="e">
        <f t="shared" si="47"/>
        <v>#VALUE!</v>
      </c>
      <c r="X993" s="12">
        <f>_xlfn.XLOOKUP($B993,M_YT_LIVE!$A:$A,M_YT_LIVE!$D:$D)</f>
        <v>0</v>
      </c>
      <c r="Z993" s="16" t="e">
        <f>HYPERLINK($X993&amp;SUBSTITUTE(マスタ!$C$3,"XXXXX",$W993))</f>
        <v>#VALUE!</v>
      </c>
      <c r="AA993" s="12" t="str">
        <f t="shared" si="48"/>
        <v/>
      </c>
    </row>
    <row r="994" spans="1:27" x14ac:dyDescent="0.4">
      <c r="A994" s="14">
        <f t="shared" si="49"/>
        <v>993</v>
      </c>
      <c r="B994" s="14"/>
      <c r="C994" s="18"/>
      <c r="D994" s="14"/>
      <c r="E994" s="14"/>
      <c r="G994" s="1">
        <f>_xlfn.XLOOKUP(B994,M_YT_LIVE!A:A,M_YT_LIVE!F:F,"ERROR",0,1)</f>
        <v>0</v>
      </c>
      <c r="W994" s="13" t="e">
        <f t="shared" si="47"/>
        <v>#VALUE!</v>
      </c>
      <c r="X994" s="12">
        <f>_xlfn.XLOOKUP($B994,M_YT_LIVE!$A:$A,M_YT_LIVE!$D:$D)</f>
        <v>0</v>
      </c>
      <c r="Z994" s="16" t="e">
        <f>HYPERLINK($X994&amp;SUBSTITUTE(マスタ!$C$3,"XXXXX",$W994))</f>
        <v>#VALUE!</v>
      </c>
      <c r="AA994" s="12" t="str">
        <f t="shared" si="48"/>
        <v/>
      </c>
    </row>
    <row r="995" spans="1:27" x14ac:dyDescent="0.4">
      <c r="A995" s="14">
        <f t="shared" si="49"/>
        <v>994</v>
      </c>
      <c r="B995" s="14"/>
      <c r="C995" s="18"/>
      <c r="D995" s="14"/>
      <c r="E995" s="14"/>
      <c r="G995" s="1">
        <f>_xlfn.XLOOKUP(B995,M_YT_LIVE!A:A,M_YT_LIVE!F:F,"ERROR",0,1)</f>
        <v>0</v>
      </c>
      <c r="W995" s="13" t="e">
        <f t="shared" si="47"/>
        <v>#VALUE!</v>
      </c>
      <c r="X995" s="12">
        <f>_xlfn.XLOOKUP($B995,M_YT_LIVE!$A:$A,M_YT_LIVE!$D:$D)</f>
        <v>0</v>
      </c>
      <c r="Z995" s="16" t="e">
        <f>HYPERLINK($X995&amp;SUBSTITUTE(マスタ!$C$3,"XXXXX",$W995))</f>
        <v>#VALUE!</v>
      </c>
      <c r="AA995" s="12" t="str">
        <f t="shared" si="48"/>
        <v/>
      </c>
    </row>
    <row r="996" spans="1:27" x14ac:dyDescent="0.4">
      <c r="A996" s="14">
        <f t="shared" si="49"/>
        <v>995</v>
      </c>
      <c r="B996" s="14"/>
      <c r="C996" s="18"/>
      <c r="D996" s="14"/>
      <c r="E996" s="14"/>
      <c r="G996" s="1">
        <f>_xlfn.XLOOKUP(B996,M_YT_LIVE!A:A,M_YT_LIVE!F:F,"ERROR",0,1)</f>
        <v>0</v>
      </c>
      <c r="W996" s="13" t="e">
        <f t="shared" si="47"/>
        <v>#VALUE!</v>
      </c>
      <c r="X996" s="12">
        <f>_xlfn.XLOOKUP($B996,M_YT_LIVE!$A:$A,M_YT_LIVE!$D:$D)</f>
        <v>0</v>
      </c>
      <c r="Z996" s="16" t="e">
        <f>HYPERLINK($X996&amp;SUBSTITUTE(マスタ!$C$3,"XXXXX",$W996))</f>
        <v>#VALUE!</v>
      </c>
      <c r="AA996" s="12" t="str">
        <f t="shared" si="48"/>
        <v/>
      </c>
    </row>
    <row r="997" spans="1:27" x14ac:dyDescent="0.4">
      <c r="A997" s="14">
        <f t="shared" si="49"/>
        <v>996</v>
      </c>
      <c r="B997" s="14"/>
      <c r="C997" s="18"/>
      <c r="D997" s="14"/>
      <c r="E997" s="14"/>
      <c r="G997" s="1">
        <f>_xlfn.XLOOKUP(B997,M_YT_LIVE!A:A,M_YT_LIVE!F:F,"ERROR",0,1)</f>
        <v>0</v>
      </c>
      <c r="W997" s="13" t="e">
        <f t="shared" si="47"/>
        <v>#VALUE!</v>
      </c>
      <c r="X997" s="12">
        <f>_xlfn.XLOOKUP($B997,M_YT_LIVE!$A:$A,M_YT_LIVE!$D:$D)</f>
        <v>0</v>
      </c>
      <c r="Z997" s="16" t="e">
        <f>HYPERLINK($X997&amp;SUBSTITUTE(マスタ!$C$3,"XXXXX",$W997))</f>
        <v>#VALUE!</v>
      </c>
      <c r="AA997" s="12" t="str">
        <f t="shared" si="48"/>
        <v/>
      </c>
    </row>
    <row r="998" spans="1:27" x14ac:dyDescent="0.4">
      <c r="A998" s="14">
        <f t="shared" si="49"/>
        <v>997</v>
      </c>
      <c r="B998" s="14"/>
      <c r="C998" s="18"/>
      <c r="D998" s="14"/>
      <c r="E998" s="14"/>
      <c r="G998" s="1">
        <f>_xlfn.XLOOKUP(B998,M_YT_LIVE!A:A,M_YT_LIVE!F:F,"ERROR",0,1)</f>
        <v>0</v>
      </c>
      <c r="W998" s="13" t="e">
        <f t="shared" si="47"/>
        <v>#VALUE!</v>
      </c>
      <c r="X998" s="12">
        <f>_xlfn.XLOOKUP($B998,M_YT_LIVE!$A:$A,M_YT_LIVE!$D:$D)</f>
        <v>0</v>
      </c>
      <c r="Z998" s="16" t="e">
        <f>HYPERLINK($X998&amp;SUBSTITUTE(マスタ!$C$3,"XXXXX",$W998))</f>
        <v>#VALUE!</v>
      </c>
      <c r="AA998" s="12" t="str">
        <f t="shared" si="48"/>
        <v/>
      </c>
    </row>
    <row r="999" spans="1:27" x14ac:dyDescent="0.4">
      <c r="A999" s="14">
        <f t="shared" si="49"/>
        <v>998</v>
      </c>
      <c r="B999" s="14"/>
      <c r="C999" s="18"/>
      <c r="D999" s="14"/>
      <c r="E999" s="14"/>
      <c r="G999" s="1">
        <f>_xlfn.XLOOKUP(B999,M_YT_LIVE!A:A,M_YT_LIVE!F:F,"ERROR",0,1)</f>
        <v>0</v>
      </c>
      <c r="W999" s="13" t="e">
        <f t="shared" si="47"/>
        <v>#VALUE!</v>
      </c>
      <c r="X999" s="12">
        <f>_xlfn.XLOOKUP($B999,M_YT_LIVE!$A:$A,M_YT_LIVE!$D:$D)</f>
        <v>0</v>
      </c>
      <c r="Z999" s="16" t="e">
        <f>HYPERLINK($X999&amp;SUBSTITUTE(マスタ!$C$3,"XXXXX",$W999))</f>
        <v>#VALUE!</v>
      </c>
      <c r="AA999" s="12" t="str">
        <f t="shared" si="48"/>
        <v/>
      </c>
    </row>
    <row r="1000" spans="1:27" x14ac:dyDescent="0.4">
      <c r="A1000" s="14">
        <f t="shared" si="49"/>
        <v>999</v>
      </c>
      <c r="B1000" s="14"/>
      <c r="C1000" s="18"/>
      <c r="D1000" s="14"/>
      <c r="E1000" s="14"/>
      <c r="G1000" s="1">
        <f>_xlfn.XLOOKUP(B1000,M_YT_LIVE!A:A,M_YT_LIVE!F:F,"ERROR",0,1)</f>
        <v>0</v>
      </c>
      <c r="W1000" s="13" t="e">
        <f t="shared" si="47"/>
        <v>#VALUE!</v>
      </c>
      <c r="X1000" s="12">
        <f>_xlfn.XLOOKUP($B1000,M_YT_LIVE!$A:$A,M_YT_LIVE!$D:$D)</f>
        <v>0</v>
      </c>
      <c r="Z1000" s="16" t="e">
        <f>HYPERLINK($X1000&amp;SUBSTITUTE(マスタ!$C$3,"XXXXX",$W1000))</f>
        <v>#VALUE!</v>
      </c>
      <c r="AA1000" s="12" t="str">
        <f t="shared" si="48"/>
        <v/>
      </c>
    </row>
    <row r="1001" spans="1:27" x14ac:dyDescent="0.4">
      <c r="A1001" s="14">
        <f t="shared" si="49"/>
        <v>1000</v>
      </c>
      <c r="B1001" s="14"/>
      <c r="C1001" s="18"/>
      <c r="D1001" s="14"/>
      <c r="E1001" s="14"/>
      <c r="G1001" s="1">
        <f>_xlfn.XLOOKUP(B1001,M_YT_LIVE!A:A,M_YT_LIVE!F:F,"ERROR",0,1)</f>
        <v>0</v>
      </c>
      <c r="W1001" s="13" t="e">
        <f t="shared" si="47"/>
        <v>#VALUE!</v>
      </c>
      <c r="X1001" s="12">
        <f>_xlfn.XLOOKUP($B1001,M_YT_LIVE!$A:$A,M_YT_LIVE!$D:$D)</f>
        <v>0</v>
      </c>
      <c r="Z1001" s="16" t="e">
        <f>HYPERLINK($X1001&amp;SUBSTITUTE(マスタ!$C$3,"XXXXX",$W1001))</f>
        <v>#VALUE!</v>
      </c>
      <c r="AA1001" s="12" t="str">
        <f t="shared" si="48"/>
        <v/>
      </c>
    </row>
    <row r="1002" spans="1:27" x14ac:dyDescent="0.4">
      <c r="A1002" s="14">
        <f t="shared" si="49"/>
        <v>1001</v>
      </c>
      <c r="B1002" s="14"/>
      <c r="C1002" s="18"/>
      <c r="D1002" s="14"/>
      <c r="E1002" s="14"/>
      <c r="G1002" s="1">
        <f>_xlfn.XLOOKUP(B1002,M_YT_LIVE!A:A,M_YT_LIVE!F:F,"ERROR",0,1)</f>
        <v>0</v>
      </c>
      <c r="W1002" s="13" t="e">
        <f t="shared" si="47"/>
        <v>#VALUE!</v>
      </c>
      <c r="X1002" s="12">
        <f>_xlfn.XLOOKUP($B1002,M_YT_LIVE!$A:$A,M_YT_LIVE!$D:$D)</f>
        <v>0</v>
      </c>
      <c r="Z1002" s="16" t="e">
        <f>HYPERLINK($X1002&amp;SUBSTITUTE(マスタ!$C$3,"XXXXX",$W1002))</f>
        <v>#VALUE!</v>
      </c>
      <c r="AA1002" s="12" t="str">
        <f t="shared" si="48"/>
        <v/>
      </c>
    </row>
    <row r="1003" spans="1:27" x14ac:dyDescent="0.4">
      <c r="A1003" s="14">
        <f t="shared" si="49"/>
        <v>1002</v>
      </c>
      <c r="B1003" s="14"/>
      <c r="C1003" s="18"/>
      <c r="D1003" s="14"/>
      <c r="E1003" s="14"/>
      <c r="G1003" s="1">
        <f>_xlfn.XLOOKUP(B1003,M_YT_LIVE!A:A,M_YT_LIVE!F:F,"ERROR",0,1)</f>
        <v>0</v>
      </c>
      <c r="W1003" s="13" t="e">
        <f t="shared" si="47"/>
        <v>#VALUE!</v>
      </c>
      <c r="X1003" s="12">
        <f>_xlfn.XLOOKUP($B1003,M_YT_LIVE!$A:$A,M_YT_LIVE!$D:$D)</f>
        <v>0</v>
      </c>
      <c r="Z1003" s="16" t="e">
        <f>HYPERLINK($X1003&amp;SUBSTITUTE(マスタ!$C$3,"XXXXX",$W1003))</f>
        <v>#VALUE!</v>
      </c>
      <c r="AA1003" s="12" t="str">
        <f t="shared" si="48"/>
        <v/>
      </c>
    </row>
    <row r="1004" spans="1:27" x14ac:dyDescent="0.4">
      <c r="A1004" s="14">
        <f t="shared" si="49"/>
        <v>1003</v>
      </c>
      <c r="B1004" s="14"/>
      <c r="C1004" s="18"/>
      <c r="D1004" s="14"/>
      <c r="E1004" s="14"/>
      <c r="G1004" s="1">
        <f>_xlfn.XLOOKUP(B1004,M_YT_LIVE!A:A,M_YT_LIVE!F:F,"ERROR",0,1)</f>
        <v>0</v>
      </c>
      <c r="W1004" s="13" t="e">
        <f t="shared" si="47"/>
        <v>#VALUE!</v>
      </c>
      <c r="X1004" s="12">
        <f>_xlfn.XLOOKUP($B1004,M_YT_LIVE!$A:$A,M_YT_LIVE!$D:$D)</f>
        <v>0</v>
      </c>
      <c r="Z1004" s="16" t="e">
        <f>HYPERLINK($X1004&amp;SUBSTITUTE(マスタ!$C$3,"XXXXX",$W1004))</f>
        <v>#VALUE!</v>
      </c>
      <c r="AA1004" s="12" t="str">
        <f t="shared" si="48"/>
        <v/>
      </c>
    </row>
    <row r="1005" spans="1:27" x14ac:dyDescent="0.4">
      <c r="A1005" s="14">
        <f t="shared" si="49"/>
        <v>1004</v>
      </c>
      <c r="B1005" s="14"/>
      <c r="C1005" s="18"/>
      <c r="D1005" s="14"/>
      <c r="E1005" s="14"/>
      <c r="G1005" s="1">
        <f>_xlfn.XLOOKUP(B1005,M_YT_LIVE!A:A,M_YT_LIVE!F:F,"ERROR",0,1)</f>
        <v>0</v>
      </c>
      <c r="W1005" s="13" t="e">
        <f t="shared" si="47"/>
        <v>#VALUE!</v>
      </c>
      <c r="X1005" s="12">
        <f>_xlfn.XLOOKUP($B1005,M_YT_LIVE!$A:$A,M_YT_LIVE!$D:$D)</f>
        <v>0</v>
      </c>
      <c r="Z1005" s="16" t="e">
        <f>HYPERLINK($X1005&amp;SUBSTITUTE(マスタ!$C$3,"XXXXX",$W1005))</f>
        <v>#VALUE!</v>
      </c>
      <c r="AA1005" s="12" t="str">
        <f t="shared" si="48"/>
        <v/>
      </c>
    </row>
    <row r="1006" spans="1:27" x14ac:dyDescent="0.4">
      <c r="A1006" s="14">
        <f t="shared" si="49"/>
        <v>1005</v>
      </c>
      <c r="B1006" s="14"/>
      <c r="C1006" s="18"/>
      <c r="D1006" s="14"/>
      <c r="E1006" s="14"/>
      <c r="G1006" s="1">
        <f>_xlfn.XLOOKUP(B1006,M_YT_LIVE!A:A,M_YT_LIVE!F:F,"ERROR",0,1)</f>
        <v>0</v>
      </c>
      <c r="W1006" s="13" t="e">
        <f t="shared" si="47"/>
        <v>#VALUE!</v>
      </c>
      <c r="X1006" s="12">
        <f>_xlfn.XLOOKUP($B1006,M_YT_LIVE!$A:$A,M_YT_LIVE!$D:$D)</f>
        <v>0</v>
      </c>
      <c r="Z1006" s="16" t="e">
        <f>HYPERLINK($X1006&amp;SUBSTITUTE(マスタ!$C$3,"XXXXX",$W1006))</f>
        <v>#VALUE!</v>
      </c>
      <c r="AA1006" s="12" t="str">
        <f t="shared" si="48"/>
        <v/>
      </c>
    </row>
    <row r="1007" spans="1:27" x14ac:dyDescent="0.4">
      <c r="A1007" s="14">
        <f t="shared" si="49"/>
        <v>1006</v>
      </c>
      <c r="B1007" s="14"/>
      <c r="C1007" s="18"/>
      <c r="D1007" s="14"/>
      <c r="E1007" s="14"/>
      <c r="G1007" s="1">
        <f>_xlfn.XLOOKUP(B1007,M_YT_LIVE!A:A,M_YT_LIVE!F:F,"ERROR",0,1)</f>
        <v>0</v>
      </c>
      <c r="W1007" s="13" t="e">
        <f t="shared" si="47"/>
        <v>#VALUE!</v>
      </c>
      <c r="X1007" s="12">
        <f>_xlfn.XLOOKUP($B1007,M_YT_LIVE!$A:$A,M_YT_LIVE!$D:$D)</f>
        <v>0</v>
      </c>
      <c r="Z1007" s="16" t="e">
        <f>HYPERLINK($X1007&amp;SUBSTITUTE(マスタ!$C$3,"XXXXX",$W1007))</f>
        <v>#VALUE!</v>
      </c>
      <c r="AA1007" s="12" t="str">
        <f t="shared" si="48"/>
        <v/>
      </c>
    </row>
    <row r="1008" spans="1:27" x14ac:dyDescent="0.4">
      <c r="A1008" s="14">
        <f t="shared" si="49"/>
        <v>1007</v>
      </c>
      <c r="B1008" s="14"/>
      <c r="C1008" s="18"/>
      <c r="D1008" s="14"/>
      <c r="E1008" s="14"/>
      <c r="G1008" s="1">
        <f>_xlfn.XLOOKUP(B1008,M_YT_LIVE!A:A,M_YT_LIVE!F:F,"ERROR",0,1)</f>
        <v>0</v>
      </c>
      <c r="W1008" s="13" t="e">
        <f t="shared" si="47"/>
        <v>#VALUE!</v>
      </c>
      <c r="X1008" s="12">
        <f>_xlfn.XLOOKUP($B1008,M_YT_LIVE!$A:$A,M_YT_LIVE!$D:$D)</f>
        <v>0</v>
      </c>
      <c r="Z1008" s="16" t="e">
        <f>HYPERLINK($X1008&amp;SUBSTITUTE(マスタ!$C$3,"XXXXX",$W1008))</f>
        <v>#VALUE!</v>
      </c>
      <c r="AA1008" s="12" t="str">
        <f t="shared" si="48"/>
        <v/>
      </c>
    </row>
    <row r="1009" spans="1:27" x14ac:dyDescent="0.4">
      <c r="A1009" s="14">
        <f t="shared" si="49"/>
        <v>1008</v>
      </c>
      <c r="B1009" s="14"/>
      <c r="C1009" s="18"/>
      <c r="D1009" s="14"/>
      <c r="E1009" s="14"/>
      <c r="G1009" s="1">
        <f>_xlfn.XLOOKUP(B1009,M_YT_LIVE!A:A,M_YT_LIVE!F:F,"ERROR",0,1)</f>
        <v>0</v>
      </c>
      <c r="W1009" s="13" t="e">
        <f t="shared" si="47"/>
        <v>#VALUE!</v>
      </c>
      <c r="X1009" s="12">
        <f>_xlfn.XLOOKUP($B1009,M_YT_LIVE!$A:$A,M_YT_LIVE!$D:$D)</f>
        <v>0</v>
      </c>
      <c r="Z1009" s="16" t="e">
        <f>HYPERLINK($X1009&amp;SUBSTITUTE(マスタ!$C$3,"XXXXX",$W1009))</f>
        <v>#VALUE!</v>
      </c>
      <c r="AA1009" s="12" t="str">
        <f t="shared" si="48"/>
        <v/>
      </c>
    </row>
    <row r="1010" spans="1:27" x14ac:dyDescent="0.4">
      <c r="A1010" s="14">
        <f t="shared" si="49"/>
        <v>1009</v>
      </c>
      <c r="B1010" s="14"/>
      <c r="C1010" s="18"/>
      <c r="D1010" s="14"/>
      <c r="E1010" s="14"/>
      <c r="G1010" s="1">
        <f>_xlfn.XLOOKUP(B1010,M_YT_LIVE!A:A,M_YT_LIVE!F:F,"ERROR",0,1)</f>
        <v>0</v>
      </c>
      <c r="W1010" s="13" t="e">
        <f t="shared" si="47"/>
        <v>#VALUE!</v>
      </c>
      <c r="X1010" s="12">
        <f>_xlfn.XLOOKUP($B1010,M_YT_LIVE!$A:$A,M_YT_LIVE!$D:$D)</f>
        <v>0</v>
      </c>
      <c r="Z1010" s="16" t="e">
        <f>HYPERLINK($X1010&amp;SUBSTITUTE(マスタ!$C$3,"XXXXX",$W1010))</f>
        <v>#VALUE!</v>
      </c>
      <c r="AA1010" s="12" t="str">
        <f t="shared" si="48"/>
        <v/>
      </c>
    </row>
    <row r="1011" spans="1:27" x14ac:dyDescent="0.4">
      <c r="A1011" s="14">
        <f t="shared" si="49"/>
        <v>1010</v>
      </c>
      <c r="B1011" s="14"/>
      <c r="C1011" s="18"/>
      <c r="D1011" s="14"/>
      <c r="E1011" s="14"/>
      <c r="G1011" s="1">
        <f>_xlfn.XLOOKUP(B1011,M_YT_LIVE!A:A,M_YT_LIVE!F:F,"ERROR",0,1)</f>
        <v>0</v>
      </c>
      <c r="W1011" s="13" t="e">
        <f t="shared" si="47"/>
        <v>#VALUE!</v>
      </c>
      <c r="X1011" s="12">
        <f>_xlfn.XLOOKUP($B1011,M_YT_LIVE!$A:$A,M_YT_LIVE!$D:$D)</f>
        <v>0</v>
      </c>
      <c r="Z1011" s="16" t="e">
        <f>HYPERLINK($X1011&amp;SUBSTITUTE(マスタ!$C$3,"XXXXX",$W1011))</f>
        <v>#VALUE!</v>
      </c>
      <c r="AA1011" s="12" t="str">
        <f t="shared" si="48"/>
        <v/>
      </c>
    </row>
    <row r="1012" spans="1:27" x14ac:dyDescent="0.4">
      <c r="A1012" s="14">
        <f t="shared" si="49"/>
        <v>1011</v>
      </c>
      <c r="B1012" s="14"/>
      <c r="C1012" s="18"/>
      <c r="D1012" s="14"/>
      <c r="E1012" s="14"/>
      <c r="G1012" s="1">
        <f>_xlfn.XLOOKUP(B1012,M_YT_LIVE!A:A,M_YT_LIVE!F:F,"ERROR",0,1)</f>
        <v>0</v>
      </c>
      <c r="W1012" s="13" t="e">
        <f t="shared" si="47"/>
        <v>#VALUE!</v>
      </c>
      <c r="X1012" s="12">
        <f>_xlfn.XLOOKUP($B1012,M_YT_LIVE!$A:$A,M_YT_LIVE!$D:$D)</f>
        <v>0</v>
      </c>
      <c r="Z1012" s="16" t="e">
        <f>HYPERLINK($X1012&amp;SUBSTITUTE(マスタ!$C$3,"XXXXX",$W1012))</f>
        <v>#VALUE!</v>
      </c>
      <c r="AA1012" s="12" t="str">
        <f t="shared" si="48"/>
        <v/>
      </c>
    </row>
    <row r="1013" spans="1:27" x14ac:dyDescent="0.4">
      <c r="A1013" s="14">
        <f t="shared" si="49"/>
        <v>1012</v>
      </c>
      <c r="B1013" s="14"/>
      <c r="C1013" s="18"/>
      <c r="D1013" s="14"/>
      <c r="E1013" s="14"/>
      <c r="G1013" s="1">
        <f>_xlfn.XLOOKUP(B1013,M_YT_LIVE!A:A,M_YT_LIVE!F:F,"ERROR",0,1)</f>
        <v>0</v>
      </c>
      <c r="W1013" s="13" t="e">
        <f t="shared" si="47"/>
        <v>#VALUE!</v>
      </c>
      <c r="X1013" s="12">
        <f>_xlfn.XLOOKUP($B1013,M_YT_LIVE!$A:$A,M_YT_LIVE!$D:$D)</f>
        <v>0</v>
      </c>
      <c r="Z1013" s="16" t="e">
        <f>HYPERLINK($X1013&amp;SUBSTITUTE(マスタ!$C$3,"XXXXX",$W1013))</f>
        <v>#VALUE!</v>
      </c>
      <c r="AA1013" s="12" t="str">
        <f t="shared" si="48"/>
        <v/>
      </c>
    </row>
    <row r="1014" spans="1:27" x14ac:dyDescent="0.4">
      <c r="A1014" s="14">
        <f t="shared" si="49"/>
        <v>1013</v>
      </c>
      <c r="B1014" s="14"/>
      <c r="C1014" s="18"/>
      <c r="D1014" s="14"/>
      <c r="E1014" s="14"/>
      <c r="G1014" s="1">
        <f>_xlfn.XLOOKUP(B1014,M_YT_LIVE!A:A,M_YT_LIVE!F:F,"ERROR",0,1)</f>
        <v>0</v>
      </c>
      <c r="W1014" s="13" t="e">
        <f t="shared" si="47"/>
        <v>#VALUE!</v>
      </c>
      <c r="X1014" s="12">
        <f>_xlfn.XLOOKUP($B1014,M_YT_LIVE!$A:$A,M_YT_LIVE!$D:$D)</f>
        <v>0</v>
      </c>
      <c r="Z1014" s="16" t="e">
        <f>HYPERLINK($X1014&amp;SUBSTITUTE(マスタ!$C$3,"XXXXX",$W1014))</f>
        <v>#VALUE!</v>
      </c>
      <c r="AA1014" s="12" t="str">
        <f t="shared" si="48"/>
        <v/>
      </c>
    </row>
    <row r="1015" spans="1:27" x14ac:dyDescent="0.4">
      <c r="A1015" s="14">
        <f t="shared" si="49"/>
        <v>1014</v>
      </c>
      <c r="B1015" s="14"/>
      <c r="C1015" s="18"/>
      <c r="D1015" s="14"/>
      <c r="E1015" s="14"/>
      <c r="G1015" s="1">
        <f>_xlfn.XLOOKUP(B1015,M_YT_LIVE!A:A,M_YT_LIVE!F:F,"ERROR",0,1)</f>
        <v>0</v>
      </c>
      <c r="W1015" s="13" t="e">
        <f t="shared" si="47"/>
        <v>#VALUE!</v>
      </c>
      <c r="X1015" s="12">
        <f>_xlfn.XLOOKUP($B1015,M_YT_LIVE!$A:$A,M_YT_LIVE!$D:$D)</f>
        <v>0</v>
      </c>
      <c r="Z1015" s="16" t="e">
        <f>HYPERLINK($X1015&amp;SUBSTITUTE(マスタ!$C$3,"XXXXX",$W1015))</f>
        <v>#VALUE!</v>
      </c>
      <c r="AA1015" s="12" t="str">
        <f t="shared" si="48"/>
        <v/>
      </c>
    </row>
    <row r="1016" spans="1:27" x14ac:dyDescent="0.4">
      <c r="A1016" s="14">
        <f t="shared" si="49"/>
        <v>1015</v>
      </c>
      <c r="B1016" s="14"/>
      <c r="C1016" s="18"/>
      <c r="D1016" s="14"/>
      <c r="E1016" s="14"/>
      <c r="G1016" s="1">
        <f>_xlfn.XLOOKUP(B1016,M_YT_LIVE!A:A,M_YT_LIVE!F:F,"ERROR",0,1)</f>
        <v>0</v>
      </c>
      <c r="W1016" s="13" t="e">
        <f t="shared" si="47"/>
        <v>#VALUE!</v>
      </c>
      <c r="X1016" s="12">
        <f>_xlfn.XLOOKUP($B1016,M_YT_LIVE!$A:$A,M_YT_LIVE!$D:$D)</f>
        <v>0</v>
      </c>
      <c r="Z1016" s="16" t="e">
        <f>HYPERLINK($X1016&amp;SUBSTITUTE(マスタ!$C$3,"XXXXX",$W1016))</f>
        <v>#VALUE!</v>
      </c>
      <c r="AA1016" s="12" t="str">
        <f t="shared" si="48"/>
        <v/>
      </c>
    </row>
    <row r="1017" spans="1:27" x14ac:dyDescent="0.4">
      <c r="A1017" s="14">
        <f t="shared" si="49"/>
        <v>1016</v>
      </c>
      <c r="B1017" s="14"/>
      <c r="C1017" s="18"/>
      <c r="D1017" s="14"/>
      <c r="E1017" s="14"/>
      <c r="G1017" s="1">
        <f>_xlfn.XLOOKUP(B1017,M_YT_LIVE!A:A,M_YT_LIVE!F:F,"ERROR",0,1)</f>
        <v>0</v>
      </c>
      <c r="W1017" s="13" t="e">
        <f t="shared" si="47"/>
        <v>#VALUE!</v>
      </c>
      <c r="X1017" s="12">
        <f>_xlfn.XLOOKUP($B1017,M_YT_LIVE!$A:$A,M_YT_LIVE!$D:$D)</f>
        <v>0</v>
      </c>
      <c r="Z1017" s="16" t="e">
        <f>HYPERLINK($X1017&amp;SUBSTITUTE(マスタ!$C$3,"XXXXX",$W1017))</f>
        <v>#VALUE!</v>
      </c>
      <c r="AA1017" s="12" t="str">
        <f t="shared" si="48"/>
        <v/>
      </c>
    </row>
    <row r="1018" spans="1:27" x14ac:dyDescent="0.4">
      <c r="A1018" s="14">
        <f t="shared" si="49"/>
        <v>1017</v>
      </c>
      <c r="B1018" s="14"/>
      <c r="C1018" s="18"/>
      <c r="D1018" s="14"/>
      <c r="E1018" s="14"/>
      <c r="G1018" s="1">
        <f>_xlfn.XLOOKUP(B1018,M_YT_LIVE!A:A,M_YT_LIVE!F:F,"ERROR",0,1)</f>
        <v>0</v>
      </c>
      <c r="W1018" s="13" t="e">
        <f t="shared" si="47"/>
        <v>#VALUE!</v>
      </c>
      <c r="X1018" s="12">
        <f>_xlfn.XLOOKUP($B1018,M_YT_LIVE!$A:$A,M_YT_LIVE!$D:$D)</f>
        <v>0</v>
      </c>
      <c r="Z1018" s="16" t="e">
        <f>HYPERLINK($X1018&amp;SUBSTITUTE(マスタ!$C$3,"XXXXX",$W1018))</f>
        <v>#VALUE!</v>
      </c>
      <c r="AA1018" s="12" t="str">
        <f t="shared" si="48"/>
        <v/>
      </c>
    </row>
    <row r="1019" spans="1:27" x14ac:dyDescent="0.4">
      <c r="A1019" s="14">
        <f t="shared" si="49"/>
        <v>1018</v>
      </c>
      <c r="B1019" s="14"/>
      <c r="C1019" s="18"/>
      <c r="D1019" s="14"/>
      <c r="E1019" s="14"/>
      <c r="G1019" s="1">
        <f>_xlfn.XLOOKUP(B1019,M_YT_LIVE!A:A,M_YT_LIVE!F:F,"ERROR",0,1)</f>
        <v>0</v>
      </c>
      <c r="W1019" s="13" t="e">
        <f t="shared" si="47"/>
        <v>#VALUE!</v>
      </c>
      <c r="X1019" s="12">
        <f>_xlfn.XLOOKUP($B1019,M_YT_LIVE!$A:$A,M_YT_LIVE!$D:$D)</f>
        <v>0</v>
      </c>
      <c r="Z1019" s="16" t="e">
        <f>HYPERLINK($X1019&amp;SUBSTITUTE(マスタ!$C$3,"XXXXX",$W1019))</f>
        <v>#VALUE!</v>
      </c>
      <c r="AA1019" s="12" t="str">
        <f t="shared" si="48"/>
        <v/>
      </c>
    </row>
    <row r="1020" spans="1:27" x14ac:dyDescent="0.4">
      <c r="A1020" s="14">
        <f t="shared" si="49"/>
        <v>1019</v>
      </c>
      <c r="B1020" s="14"/>
      <c r="C1020" s="18"/>
      <c r="D1020" s="14"/>
      <c r="E1020" s="14"/>
      <c r="G1020" s="1">
        <f>_xlfn.XLOOKUP(B1020,M_YT_LIVE!A:A,M_YT_LIVE!F:F,"ERROR",0,1)</f>
        <v>0</v>
      </c>
      <c r="W1020" s="13" t="e">
        <f t="shared" si="47"/>
        <v>#VALUE!</v>
      </c>
      <c r="X1020" s="12">
        <f>_xlfn.XLOOKUP($B1020,M_YT_LIVE!$A:$A,M_YT_LIVE!$D:$D)</f>
        <v>0</v>
      </c>
      <c r="Z1020" s="16" t="e">
        <f>HYPERLINK($X1020&amp;SUBSTITUTE(マスタ!$C$3,"XXXXX",$W1020))</f>
        <v>#VALUE!</v>
      </c>
      <c r="AA1020" s="12" t="str">
        <f t="shared" si="48"/>
        <v/>
      </c>
    </row>
    <row r="1021" spans="1:27" x14ac:dyDescent="0.4">
      <c r="A1021" s="14">
        <f t="shared" si="49"/>
        <v>1020</v>
      </c>
      <c r="B1021" s="14"/>
      <c r="C1021" s="18"/>
      <c r="D1021" s="14"/>
      <c r="E1021" s="14"/>
      <c r="G1021" s="1">
        <f>_xlfn.XLOOKUP(B1021,M_YT_LIVE!A:A,M_YT_LIVE!F:F,"ERROR",0,1)</f>
        <v>0</v>
      </c>
      <c r="W1021" s="13" t="e">
        <f t="shared" si="47"/>
        <v>#VALUE!</v>
      </c>
      <c r="X1021" s="12">
        <f>_xlfn.XLOOKUP($B1021,M_YT_LIVE!$A:$A,M_YT_LIVE!$D:$D)</f>
        <v>0</v>
      </c>
      <c r="Z1021" s="16" t="e">
        <f>HYPERLINK($X1021&amp;SUBSTITUTE(マスタ!$C$3,"XXXXX",$W1021))</f>
        <v>#VALUE!</v>
      </c>
      <c r="AA1021" s="12" t="str">
        <f t="shared" si="48"/>
        <v/>
      </c>
    </row>
    <row r="1022" spans="1:27" x14ac:dyDescent="0.4">
      <c r="A1022" s="14">
        <f t="shared" si="49"/>
        <v>1021</v>
      </c>
      <c r="B1022" s="14"/>
      <c r="C1022" s="18"/>
      <c r="D1022" s="14"/>
      <c r="E1022" s="14"/>
      <c r="G1022" s="1">
        <f>_xlfn.XLOOKUP(B1022,M_YT_LIVE!A:A,M_YT_LIVE!F:F,"ERROR",0,1)</f>
        <v>0</v>
      </c>
      <c r="W1022" s="13" t="e">
        <f t="shared" si="47"/>
        <v>#VALUE!</v>
      </c>
      <c r="X1022" s="12">
        <f>_xlfn.XLOOKUP($B1022,M_YT_LIVE!$A:$A,M_YT_LIVE!$D:$D)</f>
        <v>0</v>
      </c>
      <c r="Z1022" s="16" t="e">
        <f>HYPERLINK($X1022&amp;SUBSTITUTE(マスタ!$C$3,"XXXXX",$W1022))</f>
        <v>#VALUE!</v>
      </c>
      <c r="AA1022" s="12" t="str">
        <f t="shared" si="48"/>
        <v/>
      </c>
    </row>
    <row r="1023" spans="1:27" x14ac:dyDescent="0.4">
      <c r="A1023" s="14">
        <f t="shared" si="49"/>
        <v>1022</v>
      </c>
      <c r="B1023" s="14"/>
      <c r="C1023" s="18"/>
      <c r="D1023" s="14"/>
      <c r="E1023" s="14"/>
      <c r="G1023" s="1">
        <f>_xlfn.XLOOKUP(B1023,M_YT_LIVE!A:A,M_YT_LIVE!F:F,"ERROR",0,1)</f>
        <v>0</v>
      </c>
      <c r="W1023" s="13" t="e">
        <f t="shared" si="47"/>
        <v>#VALUE!</v>
      </c>
      <c r="X1023" s="12">
        <f>_xlfn.XLOOKUP($B1023,M_YT_LIVE!$A:$A,M_YT_LIVE!$D:$D)</f>
        <v>0</v>
      </c>
      <c r="Z1023" s="16" t="e">
        <f>HYPERLINK($X1023&amp;SUBSTITUTE(マスタ!$C$3,"XXXXX",$W1023))</f>
        <v>#VALUE!</v>
      </c>
      <c r="AA1023" s="12" t="str">
        <f t="shared" si="48"/>
        <v/>
      </c>
    </row>
    <row r="1024" spans="1:27" x14ac:dyDescent="0.4">
      <c r="A1024" s="14">
        <f t="shared" si="49"/>
        <v>1023</v>
      </c>
      <c r="B1024" s="14"/>
      <c r="C1024" s="18"/>
      <c r="D1024" s="14"/>
      <c r="E1024" s="14"/>
      <c r="G1024" s="1">
        <f>_xlfn.XLOOKUP(B1024,M_YT_LIVE!A:A,M_YT_LIVE!F:F,"ERROR",0,1)</f>
        <v>0</v>
      </c>
      <c r="W1024" s="13" t="e">
        <f t="shared" si="47"/>
        <v>#VALUE!</v>
      </c>
      <c r="X1024" s="12">
        <f>_xlfn.XLOOKUP($B1024,M_YT_LIVE!$A:$A,M_YT_LIVE!$D:$D)</f>
        <v>0</v>
      </c>
      <c r="Z1024" s="16" t="e">
        <f>HYPERLINK($X1024&amp;SUBSTITUTE(マスタ!$C$3,"XXXXX",$W1024))</f>
        <v>#VALUE!</v>
      </c>
      <c r="AA1024" s="12" t="str">
        <f t="shared" si="48"/>
        <v/>
      </c>
    </row>
    <row r="1025" spans="1:27" x14ac:dyDescent="0.4">
      <c r="A1025" s="14">
        <f t="shared" si="49"/>
        <v>1024</v>
      </c>
      <c r="B1025" s="14"/>
      <c r="C1025" s="18"/>
      <c r="D1025" s="14"/>
      <c r="E1025" s="14"/>
      <c r="G1025" s="1">
        <f>_xlfn.XLOOKUP(B1025,M_YT_LIVE!A:A,M_YT_LIVE!F:F,"ERROR",0,1)</f>
        <v>0</v>
      </c>
      <c r="W1025" s="13" t="e">
        <f t="shared" si="47"/>
        <v>#VALUE!</v>
      </c>
      <c r="X1025" s="12">
        <f>_xlfn.XLOOKUP($B1025,M_YT_LIVE!$A:$A,M_YT_LIVE!$D:$D)</f>
        <v>0</v>
      </c>
      <c r="Z1025" s="16" t="e">
        <f>HYPERLINK($X1025&amp;SUBSTITUTE(マスタ!$C$3,"XXXXX",$W1025))</f>
        <v>#VALUE!</v>
      </c>
      <c r="AA1025" s="12" t="str">
        <f t="shared" si="48"/>
        <v/>
      </c>
    </row>
    <row r="1026" spans="1:27" x14ac:dyDescent="0.4">
      <c r="A1026" s="14">
        <f t="shared" si="49"/>
        <v>1025</v>
      </c>
      <c r="B1026" s="14"/>
      <c r="C1026" s="18"/>
      <c r="D1026" s="14"/>
      <c r="E1026" s="14"/>
      <c r="G1026" s="1">
        <f>_xlfn.XLOOKUP(B1026,M_YT_LIVE!A:A,M_YT_LIVE!F:F,"ERROR",0,1)</f>
        <v>0</v>
      </c>
      <c r="W1026" s="13" t="e">
        <f t="shared" si="47"/>
        <v>#VALUE!</v>
      </c>
      <c r="X1026" s="12">
        <f>_xlfn.XLOOKUP($B1026,M_YT_LIVE!$A:$A,M_YT_LIVE!$D:$D)</f>
        <v>0</v>
      </c>
      <c r="Z1026" s="16" t="e">
        <f>HYPERLINK($X1026&amp;SUBSTITUTE(マスタ!$C$3,"XXXXX",$W1026))</f>
        <v>#VALUE!</v>
      </c>
      <c r="AA1026" s="12" t="str">
        <f t="shared" si="48"/>
        <v/>
      </c>
    </row>
    <row r="1027" spans="1:27" x14ac:dyDescent="0.4">
      <c r="A1027" s="14">
        <f t="shared" si="49"/>
        <v>1026</v>
      </c>
      <c r="B1027" s="14"/>
      <c r="C1027" s="18"/>
      <c r="D1027" s="14"/>
      <c r="E1027" s="14"/>
      <c r="G1027" s="1">
        <f>_xlfn.XLOOKUP(B1027,M_YT_LIVE!A:A,M_YT_LIVE!F:F,"ERROR",0,1)</f>
        <v>0</v>
      </c>
      <c r="W1027" s="13" t="e">
        <f t="shared" si="47"/>
        <v>#VALUE!</v>
      </c>
      <c r="X1027" s="12">
        <f>_xlfn.XLOOKUP($B1027,M_YT_LIVE!$A:$A,M_YT_LIVE!$D:$D)</f>
        <v>0</v>
      </c>
      <c r="Z1027" s="16" t="e">
        <f>HYPERLINK($X1027&amp;SUBSTITUTE(マスタ!$C$3,"XXXXX",$W1027))</f>
        <v>#VALUE!</v>
      </c>
      <c r="AA1027" s="12" t="str">
        <f t="shared" si="48"/>
        <v/>
      </c>
    </row>
    <row r="1028" spans="1:27" x14ac:dyDescent="0.4">
      <c r="A1028" s="14">
        <f t="shared" si="49"/>
        <v>1027</v>
      </c>
      <c r="B1028" s="14"/>
      <c r="C1028" s="18"/>
      <c r="D1028" s="14"/>
      <c r="E1028" s="14"/>
      <c r="G1028" s="1">
        <f>_xlfn.XLOOKUP(B1028,M_YT_LIVE!A:A,M_YT_LIVE!F:F,"ERROR",0,1)</f>
        <v>0</v>
      </c>
      <c r="W1028" s="13" t="e">
        <f t="shared" ref="W1028:W1091" si="50">TIMEVALUE($C1028)*86400</f>
        <v>#VALUE!</v>
      </c>
      <c r="X1028" s="12">
        <f>_xlfn.XLOOKUP($B1028,M_YT_LIVE!$A:$A,M_YT_LIVE!$D:$D)</f>
        <v>0</v>
      </c>
      <c r="Z1028" s="16" t="e">
        <f>HYPERLINK($X1028&amp;SUBSTITUTE(マスタ!$C$3,"XXXXX",$W1028))</f>
        <v>#VALUE!</v>
      </c>
      <c r="AA1028" s="12" t="str">
        <f t="shared" si="48"/>
        <v/>
      </c>
    </row>
    <row r="1029" spans="1:27" x14ac:dyDescent="0.4">
      <c r="A1029" s="14">
        <f t="shared" si="49"/>
        <v>1028</v>
      </c>
      <c r="B1029" s="14"/>
      <c r="C1029" s="18"/>
      <c r="D1029" s="14"/>
      <c r="E1029" s="14"/>
      <c r="G1029" s="1">
        <f>_xlfn.XLOOKUP(B1029,M_YT_LIVE!A:A,M_YT_LIVE!F:F,"ERROR",0,1)</f>
        <v>0</v>
      </c>
      <c r="W1029" s="13" t="e">
        <f t="shared" si="50"/>
        <v>#VALUE!</v>
      </c>
      <c r="X1029" s="12">
        <f>_xlfn.XLOOKUP($B1029,M_YT_LIVE!$A:$A,M_YT_LIVE!$D:$D)</f>
        <v>0</v>
      </c>
      <c r="Z1029" s="16" t="e">
        <f>HYPERLINK($X1029&amp;SUBSTITUTE(マスタ!$C$3,"XXXXX",$W1029))</f>
        <v>#VALUE!</v>
      </c>
      <c r="AA1029" s="12" t="str">
        <f t="shared" ref="AA1029:AA1092" si="51">TRIM(E1029)&amp;TRIM(D1029)</f>
        <v/>
      </c>
    </row>
    <row r="1030" spans="1:27" x14ac:dyDescent="0.4">
      <c r="A1030" s="14">
        <f t="shared" ref="A1030:A1093" si="52">ROW()-1</f>
        <v>1029</v>
      </c>
      <c r="B1030" s="14"/>
      <c r="C1030" s="18"/>
      <c r="D1030" s="14"/>
      <c r="E1030" s="14"/>
      <c r="G1030" s="1">
        <f>_xlfn.XLOOKUP(B1030,M_YT_LIVE!A:A,M_YT_LIVE!F:F,"ERROR",0,1)</f>
        <v>0</v>
      </c>
      <c r="W1030" s="13" t="e">
        <f t="shared" si="50"/>
        <v>#VALUE!</v>
      </c>
      <c r="X1030" s="12">
        <f>_xlfn.XLOOKUP($B1030,M_YT_LIVE!$A:$A,M_YT_LIVE!$D:$D)</f>
        <v>0</v>
      </c>
      <c r="Z1030" s="16" t="e">
        <f>HYPERLINK($X1030&amp;SUBSTITUTE(マスタ!$C$3,"XXXXX",$W1030))</f>
        <v>#VALUE!</v>
      </c>
      <c r="AA1030" s="12" t="str">
        <f t="shared" si="51"/>
        <v/>
      </c>
    </row>
    <row r="1031" spans="1:27" x14ac:dyDescent="0.4">
      <c r="A1031" s="14">
        <f t="shared" si="52"/>
        <v>1030</v>
      </c>
      <c r="B1031" s="14"/>
      <c r="C1031" s="18"/>
      <c r="D1031" s="14"/>
      <c r="E1031" s="14"/>
      <c r="G1031" s="1">
        <f>_xlfn.XLOOKUP(B1031,M_YT_LIVE!A:A,M_YT_LIVE!F:F,"ERROR",0,1)</f>
        <v>0</v>
      </c>
      <c r="W1031" s="13" t="e">
        <f t="shared" si="50"/>
        <v>#VALUE!</v>
      </c>
      <c r="X1031" s="12">
        <f>_xlfn.XLOOKUP($B1031,M_YT_LIVE!$A:$A,M_YT_LIVE!$D:$D)</f>
        <v>0</v>
      </c>
      <c r="Z1031" s="16" t="e">
        <f>HYPERLINK($X1031&amp;SUBSTITUTE(マスタ!$C$3,"XXXXX",$W1031))</f>
        <v>#VALUE!</v>
      </c>
      <c r="AA1031" s="12" t="str">
        <f t="shared" si="51"/>
        <v/>
      </c>
    </row>
    <row r="1032" spans="1:27" x14ac:dyDescent="0.4">
      <c r="A1032" s="14">
        <f t="shared" si="52"/>
        <v>1031</v>
      </c>
      <c r="B1032" s="14"/>
      <c r="C1032" s="18"/>
      <c r="D1032" s="14"/>
      <c r="E1032" s="14"/>
      <c r="G1032" s="1">
        <f>_xlfn.XLOOKUP(B1032,M_YT_LIVE!A:A,M_YT_LIVE!F:F,"ERROR",0,1)</f>
        <v>0</v>
      </c>
      <c r="W1032" s="13" t="e">
        <f t="shared" si="50"/>
        <v>#VALUE!</v>
      </c>
      <c r="X1032" s="12">
        <f>_xlfn.XLOOKUP($B1032,M_YT_LIVE!$A:$A,M_YT_LIVE!$D:$D)</f>
        <v>0</v>
      </c>
      <c r="Z1032" s="16" t="e">
        <f>HYPERLINK($X1032&amp;SUBSTITUTE(マスタ!$C$3,"XXXXX",$W1032))</f>
        <v>#VALUE!</v>
      </c>
      <c r="AA1032" s="12" t="str">
        <f t="shared" si="51"/>
        <v/>
      </c>
    </row>
    <row r="1033" spans="1:27" x14ac:dyDescent="0.4">
      <c r="A1033" s="14">
        <f t="shared" si="52"/>
        <v>1032</v>
      </c>
      <c r="B1033" s="14"/>
      <c r="C1033" s="18"/>
      <c r="D1033" s="14"/>
      <c r="E1033" s="14"/>
      <c r="G1033" s="1">
        <f>_xlfn.XLOOKUP(B1033,M_YT_LIVE!A:A,M_YT_LIVE!F:F,"ERROR",0,1)</f>
        <v>0</v>
      </c>
      <c r="W1033" s="13" t="e">
        <f t="shared" si="50"/>
        <v>#VALUE!</v>
      </c>
      <c r="X1033" s="12">
        <f>_xlfn.XLOOKUP($B1033,M_YT_LIVE!$A:$A,M_YT_LIVE!$D:$D)</f>
        <v>0</v>
      </c>
      <c r="Z1033" s="16" t="e">
        <f>HYPERLINK($X1033&amp;SUBSTITUTE(マスタ!$C$3,"XXXXX",$W1033))</f>
        <v>#VALUE!</v>
      </c>
      <c r="AA1033" s="12" t="str">
        <f t="shared" si="51"/>
        <v/>
      </c>
    </row>
    <row r="1034" spans="1:27" x14ac:dyDescent="0.4">
      <c r="A1034" s="14">
        <f t="shared" si="52"/>
        <v>1033</v>
      </c>
      <c r="B1034" s="14"/>
      <c r="C1034" s="18"/>
      <c r="D1034" s="14"/>
      <c r="E1034" s="14"/>
      <c r="G1034" s="1">
        <f>_xlfn.XLOOKUP(B1034,M_YT_LIVE!A:A,M_YT_LIVE!F:F,"ERROR",0,1)</f>
        <v>0</v>
      </c>
      <c r="W1034" s="13" t="e">
        <f t="shared" si="50"/>
        <v>#VALUE!</v>
      </c>
      <c r="X1034" s="12">
        <f>_xlfn.XLOOKUP($B1034,M_YT_LIVE!$A:$A,M_YT_LIVE!$D:$D)</f>
        <v>0</v>
      </c>
      <c r="Z1034" s="16" t="e">
        <f>HYPERLINK($X1034&amp;SUBSTITUTE(マスタ!$C$3,"XXXXX",$W1034))</f>
        <v>#VALUE!</v>
      </c>
      <c r="AA1034" s="12" t="str">
        <f t="shared" si="51"/>
        <v/>
      </c>
    </row>
    <row r="1035" spans="1:27" x14ac:dyDescent="0.4">
      <c r="A1035" s="14">
        <f t="shared" si="52"/>
        <v>1034</v>
      </c>
      <c r="B1035" s="14"/>
      <c r="C1035" s="18"/>
      <c r="D1035" s="14"/>
      <c r="E1035" s="14"/>
      <c r="G1035" s="1">
        <f>_xlfn.XLOOKUP(B1035,M_YT_LIVE!A:A,M_YT_LIVE!F:F,"ERROR",0,1)</f>
        <v>0</v>
      </c>
      <c r="W1035" s="13" t="e">
        <f t="shared" si="50"/>
        <v>#VALUE!</v>
      </c>
      <c r="X1035" s="12">
        <f>_xlfn.XLOOKUP($B1035,M_YT_LIVE!$A:$A,M_YT_LIVE!$D:$D)</f>
        <v>0</v>
      </c>
      <c r="Z1035" s="16" t="e">
        <f>HYPERLINK($X1035&amp;SUBSTITUTE(マスタ!$C$3,"XXXXX",$W1035))</f>
        <v>#VALUE!</v>
      </c>
      <c r="AA1035" s="12" t="str">
        <f t="shared" si="51"/>
        <v/>
      </c>
    </row>
    <row r="1036" spans="1:27" x14ac:dyDescent="0.4">
      <c r="A1036" s="14">
        <f t="shared" si="52"/>
        <v>1035</v>
      </c>
      <c r="B1036" s="14"/>
      <c r="C1036" s="18"/>
      <c r="D1036" s="14"/>
      <c r="E1036" s="14"/>
      <c r="G1036" s="1">
        <f>_xlfn.XLOOKUP(B1036,M_YT_LIVE!A:A,M_YT_LIVE!F:F,"ERROR",0,1)</f>
        <v>0</v>
      </c>
      <c r="W1036" s="13" t="e">
        <f t="shared" si="50"/>
        <v>#VALUE!</v>
      </c>
      <c r="X1036" s="12">
        <f>_xlfn.XLOOKUP($B1036,M_YT_LIVE!$A:$A,M_YT_LIVE!$D:$D)</f>
        <v>0</v>
      </c>
      <c r="Z1036" s="16" t="e">
        <f>HYPERLINK($X1036&amp;SUBSTITUTE(マスタ!$C$3,"XXXXX",$W1036))</f>
        <v>#VALUE!</v>
      </c>
      <c r="AA1036" s="12" t="str">
        <f t="shared" si="51"/>
        <v/>
      </c>
    </row>
    <row r="1037" spans="1:27" x14ac:dyDescent="0.4">
      <c r="A1037" s="14">
        <f t="shared" si="52"/>
        <v>1036</v>
      </c>
      <c r="B1037" s="14"/>
      <c r="C1037" s="18"/>
      <c r="D1037" s="14"/>
      <c r="E1037" s="14"/>
      <c r="G1037" s="1">
        <f>_xlfn.XLOOKUP(B1037,M_YT_LIVE!A:A,M_YT_LIVE!F:F,"ERROR",0,1)</f>
        <v>0</v>
      </c>
      <c r="W1037" s="13" t="e">
        <f t="shared" si="50"/>
        <v>#VALUE!</v>
      </c>
      <c r="X1037" s="12">
        <f>_xlfn.XLOOKUP($B1037,M_YT_LIVE!$A:$A,M_YT_LIVE!$D:$D)</f>
        <v>0</v>
      </c>
      <c r="Z1037" s="16" t="e">
        <f>HYPERLINK($X1037&amp;SUBSTITUTE(マスタ!$C$3,"XXXXX",$W1037))</f>
        <v>#VALUE!</v>
      </c>
      <c r="AA1037" s="12" t="str">
        <f t="shared" si="51"/>
        <v/>
      </c>
    </row>
    <row r="1038" spans="1:27" x14ac:dyDescent="0.4">
      <c r="A1038" s="14">
        <f t="shared" si="52"/>
        <v>1037</v>
      </c>
      <c r="B1038" s="14"/>
      <c r="C1038" s="18"/>
      <c r="D1038" s="14"/>
      <c r="E1038" s="14"/>
      <c r="G1038" s="1">
        <f>_xlfn.XLOOKUP(B1038,M_YT_LIVE!A:A,M_YT_LIVE!F:F,"ERROR",0,1)</f>
        <v>0</v>
      </c>
      <c r="W1038" s="13" t="e">
        <f t="shared" si="50"/>
        <v>#VALUE!</v>
      </c>
      <c r="X1038" s="12">
        <f>_xlfn.XLOOKUP($B1038,M_YT_LIVE!$A:$A,M_YT_LIVE!$D:$D)</f>
        <v>0</v>
      </c>
      <c r="Z1038" s="16" t="e">
        <f>HYPERLINK($X1038&amp;SUBSTITUTE(マスタ!$C$3,"XXXXX",$W1038))</f>
        <v>#VALUE!</v>
      </c>
      <c r="AA1038" s="12" t="str">
        <f t="shared" si="51"/>
        <v/>
      </c>
    </row>
    <row r="1039" spans="1:27" x14ac:dyDescent="0.4">
      <c r="A1039" s="14">
        <f t="shared" si="52"/>
        <v>1038</v>
      </c>
      <c r="B1039" s="14"/>
      <c r="C1039" s="18"/>
      <c r="D1039" s="14"/>
      <c r="E1039" s="14"/>
      <c r="G1039" s="1">
        <f>_xlfn.XLOOKUP(B1039,M_YT_LIVE!A:A,M_YT_LIVE!F:F,"ERROR",0,1)</f>
        <v>0</v>
      </c>
      <c r="W1039" s="13" t="e">
        <f t="shared" si="50"/>
        <v>#VALUE!</v>
      </c>
      <c r="X1039" s="12">
        <f>_xlfn.XLOOKUP($B1039,M_YT_LIVE!$A:$A,M_YT_LIVE!$D:$D)</f>
        <v>0</v>
      </c>
      <c r="Z1039" s="16" t="e">
        <f>HYPERLINK($X1039&amp;SUBSTITUTE(マスタ!$C$3,"XXXXX",$W1039))</f>
        <v>#VALUE!</v>
      </c>
      <c r="AA1039" s="12" t="str">
        <f t="shared" si="51"/>
        <v/>
      </c>
    </row>
    <row r="1040" spans="1:27" x14ac:dyDescent="0.4">
      <c r="A1040" s="14">
        <f t="shared" si="52"/>
        <v>1039</v>
      </c>
      <c r="B1040" s="14"/>
      <c r="C1040" s="18"/>
      <c r="D1040" s="14"/>
      <c r="E1040" s="14"/>
      <c r="G1040" s="1">
        <f>_xlfn.XLOOKUP(B1040,M_YT_LIVE!A:A,M_YT_LIVE!F:F,"ERROR",0,1)</f>
        <v>0</v>
      </c>
      <c r="W1040" s="13" t="e">
        <f t="shared" si="50"/>
        <v>#VALUE!</v>
      </c>
      <c r="X1040" s="12">
        <f>_xlfn.XLOOKUP($B1040,M_YT_LIVE!$A:$A,M_YT_LIVE!$D:$D)</f>
        <v>0</v>
      </c>
      <c r="Z1040" s="16" t="e">
        <f>HYPERLINK($X1040&amp;SUBSTITUTE(マスタ!$C$3,"XXXXX",$W1040))</f>
        <v>#VALUE!</v>
      </c>
      <c r="AA1040" s="12" t="str">
        <f t="shared" si="51"/>
        <v/>
      </c>
    </row>
    <row r="1041" spans="1:27" x14ac:dyDescent="0.4">
      <c r="A1041" s="14">
        <f t="shared" si="52"/>
        <v>1040</v>
      </c>
      <c r="B1041" s="14"/>
      <c r="C1041" s="18"/>
      <c r="D1041" s="14"/>
      <c r="E1041" s="14"/>
      <c r="G1041" s="1">
        <f>_xlfn.XLOOKUP(B1041,M_YT_LIVE!A:A,M_YT_LIVE!F:F,"ERROR",0,1)</f>
        <v>0</v>
      </c>
      <c r="W1041" s="13" t="e">
        <f t="shared" si="50"/>
        <v>#VALUE!</v>
      </c>
      <c r="X1041" s="12">
        <f>_xlfn.XLOOKUP($B1041,M_YT_LIVE!$A:$A,M_YT_LIVE!$D:$D)</f>
        <v>0</v>
      </c>
      <c r="Z1041" s="16" t="e">
        <f>HYPERLINK($X1041&amp;SUBSTITUTE(マスタ!$C$3,"XXXXX",$W1041))</f>
        <v>#VALUE!</v>
      </c>
      <c r="AA1041" s="12" t="str">
        <f t="shared" si="51"/>
        <v/>
      </c>
    </row>
    <row r="1042" spans="1:27" x14ac:dyDescent="0.4">
      <c r="A1042" s="14">
        <f t="shared" si="52"/>
        <v>1041</v>
      </c>
      <c r="B1042" s="14"/>
      <c r="C1042" s="18"/>
      <c r="D1042" s="14"/>
      <c r="E1042" s="14"/>
      <c r="G1042" s="1">
        <f>_xlfn.XLOOKUP(B1042,M_YT_LIVE!A:A,M_YT_LIVE!F:F,"ERROR",0,1)</f>
        <v>0</v>
      </c>
      <c r="W1042" s="13" t="e">
        <f t="shared" si="50"/>
        <v>#VALUE!</v>
      </c>
      <c r="X1042" s="12">
        <f>_xlfn.XLOOKUP($B1042,M_YT_LIVE!$A:$A,M_YT_LIVE!$D:$D)</f>
        <v>0</v>
      </c>
      <c r="Z1042" s="16" t="e">
        <f>HYPERLINK($X1042&amp;SUBSTITUTE(マスタ!$C$3,"XXXXX",$W1042))</f>
        <v>#VALUE!</v>
      </c>
      <c r="AA1042" s="12" t="str">
        <f t="shared" si="51"/>
        <v/>
      </c>
    </row>
    <row r="1043" spans="1:27" x14ac:dyDescent="0.4">
      <c r="A1043" s="14">
        <f t="shared" si="52"/>
        <v>1042</v>
      </c>
      <c r="B1043" s="14"/>
      <c r="C1043" s="18"/>
      <c r="D1043" s="14"/>
      <c r="E1043" s="14"/>
      <c r="G1043" s="1">
        <f>_xlfn.XLOOKUP(B1043,M_YT_LIVE!A:A,M_YT_LIVE!F:F,"ERROR",0,1)</f>
        <v>0</v>
      </c>
      <c r="W1043" s="13" t="e">
        <f t="shared" si="50"/>
        <v>#VALUE!</v>
      </c>
      <c r="X1043" s="12">
        <f>_xlfn.XLOOKUP($B1043,M_YT_LIVE!$A:$A,M_YT_LIVE!$D:$D)</f>
        <v>0</v>
      </c>
      <c r="Z1043" s="16" t="e">
        <f>HYPERLINK($X1043&amp;SUBSTITUTE(マスタ!$C$3,"XXXXX",$W1043))</f>
        <v>#VALUE!</v>
      </c>
      <c r="AA1043" s="12" t="str">
        <f t="shared" si="51"/>
        <v/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2025-12-14T16:17:48Z</dcterms:modified>
</cp:coreProperties>
</file>