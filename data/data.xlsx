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62CF0F81-C95D-45D8-B15E-043418E6717C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M_YT_LIVE_TIMESTAMP!$A$1:$G$400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1" l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479" i="5"/>
  <c r="AA479" i="5"/>
  <c r="AB479" i="5" s="1"/>
  <c r="AC479" i="5"/>
  <c r="C480" i="5"/>
  <c r="AA480" i="5"/>
  <c r="AB480" i="5" s="1"/>
  <c r="AC480" i="5"/>
  <c r="C481" i="5"/>
  <c r="AA481" i="5"/>
  <c r="AB481" i="5" s="1"/>
  <c r="AC481" i="5"/>
  <c r="C482" i="5"/>
  <c r="AA482" i="5"/>
  <c r="AB482" i="5" s="1"/>
  <c r="AC482" i="5"/>
  <c r="C483" i="5"/>
  <c r="AA483" i="5"/>
  <c r="AB483" i="5"/>
  <c r="AC483" i="5"/>
  <c r="C484" i="5"/>
  <c r="AA484" i="5"/>
  <c r="AB484" i="5"/>
  <c r="AC484" i="5"/>
  <c r="C485" i="5"/>
  <c r="AA485" i="5"/>
  <c r="AB485" i="5" s="1"/>
  <c r="AC485" i="5"/>
  <c r="C486" i="5"/>
  <c r="AA486" i="5"/>
  <c r="AB486" i="5" s="1"/>
  <c r="AC486" i="5"/>
  <c r="C487" i="5"/>
  <c r="AA487" i="5"/>
  <c r="AB487" i="5" s="1"/>
  <c r="AC487" i="5"/>
  <c r="C488" i="5"/>
  <c r="AA488" i="5"/>
  <c r="AB488" i="5" s="1"/>
  <c r="AC488" i="5"/>
  <c r="C489" i="5"/>
  <c r="AA489" i="5"/>
  <c r="AB489" i="5" s="1"/>
  <c r="AC489" i="5"/>
  <c r="C490" i="5"/>
  <c r="AA490" i="5"/>
  <c r="AB490" i="5"/>
  <c r="AC490" i="5"/>
  <c r="C491" i="5"/>
  <c r="AA491" i="5"/>
  <c r="AB491" i="5"/>
  <c r="AC491" i="5"/>
  <c r="C492" i="5"/>
  <c r="AA492" i="5"/>
  <c r="AB492" i="5"/>
  <c r="AC492" i="5"/>
  <c r="C493" i="5"/>
  <c r="AA493" i="5"/>
  <c r="AB493" i="5" s="1"/>
  <c r="AC493" i="5"/>
  <c r="C494" i="5"/>
  <c r="AA494" i="5"/>
  <c r="AB494" i="5" s="1"/>
  <c r="AC494" i="5"/>
  <c r="C495" i="5"/>
  <c r="AA495" i="5"/>
  <c r="AB495" i="5" s="1"/>
  <c r="AC495" i="5"/>
  <c r="C496" i="5"/>
  <c r="AA496" i="5"/>
  <c r="AB496" i="5" s="1"/>
  <c r="AC496" i="5"/>
  <c r="C497" i="5"/>
  <c r="AA497" i="5"/>
  <c r="AB497" i="5" s="1"/>
  <c r="AC497" i="5"/>
  <c r="C498" i="5"/>
  <c r="AA498" i="5"/>
  <c r="AB498" i="5"/>
  <c r="AC498" i="5"/>
  <c r="C499" i="5"/>
  <c r="AA499" i="5"/>
  <c r="AB499" i="5"/>
  <c r="AC499" i="5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AD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D824" i="5" s="1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D829" i="5" s="1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D834" i="5" s="1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AD1026" i="5"/>
  <c r="C1027" i="5"/>
  <c r="AA1027" i="5"/>
  <c r="AB1027" i="5"/>
  <c r="AC1027" i="5"/>
  <c r="C1028" i="5"/>
  <c r="AA1028" i="5"/>
  <c r="AB1028" i="5" s="1"/>
  <c r="AC1028" i="5"/>
  <c r="AD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D1034" i="5" s="1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D1041" i="5" s="1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D1051" i="5" s="1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D1110" i="5" s="1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D1123" i="5" s="1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D1199" i="5" s="1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D1204" i="5" s="1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D1253" i="5" s="1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D1260" i="5" s="1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Z711" i="3" s="1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Z716" i="3" s="1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Z719" i="3" s="1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Z722" i="3" s="1"/>
  <c r="AA722" i="3"/>
  <c r="A723" i="3"/>
  <c r="G723" i="3"/>
  <c r="W723" i="3"/>
  <c r="X723" i="3"/>
  <c r="AA723" i="3"/>
  <c r="A724" i="3"/>
  <c r="G724" i="3"/>
  <c r="W724" i="3"/>
  <c r="X724" i="3"/>
  <c r="Z724" i="3" s="1"/>
  <c r="AA724" i="3"/>
  <c r="A725" i="3"/>
  <c r="G725" i="3"/>
  <c r="W725" i="3"/>
  <c r="X725" i="3"/>
  <c r="AA725" i="3"/>
  <c r="A726" i="3"/>
  <c r="G726" i="3"/>
  <c r="W726" i="3"/>
  <c r="X726" i="3"/>
  <c r="Z726" i="3" s="1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Z730" i="3" s="1"/>
  <c r="AA730" i="3"/>
  <c r="A731" i="3"/>
  <c r="G731" i="3"/>
  <c r="W731" i="3"/>
  <c r="X731" i="3"/>
  <c r="Z731" i="3" s="1"/>
  <c r="AA731" i="3"/>
  <c r="A732" i="3"/>
  <c r="G732" i="3"/>
  <c r="W732" i="3"/>
  <c r="X732" i="3"/>
  <c r="Z732" i="3" s="1"/>
  <c r="AA732" i="3"/>
  <c r="A733" i="3"/>
  <c r="G733" i="3"/>
  <c r="W733" i="3"/>
  <c r="X733" i="3"/>
  <c r="AA733" i="3"/>
  <c r="A734" i="3"/>
  <c r="G734" i="3"/>
  <c r="W734" i="3"/>
  <c r="X734" i="3"/>
  <c r="Z734" i="3" s="1"/>
  <c r="AA734" i="3"/>
  <c r="A735" i="3"/>
  <c r="G735" i="3"/>
  <c r="W735" i="3"/>
  <c r="X735" i="3"/>
  <c r="Z735" i="3" s="1"/>
  <c r="AA735" i="3"/>
  <c r="A736" i="3"/>
  <c r="G736" i="3"/>
  <c r="W736" i="3"/>
  <c r="X736" i="3"/>
  <c r="Z736" i="3" s="1"/>
  <c r="AA736" i="3"/>
  <c r="A737" i="3"/>
  <c r="G737" i="3"/>
  <c r="W737" i="3"/>
  <c r="X737" i="3"/>
  <c r="Z737" i="3" s="1"/>
  <c r="AA737" i="3"/>
  <c r="A738" i="3"/>
  <c r="G738" i="3"/>
  <c r="W738" i="3"/>
  <c r="X738" i="3"/>
  <c r="AA738" i="3"/>
  <c r="A739" i="3"/>
  <c r="G739" i="3"/>
  <c r="W739" i="3"/>
  <c r="X739" i="3"/>
  <c r="Z739" i="3" s="1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Z743" i="3" s="1"/>
  <c r="AA743" i="3"/>
  <c r="A744" i="3"/>
  <c r="G744" i="3"/>
  <c r="W744" i="3"/>
  <c r="X744" i="3"/>
  <c r="Z744" i="3" s="1"/>
  <c r="AA744" i="3"/>
  <c r="A745" i="3"/>
  <c r="G745" i="3"/>
  <c r="W745" i="3"/>
  <c r="X745" i="3"/>
  <c r="Z745" i="3" s="1"/>
  <c r="AA745" i="3"/>
  <c r="A746" i="3"/>
  <c r="G746" i="3"/>
  <c r="W746" i="3"/>
  <c r="X746" i="3"/>
  <c r="AA746" i="3"/>
  <c r="A747" i="3"/>
  <c r="G747" i="3"/>
  <c r="W747" i="3"/>
  <c r="X747" i="3"/>
  <c r="Z747" i="3" s="1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Z751" i="3" s="1"/>
  <c r="AA751" i="3"/>
  <c r="A752" i="3"/>
  <c r="G752" i="3"/>
  <c r="W752" i="3"/>
  <c r="X752" i="3"/>
  <c r="Z752" i="3" s="1"/>
  <c r="AA752" i="3"/>
  <c r="A753" i="3"/>
  <c r="G753" i="3"/>
  <c r="W753" i="3"/>
  <c r="X753" i="3"/>
  <c r="Z753" i="3" s="1"/>
  <c r="AA753" i="3"/>
  <c r="A754" i="3"/>
  <c r="G754" i="3"/>
  <c r="W754" i="3"/>
  <c r="X754" i="3"/>
  <c r="Z754" i="3" s="1"/>
  <c r="AA754" i="3"/>
  <c r="A755" i="3"/>
  <c r="G755" i="3"/>
  <c r="W755" i="3"/>
  <c r="X755" i="3"/>
  <c r="Z755" i="3" s="1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Z759" i="3" s="1"/>
  <c r="AA759" i="3"/>
  <c r="A760" i="3"/>
  <c r="G760" i="3"/>
  <c r="W760" i="3"/>
  <c r="X760" i="3"/>
  <c r="Z760" i="3" s="1"/>
  <c r="AA760" i="3"/>
  <c r="A761" i="3"/>
  <c r="G761" i="3"/>
  <c r="W761" i="3"/>
  <c r="X761" i="3"/>
  <c r="Z761" i="3" s="1"/>
  <c r="AA761" i="3"/>
  <c r="A762" i="3"/>
  <c r="G762" i="3"/>
  <c r="W762" i="3"/>
  <c r="X762" i="3"/>
  <c r="Z762" i="3" s="1"/>
  <c r="AA762" i="3"/>
  <c r="A763" i="3"/>
  <c r="G763" i="3"/>
  <c r="W763" i="3"/>
  <c r="X763" i="3"/>
  <c r="Z763" i="3" s="1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Z767" i="3" s="1"/>
  <c r="AA767" i="3"/>
  <c r="A768" i="3"/>
  <c r="G768" i="3"/>
  <c r="W768" i="3"/>
  <c r="X768" i="3"/>
  <c r="Z768" i="3" s="1"/>
  <c r="AA768" i="3"/>
  <c r="A769" i="3"/>
  <c r="G769" i="3"/>
  <c r="W769" i="3"/>
  <c r="X769" i="3"/>
  <c r="Z769" i="3" s="1"/>
  <c r="AA769" i="3"/>
  <c r="A770" i="3"/>
  <c r="G770" i="3"/>
  <c r="W770" i="3"/>
  <c r="X770" i="3"/>
  <c r="AA770" i="3"/>
  <c r="A771" i="3"/>
  <c r="G771" i="3"/>
  <c r="W771" i="3"/>
  <c r="X771" i="3"/>
  <c r="Z771" i="3" s="1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Z775" i="3" s="1"/>
  <c r="AA775" i="3"/>
  <c r="A776" i="3"/>
  <c r="G776" i="3"/>
  <c r="W776" i="3"/>
  <c r="X776" i="3"/>
  <c r="Z776" i="3" s="1"/>
  <c r="AA776" i="3"/>
  <c r="A777" i="3"/>
  <c r="G777" i="3"/>
  <c r="W777" i="3"/>
  <c r="X777" i="3"/>
  <c r="Z777" i="3" s="1"/>
  <c r="AA777" i="3"/>
  <c r="A778" i="3"/>
  <c r="G778" i="3"/>
  <c r="W778" i="3"/>
  <c r="X778" i="3"/>
  <c r="AA778" i="3"/>
  <c r="A779" i="3"/>
  <c r="G779" i="3"/>
  <c r="W779" i="3"/>
  <c r="X779" i="3"/>
  <c r="Z779" i="3" s="1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Z783" i="3" s="1"/>
  <c r="AA783" i="3"/>
  <c r="A784" i="3"/>
  <c r="G784" i="3"/>
  <c r="W784" i="3"/>
  <c r="X784" i="3"/>
  <c r="Z784" i="3" s="1"/>
  <c r="AA784" i="3"/>
  <c r="A785" i="3"/>
  <c r="G785" i="3"/>
  <c r="W785" i="3"/>
  <c r="X785" i="3"/>
  <c r="Z785" i="3" s="1"/>
  <c r="AA785" i="3"/>
  <c r="A786" i="3"/>
  <c r="G786" i="3"/>
  <c r="W786" i="3"/>
  <c r="X786" i="3"/>
  <c r="AA786" i="3"/>
  <c r="A787" i="3"/>
  <c r="G787" i="3"/>
  <c r="W787" i="3"/>
  <c r="X787" i="3"/>
  <c r="Z787" i="3" s="1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Z791" i="3" s="1"/>
  <c r="AA791" i="3"/>
  <c r="A792" i="3"/>
  <c r="G792" i="3"/>
  <c r="W792" i="3"/>
  <c r="X792" i="3"/>
  <c r="Z792" i="3" s="1"/>
  <c r="AA792" i="3"/>
  <c r="A793" i="3"/>
  <c r="G793" i="3"/>
  <c r="W793" i="3"/>
  <c r="X793" i="3"/>
  <c r="Z793" i="3" s="1"/>
  <c r="AA793" i="3"/>
  <c r="A794" i="3"/>
  <c r="G794" i="3"/>
  <c r="W794" i="3"/>
  <c r="X794" i="3"/>
  <c r="Z794" i="3" s="1"/>
  <c r="AA794" i="3"/>
  <c r="A795" i="3"/>
  <c r="G795" i="3"/>
  <c r="W795" i="3"/>
  <c r="X795" i="3"/>
  <c r="Z795" i="3" s="1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Z799" i="3" s="1"/>
  <c r="AA799" i="3"/>
  <c r="A800" i="3"/>
  <c r="G800" i="3"/>
  <c r="W800" i="3"/>
  <c r="X800" i="3"/>
  <c r="Z800" i="3" s="1"/>
  <c r="AA800" i="3"/>
  <c r="A801" i="3"/>
  <c r="G801" i="3"/>
  <c r="W801" i="3"/>
  <c r="X801" i="3"/>
  <c r="Z801" i="3" s="1"/>
  <c r="AA801" i="3"/>
  <c r="A802" i="3"/>
  <c r="G802" i="3"/>
  <c r="W802" i="3"/>
  <c r="X802" i="3"/>
  <c r="Z802" i="3" s="1"/>
  <c r="AA802" i="3"/>
  <c r="A803" i="3"/>
  <c r="G803" i="3"/>
  <c r="W803" i="3"/>
  <c r="X803" i="3"/>
  <c r="Z803" i="3" s="1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Z807" i="3" s="1"/>
  <c r="AA807" i="3"/>
  <c r="A808" i="3"/>
  <c r="G808" i="3"/>
  <c r="W808" i="3"/>
  <c r="X808" i="3"/>
  <c r="Z808" i="3" s="1"/>
  <c r="AA808" i="3"/>
  <c r="A809" i="3"/>
  <c r="G809" i="3"/>
  <c r="W809" i="3"/>
  <c r="X809" i="3"/>
  <c r="Z809" i="3" s="1"/>
  <c r="AA809" i="3"/>
  <c r="A810" i="3"/>
  <c r="G810" i="3"/>
  <c r="W810" i="3"/>
  <c r="X810" i="3"/>
  <c r="Z810" i="3" s="1"/>
  <c r="AA810" i="3"/>
  <c r="A811" i="3"/>
  <c r="G811" i="3"/>
  <c r="W811" i="3"/>
  <c r="X811" i="3"/>
  <c r="Z811" i="3" s="1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Z815" i="3" s="1"/>
  <c r="AA815" i="3"/>
  <c r="A816" i="3"/>
  <c r="G816" i="3"/>
  <c r="W816" i="3"/>
  <c r="X816" i="3"/>
  <c r="Z816" i="3" s="1"/>
  <c r="AA816" i="3"/>
  <c r="A817" i="3"/>
  <c r="G817" i="3"/>
  <c r="W817" i="3"/>
  <c r="X817" i="3"/>
  <c r="Z817" i="3" s="1"/>
  <c r="AA817" i="3"/>
  <c r="A818" i="3"/>
  <c r="G818" i="3"/>
  <c r="W818" i="3"/>
  <c r="X818" i="3"/>
  <c r="Z818" i="3" s="1"/>
  <c r="AA818" i="3"/>
  <c r="A819" i="3"/>
  <c r="G819" i="3"/>
  <c r="W819" i="3"/>
  <c r="X819" i="3"/>
  <c r="Z819" i="3" s="1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Z823" i="3" s="1"/>
  <c r="AA823" i="3"/>
  <c r="A824" i="3"/>
  <c r="G824" i="3"/>
  <c r="W824" i="3"/>
  <c r="X824" i="3"/>
  <c r="Z824" i="3" s="1"/>
  <c r="AA824" i="3"/>
  <c r="A825" i="3"/>
  <c r="G825" i="3"/>
  <c r="W825" i="3"/>
  <c r="X825" i="3"/>
  <c r="Z825" i="3" s="1"/>
  <c r="AA825" i="3"/>
  <c r="A826" i="3"/>
  <c r="G826" i="3"/>
  <c r="W826" i="3"/>
  <c r="X826" i="3"/>
  <c r="Z826" i="3" s="1"/>
  <c r="AA826" i="3"/>
  <c r="A827" i="3"/>
  <c r="G827" i="3"/>
  <c r="W827" i="3"/>
  <c r="X827" i="3"/>
  <c r="Z827" i="3" s="1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Z831" i="3" s="1"/>
  <c r="AA831" i="3"/>
  <c r="A832" i="3"/>
  <c r="G832" i="3"/>
  <c r="W832" i="3"/>
  <c r="X832" i="3"/>
  <c r="Z832" i="3" s="1"/>
  <c r="AA832" i="3"/>
  <c r="A833" i="3"/>
  <c r="G833" i="3"/>
  <c r="W833" i="3"/>
  <c r="X833" i="3"/>
  <c r="Z833" i="3" s="1"/>
  <c r="AA833" i="3"/>
  <c r="A834" i="3"/>
  <c r="G834" i="3"/>
  <c r="W834" i="3"/>
  <c r="X834" i="3"/>
  <c r="Z834" i="3" s="1"/>
  <c r="AA834" i="3"/>
  <c r="A835" i="3"/>
  <c r="G835" i="3"/>
  <c r="W835" i="3"/>
  <c r="X835" i="3"/>
  <c r="Z835" i="3" s="1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Z839" i="3" s="1"/>
  <c r="AA839" i="3"/>
  <c r="A840" i="3"/>
  <c r="G840" i="3"/>
  <c r="W840" i="3"/>
  <c r="X840" i="3"/>
  <c r="Z840" i="3" s="1"/>
  <c r="AA840" i="3"/>
  <c r="A841" i="3"/>
  <c r="G841" i="3"/>
  <c r="W841" i="3"/>
  <c r="X841" i="3"/>
  <c r="Z841" i="3" s="1"/>
  <c r="AA841" i="3"/>
  <c r="A842" i="3"/>
  <c r="G842" i="3"/>
  <c r="W842" i="3"/>
  <c r="X842" i="3"/>
  <c r="Z842" i="3" s="1"/>
  <c r="AA842" i="3"/>
  <c r="A843" i="3"/>
  <c r="G843" i="3"/>
  <c r="W843" i="3"/>
  <c r="X843" i="3"/>
  <c r="Z843" i="3" s="1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Z847" i="3" s="1"/>
  <c r="AA847" i="3"/>
  <c r="A848" i="3"/>
  <c r="G848" i="3"/>
  <c r="W848" i="3"/>
  <c r="X848" i="3"/>
  <c r="Z848" i="3" s="1"/>
  <c r="AA848" i="3"/>
  <c r="A849" i="3"/>
  <c r="G849" i="3"/>
  <c r="W849" i="3"/>
  <c r="X849" i="3"/>
  <c r="Z849" i="3" s="1"/>
  <c r="AA849" i="3"/>
  <c r="A850" i="3"/>
  <c r="G850" i="3"/>
  <c r="W850" i="3"/>
  <c r="X850" i="3"/>
  <c r="Z850" i="3" s="1"/>
  <c r="AA850" i="3"/>
  <c r="A851" i="3"/>
  <c r="G851" i="3"/>
  <c r="W851" i="3"/>
  <c r="X851" i="3"/>
  <c r="Z851" i="3" s="1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Z854" i="3" s="1"/>
  <c r="AA854" i="3"/>
  <c r="A855" i="3"/>
  <c r="G855" i="3"/>
  <c r="W855" i="3"/>
  <c r="X855" i="3"/>
  <c r="Z855" i="3" s="1"/>
  <c r="AA855" i="3"/>
  <c r="A856" i="3"/>
  <c r="G856" i="3"/>
  <c r="W856" i="3"/>
  <c r="X856" i="3"/>
  <c r="Z856" i="3" s="1"/>
  <c r="AA856" i="3"/>
  <c r="A857" i="3"/>
  <c r="G857" i="3"/>
  <c r="W857" i="3"/>
  <c r="X857" i="3"/>
  <c r="Z857" i="3" s="1"/>
  <c r="AA857" i="3"/>
  <c r="A858" i="3"/>
  <c r="G858" i="3"/>
  <c r="W858" i="3"/>
  <c r="X858" i="3"/>
  <c r="Z858" i="3" s="1"/>
  <c r="AA858" i="3"/>
  <c r="A859" i="3"/>
  <c r="G859" i="3"/>
  <c r="W859" i="3"/>
  <c r="X859" i="3"/>
  <c r="Z859" i="3" s="1"/>
  <c r="AA859" i="3"/>
  <c r="A860" i="3"/>
  <c r="G860" i="3"/>
  <c r="W860" i="3"/>
  <c r="X860" i="3"/>
  <c r="Z860" i="3" s="1"/>
  <c r="AA860" i="3"/>
  <c r="A861" i="3"/>
  <c r="G861" i="3"/>
  <c r="W861" i="3"/>
  <c r="X861" i="3"/>
  <c r="Z861" i="3" s="1"/>
  <c r="AA861" i="3"/>
  <c r="A862" i="3"/>
  <c r="G862" i="3"/>
  <c r="W862" i="3"/>
  <c r="X862" i="3"/>
  <c r="Z862" i="3" s="1"/>
  <c r="AA862" i="3"/>
  <c r="A863" i="3"/>
  <c r="G863" i="3"/>
  <c r="W863" i="3"/>
  <c r="X863" i="3"/>
  <c r="Z863" i="3" s="1"/>
  <c r="AA863" i="3"/>
  <c r="A864" i="3"/>
  <c r="G864" i="3"/>
  <c r="W864" i="3"/>
  <c r="X864" i="3"/>
  <c r="Z864" i="3" s="1"/>
  <c r="AA864" i="3"/>
  <c r="A865" i="3"/>
  <c r="G865" i="3"/>
  <c r="W865" i="3"/>
  <c r="X865" i="3"/>
  <c r="Z865" i="3" s="1"/>
  <c r="AA865" i="3"/>
  <c r="A866" i="3"/>
  <c r="G866" i="3"/>
  <c r="W866" i="3"/>
  <c r="X866" i="3"/>
  <c r="Z866" i="3" s="1"/>
  <c r="AA866" i="3"/>
  <c r="A867" i="3"/>
  <c r="G867" i="3"/>
  <c r="W867" i="3"/>
  <c r="X867" i="3"/>
  <c r="Z867" i="3" s="1"/>
  <c r="AA867" i="3"/>
  <c r="A868" i="3"/>
  <c r="G868" i="3"/>
  <c r="W868" i="3"/>
  <c r="X868" i="3"/>
  <c r="Z868" i="3" s="1"/>
  <c r="AA868" i="3"/>
  <c r="A869" i="3"/>
  <c r="G869" i="3"/>
  <c r="W869" i="3"/>
  <c r="X869" i="3"/>
  <c r="Z869" i="3" s="1"/>
  <c r="AA869" i="3"/>
  <c r="A870" i="3"/>
  <c r="G870" i="3"/>
  <c r="W870" i="3"/>
  <c r="X870" i="3"/>
  <c r="Z870" i="3" s="1"/>
  <c r="AA870" i="3"/>
  <c r="A871" i="3"/>
  <c r="G871" i="3"/>
  <c r="W871" i="3"/>
  <c r="X871" i="3"/>
  <c r="Z871" i="3" s="1"/>
  <c r="AA871" i="3"/>
  <c r="A872" i="3"/>
  <c r="G872" i="3"/>
  <c r="W872" i="3"/>
  <c r="X872" i="3"/>
  <c r="Z872" i="3" s="1"/>
  <c r="AA872" i="3"/>
  <c r="A873" i="3"/>
  <c r="G873" i="3"/>
  <c r="W873" i="3"/>
  <c r="X873" i="3"/>
  <c r="Z873" i="3" s="1"/>
  <c r="AA873" i="3"/>
  <c r="A874" i="3"/>
  <c r="G874" i="3"/>
  <c r="W874" i="3"/>
  <c r="X874" i="3"/>
  <c r="Z874" i="3" s="1"/>
  <c r="AA874" i="3"/>
  <c r="A875" i="3"/>
  <c r="G875" i="3"/>
  <c r="W875" i="3"/>
  <c r="X875" i="3"/>
  <c r="Z875" i="3" s="1"/>
  <c r="AA875" i="3"/>
  <c r="A876" i="3"/>
  <c r="G876" i="3"/>
  <c r="W876" i="3"/>
  <c r="X876" i="3"/>
  <c r="Z876" i="3" s="1"/>
  <c r="AA876" i="3"/>
  <c r="A877" i="3"/>
  <c r="G877" i="3"/>
  <c r="W877" i="3"/>
  <c r="X877" i="3"/>
  <c r="Z877" i="3" s="1"/>
  <c r="AA877" i="3"/>
  <c r="A878" i="3"/>
  <c r="G878" i="3"/>
  <c r="W878" i="3"/>
  <c r="X878" i="3"/>
  <c r="Z878" i="3" s="1"/>
  <c r="AA878" i="3"/>
  <c r="A879" i="3"/>
  <c r="G879" i="3"/>
  <c r="W879" i="3"/>
  <c r="X879" i="3"/>
  <c r="Z879" i="3" s="1"/>
  <c r="AA879" i="3"/>
  <c r="A880" i="3"/>
  <c r="G880" i="3"/>
  <c r="W880" i="3"/>
  <c r="X880" i="3"/>
  <c r="Z880" i="3" s="1"/>
  <c r="AA880" i="3"/>
  <c r="A881" i="3"/>
  <c r="G881" i="3"/>
  <c r="W881" i="3"/>
  <c r="X881" i="3"/>
  <c r="Z881" i="3" s="1"/>
  <c r="AA881" i="3"/>
  <c r="A882" i="3"/>
  <c r="G882" i="3"/>
  <c r="W882" i="3"/>
  <c r="X882" i="3"/>
  <c r="Z882" i="3" s="1"/>
  <c r="AA882" i="3"/>
  <c r="A883" i="3"/>
  <c r="G883" i="3"/>
  <c r="W883" i="3"/>
  <c r="X883" i="3"/>
  <c r="Z883" i="3" s="1"/>
  <c r="AA883" i="3"/>
  <c r="A884" i="3"/>
  <c r="G884" i="3"/>
  <c r="W884" i="3"/>
  <c r="X884" i="3"/>
  <c r="Z884" i="3" s="1"/>
  <c r="AA884" i="3"/>
  <c r="A885" i="3"/>
  <c r="G885" i="3"/>
  <c r="W885" i="3"/>
  <c r="X885" i="3"/>
  <c r="Z885" i="3" s="1"/>
  <c r="AA885" i="3"/>
  <c r="A886" i="3"/>
  <c r="G886" i="3"/>
  <c r="W886" i="3"/>
  <c r="X886" i="3"/>
  <c r="Z886" i="3" s="1"/>
  <c r="AA886" i="3"/>
  <c r="A887" i="3"/>
  <c r="G887" i="3"/>
  <c r="W887" i="3"/>
  <c r="X887" i="3"/>
  <c r="Z887" i="3" s="1"/>
  <c r="AA887" i="3"/>
  <c r="A888" i="3"/>
  <c r="G888" i="3"/>
  <c r="W888" i="3"/>
  <c r="X888" i="3"/>
  <c r="Z888" i="3" s="1"/>
  <c r="AA888" i="3"/>
  <c r="A889" i="3"/>
  <c r="G889" i="3"/>
  <c r="W889" i="3"/>
  <c r="X889" i="3"/>
  <c r="Z889" i="3" s="1"/>
  <c r="AA889" i="3"/>
  <c r="A890" i="3"/>
  <c r="G890" i="3"/>
  <c r="W890" i="3"/>
  <c r="X890" i="3"/>
  <c r="Z890" i="3" s="1"/>
  <c r="AA890" i="3"/>
  <c r="A891" i="3"/>
  <c r="G891" i="3"/>
  <c r="W891" i="3"/>
  <c r="X891" i="3"/>
  <c r="Z891" i="3" s="1"/>
  <c r="AA891" i="3"/>
  <c r="A892" i="3"/>
  <c r="G892" i="3"/>
  <c r="W892" i="3"/>
  <c r="X892" i="3"/>
  <c r="Z892" i="3" s="1"/>
  <c r="AA892" i="3"/>
  <c r="A893" i="3"/>
  <c r="G893" i="3"/>
  <c r="W893" i="3"/>
  <c r="X893" i="3"/>
  <c r="Z893" i="3" s="1"/>
  <c r="AA893" i="3"/>
  <c r="A894" i="3"/>
  <c r="G894" i="3"/>
  <c r="W894" i="3"/>
  <c r="X894" i="3"/>
  <c r="Z894" i="3" s="1"/>
  <c r="AA894" i="3"/>
  <c r="A895" i="3"/>
  <c r="G895" i="3"/>
  <c r="W895" i="3"/>
  <c r="X895" i="3"/>
  <c r="Z895" i="3" s="1"/>
  <c r="AA895" i="3"/>
  <c r="A896" i="3"/>
  <c r="G896" i="3"/>
  <c r="W896" i="3"/>
  <c r="X896" i="3"/>
  <c r="Z896" i="3" s="1"/>
  <c r="AA896" i="3"/>
  <c r="A897" i="3"/>
  <c r="G897" i="3"/>
  <c r="W897" i="3"/>
  <c r="X897" i="3"/>
  <c r="Z897" i="3" s="1"/>
  <c r="AA897" i="3"/>
  <c r="A898" i="3"/>
  <c r="G898" i="3"/>
  <c r="W898" i="3"/>
  <c r="X898" i="3"/>
  <c r="Z898" i="3" s="1"/>
  <c r="AA898" i="3"/>
  <c r="A899" i="3"/>
  <c r="G899" i="3"/>
  <c r="W899" i="3"/>
  <c r="X899" i="3"/>
  <c r="Z899" i="3" s="1"/>
  <c r="AA899" i="3"/>
  <c r="A900" i="3"/>
  <c r="G900" i="3"/>
  <c r="W900" i="3"/>
  <c r="X900" i="3"/>
  <c r="Z900" i="3" s="1"/>
  <c r="AD788" i="5" s="1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Z597" i="3" s="1"/>
  <c r="AA597" i="3"/>
  <c r="A598" i="3"/>
  <c r="G598" i="3"/>
  <c r="W598" i="3"/>
  <c r="X598" i="3"/>
  <c r="Z598" i="3" s="1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Z601" i="3" s="1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Z604" i="3" s="1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Z608" i="3" s="1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Z611" i="3" s="1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Z614" i="3" s="1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Z617" i="3" s="1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Z622" i="3" s="1"/>
  <c r="AA622" i="3"/>
  <c r="A623" i="3"/>
  <c r="G623" i="3"/>
  <c r="W623" i="3"/>
  <c r="X623" i="3"/>
  <c r="AA623" i="3"/>
  <c r="A624" i="3"/>
  <c r="G624" i="3"/>
  <c r="W624" i="3"/>
  <c r="X624" i="3"/>
  <c r="Z624" i="3" s="1"/>
  <c r="AA624" i="3"/>
  <c r="A625" i="3"/>
  <c r="G625" i="3"/>
  <c r="W625" i="3"/>
  <c r="X625" i="3"/>
  <c r="Z625" i="3" s="1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Z630" i="3" s="1"/>
  <c r="AA630" i="3"/>
  <c r="A631" i="3"/>
  <c r="G631" i="3"/>
  <c r="W631" i="3"/>
  <c r="X631" i="3"/>
  <c r="Z631" i="3" s="1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Z638" i="3" s="1"/>
  <c r="AA638" i="3"/>
  <c r="A639" i="3"/>
  <c r="G639" i="3"/>
  <c r="W639" i="3"/>
  <c r="X639" i="3"/>
  <c r="AA639" i="3"/>
  <c r="A640" i="3"/>
  <c r="G640" i="3"/>
  <c r="W640" i="3"/>
  <c r="X640" i="3"/>
  <c r="Z640" i="3" s="1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Z645" i="3" s="1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Z649" i="3" s="1"/>
  <c r="AA649" i="3"/>
  <c r="A650" i="3"/>
  <c r="G650" i="3"/>
  <c r="W650" i="3"/>
  <c r="X650" i="3"/>
  <c r="AA650" i="3"/>
  <c r="A651" i="3"/>
  <c r="G651" i="3"/>
  <c r="W651" i="3"/>
  <c r="X651" i="3"/>
  <c r="Z651" i="3" s="1"/>
  <c r="AA651" i="3"/>
  <c r="A652" i="3"/>
  <c r="G652" i="3"/>
  <c r="W652" i="3"/>
  <c r="X652" i="3"/>
  <c r="AA652" i="3"/>
  <c r="A653" i="3"/>
  <c r="G653" i="3"/>
  <c r="W653" i="3"/>
  <c r="X653" i="3"/>
  <c r="Z653" i="3" s="1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Z656" i="3" s="1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Z660" i="3" s="1"/>
  <c r="AA660" i="3"/>
  <c r="A661" i="3"/>
  <c r="G661" i="3"/>
  <c r="W661" i="3"/>
  <c r="X661" i="3"/>
  <c r="AA661" i="3"/>
  <c r="A662" i="3"/>
  <c r="G662" i="3"/>
  <c r="W662" i="3"/>
  <c r="X662" i="3"/>
  <c r="Z662" i="3" s="1"/>
  <c r="AA662" i="3"/>
  <c r="A663" i="3"/>
  <c r="G663" i="3"/>
  <c r="W663" i="3"/>
  <c r="X663" i="3"/>
  <c r="Z663" i="3" s="1"/>
  <c r="AA663" i="3"/>
  <c r="A664" i="3"/>
  <c r="G664" i="3"/>
  <c r="W664" i="3"/>
  <c r="X664" i="3"/>
  <c r="Z664" i="3" s="1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Z668" i="3" s="1"/>
  <c r="AA668" i="3"/>
  <c r="A669" i="3"/>
  <c r="G669" i="3"/>
  <c r="W669" i="3"/>
  <c r="X669" i="3"/>
  <c r="AA669" i="3"/>
  <c r="A670" i="3"/>
  <c r="G670" i="3"/>
  <c r="W670" i="3"/>
  <c r="X670" i="3"/>
  <c r="Z670" i="3" s="1"/>
  <c r="AA670" i="3"/>
  <c r="A671" i="3"/>
  <c r="G671" i="3"/>
  <c r="W671" i="3"/>
  <c r="X671" i="3"/>
  <c r="Z671" i="3" s="1"/>
  <c r="AA671" i="3"/>
  <c r="A672" i="3"/>
  <c r="G672" i="3"/>
  <c r="W672" i="3"/>
  <c r="X672" i="3"/>
  <c r="Z672" i="3" s="1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Z676" i="3" s="1"/>
  <c r="AA676" i="3"/>
  <c r="A677" i="3"/>
  <c r="G677" i="3"/>
  <c r="W677" i="3"/>
  <c r="X677" i="3"/>
  <c r="AA677" i="3"/>
  <c r="A678" i="3"/>
  <c r="G678" i="3"/>
  <c r="W678" i="3"/>
  <c r="X678" i="3"/>
  <c r="Z678" i="3" s="1"/>
  <c r="AA678" i="3"/>
  <c r="A679" i="3"/>
  <c r="G679" i="3"/>
  <c r="W679" i="3"/>
  <c r="X679" i="3"/>
  <c r="Z679" i="3" s="1"/>
  <c r="AA679" i="3"/>
  <c r="A680" i="3"/>
  <c r="G680" i="3"/>
  <c r="W680" i="3"/>
  <c r="X680" i="3"/>
  <c r="Z680" i="3" s="1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Z684" i="3" s="1"/>
  <c r="AA684" i="3"/>
  <c r="A685" i="3"/>
  <c r="G685" i="3"/>
  <c r="W685" i="3"/>
  <c r="X685" i="3"/>
  <c r="AA685" i="3"/>
  <c r="A686" i="3"/>
  <c r="G686" i="3"/>
  <c r="W686" i="3"/>
  <c r="X686" i="3"/>
  <c r="Z686" i="3" s="1"/>
  <c r="AA686" i="3"/>
  <c r="A687" i="3"/>
  <c r="G687" i="3"/>
  <c r="W687" i="3"/>
  <c r="X687" i="3"/>
  <c r="Z687" i="3" s="1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Z695" i="3" s="1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Z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Z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Z556" i="3" s="1"/>
  <c r="AA556" i="3"/>
  <c r="A557" i="3"/>
  <c r="W557" i="3"/>
  <c r="AA557" i="3"/>
  <c r="A558" i="3"/>
  <c r="G558" i="3"/>
  <c r="W558" i="3"/>
  <c r="X558" i="3"/>
  <c r="Z558" i="3" s="1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Z570" i="3" s="1"/>
  <c r="AA570" i="3"/>
  <c r="A571" i="3"/>
  <c r="W571" i="3"/>
  <c r="X571" i="3"/>
  <c r="AA571" i="3"/>
  <c r="A572" i="3"/>
  <c r="W572" i="3"/>
  <c r="X572" i="3"/>
  <c r="Z572" i="3" s="1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C469" i="5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Z502" i="3" s="1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Z509" i="3" s="1"/>
  <c r="A510" i="3"/>
  <c r="G510" i="3"/>
  <c r="W510" i="3"/>
  <c r="X510" i="3"/>
  <c r="Z510" i="3" s="1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Z516" i="3" s="1"/>
  <c r="A517" i="3"/>
  <c r="G517" i="3"/>
  <c r="W517" i="3"/>
  <c r="X517" i="3"/>
  <c r="A518" i="3"/>
  <c r="G518" i="3"/>
  <c r="W518" i="3"/>
  <c r="X518" i="3"/>
  <c r="Z518" i="3" s="1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Z524" i="3" s="1"/>
  <c r="A525" i="3"/>
  <c r="G525" i="3"/>
  <c r="W525" i="3"/>
  <c r="X525" i="3"/>
  <c r="A526" i="3"/>
  <c r="G526" i="3"/>
  <c r="W526" i="3"/>
  <c r="X526" i="3"/>
  <c r="Z526" i="3" s="1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Z532" i="3" s="1"/>
  <c r="A533" i="3"/>
  <c r="G533" i="3"/>
  <c r="W533" i="3"/>
  <c r="X533" i="3"/>
  <c r="A534" i="3"/>
  <c r="G534" i="3"/>
  <c r="W534" i="3"/>
  <c r="X534" i="3"/>
  <c r="Z534" i="3" s="1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Z538" i="3" s="1"/>
  <c r="A539" i="3"/>
  <c r="G539" i="3"/>
  <c r="W539" i="3"/>
  <c r="X539" i="3"/>
  <c r="A540" i="3"/>
  <c r="G540" i="3"/>
  <c r="W540" i="3"/>
  <c r="X540" i="3"/>
  <c r="Z540" i="3" s="1"/>
  <c r="A541" i="3"/>
  <c r="G541" i="3"/>
  <c r="W541" i="3"/>
  <c r="X541" i="3"/>
  <c r="A542" i="3"/>
  <c r="G542" i="3"/>
  <c r="W542" i="3"/>
  <c r="X542" i="3"/>
  <c r="Z542" i="3" s="1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852" i="3" l="1"/>
  <c r="Z844" i="3"/>
  <c r="Z853" i="3"/>
  <c r="Z845" i="3"/>
  <c r="Z846" i="3"/>
  <c r="AA478" i="5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273" i="5"/>
  <c r="AD1105" i="5"/>
  <c r="AD1100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487" i="5"/>
  <c r="AD502" i="5"/>
  <c r="AD504" i="5"/>
  <c r="AD506" i="5"/>
  <c r="AD514" i="5"/>
  <c r="AD558" i="5"/>
  <c r="AD481" i="5"/>
  <c r="AD494" i="5"/>
  <c r="AD496" i="5"/>
  <c r="AD546" i="5"/>
  <c r="AD486" i="5"/>
  <c r="AD488" i="5"/>
  <c r="AD503" i="5"/>
  <c r="AD575" i="5"/>
  <c r="AD592" i="5"/>
  <c r="AD599" i="5"/>
  <c r="AD601" i="5"/>
  <c r="AD495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485" i="5"/>
  <c r="AD483" i="5"/>
  <c r="AD478" i="5"/>
  <c r="AD600" i="5"/>
  <c r="AD581" i="5"/>
  <c r="AD574" i="5"/>
  <c r="AD565" i="5"/>
  <c r="AD560" i="5"/>
  <c r="AD555" i="5"/>
  <c r="AD540" i="5"/>
  <c r="AD532" i="5"/>
  <c r="AD524" i="5"/>
  <c r="AD516" i="5"/>
  <c r="AD511" i="5"/>
  <c r="AD489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493" i="5"/>
  <c r="AD491" i="5"/>
  <c r="AD480" i="5"/>
  <c r="AD557" i="5"/>
  <c r="AD549" i="5"/>
  <c r="AD542" i="5"/>
  <c r="AD534" i="5"/>
  <c r="AD526" i="5"/>
  <c r="AD518" i="5"/>
  <c r="AD513" i="5"/>
  <c r="AD497" i="5"/>
  <c r="AD482" i="5"/>
  <c r="AD477" i="5"/>
  <c r="AD531" i="5"/>
  <c r="AD523" i="5"/>
  <c r="AD515" i="5"/>
  <c r="AD510" i="5"/>
  <c r="AD501" i="5"/>
  <c r="AD499" i="5"/>
  <c r="AD484" i="5"/>
  <c r="AD462" i="5"/>
  <c r="AD587" i="5"/>
  <c r="AD577" i="5"/>
  <c r="AD551" i="5"/>
  <c r="AD544" i="5"/>
  <c r="AD536" i="5"/>
  <c r="AD528" i="5"/>
  <c r="AD520" i="5"/>
  <c r="AD507" i="5"/>
  <c r="AD505" i="5"/>
  <c r="AD479" i="5"/>
  <c r="AD517" i="5"/>
  <c r="AD512" i="5"/>
  <c r="AD492" i="5"/>
  <c r="AD490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AD461" i="5" s="1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Z690" i="3"/>
  <c r="Z682" i="3"/>
  <c r="Z674" i="3"/>
  <c r="Z666" i="3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AD453" i="5" s="1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AD458" i="5" s="1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AD469" i="5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460" i="5" l="1"/>
  <c r="AD473" i="5"/>
  <c r="AD475" i="5"/>
  <c r="AD476" i="5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<sst xmlns="http://schemas.openxmlformats.org/spreadsheetml/2006/main" count="3366" uniqueCount="2001">
  <si>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</si>
  <si>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</si>
  <si>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</si>
  <si>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</si>
  <si>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</si>
  <si>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</si>
  <si>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</si>
  <si>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</si>
  <si>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</si>
  <si>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</si>
  <si>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</si>
  <si>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</si>
  <si>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</si>
  <si>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</si>
  <si>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</si>
  <si>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</si>
  <si>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</si>
  <si>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</si>
  <si>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</si>
  <si>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</si>
  <si>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</si>
  <si>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</si>
  <si>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</si>
  <si>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</si>
  <si>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</si>
  <si>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</si>
  <si>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</si>
  <si>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</si>
  <si>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</si>
  <si>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</si>
  <si>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</si>
  <si>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</si>
  <si>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</si>
  <si>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</si>
  <si>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</si>
  <si>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</si>
  <si>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</si>
  <si>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</si>
  <si>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</si>
  <si>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</si>
  <si>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</si>
  <si>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</si>
  <si>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</si>
  <si>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</si>
  <si>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</si>
  <si>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</si>
  <si>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</si>
  <si>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</si>
  <si>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</si>
  <si>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</si>
  <si>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</si>
  <si>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</si>
  <si>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</si>
  <si>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</si>
  <si>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</si>
  <si>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</si>
  <si>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</si>
  <si>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</si>
  <si>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</si>
  <si>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</si>
  <si>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</si>
  <si>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</si>
  <si>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</si>
  <si>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</si>
  <si>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</si>
  <si>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</si>
  <si>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</si>
  <si>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</si>
  <si>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</si>
  <si>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</si>
  <si>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</si>
  <si>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</si>
  <si>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</si>
  <si>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</si>
  <si>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</si>
  <si>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</si>
  <si>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</si>
  <si>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</si>
  <si>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</si>
  <si>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</si>
  <si>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</si>
  <si>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</si>
  <si>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</si>
  <si>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</si>
  <si>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</si>
  <si>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</si>
  <si>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</si>
  <si>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</si>
  <si>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</si>
  <si>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</si>
  <si>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</si>
  <si>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</si>
  <si>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</si>
  <si>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</si>
  <si>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</si>
  <si>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</si>
  <si>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</si>
  <si>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</si>
  <si>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</si>
  <si>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</si>
  <si>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</si>
  <si>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</si>
  <si>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</si>
  <si>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</si>
  <si>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</si>
  <si>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</si>
  <si>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</si>
  <si>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</si>
  <si>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</si>
  <si>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</si>
  <si>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</si>
  <si>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</si>
  <si>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</si>
  <si>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</si>
  <si>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</si>
  <si>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</si>
  <si>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</si>
  <si>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</si>
  <si>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</si>
  <si>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</si>
  <si>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</si>
  <si>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</si>
  <si>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</si>
  <si>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</si>
  <si>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</si>
  <si>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</si>
  <si>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</si>
  <si>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</si>
  <si>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</si>
  <si>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</si>
  <si>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</si>
  <si>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</si>
  <si>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</si>
  <si>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</si>
  <si>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</si>
  <si>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</si>
  <si>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</si>
  <si>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</si>
  <si>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</si>
  <si>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</si>
  <si>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</si>
  <si>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</si>
  <si>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</si>
  <si>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</si>
  <si>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</si>
  <si>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</si>
  <si>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</si>
  <si>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</si>
  <si>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</si>
  <si>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</si>
  <si>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</si>
  <si>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</si>
  <si>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</si>
  <si>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</si>
  <si>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</si>
  <si>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</si>
  <si>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</si>
  <si>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</si>
  <si>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</si>
  <si>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</si>
  <si>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</si>
  <si>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</si>
  <si>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</si>
  <si>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</si>
  <si>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</si>
  <si>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</si>
  <si>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</si>
  <si>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</si>
  <si>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</si>
  <si>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</si>
  <si>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</si>
  <si>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</si>
  <si>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</si>
  <si>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</si>
  <si>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</si>
  <si>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</si>
  <si>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</si>
  <si>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</si>
  <si>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</si>
  <si>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</si>
  <si>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</si>
  <si>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</si>
  <si>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</si>
  <si>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</si>
  <si>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</si>
  <si>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</si>
  <si>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</si>
  <si>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</si>
  <si>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</si>
  <si>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</si>
  <si>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</si>
  <si>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</si>
  <si>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</si>
  <si>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</si>
  <si>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</si>
  <si>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</si>
  <si>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</si>
  <si>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</si>
  <si>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</si>
  <si>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</si>
  <si>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</si>
  <si>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</si>
  <si>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</si>
  <si>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</si>
  <si>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</si>
  <si>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</si>
  <si>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</si>
  <si>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</si>
  <si>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</si>
  <si>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</si>
  <si>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</si>
  <si>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</si>
  <si>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</si>
  <si>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</si>
  <si>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</si>
  <si>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</si>
  <si>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</si>
  <si>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</si>
  <si>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</si>
  <si>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</si>
  <si>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</si>
  <si>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</si>
  <si>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</si>
  <si>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</si>
  <si>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</si>
  <si>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</si>
  <si>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</si>
  <si>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</si>
  <si>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</si>
  <si>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</si>
  <si>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</si>
  <si>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</si>
  <si>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</si>
  <si>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</si>
  <si>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</si>
  <si>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</si>
  <si>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</si>
  <si>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</si>
  <si>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</si>
  <si>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</si>
  <si>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</si>
  <si>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</si>
  <si>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</si>
  <si>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</si>
  <si>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</si>
  <si>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</si>
  <si>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</si>
  <si>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</si>
  <si>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</si>
  <si>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</si>
  <si>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</si>
  <si>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</si>
  <si>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</si>
  <si>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</si>
  <si>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</si>
  <si>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</si>
  <si>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</si>
  <si>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</si>
  <si>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</si>
  <si>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</si>
  <si>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</si>
  <si>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</si>
  <si>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</si>
  <si>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</si>
  <si>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</si>
  <si>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</si>
  <si>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</si>
  <si>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</si>
  <si>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</si>
  <si>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</si>
  <si>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</si>
  <si>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</si>
  <si>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</si>
  <si>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</si>
  <si>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</si>
  <si>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</si>
  <si>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</si>
  <si>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</si>
  <si>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</si>
  <si>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</si>
  <si>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</si>
  <si>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</si>
  <si>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</si>
  <si>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</si>
  <si>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</si>
  <si>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</si>
  <si>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</si>
  <si>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</si>
  <si>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</si>
  <si>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</si>
  <si>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</si>
  <si>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</si>
  <si>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</si>
  <si>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</si>
  <si>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</si>
  <si>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</si>
  <si>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</si>
  <si>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</si>
  <si>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</si>
  <si>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</si>
  <si>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</si>
  <si>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</si>
  <si>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</si>
  <si>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</si>
  <si>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</si>
  <si>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</si>
  <si>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</si>
  <si>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</si>
  <si>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</si>
  <si>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</si>
  <si>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</si>
  <si>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</si>
  <si>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</si>
  <si>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</si>
  <si>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</si>
  <si>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</si>
  <si>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</si>
  <si>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</si>
  <si>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</si>
  <si>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</si>
  <si>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</si>
  <si>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</si>
  <si>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</si>
  <si>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</si>
  <si>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</si>
  <si>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</si>
  <si>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</si>
  <si>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</si>
  <si>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</si>
  <si>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</si>
  <si>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</si>
  <si>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</si>
  <si>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</si>
  <si>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</si>
  <si>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</si>
  <si>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</si>
  <si>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</si>
  <si>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</si>
  <si>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</si>
  <si>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</si>
  <si>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</si>
  <si>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</si>
  <si>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</si>
  <si>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</si>
  <si>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</si>
  <si>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</si>
  <si>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</si>
  <si>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</si>
  <si>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</si>
  <si>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</si>
  <si>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</si>
  <si>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</si>
  <si>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</si>
  <si>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</si>
  <si>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</si>
  <si>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</si>
  <si>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</si>
  <si>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</si>
  <si>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</si>
  <si>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</si>
  <si>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</si>
  <si>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</si>
  <si>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</si>
  <si>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</si>
  <si>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</si>
  <si>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</si>
  <si>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</si>
  <si>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</si>
  <si>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</si>
  <si>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</si>
  <si>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</si>
  <si>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</si>
  <si>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</si>
  <si>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</si>
  <si>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</si>
  <si>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</si>
  <si>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</si>
  <si>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</si>
  <si>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</si>
  <si>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</si>
  <si>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</si>
  <si>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</si>
  <si>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</si>
  <si>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</si>
  <si>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</si>
  <si>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</si>
  <si>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</si>
  <si>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</si>
  <si>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</si>
  <si>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</si>
  <si>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</si>
  <si>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</si>
  <si>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</si>
  <si>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</si>
  <si>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</si>
  <si>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</si>
  <si>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</si>
  <si>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</si>
  <si>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</si>
  <si>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</si>
  <si>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</si>
  <si>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</si>
  <si>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</si>
  <si>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</si>
  <si>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</si>
  <si>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</si>
  <si>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</si>
  <si>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</si>
  <si>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</si>
  <si>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</si>
  <si>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</si>
  <si>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</si>
  <si>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</si>
  <si>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</si>
  <si>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</si>
  <si>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</si>
  <si>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</si>
  <si>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</si>
  <si>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</si>
  <si>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</si>
  <si>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</si>
  <si>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</si>
  <si>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</si>
  <si>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</si>
  <si>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</si>
  <si>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</si>
  <si>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</si>
  <si>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</si>
  <si>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</si>
  <si>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</si>
  <si>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</si>
  <si>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</si>
  <si>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</si>
  <si>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</si>
  <si>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</si>
  <si>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</si>
  <si>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</si>
  <si>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</si>
  <si>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</si>
  <si>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</si>
  <si>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</si>
  <si>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</si>
  <si>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</si>
  <si>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</si>
  <si>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</si>
  <si>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</si>
  <si>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</si>
  <si>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</si>
  <si>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</si>
  <si>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</si>
  <si>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</si>
  <si>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</si>
  <si>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</si>
  <si>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</si>
  <si>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</si>
  <si>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</si>
  <si>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</si>
  <si>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</si>
  <si>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</si>
  <si>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</si>
  <si>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</si>
  <si>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</si>
  <si>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</si>
  <si>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</si>
  <si>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</si>
  <si>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</si>
  <si>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</si>
  <si>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</si>
  <si>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</si>
  <si>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</si>
  <si>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</si>
  <si>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</si>
  <si>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</si>
  <si>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</si>
  <si>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</si>
  <si>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</si>
  <si>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</si>
  <si>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</si>
  <si>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</si>
  <si>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</si>
  <si>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</si>
  <si>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</si>
  <si>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</si>
  <si>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</si>
  <si>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</si>
  <si>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</si>
  <si>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</si>
  <si>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</si>
  <si>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</si>
  <si>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</si>
  <si>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</si>
  <si>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</si>
  <si>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</si>
  <si>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</si>
  <si>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</si>
  <si>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</si>
  <si>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</si>
  <si>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</si>
  <si>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</si>
  <si>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</si>
  <si>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</si>
  <si>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</si>
  <si>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</si>
  <si>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</si>
  <si>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</si>
  <si>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</si>
  <si>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</si>
  <si>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</si>
  <si>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</si>
  <si>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</si>
  <si>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</si>
  <si>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</si>
  <si>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</si>
  <si>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</si>
  <si>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</si>
  <si>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</si>
  <si>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</si>
  <si>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</si>
  <si>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</si>
  <si>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</si>
  <si>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</si>
  <si>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</si>
  <si>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</si>
  <si>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</si>
  <si>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</si>
  <si>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</si>
  <si>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</si>
  <si>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</si>
  <si>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</si>
  <si>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</si>
  <si>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</si>
  <si>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</si>
  <si>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</si>
  <si>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</si>
  <si>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</si>
  <si>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</si>
  <si>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</si>
  <si>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</si>
  <si>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</si>
  <si>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</si>
  <si>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</si>
  <si>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</si>
  <si>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</si>
  <si>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</si>
  <si>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</si>
  <si>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</si>
  <si>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</si>
  <si>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</si>
  <si>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</si>
  <si>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</si>
  <si>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</si>
  <si>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</si>
  <si>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</si>
  <si>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</si>
  <si>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</si>
  <si>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</si>
  <si>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</si>
  <si>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</si>
  <si>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</si>
  <si>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</si>
  <si>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</si>
  <si>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</si>
  <si>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</si>
  <si>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</si>
  <si>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</si>
  <si>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</si>
  <si>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</si>
  <si>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</si>
  <si>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</si>
  <si>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</si>
  <si>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</si>
  <si>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</si>
  <si>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</si>
  <si>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</si>
  <si>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</si>
  <si>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</si>
  <si>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</si>
  <si>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</si>
  <si>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</si>
  <si>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</si>
  <si>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</si>
  <si>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</si>
  <si>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</si>
  <si>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</si>
  <si>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</si>
  <si>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</si>
  <si>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</si>
  <si>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</si>
  <si>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</si>
  <si>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</si>
  <si>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</si>
  <si>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</si>
  <si>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</si>
  <si>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</si>
  <si>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</si>
  <si>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</si>
  <si>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</si>
  <si>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</si>
  <si>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</si>
  <si>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</si>
  <si>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</si>
  <si>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</si>
  <si>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</si>
  <si>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</si>
  <si>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</si>
  <si>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</si>
  <si>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</si>
  <si>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</si>
  <si>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</si>
  <si>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</si>
  <si>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</si>
  <si>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</si>
  <si>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</si>
  <si>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</si>
  <si>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</si>
  <si>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</si>
  <si>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</si>
  <si>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</si>
  <si>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</si>
  <si>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</si>
  <si>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</si>
  <si>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</si>
  <si>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</si>
  <si>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</si>
  <si>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</si>
  <si>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</si>
  <si>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</si>
  <si>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</si>
  <si>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</si>
  <si>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</si>
  <si>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</si>
  <si>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</si>
  <si>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</si>
  <si>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</si>
  <si>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</si>
  <si>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</si>
  <si>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</si>
  <si>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</si>
  <si>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</si>
  <si>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</si>
  <si>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</si>
  <si>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</si>
  <si>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</si>
  <si>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</si>
  <si>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</si>
  <si>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</si>
  <si>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</si>
  <si>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</si>
  <si>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</si>
  <si>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</si>
  <si>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</si>
  <si>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</si>
  <si>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</si>
  <si>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</si>
  <si>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</si>
  <si>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</si>
  <si>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</si>
  <si>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</si>
  <si>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</si>
  <si>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</si>
  <si>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</si>
  <si>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</si>
  <si>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</si>
  <si>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</si>
  <si>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</si>
  <si>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</si>
  <si>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</si>
  <si>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</si>
  <si>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</si>
  <si>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</si>
  <si>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</si>
  <si>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</si>
  <si>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</si>
  <si>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</si>
  <si>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</si>
  <si>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</si>
  <si>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</si>
  <si>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</si>
  <si>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</si>
  <si>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</si>
  <si>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</si>
  <si>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</si>
  <si>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</si>
  <si>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</si>
  <si>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</si>
  <si>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</si>
  <si>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</si>
  <si>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</si>
  <si>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</si>
  <si>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</si>
  <si>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</si>
  <si>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</si>
  <si>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</si>
  <si>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</si>
  <si>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</si>
  <si>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</si>
  <si>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</si>
  <si>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</si>
  <si>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</si>
  <si>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</si>
  <si>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</si>
  <si>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</si>
  <si>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</si>
  <si>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</si>
  <si>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</si>
  <si>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</si>
  <si>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</si>
  <si>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</si>
  <si>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</si>
  <si>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</si>
  <si>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</si>
  <si>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</si>
  <si>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</si>
  <si>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</si>
  <si>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</si>
  <si>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</si>
  <si>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</si>
  <si>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</si>
  <si>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</si>
  <si>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</si>
  <si>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</si>
  <si>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</si>
  <si>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</si>
  <si>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</si>
  <si>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</si>
  <si>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</si>
  <si>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</si>
  <si>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</si>
  <si>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</si>
  <si>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</si>
  <si>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</si>
  <si>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</si>
  <si>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</si>
  <si>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</si>
  <si>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</si>
  <si>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</si>
  <si>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</si>
  <si>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</si>
  <si>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</si>
  <si>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</si>
  <si>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</si>
  <si>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</si>
  <si>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</si>
  <si>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</si>
  <si>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</si>
  <si>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</si>
  <si>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</si>
  <si>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</si>
  <si>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</si>
  <si>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</si>
  <si>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</si>
  <si>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</si>
  <si>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</si>
  <si>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</si>
  <si>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</si>
  <si>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</si>
  <si>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</si>
  <si>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</si>
  <si>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</si>
  <si>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</si>
  <si>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</si>
  <si>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</si>
  <si>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</si>
  <si>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</si>
  <si>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</si>
  <si>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</si>
  <si>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</si>
  <si>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</si>
  <si>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</si>
  <si>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</si>
  <si>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</si>
  <si>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</si>
  <si>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</si>
  <si>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</si>
  <si>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</si>
  <si>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</si>
  <si>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</si>
  <si>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</si>
  <si>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</si>
  <si>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</si>
  <si>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</si>
  <si>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</si>
  <si>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</si>
  <si>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</si>
  <si>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</si>
  <si>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</si>
  <si>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</si>
  <si>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</si>
  <si>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</si>
  <si>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</si>
  <si>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</si>
  <si>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</si>
  <si>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</si>
  <si>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</si>
  <si>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</si>
  <si>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</si>
  <si>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</si>
  <si>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</si>
  <si>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</si>
  <si>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</si>
  <si>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</si>
  <si>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</si>
  <si>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</si>
  <si>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</si>
  <si>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</si>
  <si>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</si>
  <si>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</si>
  <si>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</si>
  <si>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</si>
  <si>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</si>
  <si>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</si>
  <si>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</si>
  <si>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</si>
  <si>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</si>
  <si>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</si>
  <si>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</si>
  <si>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</si>
  <si>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</si>
  <si>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</si>
  <si>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</si>
  <si>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</si>
  <si>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</si>
  <si>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</si>
  <si>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</si>
  <si>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</si>
  <si>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</si>
  <si>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</si>
  <si>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</si>
  <si>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</si>
  <si>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</si>
  <si>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</si>
  <si>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</si>
  <si>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</si>
  <si>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</si>
  <si>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</si>
  <si>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</si>
  <si>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</si>
  <si>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</si>
  <si>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</si>
  <si>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</si>
  <si>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</si>
  <si>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</si>
  <si>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</si>
  <si>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</si>
  <si>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</si>
  <si>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</si>
  <si>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</si>
  <si>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</si>
  <si>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</si>
  <si>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</si>
  <si>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</si>
  <si>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</si>
  <si>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</si>
  <si>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</si>
  <si>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</si>
  <si>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</si>
  <si>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</si>
  <si>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</si>
  <si>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</si>
  <si>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</si>
  <si>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</si>
  <si>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</si>
  <si>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</si>
  <si>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</si>
  <si>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</si>
  <si>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</si>
  <si>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</si>
  <si>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</si>
  <si>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</si>
  <si>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</si>
  <si>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</si>
  <si>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</si>
  <si>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</si>
  <si>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</si>
  <si>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</si>
  <si>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</si>
  <si>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</si>
  <si>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</si>
  <si>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</si>
  <si>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</si>
  <si>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</si>
  <si>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</si>
  <si>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</si>
  <si>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</si>
  <si>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</si>
  <si>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</si>
  <si>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</si>
  <si>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</si>
  <si>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</si>
  <si>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</si>
  <si>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</si>
  <si>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</si>
  <si>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</si>
  <si>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</si>
  <si>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</si>
  <si>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</si>
  <si>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</si>
  <si>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</si>
  <si>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</si>
  <si>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</si>
  <si>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</si>
  <si>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</si>
  <si>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</si>
  <si>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</si>
  <si>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</si>
  <si>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</si>
  <si>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</si>
  <si>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</si>
  <si>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</si>
  <si>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</si>
  <si>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</si>
  <si>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</si>
  <si>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</si>
  <si>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</si>
  <si>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</si>
  <si>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</si>
  <si>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</si>
  <si>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</si>
  <si>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</si>
  <si>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</si>
  <si>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</si>
  <si>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</si>
  <si>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</si>
  <si>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</si>
  <si>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</si>
  <si>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幽音しの(即興)</t>
    <phoneticPr fontId="2"/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</si>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</sst>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15" Type="http://schemas.openxmlformats.org/officeDocument/2006/relationships/hyperlink" Target="https://www.youtube.com/live/lrLQ6akH23w?si=aC5HLJK6UZYwu-Yn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36" Type="http://schemas.openxmlformats.org/officeDocument/2006/relationships/hyperlink" Target="https://www.youtube.com/live/cHLqE4AOOjI?si=heDnYTUAoUpLyQ_J" TargetMode="External"/><Relationship Id="rId49" Type="http://schemas.openxmlformats.org/officeDocument/2006/relationships/hyperlink" Target="https://www.youtube.com/live/N0Tp3auhZ54?si=TUAMJQ8TqFkAVZ1r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14" Type="http://schemas.openxmlformats.org/officeDocument/2006/relationships/hyperlink" Target="https://www.youtube.com/live/YVCxx8BDKkE?si=os58kQndAs19D_Fj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44" Type="http://schemas.openxmlformats.org/officeDocument/2006/relationships/hyperlink" Target="https://www.youtube.com/live/FuJDk5I3Oyo?si=KP6eEuJrPYERUqMb" TargetMode="External"/><Relationship Id="rId52" Type="http://schemas.openxmlformats.org/officeDocument/2006/relationships/hyperlink" Target="https://www.youtube.com/live/bXG5ottJZas?si=VsjzjU8RreUrJGd3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printerSettings" Target="../printerSettings/printerSettings1.bin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B116" sqref="B116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926</v>
      </c>
      <c r="D51" s="19" t="s">
        <v>927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946</v>
      </c>
      <c r="D52" s="19" t="s">
        <v>947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957</v>
      </c>
      <c r="D53" s="19" t="s">
        <v>956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995</v>
      </c>
      <c r="D54" s="19" t="s">
        <v>994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1029</v>
      </c>
      <c r="D55" s="19" t="s">
        <v>1030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1031</v>
      </c>
      <c r="D56" s="19" t="s">
        <v>1032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1034</v>
      </c>
      <c r="D57" s="19" t="s">
        <v>1033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1058</v>
      </c>
      <c r="D58" s="19" t="s">
        <v>1059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1060</v>
      </c>
      <c r="D59" s="19" t="s">
        <v>1061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1067</v>
      </c>
      <c r="D60" s="19" t="s">
        <v>1068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1069</v>
      </c>
      <c r="D61" s="19" t="s">
        <v>1070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1089</v>
      </c>
      <c r="D62" s="19" t="s">
        <v>1090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1109</v>
      </c>
      <c r="D63" s="19" t="s">
        <v>1110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1111</v>
      </c>
      <c r="D64" s="19" t="s">
        <v>1112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1114</v>
      </c>
      <c r="D65" s="19" t="s">
        <v>1115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1146</v>
      </c>
      <c r="D66" s="19" t="s">
        <v>1147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1162</v>
      </c>
      <c r="D67" s="19" t="s">
        <v>1163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1164</v>
      </c>
      <c r="D68" s="19" t="s">
        <v>1165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1170</v>
      </c>
      <c r="D69" s="19" t="s">
        <v>1171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1172</v>
      </c>
      <c r="D70" s="19" t="s">
        <v>1173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1374</v>
      </c>
      <c r="D71" s="19" t="s">
        <v>1375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1391</v>
      </c>
      <c r="D72" s="19" t="s">
        <v>1392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1393</v>
      </c>
      <c r="D73" s="19" t="s">
        <v>1394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1395</v>
      </c>
      <c r="D74" s="19" t="s">
        <v>1396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1424</v>
      </c>
      <c r="D75" s="19" t="s">
        <v>1425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1426</v>
      </c>
      <c r="D76" s="19" t="s">
        <v>1427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1441</v>
      </c>
      <c r="D77" s="19" t="s">
        <v>1442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1443</v>
      </c>
      <c r="D78" s="19" t="s">
        <v>1444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1463</v>
      </c>
      <c r="D79" s="19" t="s">
        <v>1464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1467</v>
      </c>
      <c r="D80" s="19" t="s">
        <v>1468</v>
      </c>
      <c r="F80" s="1" t="s">
        <v>1469</v>
      </c>
    </row>
    <row r="81" spans="1:6" x14ac:dyDescent="0.4">
      <c r="A81" s="14">
        <f t="shared" si="1"/>
        <v>80</v>
      </c>
      <c r="B81" s="15">
        <v>45921</v>
      </c>
      <c r="C81" s="25" t="s">
        <v>1496</v>
      </c>
      <c r="D81" s="19" t="s">
        <v>1497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1506</v>
      </c>
      <c r="D82" s="19" t="s">
        <v>1507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1508</v>
      </c>
      <c r="D83" s="19" t="s">
        <v>1509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1510</v>
      </c>
      <c r="D84" s="19" t="s">
        <v>1511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1540</v>
      </c>
      <c r="D85" s="19" t="s">
        <v>1541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1556</v>
      </c>
      <c r="D86" s="19" t="s">
        <v>1557</v>
      </c>
      <c r="F86" s="1" t="s">
        <v>1469</v>
      </c>
    </row>
    <row r="87" spans="1:6" x14ac:dyDescent="0.4">
      <c r="A87" s="14">
        <f t="shared" si="1"/>
        <v>86</v>
      </c>
      <c r="B87" s="15">
        <v>45931</v>
      </c>
      <c r="C87" s="25" t="s">
        <v>1588</v>
      </c>
      <c r="D87" s="19" t="s">
        <v>1587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1589</v>
      </c>
      <c r="D88" s="19" t="s">
        <v>1590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1591</v>
      </c>
      <c r="D89" s="19" t="s">
        <v>1592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1611</v>
      </c>
      <c r="D90" s="19" t="s">
        <v>1612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1627</v>
      </c>
      <c r="D91" s="19" t="s">
        <v>1628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1706</v>
      </c>
      <c r="D92" s="19" t="s">
        <v>1707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1708</v>
      </c>
      <c r="D93" s="19" t="s">
        <v>1709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1757</v>
      </c>
      <c r="D94" s="19" t="s">
        <v>1758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1790</v>
      </c>
      <c r="D95" s="19" t="s">
        <v>1791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1792</v>
      </c>
      <c r="D96" s="19" t="s">
        <v>1793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1806</v>
      </c>
      <c r="D97" s="19" t="s">
        <v>1807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1808</v>
      </c>
      <c r="D98" s="19" t="s">
        <v>1809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1810</v>
      </c>
      <c r="D99" s="19" t="s">
        <v>1811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1836</v>
      </c>
      <c r="D100" s="19" t="s">
        <v>1837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1871</v>
      </c>
      <c r="D101" s="19" t="s">
        <v>1872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1884</v>
      </c>
      <c r="D102" s="19" t="s">
        <v>1885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1886</v>
      </c>
      <c r="D103" s="19" t="s">
        <v>1887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1888</v>
      </c>
      <c r="D104" s="19" t="s">
        <v>1889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1910</v>
      </c>
      <c r="D105" s="19" t="s">
        <v>1911</v>
      </c>
      <c r="F105" s="1" t="s">
        <v>1469</v>
      </c>
    </row>
    <row r="106" spans="1:6" x14ac:dyDescent="0.4">
      <c r="A106" s="14">
        <f t="shared" si="1"/>
        <v>105</v>
      </c>
      <c r="B106" s="15">
        <v>45959</v>
      </c>
      <c r="C106" s="25" t="s">
        <v>1928</v>
      </c>
      <c r="D106" s="19" t="s">
        <v>1929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1930</v>
      </c>
      <c r="D107" s="19" t="s">
        <v>1931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1949</v>
      </c>
      <c r="D108" s="19" t="s">
        <v>1950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1951</v>
      </c>
      <c r="D109" s="19" t="s">
        <v>1952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1953</v>
      </c>
      <c r="D110" s="19" t="s">
        <v>1954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1955</v>
      </c>
      <c r="D111" s="19" t="s">
        <v>1956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1957</v>
      </c>
      <c r="D112" s="19" t="s">
        <v>1958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1978</v>
      </c>
      <c r="D113" s="19" t="s">
        <v>1979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1980</v>
      </c>
      <c r="D114" s="19" t="s">
        <v>1981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1983</v>
      </c>
      <c r="D115" s="19" t="s">
        <v>1984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1985</v>
      </c>
      <c r="D116" s="19" t="s">
        <v>1986</v>
      </c>
      <c r="F116" s="1" t="s">
        <v>628</v>
      </c>
    </row>
    <row r="117" spans="1:6" x14ac:dyDescent="0.4">
      <c r="A117" s="14">
        <f t="shared" si="1"/>
        <v>116</v>
      </c>
      <c r="B117" s="14"/>
      <c r="C117" s="25"/>
      <c r="D117" s="14"/>
    </row>
    <row r="118" spans="1:6" x14ac:dyDescent="0.4">
      <c r="A118" s="14">
        <f t="shared" si="1"/>
        <v>117</v>
      </c>
      <c r="B118" s="14"/>
      <c r="C118" s="25"/>
      <c r="D118" s="14"/>
    </row>
    <row r="119" spans="1:6" x14ac:dyDescent="0.4">
      <c r="A119" s="14">
        <f t="shared" si="1"/>
        <v>118</v>
      </c>
      <c r="B119" s="14"/>
      <c r="C119" s="25"/>
      <c r="D119" s="14"/>
    </row>
    <row r="120" spans="1:6" x14ac:dyDescent="0.4">
      <c r="A120" s="14">
        <f t="shared" si="1"/>
        <v>119</v>
      </c>
      <c r="B120" s="14"/>
      <c r="C120" s="25"/>
      <c r="D120" s="14"/>
    </row>
    <row r="121" spans="1:6" x14ac:dyDescent="0.4">
      <c r="A121" s="14">
        <f t="shared" si="1"/>
        <v>120</v>
      </c>
      <c r="B121" s="14"/>
      <c r="C121" s="25"/>
      <c r="D121" s="14"/>
    </row>
    <row r="122" spans="1:6" x14ac:dyDescent="0.4">
      <c r="A122" s="14">
        <f t="shared" si="1"/>
        <v>121</v>
      </c>
      <c r="B122" s="14"/>
      <c r="C122" s="25"/>
      <c r="D122" s="14"/>
    </row>
    <row r="123" spans="1:6" x14ac:dyDescent="0.4">
      <c r="A123" s="14">
        <f t="shared" si="1"/>
        <v>122</v>
      </c>
      <c r="B123" s="14"/>
      <c r="C123" s="25"/>
      <c r="D123" s="14"/>
    </row>
    <row r="124" spans="1:6" x14ac:dyDescent="0.4">
      <c r="A124" s="14">
        <f t="shared" si="1"/>
        <v>123</v>
      </c>
      <c r="B124" s="14"/>
      <c r="C124" s="25"/>
      <c r="D124" s="14"/>
    </row>
    <row r="125" spans="1:6" x14ac:dyDescent="0.4">
      <c r="A125" s="14">
        <f t="shared" si="1"/>
        <v>124</v>
      </c>
      <c r="B125" s="14"/>
      <c r="C125" s="25"/>
      <c r="D125" s="14"/>
    </row>
    <row r="126" spans="1:6" x14ac:dyDescent="0.4">
      <c r="A126" s="14">
        <f t="shared" si="1"/>
        <v>125</v>
      </c>
      <c r="B126" s="14"/>
      <c r="C126" s="25"/>
      <c r="D126" s="14"/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</hyperlinks>
  <pageMargins left="0.7" right="0.7" top="0.75" bottom="0.75" header="0.3" footer="0.3"/>
  <pageSetup paperSize="9" orientation="portrait" r:id="rId1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900"/>
  <sheetViews>
    <sheetView tabSelected="1" zoomScale="85" zoomScaleNormal="85" workbookViewId="0">
      <pane xSplit="1" ySplit="1" topLeftCell="B819" activePane="bottomRight" state="frozen"/>
      <selection pane="topRight" activeCell="B1" sqref="B1"/>
      <selection pane="bottomLeft" activeCell="A2" sqref="A2"/>
      <selection pane="bottomRight" activeCell="C829" sqref="C829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1216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1062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1223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1372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1373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1228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1373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1373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1373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1226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1776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1230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1224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1235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1229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1225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1224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1224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1224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1221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925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928</v>
      </c>
      <c r="D353" s="14" t="s">
        <v>945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929</v>
      </c>
      <c r="D354" s="14" t="s">
        <v>930</v>
      </c>
      <c r="E354" s="14" t="s">
        <v>931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932</v>
      </c>
      <c r="D355" s="14" t="s">
        <v>933</v>
      </c>
      <c r="E355" s="14" t="s">
        <v>934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935</v>
      </c>
      <c r="E356" s="14" t="s">
        <v>936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937</v>
      </c>
      <c r="D357" s="14" t="s">
        <v>938</v>
      </c>
      <c r="E357" s="14" t="s">
        <v>939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940</v>
      </c>
      <c r="D358" s="14" t="s">
        <v>941</v>
      </c>
      <c r="E358" s="14" t="s">
        <v>942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943</v>
      </c>
      <c r="D359" s="14" t="s">
        <v>944</v>
      </c>
      <c r="E359" s="14" t="s">
        <v>942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955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948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949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950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951</v>
      </c>
      <c r="D364" s="14" t="s">
        <v>59</v>
      </c>
      <c r="E364" s="14" t="s">
        <v>1223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952</v>
      </c>
      <c r="D365" s="14" t="s">
        <v>953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954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958</v>
      </c>
      <c r="D367" s="14" t="s">
        <v>959</v>
      </c>
      <c r="E367" s="14" t="s">
        <v>1536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961</v>
      </c>
      <c r="D368" s="14" t="s">
        <v>962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963</v>
      </c>
      <c r="D369" s="14" t="s">
        <v>964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965</v>
      </c>
      <c r="D370" s="14" t="s">
        <v>966</v>
      </c>
      <c r="E370" s="14" t="s">
        <v>967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968</v>
      </c>
      <c r="D371" s="14" t="s">
        <v>969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970</v>
      </c>
      <c r="E372" s="14" t="s">
        <v>971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972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973</v>
      </c>
      <c r="D374" s="14" t="s">
        <v>974</v>
      </c>
      <c r="E374" s="14" t="s">
        <v>975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976</v>
      </c>
      <c r="D375" s="14" t="s">
        <v>977</v>
      </c>
      <c r="E375" s="14" t="s">
        <v>978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979</v>
      </c>
      <c r="D376" s="14" t="s">
        <v>980</v>
      </c>
      <c r="E376" s="14" t="s">
        <v>981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982</v>
      </c>
      <c r="D377" s="14" t="s">
        <v>983</v>
      </c>
      <c r="E377" s="14" t="s">
        <v>1222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984</v>
      </c>
      <c r="D378" s="14" t="s">
        <v>985</v>
      </c>
      <c r="E378" s="14" t="s">
        <v>986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987</v>
      </c>
      <c r="D379" s="14" t="s">
        <v>988</v>
      </c>
      <c r="E379" s="14" t="s">
        <v>989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990</v>
      </c>
      <c r="D380" s="14" t="s">
        <v>991</v>
      </c>
      <c r="E380" s="14" t="s">
        <v>992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993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996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997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998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999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1000</v>
      </c>
      <c r="D387" s="14" t="s">
        <v>1001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1002</v>
      </c>
      <c r="D388" s="14" t="s">
        <v>589</v>
      </c>
      <c r="E388" s="14" t="s">
        <v>1230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1003</v>
      </c>
      <c r="D389" s="14" t="s">
        <v>1004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1005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1006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1007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1008</v>
      </c>
      <c r="D393" s="14" t="s">
        <v>1009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1010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1011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1012</v>
      </c>
      <c r="D396" s="14" t="s">
        <v>174</v>
      </c>
      <c r="E396" s="14" t="s">
        <v>1013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1014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1015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1016</v>
      </c>
      <c r="D399" s="14" t="s">
        <v>1017</v>
      </c>
      <c r="E399" s="14" t="s">
        <v>1018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1019</v>
      </c>
      <c r="D400" s="14" t="s">
        <v>1020</v>
      </c>
      <c r="E400" s="14" t="s">
        <v>1021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1022</v>
      </c>
      <c r="D401" s="14" t="s">
        <v>1023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1024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1025</v>
      </c>
      <c r="D403" s="14" t="s">
        <v>1026</v>
      </c>
      <c r="E403" s="14" t="s">
        <v>1027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1028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1035</v>
      </c>
      <c r="D405" s="14" t="s">
        <v>1036</v>
      </c>
      <c r="E405" s="14" t="s">
        <v>1037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1038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1039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1040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1064</v>
      </c>
      <c r="D411" s="14" t="s">
        <v>1041</v>
      </c>
      <c r="E411" s="14" t="s">
        <v>1062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1042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1043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1044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1045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1046</v>
      </c>
      <c r="D416" s="14" t="s">
        <v>31</v>
      </c>
      <c r="E416" s="14" t="s">
        <v>1047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1048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1049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1050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1051</v>
      </c>
      <c r="D420" s="14" t="s">
        <v>1052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1053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1054</v>
      </c>
      <c r="D422" s="14" t="s">
        <v>1055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1056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1057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1113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1063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1065</v>
      </c>
      <c r="D427" s="20" t="s">
        <v>1066</v>
      </c>
      <c r="E427" s="14" t="s">
        <v>1062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1071</v>
      </c>
      <c r="D428" s="14" t="s">
        <v>1072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1073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1074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1075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1076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1077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1145</v>
      </c>
      <c r="D434" s="14" t="s">
        <v>1078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1079</v>
      </c>
      <c r="D436" s="14" t="s">
        <v>1080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1081</v>
      </c>
      <c r="D437" s="14" t="s">
        <v>1082</v>
      </c>
      <c r="E437" s="14" t="s">
        <v>1083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1084</v>
      </c>
      <c r="D438" s="14" t="s">
        <v>1085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1086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1087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1088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1091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1092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1093</v>
      </c>
      <c r="D444" s="14" t="s">
        <v>1094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1095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1096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1097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1098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1099</v>
      </c>
      <c r="D449" s="14" t="s">
        <v>1100</v>
      </c>
      <c r="E449" s="14" t="s">
        <v>1101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1102</v>
      </c>
      <c r="D450" s="14" t="s">
        <v>1103</v>
      </c>
      <c r="E450" s="14" t="s">
        <v>1104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1105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1106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1107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1108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1116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1117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1118</v>
      </c>
      <c r="D457" s="14" t="s">
        <v>677</v>
      </c>
      <c r="E457" s="14" t="s">
        <v>1224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1119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1120</v>
      </c>
      <c r="D459" s="14" t="s">
        <v>679</v>
      </c>
      <c r="E459" s="14" t="s">
        <v>1224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1121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1122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1123</v>
      </c>
      <c r="D462" s="14" t="s">
        <v>332</v>
      </c>
      <c r="E462" s="14" t="s">
        <v>1124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1125</v>
      </c>
      <c r="D463" s="14" t="s">
        <v>1126</v>
      </c>
      <c r="E463" s="14" t="s">
        <v>1127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1128</v>
      </c>
      <c r="D464" s="14" t="s">
        <v>1129</v>
      </c>
      <c r="E464" s="14" t="s">
        <v>1127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1130</v>
      </c>
      <c r="D465" s="14" t="s">
        <v>1131</v>
      </c>
      <c r="E465" s="14" t="s">
        <v>1132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1133</v>
      </c>
      <c r="D466" s="14" t="s">
        <v>1134</v>
      </c>
      <c r="E466" s="14" t="s">
        <v>1135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1136</v>
      </c>
      <c r="D467" s="14" t="s">
        <v>1137</v>
      </c>
      <c r="E467" s="14" t="s">
        <v>1138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1139</v>
      </c>
      <c r="D468" s="14" t="s">
        <v>1140</v>
      </c>
      <c r="E468" s="14" t="s">
        <v>1141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1142</v>
      </c>
      <c r="D469" s="14" t="s">
        <v>1143</v>
      </c>
      <c r="E469" s="14" t="s">
        <v>1144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1148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1149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1150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1151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1152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1153</v>
      </c>
      <c r="D475" s="14" t="s">
        <v>1154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1155</v>
      </c>
      <c r="D476" s="14" t="s">
        <v>1156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1157</v>
      </c>
      <c r="D477" s="14" t="s">
        <v>1227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1158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1159</v>
      </c>
      <c r="D479" s="14" t="s">
        <v>1160</v>
      </c>
      <c r="E479" s="14" t="s">
        <v>1161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1166</v>
      </c>
      <c r="D480" s="14" t="s">
        <v>1167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1214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1168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1169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1045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928</v>
      </c>
      <c r="D485" s="14" t="s">
        <v>1174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1196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1197</v>
      </c>
      <c r="D487" s="14" t="s">
        <v>1175</v>
      </c>
      <c r="E487" s="14" t="s">
        <v>1176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1198</v>
      </c>
      <c r="D488" s="14" t="s">
        <v>1177</v>
      </c>
      <c r="E488" s="14" t="s">
        <v>1178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1199</v>
      </c>
      <c r="D489" s="14" t="s">
        <v>1179</v>
      </c>
      <c r="E489" s="14" t="s">
        <v>1180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1200</v>
      </c>
      <c r="D490" s="14" t="s">
        <v>1181</v>
      </c>
      <c r="E490" s="14" t="s">
        <v>1182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1201</v>
      </c>
      <c r="D491" s="14" t="s">
        <v>1183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1202</v>
      </c>
      <c r="D492" s="14" t="s">
        <v>1184</v>
      </c>
      <c r="E492" s="14" t="s">
        <v>1185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1203</v>
      </c>
      <c r="D493" s="14" t="s">
        <v>1186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1204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1205</v>
      </c>
      <c r="D495" s="14" t="s">
        <v>1187</v>
      </c>
      <c r="E495" s="14" t="s">
        <v>1104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1206</v>
      </c>
      <c r="D496" s="23" t="s">
        <v>1215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1207</v>
      </c>
      <c r="D497" s="14" t="s">
        <v>1188</v>
      </c>
      <c r="E497" s="14" t="s">
        <v>1423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1208</v>
      </c>
      <c r="D498" s="14" t="s">
        <v>1190</v>
      </c>
      <c r="E498" s="14" t="s">
        <v>1191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1209</v>
      </c>
      <c r="D499" s="14" t="s">
        <v>1192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1210</v>
      </c>
      <c r="D500" s="14" t="s">
        <v>1193</v>
      </c>
      <c r="E500" s="14" t="s">
        <v>1194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1211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1212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1213</v>
      </c>
      <c r="D503" s="14" t="s">
        <v>1195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1376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1377</v>
      </c>
      <c r="D506" s="14" t="s">
        <v>541</v>
      </c>
      <c r="E506" s="14" t="s">
        <v>1390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1378</v>
      </c>
      <c r="D507" s="14" t="s">
        <v>1187</v>
      </c>
      <c r="E507" s="14" t="s">
        <v>1104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1379</v>
      </c>
      <c r="D508" s="14" t="s">
        <v>174</v>
      </c>
      <c r="E508" s="14" t="s">
        <v>1390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1380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1381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1382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1383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1384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1385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1386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1387</v>
      </c>
      <c r="D516" s="14" t="s">
        <v>31</v>
      </c>
      <c r="E516" s="14" t="s">
        <v>1047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1388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1389</v>
      </c>
      <c r="D518" s="14" t="s">
        <v>1055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1404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1405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1406</v>
      </c>
      <c r="D521" s="14" t="s">
        <v>242</v>
      </c>
      <c r="E521" s="14" t="s">
        <v>1390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1407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1408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1409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1410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1397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1411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1412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1413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1414</v>
      </c>
      <c r="D530" s="14" t="s">
        <v>1398</v>
      </c>
      <c r="E530" s="14" t="s">
        <v>1399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1415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1048</v>
      </c>
      <c r="D532" s="14" t="s">
        <v>1400</v>
      </c>
      <c r="E532" s="14" t="s">
        <v>1401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1416</v>
      </c>
      <c r="D533" s="14" t="s">
        <v>1402</v>
      </c>
      <c r="E533" s="14" t="s">
        <v>1423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1417</v>
      </c>
      <c r="D534" s="14" t="s">
        <v>1403</v>
      </c>
      <c r="E534" s="14" t="s">
        <v>1101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1418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1428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1429</v>
      </c>
      <c r="D537" s="14" t="s">
        <v>1430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1431</v>
      </c>
      <c r="D538" s="14" t="s">
        <v>1432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1433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1434</v>
      </c>
      <c r="D540" s="14" t="s">
        <v>1435</v>
      </c>
      <c r="E540" s="14" t="s">
        <v>1436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1437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1438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1439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1440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1445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1446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1447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1448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1449</v>
      </c>
      <c r="D549" s="14" t="s">
        <v>1450</v>
      </c>
      <c r="E549" s="14" t="s">
        <v>1451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1452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1453</v>
      </c>
      <c r="D551" s="14" t="s">
        <v>1454</v>
      </c>
      <c r="E551" s="14" t="s">
        <v>1455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1456</v>
      </c>
      <c r="D552" s="14" t="s">
        <v>1457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1458</v>
      </c>
      <c r="D553" s="14" t="s">
        <v>1459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1460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1461</v>
      </c>
      <c r="D555" s="14" t="s">
        <v>1462</v>
      </c>
      <c r="E555" s="14" t="s">
        <v>1194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1465</v>
      </c>
      <c r="D556" s="14" t="s">
        <v>1466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1470</v>
      </c>
      <c r="D557" s="14" t="s">
        <v>1471</v>
      </c>
      <c r="E557" s="14" t="s">
        <v>1490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1472</v>
      </c>
      <c r="D558" s="14" t="s">
        <v>1473</v>
      </c>
      <c r="E558" s="14" t="s">
        <v>1474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1475</v>
      </c>
      <c r="D559" s="14" t="s">
        <v>1476</v>
      </c>
      <c r="E559" s="14" t="s">
        <v>1477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1478</v>
      </c>
      <c r="D560" s="14" t="s">
        <v>1479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1480</v>
      </c>
      <c r="D561" s="14" t="s">
        <v>1481</v>
      </c>
      <c r="E561" s="14" t="s">
        <v>1482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1483</v>
      </c>
      <c r="D562" s="14" t="s">
        <v>1484</v>
      </c>
      <c r="E562" s="14" t="s">
        <v>1485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1486</v>
      </c>
      <c r="D563" s="14" t="s">
        <v>1489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1487</v>
      </c>
      <c r="D564" s="14" t="s">
        <v>1488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1498</v>
      </c>
      <c r="D565" s="14" t="s">
        <v>1080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1499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1500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1788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1501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1502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1789</v>
      </c>
      <c r="D571" s="14" t="s">
        <v>1001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1503</v>
      </c>
      <c r="D572" s="14" t="s">
        <v>1504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1505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1512</v>
      </c>
      <c r="D574" s="14" t="s">
        <v>1513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1514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1515</v>
      </c>
      <c r="D576" s="14" t="s">
        <v>1516</v>
      </c>
      <c r="E576" s="14" t="s">
        <v>1517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1518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1519</v>
      </c>
      <c r="D578" s="14" t="s">
        <v>1520</v>
      </c>
      <c r="E578" s="14" t="s">
        <v>1521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1522</v>
      </c>
      <c r="D579" s="14" t="s">
        <v>1523</v>
      </c>
      <c r="E579" s="14" t="s">
        <v>1524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1525</v>
      </c>
      <c r="D580" s="14" t="s">
        <v>1526</v>
      </c>
      <c r="E580" s="14" t="s">
        <v>1527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1528</v>
      </c>
      <c r="D581" s="14" t="s">
        <v>1529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1530</v>
      </c>
      <c r="D582" s="14" t="s">
        <v>1531</v>
      </c>
      <c r="E582" s="14" t="s">
        <v>1536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1532</v>
      </c>
      <c r="D583" s="14" t="s">
        <v>959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1533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1534</v>
      </c>
      <c r="D585" s="14" t="s">
        <v>1471</v>
      </c>
      <c r="E585" s="14" t="s">
        <v>1535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1542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1543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1544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1545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1546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1547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1548</v>
      </c>
      <c r="D593" s="14" t="s">
        <v>1549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1550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1551</v>
      </c>
      <c r="D595" s="14" t="s">
        <v>1097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1552</v>
      </c>
      <c r="D596" s="14" t="s">
        <v>1154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21" t="s">
        <v>1553</v>
      </c>
      <c r="D597" s="14" t="s">
        <v>1554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21" t="s">
        <v>1555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21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21" t="s">
        <v>1558</v>
      </c>
      <c r="D600" s="14" t="s">
        <v>1559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1" t="s">
        <v>1560</v>
      </c>
      <c r="D601" s="14" t="s">
        <v>1459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1" t="s">
        <v>1561</v>
      </c>
      <c r="D602" s="14" t="s">
        <v>1562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1" t="s">
        <v>1563</v>
      </c>
      <c r="D603" s="14" t="s">
        <v>1457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1" t="s">
        <v>1564</v>
      </c>
      <c r="D604" s="14" t="s">
        <v>1154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1" t="s">
        <v>1565</v>
      </c>
      <c r="D605" s="14" t="s">
        <v>1097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1" t="s">
        <v>1566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1" t="s">
        <v>1567</v>
      </c>
      <c r="D607" s="14" t="s">
        <v>1568</v>
      </c>
      <c r="E607" s="14" t="s">
        <v>1569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1" t="s">
        <v>1570</v>
      </c>
      <c r="D608" s="14" t="s">
        <v>1571</v>
      </c>
      <c r="E608" s="14" t="s">
        <v>1572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1" t="s">
        <v>1573</v>
      </c>
      <c r="D609" s="14" t="s">
        <v>1574</v>
      </c>
      <c r="E609" s="14" t="s">
        <v>1575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1" t="s">
        <v>1576</v>
      </c>
      <c r="D610" s="14" t="s">
        <v>1577</v>
      </c>
      <c r="E610" s="14" t="s">
        <v>1572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1" t="s">
        <v>1578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1" t="s">
        <v>1579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1" t="s">
        <v>1580</v>
      </c>
      <c r="D613" s="14" t="s">
        <v>1082</v>
      </c>
      <c r="E613" s="14" t="s">
        <v>1569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1581</v>
      </c>
      <c r="D614" s="14" t="s">
        <v>1582</v>
      </c>
      <c r="E614" s="14" t="s">
        <v>1569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1583</v>
      </c>
      <c r="D615" s="14" t="s">
        <v>1584</v>
      </c>
      <c r="E615" s="14" t="s">
        <v>1585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1586</v>
      </c>
      <c r="D616" s="14" t="s">
        <v>1488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1593</v>
      </c>
      <c r="D617" s="14" t="s">
        <v>1484</v>
      </c>
      <c r="E617" s="14" t="s">
        <v>1485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1594</v>
      </c>
      <c r="D618" s="14" t="s">
        <v>1595</v>
      </c>
      <c r="E618" s="14" t="s">
        <v>1596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1597</v>
      </c>
      <c r="D619" s="14" t="s">
        <v>1479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1598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1599</v>
      </c>
      <c r="D621" s="14" t="s">
        <v>1600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1601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1602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1603</v>
      </c>
      <c r="D624" s="14" t="s">
        <v>1604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1605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1606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1607</v>
      </c>
      <c r="D627" s="14" t="s">
        <v>1608</v>
      </c>
      <c r="E627" s="14" t="s">
        <v>1609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1610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1613</v>
      </c>
      <c r="D629" s="14" t="s">
        <v>1614</v>
      </c>
      <c r="E629" s="14" t="s">
        <v>1615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1616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1617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1618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1619</v>
      </c>
      <c r="D634" s="14" t="s">
        <v>1620</v>
      </c>
      <c r="E634" s="14" t="s">
        <v>1621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1622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1623</v>
      </c>
      <c r="D636" s="14" t="s">
        <v>1624</v>
      </c>
      <c r="E636" s="14" t="s">
        <v>1625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1626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1629</v>
      </c>
      <c r="D638" s="14" t="s">
        <v>1473</v>
      </c>
      <c r="E638" s="14" t="s">
        <v>1474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1630</v>
      </c>
      <c r="D639" s="14" t="s">
        <v>1009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1631</v>
      </c>
      <c r="D640" s="14" t="s">
        <v>1632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1633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1634</v>
      </c>
      <c r="D642" s="14" t="s">
        <v>675</v>
      </c>
      <c r="E642" s="14" t="s">
        <v>1117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1635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1636</v>
      </c>
      <c r="D644" s="14" t="s">
        <v>1637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1638</v>
      </c>
      <c r="D645" s="14" t="s">
        <v>1639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1640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1641</v>
      </c>
      <c r="D647" s="14" t="s">
        <v>1080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1642</v>
      </c>
      <c r="D648" s="14" t="s">
        <v>1643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1644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1645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1646</v>
      </c>
      <c r="D651" s="14" t="s">
        <v>1604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1576</v>
      </c>
      <c r="D652" s="14" t="s">
        <v>1523</v>
      </c>
      <c r="E652" s="14" t="s">
        <v>1524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1647</v>
      </c>
      <c r="D653" s="14" t="s">
        <v>1648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1649</v>
      </c>
      <c r="D654" s="14" t="s">
        <v>1650</v>
      </c>
      <c r="E654" s="14" t="s">
        <v>1651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1652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1653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1654</v>
      </c>
      <c r="D657" s="14" t="s">
        <v>1655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1656</v>
      </c>
      <c r="D658" s="14" t="s">
        <v>1094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1657</v>
      </c>
      <c r="D659" s="14" t="s">
        <v>1658</v>
      </c>
      <c r="E659" s="14" t="s">
        <v>1659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1660</v>
      </c>
      <c r="D660" s="14" t="s">
        <v>1661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1662</v>
      </c>
      <c r="D661" s="14" t="s">
        <v>1663</v>
      </c>
      <c r="E661" s="14" t="s">
        <v>1664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1665</v>
      </c>
      <c r="D662" s="14" t="s">
        <v>1023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1666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1667</v>
      </c>
      <c r="D664" s="14" t="s">
        <v>1668</v>
      </c>
      <c r="E664" s="14" t="s">
        <v>1669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1670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1671</v>
      </c>
      <c r="D666" s="14" t="s">
        <v>332</v>
      </c>
      <c r="E666" s="14" t="s">
        <v>1124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1672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1673</v>
      </c>
      <c r="D668" s="14" t="s">
        <v>1674</v>
      </c>
      <c r="E668" s="14" t="s">
        <v>1675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1676</v>
      </c>
      <c r="D669" s="14" t="s">
        <v>1677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1678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1679</v>
      </c>
      <c r="D671" s="14" t="s">
        <v>1122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1680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1681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1682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1683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1684</v>
      </c>
      <c r="D676" s="14" t="s">
        <v>1685</v>
      </c>
      <c r="E676" s="14" t="s">
        <v>1686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1687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1688</v>
      </c>
      <c r="D678" s="14" t="s">
        <v>1689</v>
      </c>
      <c r="E678" s="14" t="s">
        <v>1690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1691</v>
      </c>
      <c r="D679" s="14" t="s">
        <v>1692</v>
      </c>
      <c r="E679" s="14" t="s">
        <v>1693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1694</v>
      </c>
      <c r="D680" s="14" t="s">
        <v>1695</v>
      </c>
      <c r="E680" s="14" t="s">
        <v>1696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1697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1698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1699</v>
      </c>
      <c r="D683" s="14" t="s">
        <v>1186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1700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1701</v>
      </c>
      <c r="D685" s="14" t="s">
        <v>1702</v>
      </c>
      <c r="E685" s="14" t="s">
        <v>1703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1704</v>
      </c>
      <c r="D686" s="14" t="s">
        <v>1562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1705</v>
      </c>
      <c r="D687" s="14" t="s">
        <v>1488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1710</v>
      </c>
      <c r="D688" s="14" t="s">
        <v>1192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1711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1712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1713</v>
      </c>
      <c r="D691" s="14" t="s">
        <v>1714</v>
      </c>
      <c r="E691" s="14" t="s">
        <v>1715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1716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1717</v>
      </c>
      <c r="D693" s="14" t="s">
        <v>1759</v>
      </c>
      <c r="E693" s="14" t="s">
        <v>1718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1760</v>
      </c>
      <c r="E694" s="14" t="s">
        <v>1718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1719</v>
      </c>
      <c r="D695" s="14" t="s">
        <v>1720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1721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1722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1603</v>
      </c>
      <c r="D698" s="14" t="s">
        <v>1723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1724</v>
      </c>
      <c r="D699" s="14" t="s">
        <v>1725</v>
      </c>
      <c r="E699" s="14" t="s">
        <v>1726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1727</v>
      </c>
      <c r="D700" s="14" t="s">
        <v>1728</v>
      </c>
      <c r="E700" s="14" t="s">
        <v>1726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1729</v>
      </c>
      <c r="D701" s="14" t="s">
        <v>1730</v>
      </c>
      <c r="E701" s="14" t="s">
        <v>1726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1731</v>
      </c>
      <c r="D702" s="14" t="s">
        <v>1732</v>
      </c>
      <c r="E702" s="14" t="s">
        <v>1726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1733</v>
      </c>
      <c r="D703" s="14" t="s">
        <v>1734</v>
      </c>
      <c r="E703" s="14" t="s">
        <v>1735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1736</v>
      </c>
      <c r="D704" s="14" t="s">
        <v>1737</v>
      </c>
      <c r="E704" s="14" t="s">
        <v>1738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1739</v>
      </c>
      <c r="D705" s="14" t="s">
        <v>1740</v>
      </c>
      <c r="E705" s="14" t="s">
        <v>1741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1742</v>
      </c>
      <c r="D706" s="14" t="s">
        <v>1743</v>
      </c>
      <c r="E706" s="14" t="s">
        <v>1741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1744</v>
      </c>
      <c r="D707" s="14" t="s">
        <v>1745</v>
      </c>
      <c r="E707" s="14" t="s">
        <v>1746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1747</v>
      </c>
      <c r="D708" s="14" t="s">
        <v>1748</v>
      </c>
      <c r="E708" s="14" t="s">
        <v>1746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1749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1750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1670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1751</v>
      </c>
      <c r="D712" s="14" t="s">
        <v>1752</v>
      </c>
      <c r="E712" s="14" t="s">
        <v>1753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1754</v>
      </c>
      <c r="D713" s="14" t="s">
        <v>1755</v>
      </c>
      <c r="E713" s="14" t="s">
        <v>1756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1761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1762</v>
      </c>
      <c r="D715" s="14" t="s">
        <v>1763</v>
      </c>
      <c r="E715" s="14" t="s">
        <v>1764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1765</v>
      </c>
      <c r="D716" s="14" t="s">
        <v>1766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1767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1768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1769</v>
      </c>
      <c r="D720" s="14" t="s">
        <v>1160</v>
      </c>
      <c r="E720" s="14" t="s">
        <v>1161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1770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1771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1772</v>
      </c>
      <c r="D723" s="14" t="s">
        <v>1773</v>
      </c>
      <c r="E723" s="14" t="s">
        <v>1774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1794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1795</v>
      </c>
      <c r="D725" s="14" t="s">
        <v>59</v>
      </c>
      <c r="E725" s="14" t="s">
        <v>1796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1797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1798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1799</v>
      </c>
      <c r="D728" s="14" t="s">
        <v>1403</v>
      </c>
      <c r="E728" s="14" t="s">
        <v>1101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1800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1801</v>
      </c>
      <c r="D730" s="14" t="s">
        <v>1559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1802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1803</v>
      </c>
      <c r="D733" s="14" t="s">
        <v>242</v>
      </c>
      <c r="E733" s="14" t="s">
        <v>1013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1804</v>
      </c>
      <c r="E734" s="14" t="s">
        <v>1805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1812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1813</v>
      </c>
      <c r="D736" s="14" t="s">
        <v>1082</v>
      </c>
      <c r="E736" s="14" t="s">
        <v>1814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1815</v>
      </c>
      <c r="D737" s="14" t="s">
        <v>1816</v>
      </c>
      <c r="E737" s="14" t="s">
        <v>1817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1818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1819</v>
      </c>
      <c r="D739" s="14" t="s">
        <v>1432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1820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1821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1822</v>
      </c>
      <c r="D743" s="14" t="s">
        <v>589</v>
      </c>
      <c r="E743" s="14" t="s">
        <v>1823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1824</v>
      </c>
      <c r="D744" s="14" t="s">
        <v>1825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1826</v>
      </c>
      <c r="D745" s="14" t="s">
        <v>1827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1828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1829</v>
      </c>
      <c r="D747" s="14" t="s">
        <v>1830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1831</v>
      </c>
      <c r="D748" s="14" t="s">
        <v>256</v>
      </c>
      <c r="E748" s="14" t="s">
        <v>1832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1833</v>
      </c>
      <c r="D749" s="14" t="s">
        <v>1834</v>
      </c>
      <c r="E749" s="14" t="s">
        <v>1835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1794</v>
      </c>
      <c r="D750" s="14" t="s">
        <v>1838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1839</v>
      </c>
      <c r="D751" s="14" t="s">
        <v>1840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1841</v>
      </c>
      <c r="D752" s="14" t="s">
        <v>1842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1843</v>
      </c>
      <c r="D753" s="14" t="s">
        <v>1844</v>
      </c>
      <c r="E753" s="14" t="s">
        <v>1845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1846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1847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1848</v>
      </c>
      <c r="D756" s="14" t="s">
        <v>1849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1850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1851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1852</v>
      </c>
      <c r="D759" s="14" t="s">
        <v>1853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1854</v>
      </c>
      <c r="D760" s="14" t="s">
        <v>1855</v>
      </c>
      <c r="E760" s="14" t="s">
        <v>1856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1857</v>
      </c>
      <c r="D761" s="14" t="s">
        <v>174</v>
      </c>
      <c r="E761" s="14" t="s">
        <v>1013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1858</v>
      </c>
      <c r="D762" s="14" t="s">
        <v>1859</v>
      </c>
      <c r="E762" s="14" t="s">
        <v>1860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1861</v>
      </c>
      <c r="D763" s="14" t="s">
        <v>1862</v>
      </c>
      <c r="E763" s="14" t="s">
        <v>1860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1863</v>
      </c>
      <c r="D764" s="14" t="s">
        <v>962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1864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1865</v>
      </c>
      <c r="D766" s="14" t="s">
        <v>1866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1867</v>
      </c>
      <c r="D767" s="14" t="s">
        <v>1868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1869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1870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1873</v>
      </c>
      <c r="D770" s="14" t="s">
        <v>31</v>
      </c>
      <c r="E770" s="14" t="s">
        <v>1047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1874</v>
      </c>
      <c r="D771" s="14" t="s">
        <v>710</v>
      </c>
      <c r="E771" s="14" t="s">
        <v>1982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1875</v>
      </c>
      <c r="D772" s="14" t="s">
        <v>1479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1876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1877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1878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1879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1880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1881</v>
      </c>
      <c r="D778" s="14" t="s">
        <v>1488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1882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1883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1890</v>
      </c>
      <c r="D781" s="14" t="s">
        <v>1891</v>
      </c>
      <c r="E781" s="14" t="s">
        <v>1892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1893</v>
      </c>
      <c r="D782" s="14" t="s">
        <v>1894</v>
      </c>
      <c r="E782" s="14" t="s">
        <v>1892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1895</v>
      </c>
      <c r="D783" s="14" t="s">
        <v>1896</v>
      </c>
      <c r="E783" s="14" t="s">
        <v>1897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1898</v>
      </c>
      <c r="D784" s="14" t="s">
        <v>1899</v>
      </c>
      <c r="E784" s="14" t="s">
        <v>1900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1901</v>
      </c>
      <c r="D785" s="14" t="s">
        <v>1902</v>
      </c>
      <c r="E785" s="14" t="s">
        <v>1903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1904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1905</v>
      </c>
      <c r="E787" s="14" t="s">
        <v>1726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1906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1907</v>
      </c>
      <c r="D789" s="14" t="s">
        <v>1908</v>
      </c>
      <c r="E789" s="14" t="s">
        <v>1909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1912</v>
      </c>
      <c r="D790" s="14" t="s">
        <v>1913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1901</v>
      </c>
      <c r="D791" s="14" t="s">
        <v>1914</v>
      </c>
      <c r="E791" s="14" t="s">
        <v>1915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1916</v>
      </c>
      <c r="D792" s="14" t="s">
        <v>1917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1918</v>
      </c>
      <c r="D793" s="14" t="s">
        <v>1919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1920</v>
      </c>
      <c r="D794" s="14" t="s">
        <v>1921</v>
      </c>
      <c r="E794" s="14" t="s">
        <v>1922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1923</v>
      </c>
      <c r="D795" s="14" t="s">
        <v>1924</v>
      </c>
      <c r="E795" s="14" t="s">
        <v>1925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1926</v>
      </c>
      <c r="D796" s="14" t="s">
        <v>1927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1932</v>
      </c>
      <c r="D797" s="14" t="s">
        <v>969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1933</v>
      </c>
      <c r="D798" s="14" t="s">
        <v>1655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1934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1935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1936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1937</v>
      </c>
      <c r="D802" s="14" t="s">
        <v>1450</v>
      </c>
      <c r="E802" s="14" t="s">
        <v>1451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1938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1939</v>
      </c>
      <c r="D805" s="14" t="s">
        <v>1830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1940</v>
      </c>
      <c r="D806" s="14" t="s">
        <v>31</v>
      </c>
      <c r="E806" s="14" t="s">
        <v>1047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1941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1942</v>
      </c>
      <c r="D808" s="14" t="s">
        <v>1571</v>
      </c>
      <c r="E808" s="14" t="s">
        <v>1572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1943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1944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1945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1946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1947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1948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1959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1960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1961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1962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1963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1964</v>
      </c>
      <c r="D820" s="14" t="s">
        <v>1965</v>
      </c>
      <c r="E820" s="14" t="s">
        <v>1966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1967</v>
      </c>
      <c r="D821" s="14" t="s">
        <v>1403</v>
      </c>
      <c r="E821" s="14" t="s">
        <v>1101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1968</v>
      </c>
      <c r="D822" s="14" t="s">
        <v>1100</v>
      </c>
      <c r="E822" s="14" t="s">
        <v>1101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1969</v>
      </c>
      <c r="D823" s="14" t="s">
        <v>1917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1970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1971</v>
      </c>
      <c r="D825" s="14" t="s">
        <v>1972</v>
      </c>
      <c r="E825" s="14" t="s">
        <v>1973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1974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1975</v>
      </c>
      <c r="D827" s="14" t="s">
        <v>1976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1977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1987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1631</v>
      </c>
      <c r="D830" s="14" t="s">
        <v>1479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1988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1989</v>
      </c>
      <c r="D832" s="14" t="s">
        <v>1990</v>
      </c>
      <c r="E832" s="14" t="s">
        <v>1991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1992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1993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1994</v>
      </c>
      <c r="D835" s="14" t="s">
        <v>1995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1996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0" si="42">ROW()-1</f>
        <v>836</v>
      </c>
      <c r="B837" s="14">
        <v>115</v>
      </c>
      <c r="C837" s="21" t="s">
        <v>1997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1998</v>
      </c>
      <c r="D838" s="14" t="s">
        <v>977</v>
      </c>
      <c r="E838" s="14" t="s">
        <v>978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1999</v>
      </c>
      <c r="D839" s="14" t="s">
        <v>2000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/>
      <c r="C840" s="18"/>
      <c r="D840" s="14"/>
      <c r="E840" s="14"/>
      <c r="G840" s="1">
        <f>_xlfn.XLOOKUP(B840,M_YT_LIVE!A:A,M_YT_LIVE!F:F,"ERROR",0,1)</f>
        <v>0</v>
      </c>
      <c r="W840" s="13" t="e">
        <f t="shared" si="41"/>
        <v>#VALUE!</v>
      </c>
      <c r="X840" s="12">
        <f>_xlfn.XLOOKUP($B840,M_YT_LIVE!$A:$A,M_YT_LIVE!$D:$D)</f>
        <v>0</v>
      </c>
      <c r="Z840" s="16" t="e">
        <f>HYPERLINK($X840&amp;SUBSTITUTE(マスタ!$C$3,"XXXXX",$W840))</f>
        <v>#VALUE!</v>
      </c>
      <c r="AA840" s="12" t="str">
        <f t="shared" si="40"/>
        <v/>
      </c>
    </row>
    <row r="841" spans="1:27" x14ac:dyDescent="0.4">
      <c r="A841" s="14">
        <f t="shared" si="42"/>
        <v>840</v>
      </c>
      <c r="B841" s="14"/>
      <c r="C841" s="18"/>
      <c r="D841" s="14"/>
      <c r="E841" s="14"/>
      <c r="G841" s="1">
        <f>_xlfn.XLOOKUP(B841,M_YT_LIVE!A:A,M_YT_LIVE!F:F,"ERROR",0,1)</f>
        <v>0</v>
      </c>
      <c r="W841" s="13" t="e">
        <f t="shared" si="41"/>
        <v>#VALUE!</v>
      </c>
      <c r="X841" s="12">
        <f>_xlfn.XLOOKUP($B841,M_YT_LIVE!$A:$A,M_YT_LIVE!$D:$D)</f>
        <v>0</v>
      </c>
      <c r="Z841" s="16" t="e">
        <f>HYPERLINK($X841&amp;SUBSTITUTE(マスタ!$C$3,"XXXXX",$W841))</f>
        <v>#VALUE!</v>
      </c>
      <c r="AA841" s="12" t="str">
        <f t="shared" si="40"/>
        <v/>
      </c>
    </row>
    <row r="842" spans="1:27" x14ac:dyDescent="0.4">
      <c r="A842" s="14">
        <f t="shared" si="42"/>
        <v>841</v>
      </c>
      <c r="B842" s="14"/>
      <c r="C842" s="18"/>
      <c r="D842" s="14"/>
      <c r="E842" s="14"/>
      <c r="G842" s="1">
        <f>_xlfn.XLOOKUP(B842,M_YT_LIVE!A:A,M_YT_LIVE!F:F,"ERROR",0,1)</f>
        <v>0</v>
      </c>
      <c r="W842" s="13" t="e">
        <f t="shared" si="41"/>
        <v>#VALUE!</v>
      </c>
      <c r="X842" s="12">
        <f>_xlfn.XLOOKUP($B842,M_YT_LIVE!$A:$A,M_YT_LIVE!$D:$D)</f>
        <v>0</v>
      </c>
      <c r="Z842" s="16" t="e">
        <f>HYPERLINK($X842&amp;SUBSTITUTE(マスタ!$C$3,"XXXXX",$W842))</f>
        <v>#VALUE!</v>
      </c>
      <c r="AA842" s="12" t="str">
        <f t="shared" si="40"/>
        <v/>
      </c>
    </row>
    <row r="843" spans="1:27" x14ac:dyDescent="0.4">
      <c r="A843" s="14">
        <f t="shared" si="42"/>
        <v>842</v>
      </c>
      <c r="B843" s="14"/>
      <c r="C843" s="18"/>
      <c r="D843" s="14"/>
      <c r="E843" s="14"/>
      <c r="G843" s="1">
        <f>_xlfn.XLOOKUP(B843,M_YT_LIVE!A:A,M_YT_LIVE!F:F,"ERROR",0,1)</f>
        <v>0</v>
      </c>
      <c r="W843" s="13" t="e">
        <f t="shared" si="41"/>
        <v>#VALUE!</v>
      </c>
      <c r="X843" s="12">
        <f>_xlfn.XLOOKUP($B843,M_YT_LIVE!$A:$A,M_YT_LIVE!$D:$D)</f>
        <v>0</v>
      </c>
      <c r="Z843" s="16" t="e">
        <f>HYPERLINK($X843&amp;SUBSTITUTE(マスタ!$C$3,"XXXXX",$W843))</f>
        <v>#VALUE!</v>
      </c>
      <c r="AA843" s="12" t="str">
        <f t="shared" si="40"/>
        <v/>
      </c>
    </row>
    <row r="844" spans="1:27" x14ac:dyDescent="0.4">
      <c r="A844" s="14">
        <f t="shared" si="42"/>
        <v>843</v>
      </c>
      <c r="B844" s="14"/>
      <c r="C844" s="18"/>
      <c r="D844" s="14"/>
      <c r="E844" s="14"/>
      <c r="G844" s="1">
        <f>_xlfn.XLOOKUP(B844,M_YT_LIVE!A:A,M_YT_LIVE!F:F,"ERROR",0,1)</f>
        <v>0</v>
      </c>
      <c r="W844" s="13" t="e">
        <f t="shared" si="41"/>
        <v>#VALUE!</v>
      </c>
      <c r="X844" s="12">
        <f>_xlfn.XLOOKUP($B844,M_YT_LIVE!$A:$A,M_YT_LIVE!$D:$D)</f>
        <v>0</v>
      </c>
      <c r="Z844" s="16" t="e">
        <f>HYPERLINK($X844&amp;SUBSTITUTE(マスタ!$C$3,"XXXXX",$W844))</f>
        <v>#VALUE!</v>
      </c>
      <c r="AA844" s="12" t="str">
        <f t="shared" si="40"/>
        <v/>
      </c>
    </row>
    <row r="845" spans="1:27" x14ac:dyDescent="0.4">
      <c r="A845" s="14">
        <f t="shared" si="42"/>
        <v>844</v>
      </c>
      <c r="B845" s="14"/>
      <c r="C845" s="18"/>
      <c r="D845" s="14"/>
      <c r="E845" s="14"/>
      <c r="G845" s="1">
        <f>_xlfn.XLOOKUP(B845,M_YT_LIVE!A:A,M_YT_LIVE!F:F,"ERROR",0,1)</f>
        <v>0</v>
      </c>
      <c r="W845" s="13" t="e">
        <f t="shared" si="41"/>
        <v>#VALUE!</v>
      </c>
      <c r="X845" s="12">
        <f>_xlfn.XLOOKUP($B845,M_YT_LIVE!$A:$A,M_YT_LIVE!$D:$D)</f>
        <v>0</v>
      </c>
      <c r="Z845" s="16" t="e">
        <f>HYPERLINK($X845&amp;SUBSTITUTE(マスタ!$C$3,"XXXXX",$W845))</f>
        <v>#VALUE!</v>
      </c>
      <c r="AA845" s="12" t="str">
        <f t="shared" si="40"/>
        <v/>
      </c>
    </row>
    <row r="846" spans="1:27" x14ac:dyDescent="0.4">
      <c r="A846" s="14">
        <f t="shared" si="42"/>
        <v>845</v>
      </c>
      <c r="B846" s="14"/>
      <c r="C846" s="18"/>
      <c r="D846" s="14"/>
      <c r="E846" s="14"/>
      <c r="G846" s="1">
        <f>_xlfn.XLOOKUP(B846,M_YT_LIVE!A:A,M_YT_LIVE!F:F,"ERROR",0,1)</f>
        <v>0</v>
      </c>
      <c r="W846" s="13" t="e">
        <f t="shared" si="41"/>
        <v>#VALUE!</v>
      </c>
      <c r="X846" s="12">
        <f>_xlfn.XLOOKUP($B846,M_YT_LIVE!$A:$A,M_YT_LIVE!$D:$D)</f>
        <v>0</v>
      </c>
      <c r="Z846" s="16" t="e">
        <f>HYPERLINK($X846&amp;SUBSTITUTE(マスタ!$C$3,"XXXXX",$W846))</f>
        <v>#VALUE!</v>
      </c>
      <c r="AA846" s="12" t="str">
        <f t="shared" si="40"/>
        <v/>
      </c>
    </row>
    <row r="847" spans="1:27" x14ac:dyDescent="0.4">
      <c r="A847" s="14">
        <f t="shared" si="42"/>
        <v>846</v>
      </c>
      <c r="B847" s="14"/>
      <c r="C847" s="18"/>
      <c r="D847" s="14"/>
      <c r="E847" s="14"/>
      <c r="G847" s="1">
        <f>_xlfn.XLOOKUP(B847,M_YT_LIVE!A:A,M_YT_LIVE!F:F,"ERROR",0,1)</f>
        <v>0</v>
      </c>
      <c r="W847" s="13" t="e">
        <f t="shared" si="41"/>
        <v>#VALUE!</v>
      </c>
      <c r="X847" s="12">
        <f>_xlfn.XLOOKUP($B847,M_YT_LIVE!$A:$A,M_YT_LIVE!$D:$D)</f>
        <v>0</v>
      </c>
      <c r="Z847" s="16" t="e">
        <f>HYPERLINK($X847&amp;SUBSTITUTE(マスタ!$C$3,"XXXXX",$W847))</f>
        <v>#VALUE!</v>
      </c>
      <c r="AA847" s="12" t="str">
        <f t="shared" si="40"/>
        <v/>
      </c>
    </row>
    <row r="848" spans="1:27" x14ac:dyDescent="0.4">
      <c r="A848" s="14">
        <f t="shared" si="42"/>
        <v>847</v>
      </c>
      <c r="B848" s="14"/>
      <c r="C848" s="18"/>
      <c r="D848" s="14"/>
      <c r="E848" s="14"/>
      <c r="G848" s="1">
        <f>_xlfn.XLOOKUP(B848,M_YT_LIVE!A:A,M_YT_LIVE!F:F,"ERROR",0,1)</f>
        <v>0</v>
      </c>
      <c r="W848" s="13" t="e">
        <f t="shared" si="41"/>
        <v>#VALUE!</v>
      </c>
      <c r="X848" s="12">
        <f>_xlfn.XLOOKUP($B848,M_YT_LIVE!$A:$A,M_YT_LIVE!$D:$D)</f>
        <v>0</v>
      </c>
      <c r="Z848" s="16" t="e">
        <f>HYPERLINK($X848&amp;SUBSTITUTE(マスタ!$C$3,"XXXXX",$W848))</f>
        <v>#VALUE!</v>
      </c>
      <c r="AA848" s="12" t="str">
        <f t="shared" si="40"/>
        <v/>
      </c>
    </row>
    <row r="849" spans="1:27" x14ac:dyDescent="0.4">
      <c r="A849" s="14">
        <f t="shared" si="42"/>
        <v>848</v>
      </c>
      <c r="B849" s="14"/>
      <c r="C849" s="18"/>
      <c r="D849" s="14"/>
      <c r="E849" s="14"/>
      <c r="G849" s="1">
        <f>_xlfn.XLOOKUP(B849,M_YT_LIVE!A:A,M_YT_LIVE!F:F,"ERROR",0,1)</f>
        <v>0</v>
      </c>
      <c r="W849" s="13" t="e">
        <f t="shared" si="41"/>
        <v>#VALUE!</v>
      </c>
      <c r="X849" s="12">
        <f>_xlfn.XLOOKUP($B849,M_YT_LIVE!$A:$A,M_YT_LIVE!$D:$D)</f>
        <v>0</v>
      </c>
      <c r="Z849" s="16" t="e">
        <f>HYPERLINK($X849&amp;SUBSTITUTE(マスタ!$C$3,"XXXXX",$W849))</f>
        <v>#VALUE!</v>
      </c>
      <c r="AA849" s="12" t="str">
        <f t="shared" si="40"/>
        <v/>
      </c>
    </row>
    <row r="850" spans="1:27" x14ac:dyDescent="0.4">
      <c r="A850" s="14">
        <f t="shared" si="42"/>
        <v>849</v>
      </c>
      <c r="B850" s="14"/>
      <c r="C850" s="18"/>
      <c r="D850" s="14"/>
      <c r="E850" s="14"/>
      <c r="G850" s="1">
        <f>_xlfn.XLOOKUP(B850,M_YT_LIVE!A:A,M_YT_LIVE!F:F,"ERROR",0,1)</f>
        <v>0</v>
      </c>
      <c r="W850" s="13" t="e">
        <f t="shared" si="41"/>
        <v>#VALUE!</v>
      </c>
      <c r="X850" s="12">
        <f>_xlfn.XLOOKUP($B850,M_YT_LIVE!$A:$A,M_YT_LIVE!$D:$D)</f>
        <v>0</v>
      </c>
      <c r="Z850" s="16" t="e">
        <f>HYPERLINK($X850&amp;SUBSTITUTE(マスタ!$C$3,"XXXXX",$W850))</f>
        <v>#VALUE!</v>
      </c>
      <c r="AA850" s="12" t="str">
        <f t="shared" si="40"/>
        <v/>
      </c>
    </row>
    <row r="851" spans="1:27" x14ac:dyDescent="0.4">
      <c r="A851" s="14">
        <f t="shared" si="42"/>
        <v>850</v>
      </c>
      <c r="B851" s="14"/>
      <c r="C851" s="18"/>
      <c r="D851" s="14"/>
      <c r="E851" s="14"/>
      <c r="G851" s="1">
        <f>_xlfn.XLOOKUP(B851,M_YT_LIVE!A:A,M_YT_LIVE!F:F,"ERROR",0,1)</f>
        <v>0</v>
      </c>
      <c r="W851" s="13" t="e">
        <f t="shared" si="41"/>
        <v>#VALUE!</v>
      </c>
      <c r="X851" s="12">
        <f>_xlfn.XLOOKUP($B851,M_YT_LIVE!$A:$A,M_YT_LIVE!$D:$D)</f>
        <v>0</v>
      </c>
      <c r="Z851" s="16" t="e">
        <f>HYPERLINK($X851&amp;SUBSTITUTE(マスタ!$C$3,"XXXXX",$W851))</f>
        <v>#VALUE!</v>
      </c>
      <c r="AA851" s="12" t="str">
        <f t="shared" si="40"/>
        <v/>
      </c>
    </row>
    <row r="852" spans="1:27" x14ac:dyDescent="0.4">
      <c r="A852" s="14">
        <f t="shared" si="42"/>
        <v>851</v>
      </c>
      <c r="B852" s="14"/>
      <c r="C852" s="18"/>
      <c r="D852" s="14"/>
      <c r="E852" s="14"/>
      <c r="G852" s="1">
        <f>_xlfn.XLOOKUP(B852,M_YT_LIVE!A:A,M_YT_LIVE!F:F,"ERROR",0,1)</f>
        <v>0</v>
      </c>
      <c r="W852" s="13" t="e">
        <f t="shared" si="41"/>
        <v>#VALUE!</v>
      </c>
      <c r="X852" s="12">
        <f>_xlfn.XLOOKUP($B852,M_YT_LIVE!$A:$A,M_YT_LIVE!$D:$D)</f>
        <v>0</v>
      </c>
      <c r="Z852" s="16" t="e">
        <f>HYPERLINK($X852&amp;SUBSTITUTE(マスタ!$C$3,"XXXXX",$W852))</f>
        <v>#VALUE!</v>
      </c>
      <c r="AA852" s="12" t="str">
        <f t="shared" si="40"/>
        <v/>
      </c>
    </row>
    <row r="853" spans="1:27" x14ac:dyDescent="0.4">
      <c r="A853" s="14">
        <f t="shared" si="42"/>
        <v>852</v>
      </c>
      <c r="B853" s="14"/>
      <c r="C853" s="18"/>
      <c r="D853" s="14"/>
      <c r="E853" s="14"/>
      <c r="G853" s="1">
        <f>_xlfn.XLOOKUP(B853,M_YT_LIVE!A:A,M_YT_LIVE!F:F,"ERROR",0,1)</f>
        <v>0</v>
      </c>
      <c r="W853" s="13" t="e">
        <f t="shared" si="41"/>
        <v>#VALUE!</v>
      </c>
      <c r="X853" s="12">
        <f>_xlfn.XLOOKUP($B853,M_YT_LIVE!$A:$A,M_YT_LIVE!$D:$D)</f>
        <v>0</v>
      </c>
      <c r="Z853" s="16" t="e">
        <f>HYPERLINK($X853&amp;SUBSTITUTE(マスタ!$C$3,"XXXXX",$W853))</f>
        <v>#VALUE!</v>
      </c>
      <c r="AA853" s="12" t="str">
        <f t="shared" si="40"/>
        <v/>
      </c>
    </row>
    <row r="854" spans="1:27" x14ac:dyDescent="0.4">
      <c r="A854" s="14">
        <f t="shared" si="42"/>
        <v>853</v>
      </c>
      <c r="B854" s="14"/>
      <c r="C854" s="18"/>
      <c r="D854" s="14"/>
      <c r="E854" s="14"/>
      <c r="G854" s="1">
        <f>_xlfn.XLOOKUP(B854,M_YT_LIVE!A:A,M_YT_LIVE!F:F,"ERROR",0,1)</f>
        <v>0</v>
      </c>
      <c r="W854" s="13" t="e">
        <f t="shared" si="41"/>
        <v>#VALUE!</v>
      </c>
      <c r="X854" s="12">
        <f>_xlfn.XLOOKUP($B854,M_YT_LIVE!$A:$A,M_YT_LIVE!$D:$D)</f>
        <v>0</v>
      </c>
      <c r="Z854" s="16" t="e">
        <f>HYPERLINK($X854&amp;SUBSTITUTE(マスタ!$C$3,"XXXXX",$W854))</f>
        <v>#VALUE!</v>
      </c>
      <c r="AA854" s="12" t="str">
        <f t="shared" si="40"/>
        <v/>
      </c>
    </row>
    <row r="855" spans="1:27" x14ac:dyDescent="0.4">
      <c r="A855" s="14">
        <f t="shared" si="42"/>
        <v>854</v>
      </c>
      <c r="B855" s="14"/>
      <c r="C855" s="18"/>
      <c r="D855" s="14"/>
      <c r="E855" s="14"/>
      <c r="G855" s="1">
        <f>_xlfn.XLOOKUP(B855,M_YT_LIVE!A:A,M_YT_LIVE!F:F,"ERROR",0,1)</f>
        <v>0</v>
      </c>
      <c r="W855" s="13" t="e">
        <f t="shared" si="41"/>
        <v>#VALUE!</v>
      </c>
      <c r="X855" s="12">
        <f>_xlfn.XLOOKUP($B855,M_YT_LIVE!$A:$A,M_YT_LIVE!$D:$D)</f>
        <v>0</v>
      </c>
      <c r="Z855" s="16" t="e">
        <f>HYPERLINK($X855&amp;SUBSTITUTE(マスタ!$C$3,"XXXXX",$W855))</f>
        <v>#VALUE!</v>
      </c>
      <c r="AA855" s="12" t="str">
        <f t="shared" si="40"/>
        <v/>
      </c>
    </row>
    <row r="856" spans="1:27" x14ac:dyDescent="0.4">
      <c r="A856" s="14">
        <f t="shared" si="42"/>
        <v>855</v>
      </c>
      <c r="B856" s="14"/>
      <c r="C856" s="18"/>
      <c r="D856" s="14"/>
      <c r="E856" s="14"/>
      <c r="G856" s="1">
        <f>_xlfn.XLOOKUP(B856,M_YT_LIVE!A:A,M_YT_LIVE!F:F,"ERROR",0,1)</f>
        <v>0</v>
      </c>
      <c r="W856" s="13" t="e">
        <f t="shared" si="41"/>
        <v>#VALUE!</v>
      </c>
      <c r="X856" s="12">
        <f>_xlfn.XLOOKUP($B856,M_YT_LIVE!$A:$A,M_YT_LIVE!$D:$D)</f>
        <v>0</v>
      </c>
      <c r="Z856" s="16" t="e">
        <f>HYPERLINK($X856&amp;SUBSTITUTE(マスタ!$C$3,"XXXXX",$W856))</f>
        <v>#VALUE!</v>
      </c>
      <c r="AA856" s="12" t="str">
        <f t="shared" si="40"/>
        <v/>
      </c>
    </row>
    <row r="857" spans="1:27" x14ac:dyDescent="0.4">
      <c r="A857" s="14">
        <f t="shared" si="42"/>
        <v>856</v>
      </c>
      <c r="B857" s="14"/>
      <c r="C857" s="18"/>
      <c r="D857" s="14"/>
      <c r="E857" s="14"/>
      <c r="G857" s="1">
        <f>_xlfn.XLOOKUP(B857,M_YT_LIVE!A:A,M_YT_LIVE!F:F,"ERROR",0,1)</f>
        <v>0</v>
      </c>
      <c r="W857" s="13" t="e">
        <f t="shared" si="41"/>
        <v>#VALUE!</v>
      </c>
      <c r="X857" s="12">
        <f>_xlfn.XLOOKUP($B857,M_YT_LIVE!$A:$A,M_YT_LIVE!$D:$D)</f>
        <v>0</v>
      </c>
      <c r="Z857" s="16" t="e">
        <f>HYPERLINK($X857&amp;SUBSTITUTE(マスタ!$C$3,"XXXXX",$W857))</f>
        <v>#VALUE!</v>
      </c>
      <c r="AA857" s="12" t="str">
        <f t="shared" si="40"/>
        <v/>
      </c>
    </row>
    <row r="858" spans="1:27" x14ac:dyDescent="0.4">
      <c r="A858" s="14">
        <f t="shared" si="42"/>
        <v>857</v>
      </c>
      <c r="B858" s="14"/>
      <c r="C858" s="18"/>
      <c r="D858" s="14"/>
      <c r="E858" s="14"/>
      <c r="G858" s="1">
        <f>_xlfn.XLOOKUP(B858,M_YT_LIVE!A:A,M_YT_LIVE!F:F,"ERROR",0,1)</f>
        <v>0</v>
      </c>
      <c r="W858" s="13" t="e">
        <f t="shared" si="41"/>
        <v>#VALUE!</v>
      </c>
      <c r="X858" s="12">
        <f>_xlfn.XLOOKUP($B858,M_YT_LIVE!$A:$A,M_YT_LIVE!$D:$D)</f>
        <v>0</v>
      </c>
      <c r="Z858" s="16" t="e">
        <f>HYPERLINK($X858&amp;SUBSTITUTE(マスタ!$C$3,"XXXXX",$W858))</f>
        <v>#VALUE!</v>
      </c>
      <c r="AA858" s="12" t="str">
        <f t="shared" si="40"/>
        <v/>
      </c>
    </row>
    <row r="859" spans="1:27" x14ac:dyDescent="0.4">
      <c r="A859" s="14">
        <f t="shared" si="42"/>
        <v>858</v>
      </c>
      <c r="B859" s="14"/>
      <c r="C859" s="18"/>
      <c r="D859" s="14"/>
      <c r="E859" s="14"/>
      <c r="G859" s="1">
        <f>_xlfn.XLOOKUP(B859,M_YT_LIVE!A:A,M_YT_LIVE!F:F,"ERROR",0,1)</f>
        <v>0</v>
      </c>
      <c r="W859" s="13" t="e">
        <f t="shared" si="41"/>
        <v>#VALUE!</v>
      </c>
      <c r="X859" s="12">
        <f>_xlfn.XLOOKUP($B859,M_YT_LIVE!$A:$A,M_YT_LIVE!$D:$D)</f>
        <v>0</v>
      </c>
      <c r="Z859" s="16" t="e">
        <f>HYPERLINK($X859&amp;SUBSTITUTE(マスタ!$C$3,"XXXXX",$W859))</f>
        <v>#VALUE!</v>
      </c>
      <c r="AA859" s="12" t="str">
        <f t="shared" si="40"/>
        <v/>
      </c>
    </row>
    <row r="860" spans="1:27" x14ac:dyDescent="0.4">
      <c r="A860" s="14">
        <f t="shared" si="42"/>
        <v>859</v>
      </c>
      <c r="B860" s="14"/>
      <c r="C860" s="18"/>
      <c r="D860" s="14"/>
      <c r="E860" s="14"/>
      <c r="G860" s="1">
        <f>_xlfn.XLOOKUP(B860,M_YT_LIVE!A:A,M_YT_LIVE!F:F,"ERROR",0,1)</f>
        <v>0</v>
      </c>
      <c r="W860" s="13" t="e">
        <f t="shared" si="41"/>
        <v>#VALUE!</v>
      </c>
      <c r="X860" s="12">
        <f>_xlfn.XLOOKUP($B860,M_YT_LIVE!$A:$A,M_YT_LIVE!$D:$D)</f>
        <v>0</v>
      </c>
      <c r="Z860" s="16" t="e">
        <f>HYPERLINK($X860&amp;SUBSTITUTE(マスタ!$C$3,"XXXXX",$W860))</f>
        <v>#VALUE!</v>
      </c>
      <c r="AA860" s="12" t="str">
        <f t="shared" si="40"/>
        <v/>
      </c>
    </row>
    <row r="861" spans="1:27" x14ac:dyDescent="0.4">
      <c r="A861" s="14">
        <f t="shared" si="42"/>
        <v>860</v>
      </c>
      <c r="B861" s="14"/>
      <c r="C861" s="18"/>
      <c r="D861" s="14"/>
      <c r="E861" s="14"/>
      <c r="G861" s="1">
        <f>_xlfn.XLOOKUP(B861,M_YT_LIVE!A:A,M_YT_LIVE!F:F,"ERROR",0,1)</f>
        <v>0</v>
      </c>
      <c r="W861" s="13" t="e">
        <f t="shared" si="41"/>
        <v>#VALUE!</v>
      </c>
      <c r="X861" s="12">
        <f>_xlfn.XLOOKUP($B861,M_YT_LIVE!$A:$A,M_YT_LIVE!$D:$D)</f>
        <v>0</v>
      </c>
      <c r="Z861" s="16" t="e">
        <f>HYPERLINK($X861&amp;SUBSTITUTE(マスタ!$C$3,"XXXXX",$W861))</f>
        <v>#VALUE!</v>
      </c>
      <c r="AA861" s="12" t="str">
        <f t="shared" si="40"/>
        <v/>
      </c>
    </row>
    <row r="862" spans="1:27" x14ac:dyDescent="0.4">
      <c r="A862" s="14">
        <f t="shared" si="42"/>
        <v>861</v>
      </c>
      <c r="B862" s="14"/>
      <c r="C862" s="18"/>
      <c r="D862" s="14"/>
      <c r="E862" s="14"/>
      <c r="G862" s="1">
        <f>_xlfn.XLOOKUP(B862,M_YT_LIVE!A:A,M_YT_LIVE!F:F,"ERROR",0,1)</f>
        <v>0</v>
      </c>
      <c r="W862" s="13" t="e">
        <f t="shared" si="41"/>
        <v>#VALUE!</v>
      </c>
      <c r="X862" s="12">
        <f>_xlfn.XLOOKUP($B862,M_YT_LIVE!$A:$A,M_YT_LIVE!$D:$D)</f>
        <v>0</v>
      </c>
      <c r="Z862" s="16" t="e">
        <f>HYPERLINK($X862&amp;SUBSTITUTE(マスタ!$C$3,"XXXXX",$W862))</f>
        <v>#VALUE!</v>
      </c>
      <c r="AA862" s="12" t="str">
        <f t="shared" si="40"/>
        <v/>
      </c>
    </row>
    <row r="863" spans="1:27" x14ac:dyDescent="0.4">
      <c r="A863" s="14">
        <f t="shared" si="42"/>
        <v>862</v>
      </c>
      <c r="B863" s="14"/>
      <c r="C863" s="18"/>
      <c r="D863" s="14"/>
      <c r="E863" s="14"/>
      <c r="G863" s="1">
        <f>_xlfn.XLOOKUP(B863,M_YT_LIVE!A:A,M_YT_LIVE!F:F,"ERROR",0,1)</f>
        <v>0</v>
      </c>
      <c r="W863" s="13" t="e">
        <f t="shared" si="41"/>
        <v>#VALUE!</v>
      </c>
      <c r="X863" s="12">
        <f>_xlfn.XLOOKUP($B863,M_YT_LIVE!$A:$A,M_YT_LIVE!$D:$D)</f>
        <v>0</v>
      </c>
      <c r="Z863" s="16" t="e">
        <f>HYPERLINK($X863&amp;SUBSTITUTE(マスタ!$C$3,"XXXXX",$W863))</f>
        <v>#VALUE!</v>
      </c>
      <c r="AA863" s="12" t="str">
        <f t="shared" si="40"/>
        <v/>
      </c>
    </row>
    <row r="864" spans="1:27" x14ac:dyDescent="0.4">
      <c r="A864" s="14">
        <f t="shared" si="42"/>
        <v>863</v>
      </c>
      <c r="B864" s="14"/>
      <c r="C864" s="18"/>
      <c r="D864" s="14"/>
      <c r="E864" s="14"/>
      <c r="G864" s="1">
        <f>_xlfn.XLOOKUP(B864,M_YT_LIVE!A:A,M_YT_LIVE!F:F,"ERROR",0,1)</f>
        <v>0</v>
      </c>
      <c r="W864" s="13" t="e">
        <f t="shared" si="41"/>
        <v>#VALUE!</v>
      </c>
      <c r="X864" s="12">
        <f>_xlfn.XLOOKUP($B864,M_YT_LIVE!$A:$A,M_YT_LIVE!$D:$D)</f>
        <v>0</v>
      </c>
      <c r="Z864" s="16" t="e">
        <f>HYPERLINK($X864&amp;SUBSTITUTE(マスタ!$C$3,"XXXXX",$W864))</f>
        <v>#VALUE!</v>
      </c>
      <c r="AA864" s="12" t="str">
        <f t="shared" si="40"/>
        <v/>
      </c>
    </row>
    <row r="865" spans="1:27" x14ac:dyDescent="0.4">
      <c r="A865" s="14">
        <f t="shared" si="42"/>
        <v>864</v>
      </c>
      <c r="B865" s="14"/>
      <c r="C865" s="18"/>
      <c r="D865" s="14"/>
      <c r="E865" s="14"/>
      <c r="G865" s="1">
        <f>_xlfn.XLOOKUP(B865,M_YT_LIVE!A:A,M_YT_LIVE!F:F,"ERROR",0,1)</f>
        <v>0</v>
      </c>
      <c r="W865" s="13" t="e">
        <f t="shared" si="41"/>
        <v>#VALUE!</v>
      </c>
      <c r="X865" s="12">
        <f>_xlfn.XLOOKUP($B865,M_YT_LIVE!$A:$A,M_YT_LIVE!$D:$D)</f>
        <v>0</v>
      </c>
      <c r="Z865" s="16" t="e">
        <f>HYPERLINK($X865&amp;SUBSTITUTE(マスタ!$C$3,"XXXXX",$W865))</f>
        <v>#VALUE!</v>
      </c>
      <c r="AA865" s="12" t="str">
        <f t="shared" si="40"/>
        <v/>
      </c>
    </row>
    <row r="866" spans="1:27" x14ac:dyDescent="0.4">
      <c r="A866" s="14">
        <f t="shared" si="42"/>
        <v>865</v>
      </c>
      <c r="B866" s="14"/>
      <c r="C866" s="18"/>
      <c r="D866" s="14"/>
      <c r="E866" s="14"/>
      <c r="G866" s="1">
        <f>_xlfn.XLOOKUP(B866,M_YT_LIVE!A:A,M_YT_LIVE!F:F,"ERROR",0,1)</f>
        <v>0</v>
      </c>
      <c r="W866" s="13" t="e">
        <f t="shared" si="41"/>
        <v>#VALUE!</v>
      </c>
      <c r="X866" s="12">
        <f>_xlfn.XLOOKUP($B866,M_YT_LIVE!$A:$A,M_YT_LIVE!$D:$D)</f>
        <v>0</v>
      </c>
      <c r="Z866" s="16" t="e">
        <f>HYPERLINK($X866&amp;SUBSTITUTE(マスタ!$C$3,"XXXXX",$W866))</f>
        <v>#VALUE!</v>
      </c>
      <c r="AA866" s="12" t="str">
        <f t="shared" si="40"/>
        <v/>
      </c>
    </row>
    <row r="867" spans="1:27" x14ac:dyDescent="0.4">
      <c r="A867" s="14">
        <f t="shared" si="42"/>
        <v>866</v>
      </c>
      <c r="B867" s="14"/>
      <c r="C867" s="18"/>
      <c r="D867" s="14"/>
      <c r="E867" s="14"/>
      <c r="G867" s="1">
        <f>_xlfn.XLOOKUP(B867,M_YT_LIVE!A:A,M_YT_LIVE!F:F,"ERROR",0,1)</f>
        <v>0</v>
      </c>
      <c r="W867" s="13" t="e">
        <f t="shared" si="41"/>
        <v>#VALUE!</v>
      </c>
      <c r="X867" s="12">
        <f>_xlfn.XLOOKUP($B867,M_YT_LIVE!$A:$A,M_YT_LIVE!$D:$D)</f>
        <v>0</v>
      </c>
      <c r="Z867" s="16" t="e">
        <f>HYPERLINK($X867&amp;SUBSTITUTE(マスタ!$C$3,"XXXXX",$W867))</f>
        <v>#VALUE!</v>
      </c>
      <c r="AA867" s="12" t="str">
        <f t="shared" si="40"/>
        <v/>
      </c>
    </row>
    <row r="868" spans="1:27" x14ac:dyDescent="0.4">
      <c r="A868" s="14">
        <f t="shared" si="42"/>
        <v>867</v>
      </c>
      <c r="B868" s="14"/>
      <c r="C868" s="18"/>
      <c r="D868" s="14"/>
      <c r="E868" s="14"/>
      <c r="G868" s="1">
        <f>_xlfn.XLOOKUP(B868,M_YT_LIVE!A:A,M_YT_LIVE!F:F,"ERROR",0,1)</f>
        <v>0</v>
      </c>
      <c r="W868" s="13" t="e">
        <f t="shared" si="41"/>
        <v>#VALUE!</v>
      </c>
      <c r="X868" s="12">
        <f>_xlfn.XLOOKUP($B868,M_YT_LIVE!$A:$A,M_YT_LIVE!$D:$D)</f>
        <v>0</v>
      </c>
      <c r="Z868" s="16" t="e">
        <f>HYPERLINK($X868&amp;SUBSTITUTE(マスタ!$C$3,"XXXXX",$W868))</f>
        <v>#VALUE!</v>
      </c>
      <c r="AA868" s="12" t="str">
        <f t="shared" si="40"/>
        <v/>
      </c>
    </row>
    <row r="869" spans="1:27" x14ac:dyDescent="0.4">
      <c r="A869" s="14">
        <f t="shared" si="42"/>
        <v>868</v>
      </c>
      <c r="B869" s="14"/>
      <c r="C869" s="18"/>
      <c r="D869" s="14"/>
      <c r="E869" s="14"/>
      <c r="G869" s="1">
        <f>_xlfn.XLOOKUP(B869,M_YT_LIVE!A:A,M_YT_LIVE!F:F,"ERROR",0,1)</f>
        <v>0</v>
      </c>
      <c r="W869" s="13" t="e">
        <f t="shared" si="41"/>
        <v>#VALUE!</v>
      </c>
      <c r="X869" s="12">
        <f>_xlfn.XLOOKUP($B869,M_YT_LIVE!$A:$A,M_YT_LIVE!$D:$D)</f>
        <v>0</v>
      </c>
      <c r="Z869" s="16" t="e">
        <f>HYPERLINK($X869&amp;SUBSTITUTE(マスタ!$C$3,"XXXXX",$W869))</f>
        <v>#VALUE!</v>
      </c>
      <c r="AA869" s="12" t="str">
        <f t="shared" si="40"/>
        <v/>
      </c>
    </row>
    <row r="870" spans="1:27" x14ac:dyDescent="0.4">
      <c r="A870" s="14">
        <f t="shared" si="42"/>
        <v>869</v>
      </c>
      <c r="B870" s="14"/>
      <c r="C870" s="18"/>
      <c r="D870" s="14"/>
      <c r="E870" s="14"/>
      <c r="G870" s="1">
        <f>_xlfn.XLOOKUP(B870,M_YT_LIVE!A:A,M_YT_LIVE!F:F,"ERROR",0,1)</f>
        <v>0</v>
      </c>
      <c r="W870" s="13" t="e">
        <f t="shared" si="41"/>
        <v>#VALUE!</v>
      </c>
      <c r="X870" s="12">
        <f>_xlfn.XLOOKUP($B870,M_YT_LIVE!$A:$A,M_YT_LIVE!$D:$D)</f>
        <v>0</v>
      </c>
      <c r="Z870" s="16" t="e">
        <f>HYPERLINK($X870&amp;SUBSTITUTE(マスタ!$C$3,"XXXXX",$W870))</f>
        <v>#VALUE!</v>
      </c>
      <c r="AA870" s="12" t="str">
        <f t="shared" si="40"/>
        <v/>
      </c>
    </row>
    <row r="871" spans="1:27" x14ac:dyDescent="0.4">
      <c r="A871" s="14">
        <f t="shared" si="42"/>
        <v>870</v>
      </c>
      <c r="B871" s="14"/>
      <c r="C871" s="18"/>
      <c r="D871" s="14"/>
      <c r="E871" s="14"/>
      <c r="G871" s="1">
        <f>_xlfn.XLOOKUP(B871,M_YT_LIVE!A:A,M_YT_LIVE!F:F,"ERROR",0,1)</f>
        <v>0</v>
      </c>
      <c r="W871" s="13" t="e">
        <f t="shared" si="41"/>
        <v>#VALUE!</v>
      </c>
      <c r="X871" s="12">
        <f>_xlfn.XLOOKUP($B871,M_YT_LIVE!$A:$A,M_YT_LIVE!$D:$D)</f>
        <v>0</v>
      </c>
      <c r="Z871" s="16" t="e">
        <f>HYPERLINK($X871&amp;SUBSTITUTE(マスタ!$C$3,"XXXXX",$W871))</f>
        <v>#VALUE!</v>
      </c>
      <c r="AA871" s="12" t="str">
        <f t="shared" si="40"/>
        <v/>
      </c>
    </row>
    <row r="872" spans="1:27" x14ac:dyDescent="0.4">
      <c r="A872" s="14">
        <f t="shared" si="42"/>
        <v>871</v>
      </c>
      <c r="B872" s="14"/>
      <c r="C872" s="18"/>
      <c r="D872" s="14"/>
      <c r="E872" s="14"/>
      <c r="G872" s="1">
        <f>_xlfn.XLOOKUP(B872,M_YT_LIVE!A:A,M_YT_LIVE!F:F,"ERROR",0,1)</f>
        <v>0</v>
      </c>
      <c r="W872" s="13" t="e">
        <f t="shared" si="41"/>
        <v>#VALUE!</v>
      </c>
      <c r="X872" s="12">
        <f>_xlfn.XLOOKUP($B872,M_YT_LIVE!$A:$A,M_YT_LIVE!$D:$D)</f>
        <v>0</v>
      </c>
      <c r="Z872" s="16" t="e">
        <f>HYPERLINK($X872&amp;SUBSTITUTE(マスタ!$C$3,"XXXXX",$W872))</f>
        <v>#VALUE!</v>
      </c>
      <c r="AA872" s="12" t="str">
        <f t="shared" si="40"/>
        <v/>
      </c>
    </row>
    <row r="873" spans="1:27" x14ac:dyDescent="0.4">
      <c r="A873" s="14">
        <f t="shared" si="42"/>
        <v>872</v>
      </c>
      <c r="B873" s="14"/>
      <c r="C873" s="18"/>
      <c r="D873" s="14"/>
      <c r="E873" s="14"/>
      <c r="G873" s="1">
        <f>_xlfn.XLOOKUP(B873,M_YT_LIVE!A:A,M_YT_LIVE!F:F,"ERROR",0,1)</f>
        <v>0</v>
      </c>
      <c r="W873" s="13" t="e">
        <f t="shared" si="41"/>
        <v>#VALUE!</v>
      </c>
      <c r="X873" s="12">
        <f>_xlfn.XLOOKUP($B873,M_YT_LIVE!$A:$A,M_YT_LIVE!$D:$D)</f>
        <v>0</v>
      </c>
      <c r="Z873" s="16" t="e">
        <f>HYPERLINK($X873&amp;SUBSTITUTE(マスタ!$C$3,"XXXXX",$W873))</f>
        <v>#VALUE!</v>
      </c>
      <c r="AA873" s="12" t="str">
        <f t="shared" si="40"/>
        <v/>
      </c>
    </row>
    <row r="874" spans="1:27" x14ac:dyDescent="0.4">
      <c r="A874" s="14">
        <f t="shared" si="42"/>
        <v>873</v>
      </c>
      <c r="B874" s="14"/>
      <c r="C874" s="18"/>
      <c r="D874" s="14"/>
      <c r="E874" s="14"/>
      <c r="G874" s="1">
        <f>_xlfn.XLOOKUP(B874,M_YT_LIVE!A:A,M_YT_LIVE!F:F,"ERROR",0,1)</f>
        <v>0</v>
      </c>
      <c r="W874" s="13" t="e">
        <f t="shared" si="41"/>
        <v>#VALUE!</v>
      </c>
      <c r="X874" s="12">
        <f>_xlfn.XLOOKUP($B874,M_YT_LIVE!$A:$A,M_YT_LIVE!$D:$D)</f>
        <v>0</v>
      </c>
      <c r="Z874" s="16" t="e">
        <f>HYPERLINK($X874&amp;SUBSTITUTE(マスタ!$C$3,"XXXXX",$W874))</f>
        <v>#VALUE!</v>
      </c>
      <c r="AA874" s="12" t="str">
        <f t="shared" si="40"/>
        <v/>
      </c>
    </row>
    <row r="875" spans="1:27" x14ac:dyDescent="0.4">
      <c r="A875" s="14">
        <f t="shared" si="42"/>
        <v>874</v>
      </c>
      <c r="B875" s="14"/>
      <c r="C875" s="18"/>
      <c r="D875" s="14"/>
      <c r="E875" s="14"/>
      <c r="G875" s="1">
        <f>_xlfn.XLOOKUP(B875,M_YT_LIVE!A:A,M_YT_LIVE!F:F,"ERROR",0,1)</f>
        <v>0</v>
      </c>
      <c r="W875" s="13" t="e">
        <f t="shared" si="41"/>
        <v>#VALUE!</v>
      </c>
      <c r="X875" s="12">
        <f>_xlfn.XLOOKUP($B875,M_YT_LIVE!$A:$A,M_YT_LIVE!$D:$D)</f>
        <v>0</v>
      </c>
      <c r="Z875" s="16" t="e">
        <f>HYPERLINK($X875&amp;SUBSTITUTE(マスタ!$C$3,"XXXXX",$W875))</f>
        <v>#VALUE!</v>
      </c>
      <c r="AA875" s="12" t="str">
        <f t="shared" si="40"/>
        <v/>
      </c>
    </row>
    <row r="876" spans="1:27" x14ac:dyDescent="0.4">
      <c r="A876" s="14">
        <f t="shared" si="42"/>
        <v>875</v>
      </c>
      <c r="B876" s="14"/>
      <c r="C876" s="18"/>
      <c r="D876" s="14"/>
      <c r="E876" s="14"/>
      <c r="G876" s="1">
        <f>_xlfn.XLOOKUP(B876,M_YT_LIVE!A:A,M_YT_LIVE!F:F,"ERROR",0,1)</f>
        <v>0</v>
      </c>
      <c r="W876" s="13" t="e">
        <f t="shared" si="41"/>
        <v>#VALUE!</v>
      </c>
      <c r="X876" s="12">
        <f>_xlfn.XLOOKUP($B876,M_YT_LIVE!$A:$A,M_YT_LIVE!$D:$D)</f>
        <v>0</v>
      </c>
      <c r="Z876" s="16" t="e">
        <f>HYPERLINK($X876&amp;SUBSTITUTE(マスタ!$C$3,"XXXXX",$W876))</f>
        <v>#VALUE!</v>
      </c>
      <c r="AA876" s="12" t="str">
        <f t="shared" si="40"/>
        <v/>
      </c>
    </row>
    <row r="877" spans="1:27" x14ac:dyDescent="0.4">
      <c r="A877" s="14">
        <f t="shared" si="42"/>
        <v>876</v>
      </c>
      <c r="B877" s="14"/>
      <c r="C877" s="18"/>
      <c r="D877" s="14"/>
      <c r="E877" s="14"/>
      <c r="G877" s="1">
        <f>_xlfn.XLOOKUP(B877,M_YT_LIVE!A:A,M_YT_LIVE!F:F,"ERROR",0,1)</f>
        <v>0</v>
      </c>
      <c r="W877" s="13" t="e">
        <f t="shared" si="41"/>
        <v>#VALUE!</v>
      </c>
      <c r="X877" s="12">
        <f>_xlfn.XLOOKUP($B877,M_YT_LIVE!$A:$A,M_YT_LIVE!$D:$D)</f>
        <v>0</v>
      </c>
      <c r="Z877" s="16" t="e">
        <f>HYPERLINK($X877&amp;SUBSTITUTE(マスタ!$C$3,"XXXXX",$W877))</f>
        <v>#VALUE!</v>
      </c>
      <c r="AA877" s="12" t="str">
        <f t="shared" si="40"/>
        <v/>
      </c>
    </row>
    <row r="878" spans="1:27" x14ac:dyDescent="0.4">
      <c r="A878" s="14">
        <f t="shared" si="42"/>
        <v>877</v>
      </c>
      <c r="B878" s="14"/>
      <c r="C878" s="18"/>
      <c r="D878" s="14"/>
      <c r="E878" s="14"/>
      <c r="G878" s="1">
        <f>_xlfn.XLOOKUP(B878,M_YT_LIVE!A:A,M_YT_LIVE!F:F,"ERROR",0,1)</f>
        <v>0</v>
      </c>
      <c r="W878" s="13" t="e">
        <f t="shared" si="41"/>
        <v>#VALUE!</v>
      </c>
      <c r="X878" s="12">
        <f>_xlfn.XLOOKUP($B878,M_YT_LIVE!$A:$A,M_YT_LIVE!$D:$D)</f>
        <v>0</v>
      </c>
      <c r="Z878" s="16" t="e">
        <f>HYPERLINK($X878&amp;SUBSTITUTE(マスタ!$C$3,"XXXXX",$W878))</f>
        <v>#VALUE!</v>
      </c>
      <c r="AA878" s="12" t="str">
        <f t="shared" si="40"/>
        <v/>
      </c>
    </row>
    <row r="879" spans="1:27" x14ac:dyDescent="0.4">
      <c r="A879" s="14">
        <f t="shared" si="42"/>
        <v>878</v>
      </c>
      <c r="B879" s="14"/>
      <c r="C879" s="18"/>
      <c r="D879" s="14"/>
      <c r="E879" s="14"/>
      <c r="G879" s="1">
        <f>_xlfn.XLOOKUP(B879,M_YT_LIVE!A:A,M_YT_LIVE!F:F,"ERROR",0,1)</f>
        <v>0</v>
      </c>
      <c r="W879" s="13" t="e">
        <f t="shared" si="41"/>
        <v>#VALUE!</v>
      </c>
      <c r="X879" s="12">
        <f>_xlfn.XLOOKUP($B879,M_YT_LIVE!$A:$A,M_YT_LIVE!$D:$D)</f>
        <v>0</v>
      </c>
      <c r="Z879" s="16" t="e">
        <f>HYPERLINK($X879&amp;SUBSTITUTE(マスタ!$C$3,"XXXXX",$W879))</f>
        <v>#VALUE!</v>
      </c>
      <c r="AA879" s="12" t="str">
        <f t="shared" si="40"/>
        <v/>
      </c>
    </row>
    <row r="880" spans="1:27" x14ac:dyDescent="0.4">
      <c r="A880" s="14">
        <f t="shared" si="42"/>
        <v>879</v>
      </c>
      <c r="B880" s="14"/>
      <c r="C880" s="18"/>
      <c r="D880" s="14"/>
      <c r="E880" s="14"/>
      <c r="G880" s="1">
        <f>_xlfn.XLOOKUP(B880,M_YT_LIVE!A:A,M_YT_LIVE!F:F,"ERROR",0,1)</f>
        <v>0</v>
      </c>
      <c r="W880" s="13" t="e">
        <f t="shared" si="41"/>
        <v>#VALUE!</v>
      </c>
      <c r="X880" s="12">
        <f>_xlfn.XLOOKUP($B880,M_YT_LIVE!$A:$A,M_YT_LIVE!$D:$D)</f>
        <v>0</v>
      </c>
      <c r="Z880" s="16" t="e">
        <f>HYPERLINK($X880&amp;SUBSTITUTE(マスタ!$C$3,"XXXXX",$W880))</f>
        <v>#VALUE!</v>
      </c>
      <c r="AA880" s="12" t="str">
        <f t="shared" si="40"/>
        <v/>
      </c>
    </row>
    <row r="881" spans="1:27" x14ac:dyDescent="0.4">
      <c r="A881" s="14">
        <f t="shared" si="42"/>
        <v>880</v>
      </c>
      <c r="B881" s="14"/>
      <c r="C881" s="18"/>
      <c r="D881" s="14"/>
      <c r="E881" s="14"/>
      <c r="G881" s="1">
        <f>_xlfn.XLOOKUP(B881,M_YT_LIVE!A:A,M_YT_LIVE!F:F,"ERROR",0,1)</f>
        <v>0</v>
      </c>
      <c r="W881" s="13" t="e">
        <f t="shared" si="41"/>
        <v>#VALUE!</v>
      </c>
      <c r="X881" s="12">
        <f>_xlfn.XLOOKUP($B881,M_YT_LIVE!$A:$A,M_YT_LIVE!$D:$D)</f>
        <v>0</v>
      </c>
      <c r="Z881" s="16" t="e">
        <f>HYPERLINK($X881&amp;SUBSTITUTE(マスタ!$C$3,"XXXXX",$W881))</f>
        <v>#VALUE!</v>
      </c>
      <c r="AA881" s="12" t="str">
        <f t="shared" si="40"/>
        <v/>
      </c>
    </row>
    <row r="882" spans="1:27" x14ac:dyDescent="0.4">
      <c r="A882" s="14">
        <f t="shared" si="42"/>
        <v>881</v>
      </c>
      <c r="B882" s="14"/>
      <c r="C882" s="18"/>
      <c r="D882" s="14"/>
      <c r="E882" s="14"/>
      <c r="G882" s="1">
        <f>_xlfn.XLOOKUP(B882,M_YT_LIVE!A:A,M_YT_LIVE!F:F,"ERROR",0,1)</f>
        <v>0</v>
      </c>
      <c r="W882" s="13" t="e">
        <f t="shared" si="41"/>
        <v>#VALUE!</v>
      </c>
      <c r="X882" s="12">
        <f>_xlfn.XLOOKUP($B882,M_YT_LIVE!$A:$A,M_YT_LIVE!$D:$D)</f>
        <v>0</v>
      </c>
      <c r="Z882" s="16" t="e">
        <f>HYPERLINK($X882&amp;SUBSTITUTE(マスタ!$C$3,"XXXXX",$W882))</f>
        <v>#VALUE!</v>
      </c>
      <c r="AA882" s="12" t="str">
        <f t="shared" si="40"/>
        <v/>
      </c>
    </row>
    <row r="883" spans="1:27" x14ac:dyDescent="0.4">
      <c r="A883" s="14">
        <f t="shared" si="42"/>
        <v>882</v>
      </c>
      <c r="B883" s="14"/>
      <c r="C883" s="18"/>
      <c r="D883" s="14"/>
      <c r="E883" s="14"/>
      <c r="G883" s="1">
        <f>_xlfn.XLOOKUP(B883,M_YT_LIVE!A:A,M_YT_LIVE!F:F,"ERROR",0,1)</f>
        <v>0</v>
      </c>
      <c r="W883" s="13" t="e">
        <f t="shared" si="41"/>
        <v>#VALUE!</v>
      </c>
      <c r="X883" s="12">
        <f>_xlfn.XLOOKUP($B883,M_YT_LIVE!$A:$A,M_YT_LIVE!$D:$D)</f>
        <v>0</v>
      </c>
      <c r="Z883" s="16" t="e">
        <f>HYPERLINK($X883&amp;SUBSTITUTE(マスタ!$C$3,"XXXXX",$W883))</f>
        <v>#VALUE!</v>
      </c>
      <c r="AA883" s="12" t="str">
        <f t="shared" si="40"/>
        <v/>
      </c>
    </row>
    <row r="884" spans="1:27" x14ac:dyDescent="0.4">
      <c r="A884" s="14">
        <f t="shared" si="42"/>
        <v>883</v>
      </c>
      <c r="B884" s="14"/>
      <c r="C884" s="18"/>
      <c r="D884" s="14"/>
      <c r="E884" s="14"/>
      <c r="G884" s="1">
        <f>_xlfn.XLOOKUP(B884,M_YT_LIVE!A:A,M_YT_LIVE!F:F,"ERROR",0,1)</f>
        <v>0</v>
      </c>
      <c r="W884" s="13" t="e">
        <f t="shared" si="41"/>
        <v>#VALUE!</v>
      </c>
      <c r="X884" s="12">
        <f>_xlfn.XLOOKUP($B884,M_YT_LIVE!$A:$A,M_YT_LIVE!$D:$D)</f>
        <v>0</v>
      </c>
      <c r="Z884" s="16" t="e">
        <f>HYPERLINK($X884&amp;SUBSTITUTE(マスタ!$C$3,"XXXXX",$W884))</f>
        <v>#VALUE!</v>
      </c>
      <c r="AA884" s="12" t="str">
        <f t="shared" si="40"/>
        <v/>
      </c>
    </row>
    <row r="885" spans="1:27" x14ac:dyDescent="0.4">
      <c r="A885" s="14">
        <f t="shared" si="42"/>
        <v>884</v>
      </c>
      <c r="B885" s="14"/>
      <c r="C885" s="18"/>
      <c r="D885" s="14"/>
      <c r="E885" s="14"/>
      <c r="G885" s="1">
        <f>_xlfn.XLOOKUP(B885,M_YT_LIVE!A:A,M_YT_LIVE!F:F,"ERROR",0,1)</f>
        <v>0</v>
      </c>
      <c r="W885" s="13" t="e">
        <f t="shared" si="41"/>
        <v>#VALUE!</v>
      </c>
      <c r="X885" s="12">
        <f>_xlfn.XLOOKUP($B885,M_YT_LIVE!$A:$A,M_YT_LIVE!$D:$D)</f>
        <v>0</v>
      </c>
      <c r="Z885" s="16" t="e">
        <f>HYPERLINK($X885&amp;SUBSTITUTE(マスタ!$C$3,"XXXXX",$W885))</f>
        <v>#VALUE!</v>
      </c>
      <c r="AA885" s="12" t="str">
        <f t="shared" si="40"/>
        <v/>
      </c>
    </row>
    <row r="886" spans="1:27" x14ac:dyDescent="0.4">
      <c r="A886" s="14">
        <f t="shared" si="42"/>
        <v>885</v>
      </c>
      <c r="B886" s="14"/>
      <c r="C886" s="18"/>
      <c r="D886" s="14"/>
      <c r="E886" s="14"/>
      <c r="G886" s="1">
        <f>_xlfn.XLOOKUP(B886,M_YT_LIVE!A:A,M_YT_LIVE!F:F,"ERROR",0,1)</f>
        <v>0</v>
      </c>
      <c r="W886" s="13" t="e">
        <f t="shared" si="41"/>
        <v>#VALUE!</v>
      </c>
      <c r="X886" s="12">
        <f>_xlfn.XLOOKUP($B886,M_YT_LIVE!$A:$A,M_YT_LIVE!$D:$D)</f>
        <v>0</v>
      </c>
      <c r="Z886" s="16" t="e">
        <f>HYPERLINK($X886&amp;SUBSTITUTE(マスタ!$C$3,"XXXXX",$W886))</f>
        <v>#VALUE!</v>
      </c>
      <c r="AA886" s="12" t="str">
        <f t="shared" si="40"/>
        <v/>
      </c>
    </row>
    <row r="887" spans="1:27" x14ac:dyDescent="0.4">
      <c r="A887" s="14">
        <f t="shared" si="42"/>
        <v>886</v>
      </c>
      <c r="B887" s="14"/>
      <c r="C887" s="18"/>
      <c r="D887" s="14"/>
      <c r="E887" s="14"/>
      <c r="G887" s="1">
        <f>_xlfn.XLOOKUP(B887,M_YT_LIVE!A:A,M_YT_LIVE!F:F,"ERROR",0,1)</f>
        <v>0</v>
      </c>
      <c r="W887" s="13" t="e">
        <f t="shared" si="41"/>
        <v>#VALUE!</v>
      </c>
      <c r="X887" s="12">
        <f>_xlfn.XLOOKUP($B887,M_YT_LIVE!$A:$A,M_YT_LIVE!$D:$D)</f>
        <v>0</v>
      </c>
      <c r="Z887" s="16" t="e">
        <f>HYPERLINK($X887&amp;SUBSTITUTE(マスタ!$C$3,"XXXXX",$W887))</f>
        <v>#VALUE!</v>
      </c>
      <c r="AA887" s="12" t="str">
        <f t="shared" si="40"/>
        <v/>
      </c>
    </row>
    <row r="888" spans="1:27" x14ac:dyDescent="0.4">
      <c r="A888" s="14">
        <f t="shared" si="42"/>
        <v>887</v>
      </c>
      <c r="B888" s="14"/>
      <c r="C888" s="18"/>
      <c r="D888" s="14"/>
      <c r="E888" s="14"/>
      <c r="G888" s="1">
        <f>_xlfn.XLOOKUP(B888,M_YT_LIVE!A:A,M_YT_LIVE!F:F,"ERROR",0,1)</f>
        <v>0</v>
      </c>
      <c r="W888" s="13" t="e">
        <f t="shared" si="41"/>
        <v>#VALUE!</v>
      </c>
      <c r="X888" s="12">
        <f>_xlfn.XLOOKUP($B888,M_YT_LIVE!$A:$A,M_YT_LIVE!$D:$D)</f>
        <v>0</v>
      </c>
      <c r="Z888" s="16" t="e">
        <f>HYPERLINK($X888&amp;SUBSTITUTE(マスタ!$C$3,"XXXXX",$W888))</f>
        <v>#VALUE!</v>
      </c>
      <c r="AA888" s="12" t="str">
        <f t="shared" si="40"/>
        <v/>
      </c>
    </row>
    <row r="889" spans="1:27" x14ac:dyDescent="0.4">
      <c r="A889" s="14">
        <f t="shared" si="42"/>
        <v>888</v>
      </c>
      <c r="B889" s="14"/>
      <c r="C889" s="18"/>
      <c r="D889" s="14"/>
      <c r="E889" s="14"/>
      <c r="G889" s="1">
        <f>_xlfn.XLOOKUP(B889,M_YT_LIVE!A:A,M_YT_LIVE!F:F,"ERROR",0,1)</f>
        <v>0</v>
      </c>
      <c r="W889" s="13" t="e">
        <f t="shared" si="41"/>
        <v>#VALUE!</v>
      </c>
      <c r="X889" s="12">
        <f>_xlfn.XLOOKUP($B889,M_YT_LIVE!$A:$A,M_YT_LIVE!$D:$D)</f>
        <v>0</v>
      </c>
      <c r="Z889" s="16" t="e">
        <f>HYPERLINK($X889&amp;SUBSTITUTE(マスタ!$C$3,"XXXXX",$W889))</f>
        <v>#VALUE!</v>
      </c>
      <c r="AA889" s="12" t="str">
        <f t="shared" si="40"/>
        <v/>
      </c>
    </row>
    <row r="890" spans="1:27" x14ac:dyDescent="0.4">
      <c r="A890" s="14">
        <f t="shared" si="42"/>
        <v>889</v>
      </c>
      <c r="B890" s="14"/>
      <c r="C890" s="18"/>
      <c r="D890" s="14"/>
      <c r="E890" s="14"/>
      <c r="G890" s="1">
        <f>_xlfn.XLOOKUP(B890,M_YT_LIVE!A:A,M_YT_LIVE!F:F,"ERROR",0,1)</f>
        <v>0</v>
      </c>
      <c r="W890" s="13" t="e">
        <f t="shared" si="41"/>
        <v>#VALUE!</v>
      </c>
      <c r="X890" s="12">
        <f>_xlfn.XLOOKUP($B890,M_YT_LIVE!$A:$A,M_YT_LIVE!$D:$D)</f>
        <v>0</v>
      </c>
      <c r="Z890" s="16" t="e">
        <f>HYPERLINK($X890&amp;SUBSTITUTE(マスタ!$C$3,"XXXXX",$W890))</f>
        <v>#VALUE!</v>
      </c>
      <c r="AA890" s="12" t="str">
        <f t="shared" si="40"/>
        <v/>
      </c>
    </row>
    <row r="891" spans="1:27" x14ac:dyDescent="0.4">
      <c r="A891" s="14">
        <f t="shared" si="42"/>
        <v>890</v>
      </c>
      <c r="B891" s="14"/>
      <c r="C891" s="18"/>
      <c r="D891" s="14"/>
      <c r="E891" s="14"/>
      <c r="G891" s="1">
        <f>_xlfn.XLOOKUP(B891,M_YT_LIVE!A:A,M_YT_LIVE!F:F,"ERROR",0,1)</f>
        <v>0</v>
      </c>
      <c r="W891" s="13" t="e">
        <f t="shared" si="41"/>
        <v>#VALUE!</v>
      </c>
      <c r="X891" s="12">
        <f>_xlfn.XLOOKUP($B891,M_YT_LIVE!$A:$A,M_YT_LIVE!$D:$D)</f>
        <v>0</v>
      </c>
      <c r="Z891" s="16" t="e">
        <f>HYPERLINK($X891&amp;SUBSTITUTE(マスタ!$C$3,"XXXXX",$W891))</f>
        <v>#VALUE!</v>
      </c>
      <c r="AA891" s="12" t="str">
        <f t="shared" si="40"/>
        <v/>
      </c>
    </row>
    <row r="892" spans="1:27" x14ac:dyDescent="0.4">
      <c r="A892" s="14">
        <f t="shared" si="42"/>
        <v>891</v>
      </c>
      <c r="B892" s="14"/>
      <c r="C892" s="18"/>
      <c r="D892" s="14"/>
      <c r="E892" s="14"/>
      <c r="G892" s="1">
        <f>_xlfn.XLOOKUP(B892,M_YT_LIVE!A:A,M_YT_LIVE!F:F,"ERROR",0,1)</f>
        <v>0</v>
      </c>
      <c r="W892" s="13" t="e">
        <f t="shared" si="41"/>
        <v>#VALUE!</v>
      </c>
      <c r="X892" s="12">
        <f>_xlfn.XLOOKUP($B892,M_YT_LIVE!$A:$A,M_YT_LIVE!$D:$D)</f>
        <v>0</v>
      </c>
      <c r="Z892" s="16" t="e">
        <f>HYPERLINK($X892&amp;SUBSTITUTE(マスタ!$C$3,"XXXXX",$W892))</f>
        <v>#VALUE!</v>
      </c>
      <c r="AA892" s="12" t="str">
        <f t="shared" si="40"/>
        <v/>
      </c>
    </row>
    <row r="893" spans="1:27" x14ac:dyDescent="0.4">
      <c r="A893" s="14">
        <f t="shared" si="42"/>
        <v>892</v>
      </c>
      <c r="B893" s="14"/>
      <c r="C893" s="18"/>
      <c r="D893" s="14"/>
      <c r="E893" s="14"/>
      <c r="G893" s="1">
        <f>_xlfn.XLOOKUP(B893,M_YT_LIVE!A:A,M_YT_LIVE!F:F,"ERROR",0,1)</f>
        <v>0</v>
      </c>
      <c r="W893" s="13" t="e">
        <f t="shared" si="41"/>
        <v>#VALUE!</v>
      </c>
      <c r="X893" s="12">
        <f>_xlfn.XLOOKUP($B893,M_YT_LIVE!$A:$A,M_YT_LIVE!$D:$D)</f>
        <v>0</v>
      </c>
      <c r="Z893" s="16" t="e">
        <f>HYPERLINK($X893&amp;SUBSTITUTE(マスタ!$C$3,"XXXXX",$W893))</f>
        <v>#VALUE!</v>
      </c>
      <c r="AA893" s="12" t="str">
        <f t="shared" ref="AA893:AA900" si="43">TRIM(E893)&amp;TRIM(D893)</f>
        <v/>
      </c>
    </row>
    <row r="894" spans="1:27" x14ac:dyDescent="0.4">
      <c r="A894" s="14">
        <f t="shared" si="42"/>
        <v>893</v>
      </c>
      <c r="B894" s="14"/>
      <c r="C894" s="18"/>
      <c r="D894" s="14"/>
      <c r="E894" s="14"/>
      <c r="G894" s="1">
        <f>_xlfn.XLOOKUP(B894,M_YT_LIVE!A:A,M_YT_LIVE!F:F,"ERROR",0,1)</f>
        <v>0</v>
      </c>
      <c r="W894" s="13" t="e">
        <f t="shared" si="41"/>
        <v>#VALUE!</v>
      </c>
      <c r="X894" s="12">
        <f>_xlfn.XLOOKUP($B894,M_YT_LIVE!$A:$A,M_YT_LIVE!$D:$D)</f>
        <v>0</v>
      </c>
      <c r="Z894" s="16" t="e">
        <f>HYPERLINK($X894&amp;SUBSTITUTE(マスタ!$C$3,"XXXXX",$W894))</f>
        <v>#VALUE!</v>
      </c>
      <c r="AA894" s="12" t="str">
        <f t="shared" si="43"/>
        <v/>
      </c>
    </row>
    <row r="895" spans="1:27" x14ac:dyDescent="0.4">
      <c r="A895" s="14">
        <f t="shared" si="42"/>
        <v>894</v>
      </c>
      <c r="B895" s="14"/>
      <c r="C895" s="18"/>
      <c r="D895" s="14"/>
      <c r="E895" s="14"/>
      <c r="G895" s="1">
        <f>_xlfn.XLOOKUP(B895,M_YT_LIVE!A:A,M_YT_LIVE!F:F,"ERROR",0,1)</f>
        <v>0</v>
      </c>
      <c r="W895" s="13" t="e">
        <f t="shared" si="41"/>
        <v>#VALUE!</v>
      </c>
      <c r="X895" s="12">
        <f>_xlfn.XLOOKUP($B895,M_YT_LIVE!$A:$A,M_YT_LIVE!$D:$D)</f>
        <v>0</v>
      </c>
      <c r="Z895" s="16" t="e">
        <f>HYPERLINK($X895&amp;SUBSTITUTE(マスタ!$C$3,"XXXXX",$W895))</f>
        <v>#VALUE!</v>
      </c>
      <c r="AA895" s="12" t="str">
        <f t="shared" si="43"/>
        <v/>
      </c>
    </row>
    <row r="896" spans="1:27" x14ac:dyDescent="0.4">
      <c r="A896" s="14">
        <f t="shared" si="42"/>
        <v>895</v>
      </c>
      <c r="B896" s="14"/>
      <c r="C896" s="18"/>
      <c r="D896" s="14"/>
      <c r="E896" s="14"/>
      <c r="G896" s="1">
        <f>_xlfn.XLOOKUP(B896,M_YT_LIVE!A:A,M_YT_LIVE!F:F,"ERROR",0,1)</f>
        <v>0</v>
      </c>
      <c r="W896" s="13" t="e">
        <f t="shared" si="41"/>
        <v>#VALUE!</v>
      </c>
      <c r="X896" s="12">
        <f>_xlfn.XLOOKUP($B896,M_YT_LIVE!$A:$A,M_YT_LIVE!$D:$D)</f>
        <v>0</v>
      </c>
      <c r="Z896" s="16" t="e">
        <f>HYPERLINK($X896&amp;SUBSTITUTE(マスタ!$C$3,"XXXXX",$W896))</f>
        <v>#VALUE!</v>
      </c>
      <c r="AA896" s="12" t="str">
        <f t="shared" si="43"/>
        <v/>
      </c>
    </row>
    <row r="897" spans="1:27" x14ac:dyDescent="0.4">
      <c r="A897" s="14">
        <f t="shared" si="42"/>
        <v>896</v>
      </c>
      <c r="B897" s="14"/>
      <c r="C897" s="18"/>
      <c r="D897" s="14"/>
      <c r="E897" s="14"/>
      <c r="G897" s="1">
        <f>_xlfn.XLOOKUP(B897,M_YT_LIVE!A:A,M_YT_LIVE!F:F,"ERROR",0,1)</f>
        <v>0</v>
      </c>
      <c r="W897" s="13" t="e">
        <f t="shared" si="41"/>
        <v>#VALUE!</v>
      </c>
      <c r="X897" s="12">
        <f>_xlfn.XLOOKUP($B897,M_YT_LIVE!$A:$A,M_YT_LIVE!$D:$D)</f>
        <v>0</v>
      </c>
      <c r="Z897" s="16" t="e">
        <f>HYPERLINK($X897&amp;SUBSTITUTE(マスタ!$C$3,"XXXXX",$W897))</f>
        <v>#VALUE!</v>
      </c>
      <c r="AA897" s="12" t="str">
        <f t="shared" si="43"/>
        <v/>
      </c>
    </row>
    <row r="898" spans="1:27" x14ac:dyDescent="0.4">
      <c r="A898" s="14">
        <f t="shared" si="42"/>
        <v>897</v>
      </c>
      <c r="B898" s="14"/>
      <c r="C898" s="18"/>
      <c r="D898" s="14"/>
      <c r="E898" s="14"/>
      <c r="G898" s="1">
        <f>_xlfn.XLOOKUP(B898,M_YT_LIVE!A:A,M_YT_LIVE!F:F,"ERROR",0,1)</f>
        <v>0</v>
      </c>
      <c r="W898" s="13" t="e">
        <f t="shared" si="41"/>
        <v>#VALUE!</v>
      </c>
      <c r="X898" s="12">
        <f>_xlfn.XLOOKUP($B898,M_YT_LIVE!$A:$A,M_YT_LIVE!$D:$D)</f>
        <v>0</v>
      </c>
      <c r="Z898" s="16" t="e">
        <f>HYPERLINK($X898&amp;SUBSTITUTE(マスタ!$C$3,"XXXXX",$W898))</f>
        <v>#VALUE!</v>
      </c>
      <c r="AA898" s="12" t="str">
        <f t="shared" si="43"/>
        <v/>
      </c>
    </row>
    <row r="899" spans="1:27" x14ac:dyDescent="0.4">
      <c r="A899" s="14">
        <f t="shared" si="42"/>
        <v>898</v>
      </c>
      <c r="B899" s="14"/>
      <c r="C899" s="18"/>
      <c r="D899" s="14"/>
      <c r="E899" s="14"/>
      <c r="G899" s="1">
        <f>_xlfn.XLOOKUP(B899,M_YT_LIVE!A:A,M_YT_LIVE!F:F,"ERROR",0,1)</f>
        <v>0</v>
      </c>
      <c r="W899" s="13" t="e">
        <f t="shared" si="41"/>
        <v>#VALUE!</v>
      </c>
      <c r="X899" s="12">
        <f>_xlfn.XLOOKUP($B899,M_YT_LIVE!$A:$A,M_YT_LIVE!$D:$D)</f>
        <v>0</v>
      </c>
      <c r="Z899" s="16" t="e">
        <f>HYPERLINK($X899&amp;SUBSTITUTE(マスタ!$C$3,"XXXXX",$W899))</f>
        <v>#VALUE!</v>
      </c>
      <c r="AA899" s="12" t="str">
        <f t="shared" si="43"/>
        <v/>
      </c>
    </row>
    <row r="900" spans="1:27" x14ac:dyDescent="0.4">
      <c r="A900" s="14">
        <f t="shared" si="42"/>
        <v>899</v>
      </c>
      <c r="B900" s="14"/>
      <c r="C900" s="18"/>
      <c r="D900" s="14"/>
      <c r="E900" s="14"/>
      <c r="G900" s="1">
        <f>_xlfn.XLOOKUP(B900,M_YT_LIVE!A:A,M_YT_LIVE!F:F,"ERROR",0,1)</f>
        <v>0</v>
      </c>
      <c r="W900" s="13" t="e">
        <f t="shared" ref="W900" si="44">TIMEVALUE($C900)*86400</f>
        <v>#VALUE!</v>
      </c>
      <c r="X900" s="12">
        <f>_xlfn.XLOOKUP($B900,M_YT_LIVE!$A:$A,M_YT_LIVE!$D:$D)</f>
        <v>0</v>
      </c>
      <c r="Z900" s="16" t="e">
        <f>HYPERLINK($X900&amp;SUBSTITUTE(マスタ!$C$3,"XXXXX",$W900))</f>
        <v>#VALUE!</v>
      </c>
      <c r="AA900" s="12" t="str">
        <f t="shared" si="43"/>
        <v/>
      </c>
    </row>
  </sheetData>
  <autoFilter ref="A1:G400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1217</v>
      </c>
      <c r="AA1" s="7" t="s">
        <v>1218</v>
      </c>
      <c r="AB1" s="7" t="s">
        <v>1233</v>
      </c>
      <c r="AC1" s="7" t="s">
        <v>1219</v>
      </c>
      <c r="AD1" s="7" t="s">
        <v>1220</v>
      </c>
    </row>
    <row r="2" spans="1:30" x14ac:dyDescent="0.4">
      <c r="A2" s="12" t="str" cm="1">
        <f t="array" ref="A2:B481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タイムマシン</v>
      </c>
      <c r="B6" s="12" t="str">
        <v>1640mP（164×40mP） feat.初音ミク</v>
      </c>
      <c r="C6" s="12" t="str">
        <f t="shared" si="0"/>
        <v>1640mP（164×40mP） feat.初音ミクタイムマシン</v>
      </c>
      <c r="AA6" s="14" t="str">
        <f t="shared" si="1"/>
        <v>1640mP（164×40mP） feat.初音ミク</v>
      </c>
      <c r="AB6" s="14" t="str">
        <f>_xlfn.XLOOKUP(AA6,M_ARTIST!A:A,M_ARTIST!B:B,"★★★",0,1)</f>
        <v>★★★</v>
      </c>
      <c r="AC6" s="14" t="str">
        <f t="shared" si="2"/>
        <v>タイムマシン</v>
      </c>
      <c r="AD6" s="19" t="str">
        <f>HYPERLINK(_xlfn.XLOOKUP(C6,M_YT_LIVE_TIMESTAMP!AA:AA,M_YT_LIVE_TIMESTAMP!Z:Z,"★",0,-1))</f>
        <v>https://www.youtube.com/live/h9yyUj584EA?si=1RWpj-7KllpU7qa_&amp;t=1770s</v>
      </c>
    </row>
    <row r="7" spans="1:30" x14ac:dyDescent="0.4">
      <c r="A7" s="12" t="str">
        <v>天ノ弱</v>
      </c>
      <c r="B7" s="12" t="str">
        <v>164P feat.GUMI</v>
      </c>
      <c r="C7" s="12" t="str">
        <f t="shared" si="0"/>
        <v>164P feat.GUMI天ノ弱</v>
      </c>
      <c r="AA7" s="14" t="str">
        <f t="shared" si="1"/>
        <v>164P feat.GUMI</v>
      </c>
      <c r="AB7" s="14" t="str">
        <f>_xlfn.XLOOKUP(AA7,M_ARTIST!A:A,M_ARTIST!B:B,"★★★",0,1)</f>
        <v>164P feat.GUMI</v>
      </c>
      <c r="AC7" s="14" t="str">
        <f t="shared" si="2"/>
        <v>天ノ弱</v>
      </c>
      <c r="AD7" s="19" t="str">
        <f>HYPERLINK(_xlfn.XLOOKUP(C7,M_YT_LIVE_TIMESTAMP!AA:AA,M_YT_LIVE_TIMESTAMP!Z:Z,"★",0,-1))</f>
        <v>https://www.youtube.com/live/OYaf_O-6WRs?si=20Zo4VVa8PxJbw_X&amp;t=3788s</v>
      </c>
    </row>
    <row r="8" spans="1:30" x14ac:dyDescent="0.4">
      <c r="A8" s="12" t="str">
        <v>化けの花</v>
      </c>
      <c r="B8" s="12" t="str">
        <v>25時、ナイトコードで。×KAITO</v>
      </c>
      <c r="C8" s="12" t="str">
        <f t="shared" si="0"/>
        <v>25時、ナイトコードで。×KAITO化けの花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</v>
      </c>
      <c r="AD8" s="19" t="str">
        <f>HYPERLINK(_xlfn.XLOOKUP(C8,M_YT_LIVE_TIMESTAMP!AA:AA,M_YT_LIVE_TIMESTAMP!Z:Z,"★",0,-1))</f>
        <v>https://www.youtube.com/live/b0qPGU0sZn4?si=C5mabzVl6bhK7mp0&amp;t=6558s</v>
      </c>
    </row>
    <row r="9" spans="1:30" x14ac:dyDescent="0.4">
      <c r="A9" s="12" t="str">
        <v>化けの花(1chorus)</v>
      </c>
      <c r="B9" s="12" t="str">
        <v>25時、ナイトコードで。×KAITO</v>
      </c>
      <c r="C9" s="12" t="str">
        <f t="shared" si="0"/>
        <v>25時、ナイトコードで。×KAITO化けの花(1chorus)</v>
      </c>
      <c r="AA9" s="14" t="str">
        <f t="shared" si="1"/>
        <v>25時、ナイトコードで。×KAITO</v>
      </c>
      <c r="AB9" s="14" t="str">
        <f>_xlfn.XLOOKUP(AA9,M_ARTIST!A:A,M_ARTIST!B:B,"★★★",0,1)</f>
        <v>25じ、ないとこーどで。x KAITO</v>
      </c>
      <c r="AC9" s="14" t="str">
        <f t="shared" si="2"/>
        <v>化けの花(1chorus)</v>
      </c>
      <c r="AD9" s="19" t="str">
        <f>HYPERLINK(_xlfn.XLOOKUP(C9,M_YT_LIVE_TIMESTAMP!AA:AA,M_YT_LIVE_TIMESTAMP!Z:Z,"★",0,-1))</f>
        <v>https://www.youtube.com/live/OEtLBen9pLM?si=M4WDMSGkkHfWLvDr&amp;t=4372s</v>
      </c>
    </row>
    <row r="10" spans="1:30" x14ac:dyDescent="0.4">
      <c r="A10" s="12" t="str">
        <v>からくりピエロ</v>
      </c>
      <c r="B10" s="12" t="str">
        <v>40mP feat.初音ミク</v>
      </c>
      <c r="C10" s="12" t="str">
        <f t="shared" si="0"/>
        <v>40mP feat.初音ミクからくりピエロ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からくりピエロ</v>
      </c>
      <c r="AD10" s="19" t="str">
        <f>HYPERLINK(_xlfn.XLOOKUP(C10,M_YT_LIVE_TIMESTAMP!AA:AA,M_YT_LIVE_TIMESTAMP!Z:Z,"★",0,-1))</f>
        <v>https://www.youtube.com/live/i7euCqiwzl4?si=Gvd-dBAI4nZ9HDpv&amp;t=325s</v>
      </c>
    </row>
    <row r="11" spans="1:30" x14ac:dyDescent="0.4">
      <c r="A11" s="12" t="str">
        <v>トリノコシティ</v>
      </c>
      <c r="B11" s="12" t="str">
        <v>40mP feat.初音ミク</v>
      </c>
      <c r="C11" s="12" t="str">
        <f t="shared" si="0"/>
        <v>40mP feat.初音ミクトリノコシティ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トリノコシティ</v>
      </c>
      <c r="AD11" s="19" t="str">
        <f>HYPERLINK(_xlfn.XLOOKUP(C11,M_YT_LIVE_TIMESTAMP!AA:AA,M_YT_LIVE_TIMESTAMP!Z:Z,"★",0,-1))</f>
        <v>https://www.youtube.com/live/w3oM0fDmwz4?si=VVO-ga6uipBLMrpR&amp;t=3567s</v>
      </c>
    </row>
    <row r="12" spans="1:30" x14ac:dyDescent="0.4">
      <c r="A12" s="12" t="str">
        <v>純情スカート</v>
      </c>
      <c r="B12" s="12" t="str">
        <v>40mP feat.初音ミク</v>
      </c>
      <c r="C12" s="12" t="str">
        <f t="shared" si="0"/>
        <v>40mP feat.初音ミク純情スカート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純情スカート</v>
      </c>
      <c r="AD12" s="19" t="str">
        <f>HYPERLINK(_xlfn.XLOOKUP(C12,M_YT_LIVE_TIMESTAMP!AA:AA,M_YT_LIVE_TIMESTAMP!Z:Z,"★",0,-1))</f>
        <v>https://www.youtube.com/live/bXG5ottJZas?si=VsjzjU8RreUrJGd3&amp;t=4397s</v>
      </c>
    </row>
    <row r="13" spans="1:30" x14ac:dyDescent="0.4">
      <c r="A13" s="12" t="str">
        <v>恋愛裁判</v>
      </c>
      <c r="B13" s="12" t="str">
        <v>40mP feat.初音ミク</v>
      </c>
      <c r="C13" s="12" t="str">
        <f t="shared" si="0"/>
        <v>40mP feat.初音ミク恋愛裁判</v>
      </c>
      <c r="AA13" s="14" t="str">
        <f t="shared" si="1"/>
        <v>40mP feat.初音ミク</v>
      </c>
      <c r="AB13" s="14" t="str">
        <f>_xlfn.XLOOKUP(AA13,M_ARTIST!A:A,M_ARTIST!B:B,"★★★",0,1)</f>
        <v>40mP feat.はつねみく</v>
      </c>
      <c r="AC13" s="14" t="str">
        <f t="shared" si="2"/>
        <v>恋愛裁判</v>
      </c>
      <c r="AD13" s="19" t="str">
        <f>HYPERLINK(_xlfn.XLOOKUP(C13,M_YT_LIVE_TIMESTAMP!AA:AA,M_YT_LIVE_TIMESTAMP!Z:Z,"★",0,-1))</f>
        <v>https://www.youtube.com/live/EIV2fME4Fec?si=lkzDtJEJ9agzd2Md&amp;t=4734s</v>
      </c>
    </row>
    <row r="14" spans="1:30" x14ac:dyDescent="0.4">
      <c r="A14" s="12" t="str">
        <v>フタリボシ</v>
      </c>
      <c r="B14" s="12" t="str">
        <v>40mP feat.初音ミク&amp;GUMI</v>
      </c>
      <c r="C14" s="12" t="str">
        <f t="shared" si="0"/>
        <v>40mP feat.初音ミク&amp;GUMIフタリボシ</v>
      </c>
      <c r="AA14" s="14" t="str">
        <f t="shared" si="1"/>
        <v>40mP feat.初音ミク&amp;GUMI</v>
      </c>
      <c r="AB14" s="14" t="str">
        <f>_xlfn.XLOOKUP(AA14,M_ARTIST!A:A,M_ARTIST!B:B,"★★★",0,1)</f>
        <v>40mP feat.はつねみく&amp;GUMI</v>
      </c>
      <c r="AC14" s="14" t="str">
        <f t="shared" si="2"/>
        <v>フタリボシ</v>
      </c>
      <c r="AD14" s="19" t="str">
        <f>HYPERLINK(_xlfn.XLOOKUP(C14,M_YT_LIVE_TIMESTAMP!AA:AA,M_YT_LIVE_TIMESTAMP!Z:Z,"★",0,-1))</f>
        <v>https://www.youtube.com/live/keSRwH4Zr7g?si=RPmDxNZjQB1dZWSK&amp;t=611s</v>
      </c>
    </row>
    <row r="15" spans="1:30" x14ac:dyDescent="0.4">
      <c r="A15" s="12" t="str">
        <v>うっせぇわ</v>
      </c>
      <c r="B15" s="12" t="str">
        <v>Ado</v>
      </c>
      <c r="C15" s="12" t="str">
        <f t="shared" si="0"/>
        <v>Adoうっせぇわ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うっせぇわ</v>
      </c>
      <c r="AD15" s="19" t="str">
        <f>HYPERLINK(_xlfn.XLOOKUP(C15,M_YT_LIVE_TIMESTAMP!AA:AA,M_YT_LIVE_TIMESTAMP!Z:Z,"★",0,-1))</f>
        <v>https://www.youtube.com/live/Yti72SsHzxs?si=qlI2gfa0I0wWYoH4&amp;t=2350s</v>
      </c>
    </row>
    <row r="16" spans="1:30" x14ac:dyDescent="0.4">
      <c r="A16" s="12" t="str">
        <v>ギラギラ</v>
      </c>
      <c r="B16" s="12" t="str">
        <v>Ado</v>
      </c>
      <c r="C16" s="12" t="str">
        <f t="shared" si="0"/>
        <v>Adoギラギラ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ギラギラ</v>
      </c>
      <c r="AD16" s="19" t="str">
        <f>HYPERLINK(_xlfn.XLOOKUP(C16,M_YT_LIVE_TIMESTAMP!AA:AA,M_YT_LIVE_TIMESTAMP!Z:Z,"★",0,-1))</f>
        <v>https://www.youtube.com/live/AHfCHGope8I?si=qrXuqYy-tTqldtt4&amp;t=2826s</v>
      </c>
    </row>
    <row r="17" spans="1:30" x14ac:dyDescent="0.4">
      <c r="A17" s="12" t="str">
        <v>私は最強</v>
      </c>
      <c r="B17" s="12" t="str">
        <v>Ado</v>
      </c>
      <c r="C17" s="12" t="str">
        <f t="shared" si="0"/>
        <v>Ado私は最強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私は最強</v>
      </c>
      <c r="AD17" s="19" t="str">
        <f>HYPERLINK(_xlfn.XLOOKUP(C17,M_YT_LIVE_TIMESTAMP!AA:AA,M_YT_LIVE_TIMESTAMP!Z:Z,"★",0,-1))</f>
        <v>https://www.youtube.com/live/nyXzxG79mwQ?si=kGuFyOuc0o-yNPOU&amp;t=1867s</v>
      </c>
    </row>
    <row r="18" spans="1:30" x14ac:dyDescent="0.4">
      <c r="A18" s="12" t="str">
        <v>心という名の不可解</v>
      </c>
      <c r="B18" s="12" t="str">
        <v>Ado</v>
      </c>
      <c r="C18" s="12" t="str">
        <f t="shared" si="0"/>
        <v>Ado心という名の不可解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心という名の不可解</v>
      </c>
      <c r="AD18" s="19" t="str">
        <f>HYPERLINK(_xlfn.XLOOKUP(C18,M_YT_LIVE_TIMESTAMP!AA:AA,M_YT_LIVE_TIMESTAMP!Z:Z,"★",0,-1))</f>
        <v>https://www.youtube.com/live/lrLQ6akH23w?si=aC5HLJK6UZYwu-Yn&amp;t=4912s</v>
      </c>
    </row>
    <row r="19" spans="1:30" x14ac:dyDescent="0.4">
      <c r="A19" s="12" t="str">
        <v>新時代</v>
      </c>
      <c r="B19" s="12" t="str">
        <v>Ado</v>
      </c>
      <c r="C19" s="12" t="str">
        <f t="shared" si="0"/>
        <v>Ado新時代</v>
      </c>
      <c r="AA19" s="14" t="str">
        <f t="shared" si="1"/>
        <v>Ado</v>
      </c>
      <c r="AB19" s="14" t="str">
        <f>_xlfn.XLOOKUP(AA19,M_ARTIST!A:A,M_ARTIST!B:B,"★★★",0,1)</f>
        <v>Ado</v>
      </c>
      <c r="AC19" s="14" t="str">
        <f t="shared" si="2"/>
        <v>新時代</v>
      </c>
      <c r="AD19" s="19" t="str">
        <f>HYPERLINK(_xlfn.XLOOKUP(C19,M_YT_LIVE_TIMESTAMP!AA:AA,M_YT_LIVE_TIMESTAMP!Z:Z,"★",0,-1))</f>
        <v>https://www.youtube.com/live/nyXzxG79mwQ?si=kGuFyOuc0o-yNPOU&amp;t=2149s</v>
      </c>
    </row>
    <row r="20" spans="1:30" x14ac:dyDescent="0.4">
      <c r="A20" s="12" t="str">
        <v>milk</v>
      </c>
      <c r="B20" s="12" t="str">
        <v>aiko</v>
      </c>
      <c r="C20" s="12" t="str">
        <f t="shared" si="0"/>
        <v>aikomilk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milk</v>
      </c>
      <c r="AD20" s="19" t="str">
        <f>HYPERLINK(_xlfn.XLOOKUP(C20,M_YT_LIVE_TIMESTAMP!AA:AA,M_YT_LIVE_TIMESTAMP!Z:Z,"★",0,-1))</f>
        <v>https://www.youtube.com/live/BjWSIm9kSZs?si=1oMuQyZMLWArIABK&amp;t=3679s</v>
      </c>
    </row>
    <row r="21" spans="1:30" x14ac:dyDescent="0.4">
      <c r="A21" s="12" t="str">
        <v>カブトムシ</v>
      </c>
      <c r="B21" s="12" t="str">
        <v>aiko</v>
      </c>
      <c r="C21" s="12" t="str">
        <f t="shared" si="0"/>
        <v>aikoカブトムシ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カブトムシ</v>
      </c>
      <c r="AD21" s="19" t="str">
        <f>HYPERLINK(_xlfn.XLOOKUP(C21,M_YT_LIVE_TIMESTAMP!AA:AA,M_YT_LIVE_TIMESTAMP!Z:Z,"★",0,-1))</f>
        <v>https://www.youtube.com/live/N0Tp3auhZ54?si=TUAMJQ8TqFkAVZ1r&amp;t=2589s</v>
      </c>
    </row>
    <row r="22" spans="1:30" x14ac:dyDescent="0.4">
      <c r="A22" s="12" t="str">
        <v>花火</v>
      </c>
      <c r="B22" s="12" t="str">
        <v>aiko</v>
      </c>
      <c r="C22" s="12" t="str">
        <f t="shared" si="0"/>
        <v>aiko花火</v>
      </c>
      <c r="AA22" s="14" t="str">
        <f t="shared" si="1"/>
        <v>aiko</v>
      </c>
      <c r="AB22" s="14" t="str">
        <f>_xlfn.XLOOKUP(AA22,M_ARTIST!A:A,M_ARTIST!B:B,"★★★",0,1)</f>
        <v>aiko</v>
      </c>
      <c r="AC22" s="14" t="str">
        <f t="shared" si="2"/>
        <v>花火</v>
      </c>
      <c r="AD22" s="19" t="str">
        <f>HYPERLINK(_xlfn.XLOOKUP(C22,M_YT_LIVE_TIMESTAMP!AA:AA,M_YT_LIVE_TIMESTAMP!Z:Z,"★",0,-1))</f>
        <v>https://www.youtube.com/live/6wh0qjbo6K4?si=vntI9mYE52ZplV6U&amp;t=5498s</v>
      </c>
    </row>
    <row r="23" spans="1:30" x14ac:dyDescent="0.4">
      <c r="A23" s="12" t="str">
        <v>I beg you</v>
      </c>
      <c r="B23" s="12" t="str">
        <v>Aimer</v>
      </c>
      <c r="C23" s="12" t="str">
        <f t="shared" si="0"/>
        <v>AimerI beg you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I beg you</v>
      </c>
      <c r="AD23" s="19" t="str">
        <f>HYPERLINK(_xlfn.XLOOKUP(C23,M_YT_LIVE_TIMESTAMP!AA:AA,M_YT_LIVE_TIMESTAMP!Z:Z,"★",0,-1))</f>
        <v>https://www.youtube.com/live/GvGh24EJfGg?si=QLYBryRLPz4v_Qdl&amp;t=4053s</v>
      </c>
    </row>
    <row r="24" spans="1:30" x14ac:dyDescent="0.4">
      <c r="A24" s="12" t="str">
        <v>Ref:rain</v>
      </c>
      <c r="B24" s="12" t="str">
        <v>Aimer</v>
      </c>
      <c r="C24" s="12" t="str">
        <f t="shared" si="0"/>
        <v>AimerRef:rain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Ref:rain</v>
      </c>
      <c r="AD24" s="19" t="str">
        <f>HYPERLINK(_xlfn.XLOOKUP(C24,M_YT_LIVE_TIMESTAMP!AA:AA,M_YT_LIVE_TIMESTAMP!Z:Z,"★",0,-1))</f>
        <v>https://www.youtube.com/live/ac4RYGdoGfw?si=XYuojmcqpJZOLb9x&amp;t=3258s</v>
      </c>
    </row>
    <row r="25" spans="1:30" x14ac:dyDescent="0.4">
      <c r="A25" s="12" t="str">
        <v>カタオモイ</v>
      </c>
      <c r="B25" s="12" t="str">
        <v>Aimer</v>
      </c>
      <c r="C25" s="12" t="str">
        <f t="shared" si="0"/>
        <v>Aimerカタオモイ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カタオモイ</v>
      </c>
      <c r="AD25" s="19" t="str">
        <f>HYPERLINK(_xlfn.XLOOKUP(C25,M_YT_LIVE_TIMESTAMP!AA:AA,M_YT_LIVE_TIMESTAMP!Z:Z,"★",0,-1))</f>
        <v>https://www.youtube.com/live/TDYlHpN4h0s?si=ysSy7YIPSXU6T0nx&amp;t=3033s</v>
      </c>
    </row>
    <row r="26" spans="1:30" x14ac:dyDescent="0.4">
      <c r="A26" s="12" t="str">
        <v>残響散歌</v>
      </c>
      <c r="B26" s="12" t="str">
        <v>Aimer</v>
      </c>
      <c r="C26" s="12" t="str">
        <f t="shared" si="0"/>
        <v>Aimer残響散歌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残響散歌</v>
      </c>
      <c r="AD26" s="19" t="str">
        <f>HYPERLINK(_xlfn.XLOOKUP(C26,M_YT_LIVE_TIMESTAMP!AA:AA,M_YT_LIVE_TIMESTAMP!Z:Z,"★",0,-1))</f>
        <v>https://www.youtube.com/live/nyXzxG79mwQ?si=kGuFyOuc0o-yNPOU&amp;t=815s</v>
      </c>
    </row>
    <row r="27" spans="1:30" x14ac:dyDescent="0.4">
      <c r="A27" s="12" t="str">
        <v>星が消えた夜に</v>
      </c>
      <c r="B27" s="12" t="str">
        <v>Aimer</v>
      </c>
      <c r="C27" s="12" t="str">
        <f t="shared" si="0"/>
        <v>Aimer星が消えた夜に</v>
      </c>
      <c r="AA27" s="14" t="str">
        <f t="shared" si="1"/>
        <v>Aimer</v>
      </c>
      <c r="AB27" s="14" t="str">
        <f>_xlfn.XLOOKUP(AA27,M_ARTIST!A:A,M_ARTIST!B:B,"★★★",0,1)</f>
        <v>Aimer</v>
      </c>
      <c r="AC27" s="14" t="str">
        <f t="shared" si="2"/>
        <v>星が消えた夜に</v>
      </c>
      <c r="AD27" s="19" t="str">
        <f>HYPERLINK(_xlfn.XLOOKUP(C27,M_YT_LIVE_TIMESTAMP!AA:AA,M_YT_LIVE_TIMESTAMP!Z:Z,"★",0,-1))</f>
        <v>https://www.youtube.com/live/BjWSIm9kSZs?si=1oMuQyZMLWArIABK&amp;t=6488s</v>
      </c>
    </row>
    <row r="28" spans="1:30" x14ac:dyDescent="0.4">
      <c r="A28" s="12" t="str">
        <v>しあわせになんてならないで</v>
      </c>
      <c r="B28" s="12" t="str">
        <v>Aiobahn feat. ナナヲアカリ</v>
      </c>
      <c r="C28" s="12" t="str">
        <f t="shared" si="0"/>
        <v>Aiobahn feat. ナナヲアカリしあわせになんてならないで</v>
      </c>
      <c r="AA28" s="14" t="str">
        <f t="shared" si="1"/>
        <v>Aiobahn feat. ナナヲアカリ</v>
      </c>
      <c r="AB28" s="14" t="str">
        <f>_xlfn.XLOOKUP(AA28,M_ARTIST!A:A,M_ARTIST!B:B,"★★★",0,1)</f>
        <v>★★★</v>
      </c>
      <c r="AC28" s="14" t="str">
        <f t="shared" si="2"/>
        <v>しあわせになんてならないで</v>
      </c>
      <c r="AD28" s="19" t="str">
        <f>HYPERLINK(_xlfn.XLOOKUP(C28,M_YT_LIVE_TIMESTAMP!AA:AA,M_YT_LIVE_TIMESTAMP!Z:Z,"★",0,-1))</f>
        <v>https://www.youtube.com/live/YC2XfDeeAQI?si=BpJIi-KScnRHEoFo&amp;t=5050s</v>
      </c>
    </row>
    <row r="29" spans="1:30" x14ac:dyDescent="0.4">
      <c r="A29" s="12" t="str">
        <v>愛♡スクリ〜ム!</v>
      </c>
      <c r="B29" s="12" t="str">
        <v>AiScReam(ラブライブ!)</v>
      </c>
      <c r="C29" s="12" t="str">
        <f t="shared" si="0"/>
        <v>AiScReam(ラブライブ!)愛♡スクリ〜ム!</v>
      </c>
      <c r="AA29" s="14" t="str">
        <f t="shared" si="1"/>
        <v>AiScReam(ラブライブ!)</v>
      </c>
      <c r="AB29" s="14" t="str">
        <f>_xlfn.XLOOKUP(AA29,M_ARTIST!A:A,M_ARTIST!B:B,"★★★",0,1)</f>
        <v>★★★</v>
      </c>
      <c r="AC29" s="14" t="str">
        <f t="shared" si="2"/>
        <v>愛♡スクリ〜ム!</v>
      </c>
      <c r="AD29" s="19" t="str">
        <f>HYPERLINK(_xlfn.XLOOKUP(C29,M_YT_LIVE_TIMESTAMP!AA:AA,M_YT_LIVE_TIMESTAMP!Z:Z,"★",0,-1))</f>
        <v>https://www.youtube.com/live/orkAkFl798M?si=7tK-YB5J1dGoAFWq&amp;t=2145s</v>
      </c>
    </row>
    <row r="30" spans="1:30" x14ac:dyDescent="0.4">
      <c r="A30" s="12" t="str">
        <v>フライングゲット</v>
      </c>
      <c r="B30" s="12" t="str">
        <v>AKB48</v>
      </c>
      <c r="C30" s="12" t="str">
        <f t="shared" si="0"/>
        <v>AKB48フライングゲット</v>
      </c>
      <c r="AA30" s="14" t="str">
        <f t="shared" si="1"/>
        <v>AKB48</v>
      </c>
      <c r="AB30" s="14" t="str">
        <f>_xlfn.XLOOKUP(AA30,M_ARTIST!A:A,M_ARTIST!B:B,"★★★",0,1)</f>
        <v>★★★</v>
      </c>
      <c r="AC30" s="14" t="str">
        <f t="shared" si="2"/>
        <v>フライングゲット</v>
      </c>
      <c r="AD30" s="19" t="str">
        <f>HYPERLINK(_xlfn.XLOOKUP(C30,M_YT_LIVE_TIMESTAMP!AA:AA,M_YT_LIVE_TIMESTAMP!Z:Z,"★",0,-1))</f>
        <v>https://www.youtube.com/live/orkAkFl798M?si=7tK-YB5J1dGoAFWq&amp;t=4229s</v>
      </c>
    </row>
    <row r="31" spans="1:30" x14ac:dyDescent="0.4">
      <c r="A31" s="12" t="str">
        <v>創聖のアクエリオン</v>
      </c>
      <c r="B31" s="12" t="str">
        <v>AKINO</v>
      </c>
      <c r="C31" s="12" t="str">
        <f t="shared" si="0"/>
        <v>AKINO創聖のアクエリオン</v>
      </c>
      <c r="AA31" s="14" t="str">
        <f t="shared" si="1"/>
        <v>AKINO</v>
      </c>
      <c r="AB31" s="14" t="str">
        <f>_xlfn.XLOOKUP(AA31,M_ARTIST!A:A,M_ARTIST!B:B,"★★★",0,1)</f>
        <v>AKINO</v>
      </c>
      <c r="AC31" s="14" t="str">
        <f t="shared" si="2"/>
        <v>創聖のアクエリオン</v>
      </c>
      <c r="AD31" s="19" t="str">
        <f>HYPERLINK(_xlfn.XLOOKUP(C31,M_YT_LIVE_TIMESTAMP!AA:AA,M_YT_LIVE_TIMESTAMP!Z:Z,"★",0,-1))</f>
        <v>https://www.youtube.com/live/nyXzxG79mwQ?si=kGuFyOuc0o-yNPOU&amp;t=16039s</v>
      </c>
    </row>
    <row r="32" spans="1:30" x14ac:dyDescent="0.4">
      <c r="A32" s="12" t="str">
        <v>Yeah! Yeah! Yeah!</v>
      </c>
      <c r="B32" s="12" t="str">
        <v>androp</v>
      </c>
      <c r="C32" s="12" t="str">
        <f t="shared" si="0"/>
        <v>andropYeah! Yeah! Yeah!</v>
      </c>
      <c r="AA32" s="14" t="str">
        <f t="shared" si="1"/>
        <v>androp</v>
      </c>
      <c r="AB32" s="14" t="str">
        <f>_xlfn.XLOOKUP(AA32,M_ARTIST!A:A,M_ARTIST!B:B,"★★★",0,1)</f>
        <v>androp</v>
      </c>
      <c r="AC32" s="14" t="str">
        <f t="shared" si="2"/>
        <v>Yeah! Yeah! Yeah!</v>
      </c>
      <c r="AD32" s="19" t="str">
        <f>HYPERLINK(_xlfn.XLOOKUP(C32,M_YT_LIVE_TIMESTAMP!AA:AA,M_YT_LIVE_TIMESTAMP!Z:Z,"★",0,-1))</f>
        <v>https://www.youtube.com/live/rowkHJneOgY?si=dzvDO_qNHD4fLHMQ&amp;t=3395s</v>
      </c>
    </row>
    <row r="33" spans="1:30" x14ac:dyDescent="0.4">
      <c r="A33" s="12" t="str">
        <v>ラムネ</v>
      </c>
      <c r="B33" s="12" t="str">
        <v>Aqu3ra feat.flower</v>
      </c>
      <c r="C33" s="12" t="str">
        <f t="shared" si="0"/>
        <v>Aqu3ra feat.flowerラムネ</v>
      </c>
      <c r="AA33" s="14" t="str">
        <f t="shared" si="1"/>
        <v>Aqu3ra feat.flower</v>
      </c>
      <c r="AB33" s="14" t="str">
        <f>_xlfn.XLOOKUP(AA33,M_ARTIST!A:A,M_ARTIST!B:B,"★★★",0,1)</f>
        <v>Aqu3ra feat.flower</v>
      </c>
      <c r="AC33" s="14" t="str">
        <f t="shared" si="2"/>
        <v>ラムネ</v>
      </c>
      <c r="AD33" s="19" t="str">
        <f>HYPERLINK(_xlfn.XLOOKUP(C33,M_YT_LIVE_TIMESTAMP!AA:AA,M_YT_LIVE_TIMESTAMP!Z:Z,"★",0,-1))</f>
        <v>https://www.youtube.com/live/JAK2m4FWxF0?si=Xy-B8lpcz7dX_b5n&amp;t=7464s</v>
      </c>
    </row>
    <row r="34" spans="1:30" x14ac:dyDescent="0.4">
      <c r="A34" s="12" t="str">
        <v>シニカルナイトプラン</v>
      </c>
      <c r="B34" s="12" t="str">
        <v>Ayase feat.初音ミク</v>
      </c>
      <c r="C34" s="12" t="str">
        <f t="shared" si="0"/>
        <v>Ayase feat.初音ミクシニカルナイトプラン</v>
      </c>
      <c r="AA34" s="14" t="str">
        <f t="shared" si="1"/>
        <v>Ayase feat.初音ミク</v>
      </c>
      <c r="AB34" s="14" t="str">
        <f>_xlfn.XLOOKUP(AA34,M_ARTIST!A:A,M_ARTIST!B:B,"★★★",0,1)</f>
        <v>Ayase feat.はつねみく</v>
      </c>
      <c r="AC34" s="14" t="str">
        <f t="shared" si="2"/>
        <v>シニカルナイトプラン</v>
      </c>
      <c r="AD34" s="19" t="str">
        <f>HYPERLINK(_xlfn.XLOOKUP(C34,M_YT_LIVE_TIMESTAMP!AA:AA,M_YT_LIVE_TIMESTAMP!Z:Z,"★",0,-1))</f>
        <v>https://www.youtube.com/live/AHfCHGope8I?si=qrXuqYy-tTqldtt4&amp;t=4874s</v>
      </c>
    </row>
    <row r="35" spans="1:30" x14ac:dyDescent="0.4">
      <c r="A35" s="12" t="str">
        <v>幽霊東京</v>
      </c>
      <c r="B35" s="12" t="str">
        <v>Ayase feat.初音ミク</v>
      </c>
      <c r="C35" s="12" t="str">
        <f t="shared" si="0"/>
        <v>Ayase feat.初音ミク幽霊東京</v>
      </c>
      <c r="AA35" s="14" t="str">
        <f t="shared" si="1"/>
        <v>Ayase feat.初音ミク</v>
      </c>
      <c r="AB35" s="14" t="str">
        <f>_xlfn.XLOOKUP(AA35,M_ARTIST!A:A,M_ARTIST!B:B,"★★★",0,1)</f>
        <v>Ayase feat.はつねみく</v>
      </c>
      <c r="AC35" s="14" t="str">
        <f t="shared" si="2"/>
        <v>幽霊東京</v>
      </c>
      <c r="AD35" s="19" t="str">
        <f>HYPERLINK(_xlfn.XLOOKUP(C35,M_YT_LIVE_TIMESTAMP!AA:AA,M_YT_LIVE_TIMESTAMP!Z:Z,"★",0,-1))</f>
        <v>https://www.youtube.com/live/rjOy6A4c68o?si=Q07K-470tlYbzNHk&amp;t=628s</v>
      </c>
    </row>
    <row r="36" spans="1:30" x14ac:dyDescent="0.4">
      <c r="A36" s="12" t="str">
        <v>Help!(1chorus)</v>
      </c>
      <c r="B36" s="12" t="str">
        <v>Beatles</v>
      </c>
      <c r="C36" s="12" t="str">
        <f t="shared" si="0"/>
        <v>BeatlesHelp!(1chorus)</v>
      </c>
      <c r="AA36" s="14" t="str">
        <f t="shared" si="1"/>
        <v>Beatles</v>
      </c>
      <c r="AB36" s="14" t="str">
        <f>_xlfn.XLOOKUP(AA36,M_ARTIST!A:A,M_ARTIST!B:B,"★★★",0,1)</f>
        <v>Beatles</v>
      </c>
      <c r="AC36" s="14" t="str">
        <f t="shared" si="2"/>
        <v>Help!(1chorus)</v>
      </c>
      <c r="AD36" s="19" t="str">
        <f>HYPERLINK(_xlfn.XLOOKUP(C36,M_YT_LIVE_TIMESTAMP!AA:AA,M_YT_LIVE_TIMESTAMP!Z:Z,"★",0,-1))</f>
        <v>https://www.youtube.com/live/OYaf_O-6WRs?si=20Zo4VVa8PxJbw_X&amp;t=4520s</v>
      </c>
    </row>
    <row r="37" spans="1:30" x14ac:dyDescent="0.4">
      <c r="A37" s="12" t="str">
        <v>可惜夜</v>
      </c>
      <c r="B37" s="12" t="str">
        <v>Beatsea feat.初音ミク</v>
      </c>
      <c r="C37" s="12" t="str">
        <f t="shared" si="0"/>
        <v>Beatsea feat.初音ミク可惜夜</v>
      </c>
      <c r="AA37" s="14" t="str">
        <f t="shared" si="1"/>
        <v>Beatsea feat.初音ミク</v>
      </c>
      <c r="AB37" s="14" t="str">
        <f>_xlfn.XLOOKUP(AA37,M_ARTIST!A:A,M_ARTIST!B:B,"★★★",0,1)</f>
        <v>Beatsea feat.はつねみく</v>
      </c>
      <c r="AC37" s="14" t="str">
        <f t="shared" si="2"/>
        <v>可惜夜</v>
      </c>
      <c r="AD37" s="19" t="str">
        <f>HYPERLINK(_xlfn.XLOOKUP(C37,M_YT_LIVE_TIMESTAMP!AA:AA,M_YT_LIVE_TIMESTAMP!Z:Z,"★",0,-1))</f>
        <v>https://www.youtube.com/live/Dm-WC5w7K8Y?si=Pph-3uJ8wVrF5vc0&amp;t=4512s</v>
      </c>
    </row>
    <row r="38" spans="1:30" x14ac:dyDescent="0.4">
      <c r="A38" s="12" t="str">
        <v>プロミスザスター</v>
      </c>
      <c r="B38" s="12" t="str">
        <v>BiSH</v>
      </c>
      <c r="C38" s="12" t="str">
        <f t="shared" si="0"/>
        <v>BiSHプロミスザスター</v>
      </c>
      <c r="AA38" s="14" t="str">
        <f t="shared" si="1"/>
        <v>BiSH</v>
      </c>
      <c r="AB38" s="14" t="str">
        <f>_xlfn.XLOOKUP(AA38,M_ARTIST!A:A,M_ARTIST!B:B,"★★★",0,1)</f>
        <v>BiSH</v>
      </c>
      <c r="AC38" s="14" t="str">
        <f t="shared" si="2"/>
        <v>プロミスザスター</v>
      </c>
      <c r="AD38" s="19" t="str">
        <f>HYPERLINK(_xlfn.XLOOKUP(C38,M_YT_LIVE_TIMESTAMP!AA:AA,M_YT_LIVE_TIMESTAMP!Z:Z,"★",0,-1))</f>
        <v>https://www.youtube.com/live/rowkHJneOgY?si=dzvDO_qNHD4fLHMQ&amp;t=5470s</v>
      </c>
    </row>
    <row r="39" spans="1:30" x14ac:dyDescent="0.4">
      <c r="A39" s="12" t="str">
        <v>天体観測</v>
      </c>
      <c r="B39" s="12" t="str">
        <v>BUMP OF CHICKEN</v>
      </c>
      <c r="C39" s="12" t="str">
        <f t="shared" si="0"/>
        <v>BUMP OF CHICKEN天体観測</v>
      </c>
      <c r="AA39" s="14" t="str">
        <f t="shared" si="1"/>
        <v>BUMP OF CHICKEN</v>
      </c>
      <c r="AB39" s="14" t="str">
        <f>_xlfn.XLOOKUP(AA39,M_ARTIST!A:A,M_ARTIST!B:B,"★★★",0,1)</f>
        <v>BUMP OF CHICKEN</v>
      </c>
      <c r="AC39" s="14" t="str">
        <f t="shared" si="2"/>
        <v>天体観測</v>
      </c>
      <c r="AD39" s="19" t="str">
        <f>HYPERLINK(_xlfn.XLOOKUP(C39,M_YT_LIVE_TIMESTAMP!AA:AA,M_YT_LIVE_TIMESTAMP!Z:Z,"★",0,-1))</f>
        <v>https://www.youtube.com/live/BTi31luRntI?si=HKZA9dD6UF6pnPvq&amp;t=10353s</v>
      </c>
    </row>
    <row r="40" spans="1:30" x14ac:dyDescent="0.4">
      <c r="A40" s="12" t="str">
        <v>カヌレ</v>
      </c>
      <c r="B40" s="12" t="str">
        <v>CHiCO with HoneyWorks</v>
      </c>
      <c r="C40" s="12" t="str">
        <f t="shared" si="0"/>
        <v>CHiCO with HoneyWorksカヌレ</v>
      </c>
      <c r="AA40" s="14" t="str">
        <f t="shared" si="1"/>
        <v>CHiCO with HoneyWorks</v>
      </c>
      <c r="AB40" s="14" t="str">
        <f>_xlfn.XLOOKUP(AA40,M_ARTIST!A:A,M_ARTIST!B:B,"★★★",0,1)</f>
        <v>CHiCO with HoneyWorks</v>
      </c>
      <c r="AC40" s="14" t="str">
        <f t="shared" si="2"/>
        <v>カヌレ</v>
      </c>
      <c r="AD40" s="19" t="str">
        <f>HYPERLINK(_xlfn.XLOOKUP(C40,M_YT_LIVE_TIMESTAMP!AA:AA,M_YT_LIVE_TIMESTAMP!Z:Z,"★",0,-1))</f>
        <v>https://www.youtube.com/live/wY3z5W9B8N0?si=FVqBjyoCdmcOKFxz&amp;t=7072s</v>
      </c>
    </row>
    <row r="41" spans="1:30" x14ac:dyDescent="0.4">
      <c r="A41" s="12" t="str">
        <v>プライド革命</v>
      </c>
      <c r="B41" s="12" t="str">
        <v>CHiCO with HoneyWorks</v>
      </c>
      <c r="C41" s="12" t="str">
        <f t="shared" si="0"/>
        <v>CHiCO with HoneyWorksプライド革命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プライド革命</v>
      </c>
      <c r="AD41" s="19" t="str">
        <f>HYPERLINK(_xlfn.XLOOKUP(C41,M_YT_LIVE_TIMESTAMP!AA:AA,M_YT_LIVE_TIMESTAMP!Z:Z,"★",0,-1))</f>
        <v>https://www.youtube.com/live/nyXzxG79mwQ?si=kGuFyOuc0o-yNPOU&amp;t=11497s</v>
      </c>
    </row>
    <row r="42" spans="1:30" x14ac:dyDescent="0.4">
      <c r="A42" s="12" t="str">
        <v>世界は恋に落ちている</v>
      </c>
      <c r="B42" s="12" t="str">
        <v>CHiCO with HoneyWorks</v>
      </c>
      <c r="C42" s="12" t="str">
        <f t="shared" si="0"/>
        <v>CHiCO with HoneyWorks世界は恋に落ちている</v>
      </c>
      <c r="AA42" s="14" t="str">
        <f t="shared" si="1"/>
        <v>CHiCO with HoneyWorks</v>
      </c>
      <c r="AB42" s="14" t="str">
        <f>_xlfn.XLOOKUP(AA42,M_ARTIST!A:A,M_ARTIST!B:B,"★★★",0,1)</f>
        <v>CHiCO with HoneyWorks</v>
      </c>
      <c r="AC42" s="14" t="str">
        <f t="shared" si="2"/>
        <v>世界は恋に落ちている</v>
      </c>
      <c r="AD42" s="19" t="str">
        <f>HYPERLINK(_xlfn.XLOOKUP(C42,M_YT_LIVE_TIMESTAMP!AA:AA,M_YT_LIVE_TIMESTAMP!Z:Z,"★",0,-1))</f>
        <v>https://www.youtube.com/live/nyXzxG79mwQ?si=kGuFyOuc0o-yNPOU&amp;t=10655s</v>
      </c>
    </row>
    <row r="43" spans="1:30" x14ac:dyDescent="0.4">
      <c r="A43" s="12" t="str">
        <v>グッバイ宣言</v>
      </c>
      <c r="B43" s="12" t="str">
        <v>chizono feat.FlowerR</v>
      </c>
      <c r="C43" s="12" t="str">
        <f t="shared" si="0"/>
        <v>chizono feat.FlowerRグッバイ宣言</v>
      </c>
      <c r="AA43" s="14" t="str">
        <f t="shared" si="1"/>
        <v>chizono feat.FlowerR</v>
      </c>
      <c r="AB43" s="14" t="str">
        <f>_xlfn.XLOOKUP(AA43,M_ARTIST!A:A,M_ARTIST!B:B,"★★★",0,1)</f>
        <v>chizono feat.FlowerR</v>
      </c>
      <c r="AC43" s="14" t="str">
        <f t="shared" si="2"/>
        <v>グッバイ宣言</v>
      </c>
      <c r="AD43" s="19" t="str">
        <f>HYPERLINK(_xlfn.XLOOKUP(C43,M_YT_LIVE_TIMESTAMP!AA:AA,M_YT_LIVE_TIMESTAMP!Z:Z,"★",0,-1))</f>
        <v>https://www.youtube.com/live/Yti72SsHzxs?si=qlI2gfa0I0wWYoH4&amp;t=2111s</v>
      </c>
    </row>
    <row r="44" spans="1:30" x14ac:dyDescent="0.4">
      <c r="A44" s="12" t="str">
        <v>グッバイ宣言(1chorus)</v>
      </c>
      <c r="B44" s="12" t="str">
        <v>chizono feat.FlowerR</v>
      </c>
      <c r="C44" s="12" t="str">
        <f t="shared" si="0"/>
        <v>chizono feat.FlowerRグッバイ宣言(1chorus)</v>
      </c>
      <c r="AA44" s="14" t="str">
        <f t="shared" si="1"/>
        <v>chizono feat.FlowerR</v>
      </c>
      <c r="AB44" s="14" t="str">
        <f>_xlfn.XLOOKUP(AA44,M_ARTIST!A:A,M_ARTIST!B:B,"★★★",0,1)</f>
        <v>chizono feat.FlowerR</v>
      </c>
      <c r="AC44" s="14" t="str">
        <f t="shared" si="2"/>
        <v>グッバイ宣言(1chorus)</v>
      </c>
      <c r="AD44" s="19" t="str">
        <f>HYPERLINK(_xlfn.XLOOKUP(C44,M_YT_LIVE_TIMESTAMP!AA:AA,M_YT_LIVE_TIMESTAMP!Z:Z,"★",0,-1))</f>
        <v>https://www.youtube.com/live/Yti72SsHzxs?si=qlI2gfa0I0wWYoH4&amp;t=2032s</v>
      </c>
    </row>
    <row r="45" spans="1:30" x14ac:dyDescent="0.4">
      <c r="A45" s="12" t="str">
        <v>カワルミライ</v>
      </c>
      <c r="B45" s="12" t="str">
        <v>ChouCho</v>
      </c>
      <c r="C45" s="12" t="str">
        <f t="shared" si="0"/>
        <v>ChouChoカワルミライ</v>
      </c>
      <c r="AA45" s="14" t="str">
        <f t="shared" si="1"/>
        <v>ChouCho</v>
      </c>
      <c r="AB45" s="14" t="str">
        <f>_xlfn.XLOOKUP(AA45,M_ARTIST!A:A,M_ARTIST!B:B,"★★★",0,1)</f>
        <v>ChouCho</v>
      </c>
      <c r="AC45" s="14" t="str">
        <f t="shared" si="2"/>
        <v>カワルミライ</v>
      </c>
      <c r="AD45" s="19" t="str">
        <f>HYPERLINK(_xlfn.XLOOKUP(C45,M_YT_LIVE_TIMESTAMP!AA:AA,M_YT_LIVE_TIMESTAMP!Z:Z,"★",0,-1))</f>
        <v>https://www.youtube.com/live/JAK2m4FWxF0?si=Xy-B8lpcz7dX_b5n&amp;t=4556s</v>
      </c>
    </row>
    <row r="46" spans="1:30" x14ac:dyDescent="0.4">
      <c r="A46" s="12" t="str">
        <v>優しさの理由</v>
      </c>
      <c r="B46" s="12" t="str">
        <v>ChouCho</v>
      </c>
      <c r="C46" s="12" t="str">
        <f t="shared" si="0"/>
        <v>ChouCho優しさの理由</v>
      </c>
      <c r="AA46" s="14" t="str">
        <f t="shared" si="1"/>
        <v>ChouCho</v>
      </c>
      <c r="AB46" s="14" t="str">
        <f>_xlfn.XLOOKUP(AA46,M_ARTIST!A:A,M_ARTIST!B:B,"★★★",0,1)</f>
        <v>ChouCho</v>
      </c>
      <c r="AC46" s="14" t="str">
        <f t="shared" si="2"/>
        <v>優しさの理由</v>
      </c>
      <c r="AD46" s="19" t="str">
        <f>HYPERLINK(_xlfn.XLOOKUP(C46,M_YT_LIVE_TIMESTAMP!AA:AA,M_YT_LIVE_TIMESTAMP!Z:Z,"★",0,-1))</f>
        <v>https://www.youtube.com/live/JAK2m4FWxF0?si=Xy-B8lpcz7dX_b5n&amp;t=4238s</v>
      </c>
    </row>
    <row r="47" spans="1:30" x14ac:dyDescent="0.4">
      <c r="A47" s="12" t="str">
        <v>コネクト</v>
      </c>
      <c r="B47" s="12" t="str">
        <v>ClariS</v>
      </c>
      <c r="C47" s="12" t="str">
        <f t="shared" si="0"/>
        <v>ClariSコネクト</v>
      </c>
      <c r="AA47" s="14" t="str">
        <f t="shared" si="1"/>
        <v>ClariS</v>
      </c>
      <c r="AB47" s="14" t="str">
        <f>_xlfn.XLOOKUP(AA47,M_ARTIST!A:A,M_ARTIST!B:B,"★★★",0,1)</f>
        <v>ClariS</v>
      </c>
      <c r="AC47" s="14" t="str">
        <f t="shared" si="2"/>
        <v>コネクト</v>
      </c>
      <c r="AD47" s="19" t="str">
        <f>HYPERLINK(_xlfn.XLOOKUP(C47,M_YT_LIVE_TIMESTAMP!AA:AA,M_YT_LIVE_TIMESTAMP!Z:Z,"★",0,-1))</f>
        <v>https://www.youtube.com/live/NkjXzUMUZpw?si=EmGBj6Hh6tIlwjGQ&amp;t=2806s</v>
      </c>
    </row>
    <row r="48" spans="1:30" x14ac:dyDescent="0.4">
      <c r="A48" s="12" t="str">
        <v>asphyxia</v>
      </c>
      <c r="B48" s="12" t="str">
        <v>Cö shu Nie</v>
      </c>
      <c r="C48" s="12" t="str">
        <f t="shared" si="0"/>
        <v>Cö shu Nieasphyxia</v>
      </c>
      <c r="AA48" s="14" t="str">
        <f t="shared" si="1"/>
        <v>Cö shu Nie</v>
      </c>
      <c r="AB48" s="14" t="str">
        <f>_xlfn.XLOOKUP(AA48,M_ARTIST!A:A,M_ARTIST!B:B,"★★★",0,1)</f>
        <v>Cö shu Nie</v>
      </c>
      <c r="AC48" s="14" t="str">
        <f t="shared" si="2"/>
        <v>asphyxia</v>
      </c>
      <c r="AD48" s="19" t="str">
        <f>HYPERLINK(_xlfn.XLOOKUP(C48,M_YT_LIVE_TIMESTAMP!AA:AA,M_YT_LIVE_TIMESTAMP!Z:Z,"★",0,-1))</f>
        <v>https://www.youtube.com/live/5-PHEYq6a-Y?si=i1qN4inKhZc0prZ-&amp;t=2465s</v>
      </c>
    </row>
    <row r="49" spans="1:30" x14ac:dyDescent="0.4">
      <c r="A49" s="12" t="str">
        <v>ファジーネーブル</v>
      </c>
      <c r="B49" s="12" t="str">
        <v>Conton Candy</v>
      </c>
      <c r="C49" s="12" t="str">
        <f t="shared" si="0"/>
        <v>Conton Candyファジーネーブル</v>
      </c>
      <c r="AA49" s="14" t="str">
        <f t="shared" si="1"/>
        <v>Conton Candy</v>
      </c>
      <c r="AB49" s="14" t="str">
        <f>_xlfn.XLOOKUP(AA49,M_ARTIST!A:A,M_ARTIST!B:B,"★★★",0,1)</f>
        <v>Conton Candy</v>
      </c>
      <c r="AC49" s="14" t="str">
        <f t="shared" si="2"/>
        <v>ファジーネーブル</v>
      </c>
      <c r="AD49" s="19" t="str">
        <f>HYPERLINK(_xlfn.XLOOKUP(C49,M_YT_LIVE_TIMESTAMP!AA:AA,M_YT_LIVE_TIMESTAMP!Z:Z,"★",0,-1))</f>
        <v>https://www.youtube.com/live/nyXzxG79mwQ?si=kGuFyOuc0o-yNPOU&amp;t=5056s</v>
      </c>
    </row>
    <row r="50" spans="1:30" x14ac:dyDescent="0.4">
      <c r="A50" s="12" t="str">
        <v>初音ミクの消失 -DEAD END-</v>
      </c>
      <c r="B50" s="12" t="str">
        <v>cosMo(暴走P) feat.初音ミク</v>
      </c>
      <c r="C50" s="12" t="str">
        <f t="shared" si="0"/>
        <v>cosMo(暴走P) feat.初音ミク初音ミクの消失 -DEAD END-</v>
      </c>
      <c r="AA50" s="14" t="str">
        <f t="shared" si="1"/>
        <v>cosMo(暴走P) feat.初音ミク</v>
      </c>
      <c r="AB50" s="14" t="str">
        <f>_xlfn.XLOOKUP(AA50,M_ARTIST!A:A,M_ARTIST!B:B,"★★★",0,1)</f>
        <v>cosMo(ぼうそうP) feat.はつねみく</v>
      </c>
      <c r="AC50" s="14" t="str">
        <f t="shared" si="2"/>
        <v>初音ミクの消失 -DEAD END-</v>
      </c>
      <c r="AD50" s="19" t="str">
        <f>HYPERLINK(_xlfn.XLOOKUP(C50,M_YT_LIVE_TIMESTAMP!AA:AA,M_YT_LIVE_TIMESTAMP!Z:Z,"★",0,-1))</f>
        <v>https://www.youtube.com/live/AHfCHGope8I?si=qrXuqYy-tTqldtt4&amp;t=4039s</v>
      </c>
    </row>
    <row r="51" spans="1:30" x14ac:dyDescent="0.4">
      <c r="A51" s="12" t="str">
        <v>Bling-Bang-Bang-Born</v>
      </c>
      <c r="B51" s="12" t="str">
        <v>Creepy Nuts</v>
      </c>
      <c r="C51" s="12" t="str">
        <f t="shared" si="0"/>
        <v>Creepy NutsBling-Bang-Bang-Born</v>
      </c>
      <c r="AA51" s="14" t="str">
        <f t="shared" si="1"/>
        <v>Creepy Nuts</v>
      </c>
      <c r="AB51" s="14" t="str">
        <f>_xlfn.XLOOKUP(AA51,M_ARTIST!A:A,M_ARTIST!B:B,"★★★",0,1)</f>
        <v>Creepy Nuts</v>
      </c>
      <c r="AC51" s="14" t="str">
        <f t="shared" si="2"/>
        <v>Bling-Bang-Bang-Born</v>
      </c>
      <c r="AD51" s="19" t="str">
        <f>HYPERLINK(_xlfn.XLOOKUP(C51,M_YT_LIVE_TIMESTAMP!AA:AA,M_YT_LIVE_TIMESTAMP!Z:Z,"★",0,-1))</f>
        <v>https://www.youtube.com/live/nyXzxG79mwQ?si=kGuFyOuc0o-yNPOU&amp;t=12983s</v>
      </c>
    </row>
    <row r="52" spans="1:30" x14ac:dyDescent="0.4">
      <c r="A52" s="12" t="str">
        <v>打上花火</v>
      </c>
      <c r="B52" s="12" t="str">
        <v>DAOKO×米津玄師</v>
      </c>
      <c r="C52" s="12" t="str">
        <f t="shared" si="0"/>
        <v>DAOKO×米津玄師打上花火</v>
      </c>
      <c r="AA52" s="14" t="str">
        <f t="shared" si="1"/>
        <v>DAOKO×米津玄師</v>
      </c>
      <c r="AB52" s="14" t="str">
        <f>_xlfn.XLOOKUP(AA52,M_ARTIST!A:A,M_ARTIST!B:B,"★★★",0,1)</f>
        <v>DAOKO×よねづけんし</v>
      </c>
      <c r="AC52" s="14" t="str">
        <f t="shared" si="2"/>
        <v>打上花火</v>
      </c>
      <c r="AD52" s="19" t="str">
        <f>HYPERLINK(_xlfn.XLOOKUP(C52,M_YT_LIVE_TIMESTAMP!AA:AA,M_YT_LIVE_TIMESTAMP!Z:Z,"★",0,-1))</f>
        <v>https://www.youtube.com/live/nyXzxG79mwQ?si=kGuFyOuc0o-yNPOU&amp;t=3227s</v>
      </c>
    </row>
    <row r="53" spans="1:30" x14ac:dyDescent="0.4">
      <c r="A53" s="12" t="str">
        <v>弱虫モンブラン</v>
      </c>
      <c r="B53" s="12" t="str">
        <v>DECO*27 feat.GUMI</v>
      </c>
      <c r="C53" s="12" t="str">
        <f t="shared" si="0"/>
        <v>DECO*27 feat.GUMI弱虫モンブラン</v>
      </c>
      <c r="AA53" s="14" t="str">
        <f t="shared" si="1"/>
        <v>DECO*27 feat.GUMI</v>
      </c>
      <c r="AB53" s="14" t="str">
        <f>_xlfn.XLOOKUP(AA53,M_ARTIST!A:A,M_ARTIST!B:B,"★★★",0,1)</f>
        <v>DECO27 feat.GUMI</v>
      </c>
      <c r="AC53" s="14" t="str">
        <f t="shared" si="2"/>
        <v>弱虫モンブラン</v>
      </c>
      <c r="AD53" s="19" t="str">
        <f>HYPERLINK(_xlfn.XLOOKUP(C53,M_YT_LIVE_TIMESTAMP!AA:AA,M_YT_LIVE_TIMESTAMP!Z:Z,"★",0,-1))</f>
        <v>https://www.youtube.com/live/gtzKshYmOXY?si=1Gz8lwbOe32zbbqo&amp;t=3785s</v>
      </c>
    </row>
    <row r="54" spans="1:30" x14ac:dyDescent="0.4">
      <c r="A54" s="12" t="str">
        <v>ゴーストルール</v>
      </c>
      <c r="B54" s="12" t="str">
        <v>DECO*27 feat.初音ミク</v>
      </c>
      <c r="C54" s="12" t="str">
        <f t="shared" si="0"/>
        <v>DECO*27 feat.初音ミクゴーストルール</v>
      </c>
      <c r="AA54" s="14" t="str">
        <f t="shared" si="1"/>
        <v>DECO*27 feat.初音ミク</v>
      </c>
      <c r="AB54" s="14" t="str">
        <f>_xlfn.XLOOKUP(AA54,M_ARTIST!A:A,M_ARTIST!B:B,"★★★",0,1)</f>
        <v>DECO27 feat.はつねみく</v>
      </c>
      <c r="AC54" s="14" t="str">
        <f t="shared" si="2"/>
        <v>ゴーストルール</v>
      </c>
      <c r="AD54" s="19" t="str">
        <f>HYPERLINK(_xlfn.XLOOKUP(C54,M_YT_LIVE_TIMESTAMP!AA:AA,M_YT_LIVE_TIMESTAMP!Z:Z,"★",0,-1))</f>
        <v>https://www.youtube.com/live/EIV2fME4Fec?si=lkzDtJEJ9agzd2Md&amp;t=5460s</v>
      </c>
    </row>
    <row r="55" spans="1:30" x14ac:dyDescent="0.4">
      <c r="A55" s="12" t="str">
        <v>ストリーミングハート</v>
      </c>
      <c r="B55" s="12" t="str">
        <v>DECO*27 feat.初音ミク</v>
      </c>
      <c r="C55" s="12" t="str">
        <f t="shared" si="0"/>
        <v>DECO*27 feat.初音ミクストリーミングハート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ストリーミングハート</v>
      </c>
      <c r="AD55" s="19" t="str">
        <f>HYPERLINK(_xlfn.XLOOKUP(C55,M_YT_LIVE_TIMESTAMP!AA:AA,M_YT_LIVE_TIMESTAMP!Z:Z,"★",0,-1))</f>
        <v>https://www.youtube.com/live/E8l1nOoKLLI?si=9GMtlAOzsgHxbniX&amp;t=604s</v>
      </c>
    </row>
    <row r="56" spans="1:30" x14ac:dyDescent="0.4">
      <c r="A56" s="12" t="str">
        <v>ライアーダンス</v>
      </c>
      <c r="B56" s="12" t="str">
        <v>DECO*27 feat.初音ミク</v>
      </c>
      <c r="C56" s="12" t="str">
        <f t="shared" si="0"/>
        <v>DECO*27 feat.初音ミクライアーダンス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ライアーダンス</v>
      </c>
      <c r="AD56" s="19" t="str">
        <f>HYPERLINK(_xlfn.XLOOKUP(C56,M_YT_LIVE_TIMESTAMP!AA:AA,M_YT_LIVE_TIMESTAMP!Z:Z,"★",0,-1))</f>
        <v>https://www.youtube.com/live/AHfCHGope8I?si=qrXuqYy-tTqldtt4&amp;t=676s</v>
      </c>
    </row>
    <row r="57" spans="1:30" x14ac:dyDescent="0.4">
      <c r="A57" s="12" t="str">
        <v>リバーシブル・キャンペーン</v>
      </c>
      <c r="B57" s="12" t="str">
        <v>DECO*27 feat.初音ミク</v>
      </c>
      <c r="C57" s="12" t="str">
        <f t="shared" si="0"/>
        <v>DECO*27 feat.初音ミクリバーシブル・キャンペーン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リバーシブル・キャンペーン</v>
      </c>
      <c r="AD57" s="19" t="str">
        <f>HYPERLINK(_xlfn.XLOOKUP(C57,M_YT_LIVE_TIMESTAMP!AA:AA,M_YT_LIVE_TIMESTAMP!Z:Z,"★",0,-1))</f>
        <v>https://www.youtube.com/live/AHfCHGope8I?si=qrXuqYy-tTqldtt4&amp;t=343s</v>
      </c>
    </row>
    <row r="58" spans="1:30" x14ac:dyDescent="0.4">
      <c r="A58" s="12" t="str">
        <v>妄想感傷代償連盟</v>
      </c>
      <c r="B58" s="12" t="str">
        <v>DECO*27 feat.初音ミク</v>
      </c>
      <c r="C58" s="12" t="str">
        <f t="shared" si="0"/>
        <v>DECO*27 feat.初音ミク妄想感傷代償連盟</v>
      </c>
      <c r="AA58" s="14" t="str">
        <f t="shared" si="1"/>
        <v>DECO*27 feat.初音ミク</v>
      </c>
      <c r="AB58" s="14" t="str">
        <f>_xlfn.XLOOKUP(AA58,M_ARTIST!A:A,M_ARTIST!B:B,"★★★",0,1)</f>
        <v>DECO27 feat.はつねみく</v>
      </c>
      <c r="AC58" s="14" t="str">
        <f t="shared" si="2"/>
        <v>妄想感傷代償連盟</v>
      </c>
      <c r="AD58" s="19" t="str">
        <f>HYPERLINK(_xlfn.XLOOKUP(C58,M_YT_LIVE_TIMESTAMP!AA:AA,M_YT_LIVE_TIMESTAMP!Z:Z,"★",0,-1))</f>
        <v>https://www.youtube.com/live/B1g4NIZAKqo?si=v8CWAz6GBo-vVIKK&amp;t=3009s</v>
      </c>
    </row>
    <row r="59" spans="1:30" x14ac:dyDescent="0.4">
      <c r="A59" s="12" t="str">
        <v>Just Be Friends</v>
      </c>
      <c r="B59" s="12" t="str">
        <v>Dixie Flatline feat.巡音ルカ</v>
      </c>
      <c r="C59" s="12" t="str">
        <f t="shared" si="0"/>
        <v>Dixie Flatline feat.巡音ルカJust Be Friends</v>
      </c>
      <c r="AA59" s="14" t="str">
        <f t="shared" si="1"/>
        <v>Dixie Flatline feat.巡音ルカ</v>
      </c>
      <c r="AB59" s="14" t="str">
        <f>_xlfn.XLOOKUP(AA59,M_ARTIST!A:A,M_ARTIST!B:B,"★★★",0,1)</f>
        <v>Dixie Flatline feat.めぐりねるか</v>
      </c>
      <c r="AC59" s="14" t="str">
        <f t="shared" si="2"/>
        <v>Just Be Friends</v>
      </c>
      <c r="AD59" s="19" t="str">
        <f>HYPERLINK(_xlfn.XLOOKUP(C59,M_YT_LIVE_TIMESTAMP!AA:AA,M_YT_LIVE_TIMESTAMP!Z:Z,"★",0,-1))</f>
        <v>https://www.youtube.com/live/h9yyUj584EA?si=1RWpj-7KllpU7qa_&amp;t=3659s</v>
      </c>
    </row>
    <row r="60" spans="1:30" x14ac:dyDescent="0.4">
      <c r="A60" s="12" t="str">
        <v>何度でも</v>
      </c>
      <c r="B60" s="12" t="str">
        <v>DREAMS COME TRUE</v>
      </c>
      <c r="C60" s="12" t="str">
        <f t="shared" si="0"/>
        <v>DREAMS COME TRUE何度でも</v>
      </c>
      <c r="AA60" s="14" t="str">
        <f t="shared" si="1"/>
        <v>DREAMS COME TRUE</v>
      </c>
      <c r="AB60" s="14" t="str">
        <f>_xlfn.XLOOKUP(AA60,M_ARTIST!A:A,M_ARTIST!B:B,"★★★",0,1)</f>
        <v>DREAMS COME TRUE</v>
      </c>
      <c r="AC60" s="14" t="str">
        <f t="shared" si="2"/>
        <v>何度でも</v>
      </c>
      <c r="AD60" s="19" t="str">
        <f>HYPERLINK(_xlfn.XLOOKUP(C60,M_YT_LIVE_TIMESTAMP!AA:AA,M_YT_LIVE_TIMESTAMP!Z:Z,"★",0,-1))</f>
        <v>https://www.youtube.com/live/DX8misWhJuA?si=x9BqkZPlvHen5SCl&amp;t=5654s</v>
      </c>
    </row>
    <row r="61" spans="1:30" x14ac:dyDescent="0.4">
      <c r="A61" s="12" t="str">
        <v>All Alone With You</v>
      </c>
      <c r="B61" s="12" t="str">
        <v>EGOIST</v>
      </c>
      <c r="C61" s="12" t="str">
        <f t="shared" si="0"/>
        <v>EGOISTAll Alone With You</v>
      </c>
      <c r="AA61" s="14" t="str">
        <f t="shared" si="1"/>
        <v>EGOIST</v>
      </c>
      <c r="AB61" s="14" t="str">
        <f>_xlfn.XLOOKUP(AA61,M_ARTIST!A:A,M_ARTIST!B:B,"★★★",0,1)</f>
        <v>EGOIST</v>
      </c>
      <c r="AC61" s="14" t="str">
        <f t="shared" si="2"/>
        <v>All Alone With You</v>
      </c>
      <c r="AD61" s="19" t="str">
        <f>HYPERLINK(_xlfn.XLOOKUP(C61,M_YT_LIVE_TIMESTAMP!AA:AA,M_YT_LIVE_TIMESTAMP!Z:Z,"★",0,-1))</f>
        <v>https://www.youtube.com/live/GvGh24EJfGg?si=QLYBryRLPz4v_Qdl&amp;t=1808s</v>
      </c>
    </row>
    <row r="62" spans="1:30" x14ac:dyDescent="0.4">
      <c r="A62" s="12" t="str">
        <v>Departures 〜あなたにおくるアイの歌〜</v>
      </c>
      <c r="B62" s="12" t="str">
        <v>EGOIST</v>
      </c>
      <c r="C62" s="12" t="str">
        <f t="shared" si="0"/>
        <v>EGOISTDepartures 〜あなたにおくるアイの歌〜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Departures 〜あなたにおくるアイの歌〜</v>
      </c>
      <c r="AD62" s="19" t="str">
        <f>HYPERLINK(_xlfn.XLOOKUP(C62,M_YT_LIVE_TIMESTAMP!AA:AA,M_YT_LIVE_TIMESTAMP!Z:Z,"★",0,-1))</f>
        <v>https://www.youtube.com/live/w3oM0fDmwz4?si=VVO-ga6uipBLMrpR&amp;t=7781s</v>
      </c>
    </row>
    <row r="63" spans="1:30" x14ac:dyDescent="0.4">
      <c r="A63" s="12" t="str">
        <v>Fallen</v>
      </c>
      <c r="B63" s="12" t="str">
        <v>EGOIST</v>
      </c>
      <c r="C63" s="12" t="str">
        <f t="shared" si="0"/>
        <v>EGOISTFallen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Fallen</v>
      </c>
      <c r="AD63" s="19" t="str">
        <f>HYPERLINK(_xlfn.XLOOKUP(C63,M_YT_LIVE_TIMESTAMP!AA:AA,M_YT_LIVE_TIMESTAMP!Z:Z,"★",0,-1))</f>
        <v>https://www.youtube.com/live/FuJDk5I3Oyo?si=KP6eEuJrPYERUqMb&amp;t=2557s</v>
      </c>
    </row>
    <row r="64" spans="1:30" x14ac:dyDescent="0.4">
      <c r="A64" s="12" t="str">
        <v>Ghost of a smile</v>
      </c>
      <c r="B64" s="12" t="str">
        <v>EGOIST</v>
      </c>
      <c r="C64" s="12" t="str">
        <f t="shared" si="0"/>
        <v>EGOISTGhost of a smile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Ghost of a smile</v>
      </c>
      <c r="AD64" s="19" t="str">
        <f>HYPERLINK(_xlfn.XLOOKUP(C64,M_YT_LIVE_TIMESTAMP!AA:AA,M_YT_LIVE_TIMESTAMP!Z:Z,"★",0,-1))</f>
        <v>https://www.youtube.com/live/keSRwH4Zr7g?si=RPmDxNZjQB1dZWSK&amp;t=1533s</v>
      </c>
    </row>
    <row r="65" spans="1:30" x14ac:dyDescent="0.4">
      <c r="A65" s="12" t="str">
        <v>LoveStruck</v>
      </c>
      <c r="B65" s="12" t="str">
        <v>EGOIST</v>
      </c>
      <c r="C65" s="12" t="str">
        <f t="shared" si="0"/>
        <v>EGOISTLoveStruck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LoveStruck</v>
      </c>
      <c r="AD65" s="19" t="str">
        <f>HYPERLINK(_xlfn.XLOOKUP(C65,M_YT_LIVE_TIMESTAMP!AA:AA,M_YT_LIVE_TIMESTAMP!Z:Z,"★",0,-1))</f>
        <v>https://www.youtube.com/live/FuJDk5I3Oyo?si=KP6eEuJrPYERUqMb&amp;t=4618s</v>
      </c>
    </row>
    <row r="66" spans="1:30" x14ac:dyDescent="0.4">
      <c r="A66" s="12" t="str">
        <v>Planetes</v>
      </c>
      <c r="B66" s="12" t="str">
        <v>EGOIST</v>
      </c>
      <c r="C66" s="12" t="str">
        <f t="shared" si="0"/>
        <v>EGOISTPlanetes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Planetes</v>
      </c>
      <c r="AD66" s="19" t="str">
        <f>HYPERLINK(_xlfn.XLOOKUP(C66,M_YT_LIVE_TIMESTAMP!AA:AA,M_YT_LIVE_TIMESTAMP!Z:Z,"★",0,-1))</f>
        <v>https://www.youtube.com/live/7AO0pzyJtLE?si=5iKHGNjfGH8OxSY8&amp;t=5704s</v>
      </c>
    </row>
    <row r="67" spans="1:30" x14ac:dyDescent="0.4">
      <c r="A67" s="12" t="str">
        <v>The Everlasting Guilty Crown</v>
      </c>
      <c r="B67" s="12" t="str">
        <v>EGOIST</v>
      </c>
      <c r="C67" s="12" t="str">
        <f t="shared" ref="C67:C130" si="3">TRIM(B67)&amp;TRIM(A67)</f>
        <v>EGOISTThe Everlasting Guilty Crown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The Everlasting Guilty Crown</v>
      </c>
      <c r="AD67" s="19" t="str">
        <f>HYPERLINK(_xlfn.XLOOKUP(C67,M_YT_LIVE_TIMESTAMP!AA:AA,M_YT_LIVE_TIMESTAMP!Z:Z,"★",0,-1))</f>
        <v>https://www.youtube.com/live/FuJDk5I3Oyo?si=KP6eEuJrPYERUqMb&amp;t=1134s</v>
      </c>
    </row>
    <row r="68" spans="1:30" x14ac:dyDescent="0.4">
      <c r="A68" s="12" t="str">
        <v>リローデッド</v>
      </c>
      <c r="B68" s="12" t="str">
        <v>EGOIST</v>
      </c>
      <c r="C68" s="12" t="str">
        <f t="shared" si="3"/>
        <v>EGOISTリローデッド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リローデッド</v>
      </c>
      <c r="AD68" s="19" t="str">
        <f>HYPERLINK(_xlfn.XLOOKUP(C68,M_YT_LIVE_TIMESTAMP!AA:AA,M_YT_LIVE_TIMESTAMP!Z:Z,"★",0,-1))</f>
        <v>https://www.youtube.com/live/GvGh24EJfGg?si=QLYBryRLPz4v_Qdl&amp;t=2238s</v>
      </c>
    </row>
    <row r="69" spans="1:30" x14ac:dyDescent="0.4">
      <c r="A69" s="12" t="str">
        <v>雨、キミを連れて</v>
      </c>
      <c r="B69" s="12" t="str">
        <v>EGOIST</v>
      </c>
      <c r="C69" s="12" t="str">
        <f t="shared" si="3"/>
        <v>EGOIST雨、キミを連れて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雨、キミを連れて</v>
      </c>
      <c r="AD69" s="19" t="str">
        <f>HYPERLINK(_xlfn.XLOOKUP(C69,M_YT_LIVE_TIMESTAMP!AA:AA,M_YT_LIVE_TIMESTAMP!Z:Z,"★",0,-1))</f>
        <v>https://www.youtube.com/live/keSRwH4Zr7g?si=RPmDxNZjQB1dZWSK&amp;t=2855s</v>
      </c>
    </row>
    <row r="70" spans="1:30" x14ac:dyDescent="0.4">
      <c r="A70" s="12" t="str">
        <v>名前のない怪物</v>
      </c>
      <c r="B70" s="12" t="str">
        <v>EGOIST</v>
      </c>
      <c r="C70" s="12" t="str">
        <f t="shared" si="3"/>
        <v>EGOIST名前のない怪物</v>
      </c>
      <c r="AA70" s="14" t="str">
        <f t="shared" si="4"/>
        <v>EGOIST</v>
      </c>
      <c r="AB70" s="14" t="str">
        <f>_xlfn.XLOOKUP(AA70,M_ARTIST!A:A,M_ARTIST!B:B,"★★★",0,1)</f>
        <v>EGOIST</v>
      </c>
      <c r="AC70" s="14" t="str">
        <f t="shared" si="5"/>
        <v>名前のない怪物</v>
      </c>
      <c r="AD70" s="19" t="str">
        <f>HYPERLINK(_xlfn.XLOOKUP(C70,M_YT_LIVE_TIMESTAMP!AA:AA,M_YT_LIVE_TIMESTAMP!Z:Z,"★",0,-1))</f>
        <v>https://www.youtube.com/live/FuJDk5I3Oyo?si=KP6eEuJrPYERUqMb&amp;t=2110s</v>
      </c>
    </row>
    <row r="71" spans="1:30" x14ac:dyDescent="0.4">
      <c r="A71" s="12" t="str">
        <v>お気に召すまま</v>
      </c>
      <c r="B71" s="12" t="str">
        <v>Eve</v>
      </c>
      <c r="C71" s="12" t="str">
        <f t="shared" si="3"/>
        <v>Eveお気に召すまま</v>
      </c>
      <c r="AA71" s="14" t="str">
        <f t="shared" si="4"/>
        <v>Eve</v>
      </c>
      <c r="AB71" s="14" t="str">
        <f>_xlfn.XLOOKUP(AA71,M_ARTIST!A:A,M_ARTIST!B:B,"★★★",0,1)</f>
        <v>★★★</v>
      </c>
      <c r="AC71" s="14" t="str">
        <f t="shared" si="5"/>
        <v>お気に召すまま</v>
      </c>
      <c r="AD71" s="19" t="str">
        <f>HYPERLINK(_xlfn.XLOOKUP(C71,M_YT_LIVE_TIMESTAMP!AA:AA,M_YT_LIVE_TIMESTAMP!Z:Z,"★",0,-1))</f>
        <v>https://www.youtube.com/live/hkpPXWM6LDY?si=pgl-HW7-u6yZjLAi&amp;t=639s</v>
      </c>
    </row>
    <row r="72" spans="1:30" x14ac:dyDescent="0.4">
      <c r="A72" s="12" t="str">
        <v>お気に召すまま</v>
      </c>
      <c r="B72" s="12" t="str">
        <v>Eve feat.初音ミク</v>
      </c>
      <c r="C72" s="12" t="str">
        <f t="shared" si="3"/>
        <v>Eve feat.初音ミクお気に召すまま</v>
      </c>
      <c r="AA72" s="14" t="str">
        <f t="shared" si="4"/>
        <v>Eve feat.初音ミク</v>
      </c>
      <c r="AB72" s="14" t="str">
        <f>_xlfn.XLOOKUP(AA72,M_ARTIST!A:A,M_ARTIST!B:B,"★★★",0,1)</f>
        <v>Eve feat.はつねみく</v>
      </c>
      <c r="AC72" s="14" t="str">
        <f t="shared" si="5"/>
        <v>お気に召すまま</v>
      </c>
      <c r="AD72" s="19" t="str">
        <f>HYPERLINK(_xlfn.XLOOKUP(C72,M_YT_LIVE_TIMESTAMP!AA:AA,M_YT_LIVE_TIMESTAMP!Z:Z,"★",0,-1))</f>
        <v>https://www.youtube.com/live/lQQh4G5up3Y?si=U2BJIBIs-2OZdL6R&amp;t=2210s</v>
      </c>
    </row>
    <row r="73" spans="1:30" x14ac:dyDescent="0.4">
      <c r="A73" s="12" t="str">
        <v>ナンセンス文学</v>
      </c>
      <c r="B73" s="12" t="str">
        <v>Eve feat.初音ミク</v>
      </c>
      <c r="C73" s="12" t="str">
        <f t="shared" si="3"/>
        <v>Eve feat.初音ミクナンセンス文学</v>
      </c>
      <c r="AA73" s="14" t="str">
        <f t="shared" si="4"/>
        <v>Eve feat.初音ミク</v>
      </c>
      <c r="AB73" s="14" t="str">
        <f>_xlfn.XLOOKUP(AA73,M_ARTIST!A:A,M_ARTIST!B:B,"★★★",0,1)</f>
        <v>Eve feat.はつねみく</v>
      </c>
      <c r="AC73" s="14" t="str">
        <f t="shared" si="5"/>
        <v>ナンセンス文学</v>
      </c>
      <c r="AD73" s="19" t="str">
        <f>HYPERLINK(_xlfn.XLOOKUP(C73,M_YT_LIVE_TIMESTAMP!AA:AA,M_YT_LIVE_TIMESTAMP!Z:Z,"★",0,-1))</f>
        <v>https://www.youtube.com/live/hkpPXWM6LDY?si=pgl-HW7-u6yZjLAi&amp;t=1365s</v>
      </c>
    </row>
    <row r="74" spans="1:30" x14ac:dyDescent="0.4">
      <c r="A74" s="12" t="str">
        <v>青空のラプソディ</v>
      </c>
      <c r="B74" s="12" t="str">
        <v>fhána</v>
      </c>
      <c r="C74" s="12" t="str">
        <f t="shared" si="3"/>
        <v>fhána青空のラプソディ</v>
      </c>
      <c r="AA74" s="14" t="str">
        <f t="shared" si="4"/>
        <v>fhána</v>
      </c>
      <c r="AB74" s="14" t="str">
        <f>_xlfn.XLOOKUP(AA74,M_ARTIST!A:A,M_ARTIST!B:B,"★★★",0,1)</f>
        <v>fhána</v>
      </c>
      <c r="AC74" s="14" t="str">
        <f t="shared" si="5"/>
        <v>青空のラプソディ</v>
      </c>
      <c r="AD74" s="19" t="str">
        <f>HYPERLINK(_xlfn.XLOOKUP(C74,M_YT_LIVE_TIMESTAMP!AA:AA,M_YT_LIVE_TIMESTAMP!Z:Z,"★",0,-1))</f>
        <v>https://www.youtube.com/live/GvGh24EJfGg?si=QLYBryRLPz4v_Qdl&amp;t=6054s</v>
      </c>
    </row>
    <row r="75" spans="1:30" x14ac:dyDescent="0.4">
      <c r="A75" s="12" t="str">
        <v>君に届け</v>
      </c>
      <c r="B75" s="12" t="str">
        <v>Flumpool</v>
      </c>
      <c r="C75" s="12" t="str">
        <f t="shared" si="3"/>
        <v>Flumpool君に届け</v>
      </c>
      <c r="AA75" s="14" t="str">
        <f t="shared" si="4"/>
        <v>Flumpool</v>
      </c>
      <c r="AB75" s="14" t="str">
        <f>_xlfn.XLOOKUP(AA75,M_ARTIST!A:A,M_ARTIST!B:B,"★★★",0,1)</f>
        <v>Flumpool</v>
      </c>
      <c r="AC75" s="14" t="str">
        <f t="shared" si="5"/>
        <v>君に届け</v>
      </c>
      <c r="AD75" s="19" t="str">
        <f>HYPERLINK(_xlfn.XLOOKUP(C75,M_YT_LIVE_TIMESTAMP!AA:AA,M_YT_LIVE_TIMESTAMP!Z:Z,"★",0,-1))</f>
        <v>https://www.youtube.com/live/Yti72SsHzxs?si=qlI2gfa0I0wWYoH4&amp;t=5386s</v>
      </c>
    </row>
    <row r="76" spans="1:30" x14ac:dyDescent="0.4">
      <c r="A76" s="12" t="str">
        <v>星に願いを</v>
      </c>
      <c r="B76" s="12" t="str">
        <v>flumpool</v>
      </c>
      <c r="C76" s="12" t="str">
        <f t="shared" si="3"/>
        <v>flumpool星に願いを</v>
      </c>
      <c r="AA76" s="14" t="str">
        <f t="shared" si="4"/>
        <v>flumpool</v>
      </c>
      <c r="AB76" s="14" t="str">
        <f>_xlfn.XLOOKUP(AA76,M_ARTIST!A:A,M_ARTIST!B:B,"★★★",0,1)</f>
        <v>Flumpool</v>
      </c>
      <c r="AC76" s="14" t="str">
        <f t="shared" si="5"/>
        <v>星に願いを</v>
      </c>
      <c r="AD76" s="19" t="str">
        <f>HYPERLINK(_xlfn.XLOOKUP(C76,M_YT_LIVE_TIMESTAMP!AA:AA,M_YT_LIVE_TIMESTAMP!Z:Z,"★",0,-1))</f>
        <v>https://www.youtube.com/live/5-PHEYq6a-Y?si=i1qN4inKhZc0prZ-&amp;t=3401s</v>
      </c>
    </row>
    <row r="77" spans="1:30" x14ac:dyDescent="0.4">
      <c r="A77" s="12" t="str">
        <v>only my railgun</v>
      </c>
      <c r="B77" s="12" t="str">
        <v>fripSide</v>
      </c>
      <c r="C77" s="12" t="str">
        <f t="shared" si="3"/>
        <v>fripSideonly my railgun</v>
      </c>
      <c r="AA77" s="14" t="str">
        <f t="shared" si="4"/>
        <v>fripSide</v>
      </c>
      <c r="AB77" s="14" t="str">
        <f>_xlfn.XLOOKUP(AA77,M_ARTIST!A:A,M_ARTIST!B:B,"★★★",0,1)</f>
        <v>fripSide</v>
      </c>
      <c r="AC77" s="14" t="str">
        <f t="shared" si="5"/>
        <v>only my railgun</v>
      </c>
      <c r="AD77" s="19" t="str">
        <f>HYPERLINK(_xlfn.XLOOKUP(C77,M_YT_LIVE_TIMESTAMP!AA:AA,M_YT_LIVE_TIMESTAMP!Z:Z,"★",0,-1))</f>
        <v>https://www.youtube.com/live/Yti72SsHzxs?si=qlI2gfa0I0wWYoH4&amp;t=1340s</v>
      </c>
    </row>
    <row r="78" spans="1:30" x14ac:dyDescent="0.4">
      <c r="A78" s="12" t="str">
        <v>青い栞</v>
      </c>
      <c r="B78" s="12" t="str">
        <v>Galileo Galilei</v>
      </c>
      <c r="C78" s="12" t="str">
        <f t="shared" si="3"/>
        <v>Galileo Galilei青い栞</v>
      </c>
      <c r="AA78" s="14" t="str">
        <f t="shared" si="4"/>
        <v>Galileo Galilei</v>
      </c>
      <c r="AB78" s="14" t="str">
        <f>_xlfn.XLOOKUP(AA78,M_ARTIST!A:A,M_ARTIST!B:B,"★★★",0,1)</f>
        <v>Galileo Galilei</v>
      </c>
      <c r="AC78" s="14" t="str">
        <f t="shared" si="5"/>
        <v>青い栞</v>
      </c>
      <c r="AD78" s="19" t="str">
        <f>HYPERLINK(_xlfn.XLOOKUP(C78,M_YT_LIVE_TIMESTAMP!AA:AA,M_YT_LIVE_TIMESTAMP!Z:Z,"★",0,-1))</f>
        <v>https://www.youtube.com/live/7AO0pzyJtLE?si=5iKHGNjfGH8OxSY8&amp;t=3611s</v>
      </c>
    </row>
    <row r="79" spans="1:30" x14ac:dyDescent="0.4">
      <c r="A79" s="12" t="str">
        <v>恋の寿命</v>
      </c>
      <c r="B79" s="12" t="str">
        <v>Galileo Galilei</v>
      </c>
      <c r="C79" s="12" t="str">
        <f t="shared" si="3"/>
        <v>Galileo Galilei恋の寿命</v>
      </c>
      <c r="AA79" s="14" t="str">
        <f t="shared" si="4"/>
        <v>Galileo Galilei</v>
      </c>
      <c r="AB79" s="14" t="str">
        <f>_xlfn.XLOOKUP(AA79,M_ARTIST!A:A,M_ARTIST!B:B,"★★★",0,1)</f>
        <v>Galileo Galilei</v>
      </c>
      <c r="AC79" s="14" t="str">
        <f t="shared" si="5"/>
        <v>恋の寿命</v>
      </c>
      <c r="AD79" s="19" t="str">
        <f>HYPERLINK(_xlfn.XLOOKUP(C79,M_YT_LIVE_TIMESTAMP!AA:AA,M_YT_LIVE_TIMESTAMP!Z:Z,"★",0,-1))</f>
        <v>https://www.youtube.com/live/BjWSIm9kSZs?si=1oMuQyZMLWArIABK&amp;t=1686s</v>
      </c>
    </row>
    <row r="80" spans="1:30" x14ac:dyDescent="0.4">
      <c r="A80" s="12" t="str">
        <v>Othello</v>
      </c>
      <c r="B80" s="12" t="str">
        <v>Ghost like girlfriend</v>
      </c>
      <c r="C80" s="12" t="str">
        <f t="shared" si="3"/>
        <v>Ghost like girlfriendOthello</v>
      </c>
      <c r="AA80" s="14" t="str">
        <f t="shared" si="4"/>
        <v>Ghost like girlfriend</v>
      </c>
      <c r="AB80" s="14" t="str">
        <f>_xlfn.XLOOKUP(AA80,M_ARTIST!A:A,M_ARTIST!B:B,"★★★",0,1)</f>
        <v>★★★</v>
      </c>
      <c r="AC80" s="14" t="str">
        <f t="shared" si="5"/>
        <v>Othello</v>
      </c>
      <c r="AD80" s="19" t="str">
        <f>HYPERLINK(_xlfn.XLOOKUP(C80,M_YT_LIVE_TIMESTAMP!AA:AA,M_YT_LIVE_TIMESTAMP!Z:Z,"★",0,-1))</f>
        <v>https://www.youtube.com/live/YC2XfDeeAQI?si=BpJIi-KScnRHEoFo&amp;t=2724s</v>
      </c>
    </row>
    <row r="81" spans="1:30" x14ac:dyDescent="0.4">
      <c r="A81" s="12" t="str">
        <v>一番の宝物</v>
      </c>
      <c r="B81" s="12" t="str">
        <v>Girls Dead Monster</v>
      </c>
      <c r="C81" s="12" t="str">
        <f t="shared" si="3"/>
        <v>Girls Dead Monster一番の宝物</v>
      </c>
      <c r="AA81" s="14" t="str">
        <f t="shared" si="4"/>
        <v>Girls Dead Monster</v>
      </c>
      <c r="AB81" s="14" t="str">
        <f>_xlfn.XLOOKUP(AA81,M_ARTIST!A:A,M_ARTIST!B:B,"★★★",0,1)</f>
        <v>Girls Dead Monster</v>
      </c>
      <c r="AC81" s="14" t="str">
        <f t="shared" si="5"/>
        <v>一番の宝物</v>
      </c>
      <c r="AD81" s="19" t="str">
        <f>HYPERLINK(_xlfn.XLOOKUP(C81,M_YT_LIVE_TIMESTAMP!AA:AA,M_YT_LIVE_TIMESTAMP!Z:Z,"★",0,-1))</f>
        <v>https://www.youtube.com/live/8yfLYQayxQg?si=O0Q0AXQXC39nd7WJ&amp;t=290s</v>
      </c>
    </row>
    <row r="82" spans="1:30" x14ac:dyDescent="0.4">
      <c r="A82" s="12" t="str">
        <v>キセキ</v>
      </c>
      <c r="B82" s="12" t="str">
        <v>GRe4N BOYZ(GReeeeN)</v>
      </c>
      <c r="C82" s="12" t="str">
        <f t="shared" si="3"/>
        <v>GRe4N BOYZ(GReeeeN)キセキ</v>
      </c>
      <c r="AA82" s="14" t="str">
        <f t="shared" si="4"/>
        <v>GRe4N BOYZ(GReeeeN)</v>
      </c>
      <c r="AB82" s="14" t="str">
        <f>_xlfn.XLOOKUP(AA82,M_ARTIST!A:A,M_ARTIST!B:B,"★★★",0,1)</f>
        <v>GRe4N BOYZ(GReeeeN)</v>
      </c>
      <c r="AC82" s="14" t="str">
        <f t="shared" si="5"/>
        <v>キセキ</v>
      </c>
      <c r="AD82" s="19" t="str">
        <f>HYPERLINK(_xlfn.XLOOKUP(C82,M_YT_LIVE_TIMESTAMP!AA:AA,M_YT_LIVE_TIMESTAMP!Z:Z,"★",0,-1))</f>
        <v>https://www.youtube.com/live/OEtLBen9pLM?si=M4WDMSGkkHfWLvDr&amp;t=6100s</v>
      </c>
    </row>
    <row r="83" spans="1:30" x14ac:dyDescent="0.4">
      <c r="A83" s="12" t="str">
        <v>ネハン</v>
      </c>
      <c r="B83" s="12" t="str">
        <v>Guiano</v>
      </c>
      <c r="C83" s="12" t="str">
        <f t="shared" si="3"/>
        <v>Guianoネハン</v>
      </c>
      <c r="AA83" s="14" t="str">
        <f t="shared" si="4"/>
        <v>Guiano</v>
      </c>
      <c r="AB83" s="14" t="str">
        <f>_xlfn.XLOOKUP(AA83,M_ARTIST!A:A,M_ARTIST!B:B,"★★★",0,1)</f>
        <v>Guiano</v>
      </c>
      <c r="AC83" s="14" t="str">
        <f t="shared" si="5"/>
        <v>ネハン</v>
      </c>
      <c r="AD83" s="19" t="str">
        <f>HYPERLINK(_xlfn.XLOOKUP(C83,M_YT_LIVE_TIMESTAMP!AA:AA,M_YT_LIVE_TIMESTAMP!Z:Z,"★",0,-1))</f>
        <v>https://www.youtube.com/live/b0qPGU0sZn4?si=C5mabzVl6bhK7mp0&amp;t=4500s</v>
      </c>
    </row>
    <row r="84" spans="1:30" x14ac:dyDescent="0.4">
      <c r="A84" s="12" t="str">
        <v>晴れるなら</v>
      </c>
      <c r="B84" s="12" t="str">
        <v>Guiano</v>
      </c>
      <c r="C84" s="12" t="str">
        <f t="shared" si="3"/>
        <v>Guiano晴れるなら</v>
      </c>
      <c r="AA84" s="14" t="str">
        <f t="shared" si="4"/>
        <v>Guiano</v>
      </c>
      <c r="AB84" s="14" t="str">
        <f>_xlfn.XLOOKUP(AA84,M_ARTIST!A:A,M_ARTIST!B:B,"★★★",0,1)</f>
        <v>Guiano</v>
      </c>
      <c r="AC84" s="14" t="str">
        <f t="shared" si="5"/>
        <v>晴れるなら</v>
      </c>
      <c r="AD84" s="19" t="str">
        <f>HYPERLINK(_xlfn.XLOOKUP(C84,M_YT_LIVE_TIMESTAMP!AA:AA,M_YT_LIVE_TIMESTAMP!Z:Z,"★",0,-1))</f>
        <v>https://www.youtube.com/live/B1g4NIZAKqo?si=v8CWAz6GBo-vVIKK&amp;t=5501s</v>
      </c>
    </row>
    <row r="85" spans="1:30" x14ac:dyDescent="0.4">
      <c r="A85" s="12" t="str">
        <v>死んでしまったのだろうか</v>
      </c>
      <c r="B85" s="12" t="str">
        <v>Guiano feat.flower</v>
      </c>
      <c r="C85" s="12" t="str">
        <f t="shared" si="3"/>
        <v>Guiano feat.flower死んでしまったのだろうか</v>
      </c>
      <c r="AA85" s="14" t="str">
        <f t="shared" si="4"/>
        <v>Guiano feat.flower</v>
      </c>
      <c r="AB85" s="14" t="str">
        <f>_xlfn.XLOOKUP(AA85,M_ARTIST!A:A,M_ARTIST!B:B,"★★★",0,1)</f>
        <v>Guiano feat.flower</v>
      </c>
      <c r="AC85" s="14" t="str">
        <f t="shared" si="5"/>
        <v>死んでしまったのだろうか</v>
      </c>
      <c r="AD85" s="19" t="str">
        <f>HYPERLINK(_xlfn.XLOOKUP(C85,M_YT_LIVE_TIMESTAMP!AA:AA,M_YT_LIVE_TIMESTAMP!Z:Z,"★",0,-1))</f>
        <v>https://www.youtube.com/live/i7euCqiwzl4?si=Gvd-dBAI4nZ9HDpv&amp;t=2031s</v>
      </c>
    </row>
    <row r="86" spans="1:30" x14ac:dyDescent="0.4">
      <c r="A86" s="12" t="str">
        <v>鳥</v>
      </c>
      <c r="B86" s="12" t="str">
        <v>Guiano feat.可不</v>
      </c>
      <c r="C86" s="12" t="str">
        <f t="shared" si="3"/>
        <v>Guiano feat.可不鳥</v>
      </c>
      <c r="AA86" s="14" t="str">
        <f t="shared" si="4"/>
        <v>Guiano feat.可不</v>
      </c>
      <c r="AB86" s="14" t="str">
        <f>_xlfn.XLOOKUP(AA86,M_ARTIST!A:A,M_ARTIST!B:B,"★★★",0,1)</f>
        <v>Guiano feat.かふ</v>
      </c>
      <c r="AC86" s="14" t="str">
        <f t="shared" si="5"/>
        <v>鳥</v>
      </c>
      <c r="AD86" s="19" t="str">
        <f>HYPERLINK(_xlfn.XLOOKUP(C86,M_YT_LIVE_TIMESTAMP!AA:AA,M_YT_LIVE_TIMESTAMP!Z:Z,"★",0,-1))</f>
        <v>https://www.youtube.com/live/i7euCqiwzl4?si=Gvd-dBAI4nZ9HDpv&amp;t=2389s</v>
      </c>
    </row>
    <row r="87" spans="1:30" x14ac:dyDescent="0.4">
      <c r="A87" s="12" t="str">
        <v>KING</v>
      </c>
      <c r="B87" s="12" t="str">
        <v>GUMI feat.kanaria</v>
      </c>
      <c r="C87" s="12" t="str">
        <f t="shared" si="3"/>
        <v>GUMI feat.kanariaKING</v>
      </c>
      <c r="AA87" s="14" t="str">
        <f t="shared" si="4"/>
        <v>GUMI feat.kanaria</v>
      </c>
      <c r="AB87" s="14" t="str">
        <f>_xlfn.XLOOKUP(AA87,M_ARTIST!A:A,M_ARTIST!B:B,"★★★",0,1)</f>
        <v>GUMI feat.kanaria</v>
      </c>
      <c r="AC87" s="14" t="str">
        <f t="shared" si="5"/>
        <v>KING</v>
      </c>
      <c r="AD87" s="19" t="str">
        <f>HYPERLINK(_xlfn.XLOOKUP(C87,M_YT_LIVE_TIMESTAMP!AA:AA,M_YT_LIVE_TIMESTAMP!Z:Z,"★",0,-1))</f>
        <v>https://www.youtube.com/live/nyXzxG79mwQ?si=kGuFyOuc0o-yNPOU&amp;t=13209s</v>
      </c>
    </row>
    <row r="88" spans="1:30" x14ac:dyDescent="0.4">
      <c r="A88" s="12" t="str">
        <v>Fire◎Flower</v>
      </c>
      <c r="B88" s="12" t="str">
        <v>halyosy feat.鏡音レン</v>
      </c>
      <c r="C88" s="12" t="str">
        <f t="shared" si="3"/>
        <v>halyosy feat.鏡音レンFire◎Flower</v>
      </c>
      <c r="AA88" s="14" t="str">
        <f t="shared" si="4"/>
        <v>halyosy feat.鏡音レン</v>
      </c>
      <c r="AB88" s="14" t="str">
        <f>_xlfn.XLOOKUP(AA88,M_ARTIST!A:A,M_ARTIST!B:B,"★★★",0,1)</f>
        <v>halyosy feat.かがみねれん</v>
      </c>
      <c r="AC88" s="14" t="str">
        <f t="shared" si="5"/>
        <v>Fire◎Flower</v>
      </c>
      <c r="AD88" s="19" t="str">
        <f>HYPERLINK(_xlfn.XLOOKUP(C88,M_YT_LIVE_TIMESTAMP!AA:AA,M_YT_LIVE_TIMESTAMP!Z:Z,"★",0,-1))</f>
        <v>https://www.youtube.com/live/Dm-WC5w7K8Y?si=Pph-3uJ8wVrF5vc0&amp;t=1969s</v>
      </c>
    </row>
    <row r="89" spans="1:30" x14ac:dyDescent="0.4">
      <c r="A89" s="12" t="str">
        <v>┗|∵|┓金曜日のおはよう-another story-</v>
      </c>
      <c r="B89" s="12" t="str">
        <v>Honey Works feat.初音ミク</v>
      </c>
      <c r="C89" s="12" t="str">
        <f t="shared" si="3"/>
        <v>Honey Works feat.初音ミク┗|∵|┓金曜日のおはよう-another story-</v>
      </c>
      <c r="AA89" s="14" t="str">
        <f t="shared" si="4"/>
        <v>Honey Works feat.初音ミク</v>
      </c>
      <c r="AB89" s="14" t="str">
        <f>_xlfn.XLOOKUP(AA89,M_ARTIST!A:A,M_ARTIST!B:B,"★★★",0,1)</f>
        <v>Honey Works feat.はつねみく</v>
      </c>
      <c r="AC89" s="14" t="str">
        <f t="shared" si="5"/>
        <v>┗|∵|┓金曜日のおはよう-another story-</v>
      </c>
      <c r="AD89" s="19" t="str">
        <f>HYPERLINK(_xlfn.XLOOKUP(C89,M_YT_LIVE_TIMESTAMP!AA:AA,M_YT_LIVE_TIMESTAMP!Z:Z,"★",0,-1))</f>
        <v>https://www.youtube.com/live/PDfzdlcsxB4?si=NS72teYqyxrgmxUE&amp;t=1455s</v>
      </c>
    </row>
    <row r="90" spans="1:30" x14ac:dyDescent="0.4">
      <c r="A90" s="12" t="str">
        <v>ファンサ</v>
      </c>
      <c r="B90" s="12" t="str">
        <v>HoneyWorks</v>
      </c>
      <c r="C90" s="12" t="str">
        <f t="shared" si="3"/>
        <v>HoneyWorksファンサ</v>
      </c>
      <c r="AA90" s="14" t="str">
        <f t="shared" si="4"/>
        <v>HoneyWorks</v>
      </c>
      <c r="AB90" s="14" t="str">
        <f>_xlfn.XLOOKUP(AA90,M_ARTIST!A:A,M_ARTIST!B:B,"★★★",0,1)</f>
        <v>HoneyWorks</v>
      </c>
      <c r="AC90" s="14" t="str">
        <f t="shared" si="5"/>
        <v>ファンサ</v>
      </c>
      <c r="AD90" s="19" t="str">
        <f>HYPERLINK(_xlfn.XLOOKUP(C90,M_YT_LIVE_TIMESTAMP!AA:AA,M_YT_LIVE_TIMESTAMP!Z:Z,"★",0,-1))</f>
        <v>https://www.youtube.com/live/FGNU1iQLiNM?si=B75Oqj0tjRBiyl5j&amp;t=4790s</v>
      </c>
    </row>
    <row r="91" spans="1:30" x14ac:dyDescent="0.4">
      <c r="A91" s="12" t="str">
        <v>金曜日のおはよう</v>
      </c>
      <c r="B91" s="12" t="str">
        <v>HoneyWorks</v>
      </c>
      <c r="C91" s="12" t="str">
        <f t="shared" si="3"/>
        <v>HoneyWorks金曜日のおはよう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金曜日のおはよう</v>
      </c>
      <c r="AD91" s="19" t="str">
        <f>HYPERLINK(_xlfn.XLOOKUP(C91,M_YT_LIVE_TIMESTAMP!AA:AA,M_YT_LIVE_TIMESTAMP!Z:Z,"★",0,-1))</f>
        <v>https://www.youtube.com/live/wY3z5W9B8N0?si=FVqBjyoCdmcOKFxz&amp;t=6075s</v>
      </c>
    </row>
    <row r="92" spans="1:30" x14ac:dyDescent="0.4">
      <c r="A92" s="12" t="str">
        <v>東京サマーセッション</v>
      </c>
      <c r="B92" s="12" t="str">
        <v>HoneyWorks</v>
      </c>
      <c r="C92" s="12" t="str">
        <f t="shared" si="3"/>
        <v>HoneyWorks東京サマーセッション</v>
      </c>
      <c r="AA92" s="14" t="str">
        <f t="shared" si="4"/>
        <v>HoneyWorks</v>
      </c>
      <c r="AB92" s="14" t="str">
        <f>_xlfn.XLOOKUP(AA92,M_ARTIST!A:A,M_ARTIST!B:B,"★★★",0,1)</f>
        <v>HoneyWorks</v>
      </c>
      <c r="AC92" s="14" t="str">
        <f t="shared" si="5"/>
        <v>東京サマーセッション</v>
      </c>
      <c r="AD92" s="19" t="str">
        <f>HYPERLINK(_xlfn.XLOOKUP(C92,M_YT_LIVE_TIMESTAMP!AA:AA,M_YT_LIVE_TIMESTAMP!Z:Z,"★",0,-1))</f>
        <v>https://www.youtube.com/live/wY3z5W9B8N0?si=FVqBjyoCdmcOKFxz&amp;t=6534s</v>
      </c>
    </row>
    <row r="93" spans="1:30" x14ac:dyDescent="0.4">
      <c r="A93" s="12" t="str">
        <v>┗|∵|┓ロメオ</v>
      </c>
      <c r="B93" s="12" t="str">
        <v>HoneyWorks feat.LIP×LIP(CV:内山昂輝&amp;島﨑信長)</v>
      </c>
      <c r="C93" s="12" t="str">
        <f t="shared" si="3"/>
        <v>HoneyWorks feat.LIP×LIP(CV:内山昂輝&amp;島﨑信長)┗|∵|┓ロメオ</v>
      </c>
      <c r="AA93" s="14" t="str">
        <f t="shared" si="4"/>
        <v>HoneyWorks feat.LIP×LIP(CV:内山昂輝&amp;島﨑信長)</v>
      </c>
      <c r="AB93" s="14" t="str">
        <f>_xlfn.XLOOKUP(AA93,M_ARTIST!A:A,M_ARTIST!B:B,"★★★",0,1)</f>
        <v>HoneyWorks feat.LIP×LIP(CV:うちやまこうき&amp;しまざきのぶなが)</v>
      </c>
      <c r="AC93" s="14" t="str">
        <f t="shared" si="5"/>
        <v>┗|∵|┓ロメオ</v>
      </c>
      <c r="AD93" s="19" t="str">
        <f>HYPERLINK(_xlfn.XLOOKUP(C93,M_YT_LIVE_TIMESTAMP!AA:AA,M_YT_LIVE_TIMESTAMP!Z:Z,"★",0,-1))</f>
        <v>https://www.youtube.com/live/NkjXzUMUZpw?si=EmGBj6Hh6tIlwjGQ&amp;t=415s</v>
      </c>
    </row>
    <row r="94" spans="1:30" x14ac:dyDescent="0.4">
      <c r="A94" s="12" t="str">
        <v>拝啓、少年よ</v>
      </c>
      <c r="B94" s="12" t="str">
        <v>Hump Back</v>
      </c>
      <c r="C94" s="12" t="str">
        <f t="shared" si="3"/>
        <v>Hump Back拝啓、少年よ</v>
      </c>
      <c r="AA94" s="14" t="str">
        <f t="shared" si="4"/>
        <v>Hump Back</v>
      </c>
      <c r="AB94" s="14" t="str">
        <f>_xlfn.XLOOKUP(AA94,M_ARTIST!A:A,M_ARTIST!B:B,"★★★",0,1)</f>
        <v>Hump Back</v>
      </c>
      <c r="AC94" s="14" t="str">
        <f t="shared" si="5"/>
        <v>拝啓、少年よ</v>
      </c>
      <c r="AD94" s="19" t="str">
        <f>HYPERLINK(_xlfn.XLOOKUP(C94,M_YT_LIVE_TIMESTAMP!AA:AA,M_YT_LIVE_TIMESTAMP!Z:Z,"★",0,-1))</f>
        <v>https://www.youtube.com/live/7AO0pzyJtLE?si=5iKHGNjfGH8OxSY8&amp;t=5173s</v>
      </c>
    </row>
    <row r="95" spans="1:30" x14ac:dyDescent="0.4">
      <c r="A95" s="12" t="str">
        <v>366日</v>
      </c>
      <c r="B95" s="12" t="str">
        <v>HY</v>
      </c>
      <c r="C95" s="12" t="str">
        <f t="shared" si="3"/>
        <v>HY366日</v>
      </c>
      <c r="AA95" s="14" t="str">
        <f t="shared" si="4"/>
        <v>HY</v>
      </c>
      <c r="AB95" s="14" t="str">
        <f>_xlfn.XLOOKUP(AA95,M_ARTIST!A:A,M_ARTIST!B:B,"★★★",0,1)</f>
        <v>HY</v>
      </c>
      <c r="AC95" s="14" t="str">
        <f t="shared" si="5"/>
        <v>366日</v>
      </c>
      <c r="AD95" s="19" t="str">
        <f>HYPERLINK(_xlfn.XLOOKUP(C95,M_YT_LIVE_TIMESTAMP!AA:AA,M_YT_LIVE_TIMESTAMP!Z:Z,"★",0,-1))</f>
        <v>https://www.youtube.com/live/Yti72SsHzxs?si=qlI2gfa0I0wWYoH4&amp;t=5879s</v>
      </c>
    </row>
    <row r="96" spans="1:30" x14ac:dyDescent="0.4">
      <c r="A96" s="12" t="str">
        <v>Magnetic (チャレンジ)</v>
      </c>
      <c r="B96" s="12" t="str">
        <v>ILLIT</v>
      </c>
      <c r="C96" s="12" t="str">
        <f t="shared" si="3"/>
        <v>ILLITMagnetic (チャレンジ)</v>
      </c>
      <c r="AA96" s="14" t="str">
        <f t="shared" si="4"/>
        <v>ILLIT</v>
      </c>
      <c r="AB96" s="14" t="str">
        <f>_xlfn.XLOOKUP(AA96,M_ARTIST!A:A,M_ARTIST!B:B,"★★★",0,1)</f>
        <v>★★★</v>
      </c>
      <c r="AC96" s="14" t="str">
        <f t="shared" si="5"/>
        <v>Magnetic (チャレンジ)</v>
      </c>
      <c r="AD96" s="19" t="str">
        <f>HYPERLINK(_xlfn.XLOOKUP(C96,M_YT_LIVE_TIMESTAMP!AA:AA,M_YT_LIVE_TIMESTAMP!Z:Z,"★",0,-1))</f>
        <v>https://www.youtube.com/live/orkAkFl798M?si=7tK-YB5J1dGoAFWq&amp;t=1840s</v>
      </c>
    </row>
    <row r="97" spans="1:30" x14ac:dyDescent="0.4">
      <c r="A97" s="12" t="str">
        <v>夏祭り</v>
      </c>
      <c r="B97" s="12" t="str">
        <v>JITTERIN'JINN</v>
      </c>
      <c r="C97" s="12" t="str">
        <f t="shared" si="3"/>
        <v>JITTERIN'JINN夏祭り</v>
      </c>
      <c r="AA97" s="14" t="str">
        <f t="shared" si="4"/>
        <v>JITTERIN'JINN</v>
      </c>
      <c r="AB97" s="14" t="str">
        <f>_xlfn.XLOOKUP(AA97,M_ARTIST!A:A,M_ARTIST!B:B,"★★★",0,1)</f>
        <v>JITTERIN'JINN</v>
      </c>
      <c r="AC97" s="14" t="str">
        <f t="shared" si="5"/>
        <v>夏祭り</v>
      </c>
      <c r="AD97" s="19" t="str">
        <f>HYPERLINK(_xlfn.XLOOKUP(C97,M_YT_LIVE_TIMESTAMP!AA:AA,M_YT_LIVE_TIMESTAMP!Z:Z,"★",0,-1))</f>
        <v>https://www.youtube.com/live/BTi31luRntI?si=HKZA9dD6UF6pnPvq&amp;t=8919s</v>
      </c>
    </row>
    <row r="98" spans="1:30" x14ac:dyDescent="0.4">
      <c r="A98" s="12" t="str">
        <v>酔いどれ知らず</v>
      </c>
      <c r="B98" s="12" t="str">
        <v>kanaria.GUMI</v>
      </c>
      <c r="C98" s="12" t="str">
        <f t="shared" si="3"/>
        <v>kanaria.GUMI酔いどれ知らず</v>
      </c>
      <c r="AA98" s="14" t="str">
        <f t="shared" si="4"/>
        <v>kanaria.GUMI</v>
      </c>
      <c r="AB98" s="14" t="str">
        <f>_xlfn.XLOOKUP(AA98,M_ARTIST!A:A,M_ARTIST!B:B,"★★★",0,1)</f>
        <v>kanaria.GUMI</v>
      </c>
      <c r="AC98" s="14" t="str">
        <f t="shared" si="5"/>
        <v>酔いどれ知らず</v>
      </c>
      <c r="AD98" s="19" t="str">
        <f>HYPERLINK(_xlfn.XLOOKUP(C98,M_YT_LIVE_TIMESTAMP!AA:AA,M_YT_LIVE_TIMESTAMP!Z:Z,"★",0,-1))</f>
        <v>https://www.youtube.com/live/nyXzxG79mwQ?si=kGuFyOuc0o-yNPOU&amp;t=4500s</v>
      </c>
    </row>
    <row r="99" spans="1:30" x14ac:dyDescent="0.4">
      <c r="A99" s="12" t="str">
        <v>Hello, Worker</v>
      </c>
      <c r="B99" s="12" t="str">
        <v>KEI feat.巡音ルカ</v>
      </c>
      <c r="C99" s="12" t="str">
        <f t="shared" si="3"/>
        <v>KEI feat.巡音ルカHello, Worker</v>
      </c>
      <c r="AA99" s="14" t="str">
        <f t="shared" si="4"/>
        <v>KEI feat.巡音ルカ</v>
      </c>
      <c r="AB99" s="14" t="str">
        <f>_xlfn.XLOOKUP(AA99,M_ARTIST!A:A,M_ARTIST!B:B,"★★★",0,1)</f>
        <v>KEI feat.めぐりねるか</v>
      </c>
      <c r="AC99" s="14" t="str">
        <f t="shared" si="5"/>
        <v>Hello, Worker</v>
      </c>
      <c r="AD99" s="19" t="str">
        <f>HYPERLINK(_xlfn.XLOOKUP(C99,M_YT_LIVE_TIMESTAMP!AA:AA,M_YT_LIVE_TIMESTAMP!Z:Z,"★",0,-1))</f>
        <v>https://www.youtube.com/live/bXG5ottJZas?si=VsjzjU8RreUrJGd3&amp;t=4034s</v>
      </c>
    </row>
    <row r="100" spans="1:30" x14ac:dyDescent="0.4">
      <c r="A100" s="12" t="str">
        <v>地球最後の告白を</v>
      </c>
      <c r="B100" s="12" t="str">
        <v>Kemu feat.Gumi</v>
      </c>
      <c r="C100" s="12" t="str">
        <f t="shared" si="3"/>
        <v>Kemu feat.Gumi地球最後の告白を</v>
      </c>
      <c r="AA100" s="14" t="str">
        <f t="shared" si="4"/>
        <v>Kemu feat.Gumi</v>
      </c>
      <c r="AB100" s="14" t="str">
        <f>_xlfn.XLOOKUP(AA100,M_ARTIST!A:A,M_ARTIST!B:B,"★★★",0,1)</f>
        <v>Kemu feat.Gumi</v>
      </c>
      <c r="AC100" s="14" t="str">
        <f t="shared" si="5"/>
        <v>地球最後の告白を</v>
      </c>
      <c r="AD100" s="19" t="str">
        <f>HYPERLINK(_xlfn.XLOOKUP(C100,M_YT_LIVE_TIMESTAMP!AA:AA,M_YT_LIVE_TIMESTAMP!Z:Z,"★",0,-1))</f>
        <v>https://www.youtube.com/live/nyXzxG79mwQ?si=kGuFyOuc0o-yNPOU&amp;t=8387s</v>
      </c>
    </row>
    <row r="101" spans="1:30" x14ac:dyDescent="0.4">
      <c r="A101" s="12" t="str">
        <v>インビジブル</v>
      </c>
      <c r="B101" s="12" t="str">
        <v>kemu feat.GUMI&amp;鏡音リン</v>
      </c>
      <c r="C101" s="12" t="str">
        <f t="shared" si="3"/>
        <v>kemu feat.GUMI&amp;鏡音リンインビジブル</v>
      </c>
      <c r="AA101" s="14" t="str">
        <f t="shared" si="4"/>
        <v>kemu feat.GUMI&amp;鏡音リン</v>
      </c>
      <c r="AB101" s="14" t="str">
        <f>_xlfn.XLOOKUP(AA101,M_ARTIST!A:A,M_ARTIST!B:B,"★★★",0,1)</f>
        <v>kemu feat.GUMI&amp;かがみねりん</v>
      </c>
      <c r="AC101" s="14" t="str">
        <f t="shared" si="5"/>
        <v>インビジブル</v>
      </c>
      <c r="AD101" s="19" t="str">
        <f>HYPERLINK(_xlfn.XLOOKUP(C101,M_YT_LIVE_TIMESTAMP!AA:AA,M_YT_LIVE_TIMESTAMP!Z:Z,"★",0,-1))</f>
        <v>https://www.youtube.com/live/EIV2fME4Fec?si=lkzDtJEJ9agzd2Md&amp;t=2410s</v>
      </c>
    </row>
    <row r="102" spans="1:30" x14ac:dyDescent="0.4">
      <c r="A102" s="12" t="str">
        <v>六兆年と一夜物語</v>
      </c>
      <c r="B102" s="12" t="str">
        <v>kemu feat.IA</v>
      </c>
      <c r="C102" s="12" t="str">
        <f t="shared" si="3"/>
        <v>kemu feat.IA六兆年と一夜物語</v>
      </c>
      <c r="AA102" s="14" t="str">
        <f t="shared" si="4"/>
        <v>kemu feat.IA</v>
      </c>
      <c r="AB102" s="14" t="str">
        <f>_xlfn.XLOOKUP(AA102,M_ARTIST!A:A,M_ARTIST!B:B,"★★★",0,1)</f>
        <v>kemu feat.IA</v>
      </c>
      <c r="AC102" s="14" t="str">
        <f t="shared" si="5"/>
        <v>六兆年と一夜物語</v>
      </c>
      <c r="AD102" s="19" t="str">
        <f>HYPERLINK(_xlfn.XLOOKUP(C102,M_YT_LIVE_TIMESTAMP!AA:AA,M_YT_LIVE_TIMESTAMP!Z:Z,"★",0,-1))</f>
        <v>https://www.youtube.com/live/EIV2fME4Fec?si=lkzDtJEJ9agzd2Md&amp;t=2689s</v>
      </c>
    </row>
    <row r="103" spans="1:30" x14ac:dyDescent="0.4">
      <c r="A103" s="12" t="str">
        <v>白日</v>
      </c>
      <c r="B103" s="12" t="str">
        <v>King Gnu</v>
      </c>
      <c r="C103" s="12" t="str">
        <f t="shared" si="3"/>
        <v>King Gnu白日</v>
      </c>
      <c r="AA103" s="14" t="str">
        <f t="shared" si="4"/>
        <v>King Gnu</v>
      </c>
      <c r="AB103" s="14" t="str">
        <f>_xlfn.XLOOKUP(AA103,M_ARTIST!A:A,M_ARTIST!B:B,"★★★",0,1)</f>
        <v>King Gnu</v>
      </c>
      <c r="AC103" s="14" t="str">
        <f t="shared" si="5"/>
        <v>白日</v>
      </c>
      <c r="AD103" s="19" t="str">
        <f>HYPERLINK(_xlfn.XLOOKUP(C103,M_YT_LIVE_TIMESTAMP!AA:AA,M_YT_LIVE_TIMESTAMP!Z:Z,"★",0,-1))</f>
        <v>https://www.youtube.com/live/w3oM0fDmwz4?si=VVO-ga6uipBLMrpR&amp;t=5048s</v>
      </c>
    </row>
    <row r="104" spans="1:30" x14ac:dyDescent="0.4">
      <c r="A104" s="12" t="str">
        <v>独りんぼエンヴィー</v>
      </c>
      <c r="B104" s="12" t="str">
        <v>koyori(電ポルP) feat.初音ミク</v>
      </c>
      <c r="C104" s="12" t="str">
        <f t="shared" si="3"/>
        <v>koyori(電ポルP) feat.初音ミク独りんぼエンヴィー</v>
      </c>
      <c r="AA104" s="14" t="str">
        <f t="shared" si="4"/>
        <v>koyori(電ポルP) feat.初音ミク</v>
      </c>
      <c r="AB104" s="14" t="str">
        <f>_xlfn.XLOOKUP(AA104,M_ARTIST!A:A,M_ARTIST!B:B,"★★★",0,1)</f>
        <v>koyori(でんぽるP) feat.はつねみく</v>
      </c>
      <c r="AC104" s="14" t="str">
        <f t="shared" si="5"/>
        <v>独りんぼエンヴィー</v>
      </c>
      <c r="AD104" s="19" t="str">
        <f>HYPERLINK(_xlfn.XLOOKUP(C104,M_YT_LIVE_TIMESTAMP!AA:AA,M_YT_LIVE_TIMESTAMP!Z:Z,"★",0,-1))</f>
        <v>https://www.youtube.com/live/w3oM0fDmwz4?si=VVO-ga6uipBLMrpR&amp;t=3917s</v>
      </c>
    </row>
    <row r="105" spans="1:30" x14ac:dyDescent="0.4">
      <c r="A105" s="12" t="str">
        <v>セツナトリップ</v>
      </c>
      <c r="B105" s="12" t="str">
        <v>Last Note. feat.GUMI</v>
      </c>
      <c r="C105" s="12" t="str">
        <f t="shared" si="3"/>
        <v>Last Note. feat.GUMIセツナトリップ</v>
      </c>
      <c r="AA105" s="14" t="str">
        <f t="shared" si="4"/>
        <v>Last Note. feat.GUMI</v>
      </c>
      <c r="AB105" s="14" t="str">
        <f>_xlfn.XLOOKUP(AA105,M_ARTIST!A:A,M_ARTIST!B:B,"★★★",0,1)</f>
        <v>Last Note. feat.GUMI</v>
      </c>
      <c r="AC105" s="14" t="str">
        <f t="shared" si="5"/>
        <v>セツナトリップ</v>
      </c>
      <c r="AD105" s="19" t="str">
        <f>HYPERLINK(_xlfn.XLOOKUP(C105,M_YT_LIVE_TIMESTAMP!AA:AA,M_YT_LIVE_TIMESTAMP!Z:Z,"★",0,-1))</f>
        <v>https://www.youtube.com/live/bXG5ottJZas?si=VsjzjU8RreUrJGd3&amp;t=5630s</v>
      </c>
    </row>
    <row r="106" spans="1:30" x14ac:dyDescent="0.4">
      <c r="A106" s="12" t="str">
        <v>My Soul Your Beats!</v>
      </c>
      <c r="B106" s="12" t="str">
        <v>Lia</v>
      </c>
      <c r="C106" s="12" t="str">
        <f t="shared" si="3"/>
        <v>LiaMy Soul Your Beats!</v>
      </c>
      <c r="AA106" s="14" t="str">
        <f t="shared" si="4"/>
        <v>Lia</v>
      </c>
      <c r="AB106" s="14" t="str">
        <f>_xlfn.XLOOKUP(AA106,M_ARTIST!A:A,M_ARTIST!B:B,"★★★",0,1)</f>
        <v>Lia</v>
      </c>
      <c r="AC106" s="14" t="str">
        <f t="shared" si="5"/>
        <v>My Soul Your Beats!</v>
      </c>
      <c r="AD106" s="19" t="str">
        <f>HYPERLINK(_xlfn.XLOOKUP(C106,M_YT_LIVE_TIMESTAMP!AA:AA,M_YT_LIVE_TIMESTAMP!Z:Z,"★",0,-1))</f>
        <v>https://www.youtube.com/live/8yfLYQayxQg?si=O0Q0AXQXC39nd7WJ&amp;t=715s</v>
      </c>
    </row>
    <row r="107" spans="1:30" x14ac:dyDescent="0.4">
      <c r="A107" s="12" t="str">
        <v>Catch the Moment</v>
      </c>
      <c r="B107" s="12" t="str">
        <v>LiSA</v>
      </c>
      <c r="C107" s="12" t="str">
        <f t="shared" si="3"/>
        <v>LiSACatch the Moment</v>
      </c>
      <c r="AA107" s="14" t="str">
        <f t="shared" si="4"/>
        <v>LiSA</v>
      </c>
      <c r="AB107" s="14" t="str">
        <f>_xlfn.XLOOKUP(AA107,M_ARTIST!A:A,M_ARTIST!B:B,"★★★",0,1)</f>
        <v>LiSA</v>
      </c>
      <c r="AC107" s="14" t="str">
        <f t="shared" si="5"/>
        <v>Catch the Moment</v>
      </c>
      <c r="AD107" s="19" t="str">
        <f>HYPERLINK(_xlfn.XLOOKUP(C107,M_YT_LIVE_TIMESTAMP!AA:AA,M_YT_LIVE_TIMESTAMP!Z:Z,"★",0,-1))</f>
        <v>https://www.youtube.com/live/nyXzxG79mwQ?si=kGuFyOuc0o-yNPOU&amp;t=11867s</v>
      </c>
    </row>
    <row r="108" spans="1:30" x14ac:dyDescent="0.4">
      <c r="A108" s="12" t="str">
        <v>crossing field</v>
      </c>
      <c r="B108" s="12" t="str">
        <v>LiSA</v>
      </c>
      <c r="C108" s="12" t="str">
        <f t="shared" si="3"/>
        <v>LiSAcrossing field</v>
      </c>
      <c r="AA108" s="14" t="str">
        <f t="shared" si="4"/>
        <v>LiSA</v>
      </c>
      <c r="AB108" s="14" t="str">
        <f>_xlfn.XLOOKUP(AA108,M_ARTIST!A:A,M_ARTIST!B:B,"★★★",0,1)</f>
        <v>LiSA</v>
      </c>
      <c r="AC108" s="14" t="str">
        <f t="shared" si="5"/>
        <v>crossing field</v>
      </c>
      <c r="AD108" s="19" t="str">
        <f>HYPERLINK(_xlfn.XLOOKUP(C108,M_YT_LIVE_TIMESTAMP!AA:AA,M_YT_LIVE_TIMESTAMP!Z:Z,"★",0,-1))</f>
        <v>https://www.youtube.com/live/wY3z5W9B8N0?si=FVqBjyoCdmcOKFxz&amp;t=1200s</v>
      </c>
    </row>
    <row r="109" spans="1:30" x14ac:dyDescent="0.4">
      <c r="A109" s="12" t="str">
        <v>Rising Hope</v>
      </c>
      <c r="B109" s="12" t="str">
        <v>LiSA</v>
      </c>
      <c r="C109" s="12" t="str">
        <f t="shared" si="3"/>
        <v>LiSARising Hope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Rising Hope</v>
      </c>
      <c r="AD109" s="19" t="str">
        <f>HYPERLINK(_xlfn.XLOOKUP(C109,M_YT_LIVE_TIMESTAMP!AA:AA,M_YT_LIVE_TIMESTAMP!Z:Z,"★",0,-1))</f>
        <v>https://www.youtube.com/live/nyXzxG79mwQ?si=kGuFyOuc0o-yNPOU&amp;t=7946s</v>
      </c>
    </row>
    <row r="110" spans="1:30" x14ac:dyDescent="0.4">
      <c r="A110" s="12" t="str">
        <v>träumerei</v>
      </c>
      <c r="B110" s="12" t="str">
        <v>LiSA</v>
      </c>
      <c r="C110" s="12" t="str">
        <f t="shared" si="3"/>
        <v>LiSAträumerei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träumerei</v>
      </c>
      <c r="AD110" s="19" t="str">
        <f>HYPERLINK(_xlfn.XLOOKUP(C110,M_YT_LIVE_TIMESTAMP!AA:AA,M_YT_LIVE_TIMESTAMP!Z:Z,"★",0,-1))</f>
        <v>https://www.youtube.com/live/5-PHEYq6a-Y?si=i1qN4inKhZc0prZ-&amp;t=7636s</v>
      </c>
    </row>
    <row r="111" spans="1:30" x14ac:dyDescent="0.4">
      <c r="A111" s="12" t="str">
        <v>unlasting</v>
      </c>
      <c r="B111" s="12" t="str">
        <v>LiSA</v>
      </c>
      <c r="C111" s="12" t="str">
        <f t="shared" si="3"/>
        <v>LiSAunlasting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unlasting</v>
      </c>
      <c r="AD111" s="19" t="str">
        <f>HYPERLINK(_xlfn.XLOOKUP(C111,M_YT_LIVE_TIMESTAMP!AA:AA,M_YT_LIVE_TIMESTAMP!Z:Z,"★",0,-1))</f>
        <v>https://www.youtube.com/live/GvGh24EJfGg?si=QLYBryRLPz4v_Qdl&amp;t=5670s</v>
      </c>
    </row>
    <row r="112" spans="1:30" x14ac:dyDescent="0.4">
      <c r="A112" s="12" t="str">
        <v>シルシ</v>
      </c>
      <c r="B112" s="12" t="str">
        <v>LiSA</v>
      </c>
      <c r="C112" s="12" t="str">
        <f t="shared" si="3"/>
        <v>LiSAシルシ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シルシ</v>
      </c>
      <c r="AD112" s="19" t="str">
        <f>HYPERLINK(_xlfn.XLOOKUP(C112,M_YT_LIVE_TIMESTAMP!AA:AA,M_YT_LIVE_TIMESTAMP!Z:Z,"★",0,-1))</f>
        <v>https://www.youtube.com/live/Z1v3sT_d6uU?si=epz4SGbUtnFLtw2-&amp;t=6332s</v>
      </c>
    </row>
    <row r="113" spans="1:30" x14ac:dyDescent="0.4">
      <c r="A113" s="12" t="str">
        <v>炎</v>
      </c>
      <c r="B113" s="12" t="str">
        <v>LiSA</v>
      </c>
      <c r="C113" s="12" t="str">
        <f t="shared" si="3"/>
        <v>LiSA炎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炎</v>
      </c>
      <c r="AD113" s="19" t="str">
        <f>HYPERLINK(_xlfn.XLOOKUP(C113,M_YT_LIVE_TIMESTAMP!AA:AA,M_YT_LIVE_TIMESTAMP!Z:Z,"★",0,-1))</f>
        <v>https://www.youtube.com/live/NkjXzUMUZpw?si=EmGBj6Hh6tIlwjGQ&amp;t=3261s</v>
      </c>
    </row>
    <row r="114" spans="1:30" x14ac:dyDescent="0.4">
      <c r="A114" s="12" t="str">
        <v>紅蓮華</v>
      </c>
      <c r="B114" s="12" t="str">
        <v>LiSA</v>
      </c>
      <c r="C114" s="12" t="str">
        <f t="shared" si="3"/>
        <v>LiSA紅蓮華</v>
      </c>
      <c r="AA114" s="14" t="str">
        <f t="shared" si="4"/>
        <v>LiSA</v>
      </c>
      <c r="AB114" s="14" t="str">
        <f>_xlfn.XLOOKUP(AA114,M_ARTIST!A:A,M_ARTIST!B:B,"★★★",0,1)</f>
        <v>LiSA</v>
      </c>
      <c r="AC114" s="14" t="str">
        <f t="shared" si="5"/>
        <v>紅蓮華</v>
      </c>
      <c r="AD114" s="19" t="str">
        <f>HYPERLINK(_xlfn.XLOOKUP(C114,M_YT_LIVE_TIMESTAMP!AA:AA,M_YT_LIVE_TIMESTAMP!Z:Z,"★",0,-1))</f>
        <v>https://www.youtube.com/live/nyXzxG79mwQ?si=kGuFyOuc0o-yNPOU&amp;t=2434s</v>
      </c>
    </row>
    <row r="115" spans="1:30" x14ac:dyDescent="0.4">
      <c r="A115" s="12" t="str">
        <v>可惜夜</v>
      </c>
      <c r="B115" s="12" t="str">
        <v>lslet feat.倚水</v>
      </c>
      <c r="C115" s="12" t="str">
        <f t="shared" si="3"/>
        <v>lslet feat.倚水可惜夜</v>
      </c>
      <c r="AA115" s="14" t="str">
        <f t="shared" si="4"/>
        <v>lslet feat.倚水</v>
      </c>
      <c r="AB115" s="14" t="str">
        <f>_xlfn.XLOOKUP(AA115,M_ARTIST!A:A,M_ARTIST!B:B,"★★★",0,1)</f>
        <v>lslet feat.いすい</v>
      </c>
      <c r="AC115" s="14" t="str">
        <f t="shared" si="5"/>
        <v>可惜夜</v>
      </c>
      <c r="AD115" s="19" t="str">
        <f>HYPERLINK(_xlfn.XLOOKUP(C115,M_YT_LIVE_TIMESTAMP!AA:AA,M_YT_LIVE_TIMESTAMP!Z:Z,"★",0,-1))</f>
        <v>https://www.youtube.com/live/b0qPGU0sZn4?si=C5mabzVl6bhK7mp0&amp;t=5650s</v>
      </c>
    </row>
    <row r="116" spans="1:30" x14ac:dyDescent="0.4">
      <c r="A116" s="12" t="str">
        <v>春を待つ</v>
      </c>
      <c r="B116" s="12" t="str">
        <v>lslet feat.倚水</v>
      </c>
      <c r="C116" s="12" t="str">
        <f t="shared" si="3"/>
        <v>lslet feat.倚水春を待つ</v>
      </c>
      <c r="AA116" s="14" t="str">
        <f t="shared" si="4"/>
        <v>lslet feat.倚水</v>
      </c>
      <c r="AB116" s="14" t="str">
        <f>_xlfn.XLOOKUP(AA116,M_ARTIST!A:A,M_ARTIST!B:B,"★★★",0,1)</f>
        <v>lslet feat.いすい</v>
      </c>
      <c r="AC116" s="14" t="str">
        <f t="shared" si="5"/>
        <v>春を待つ</v>
      </c>
      <c r="AD116" s="19" t="str">
        <f>HYPERLINK(_xlfn.XLOOKUP(C116,M_YT_LIVE_TIMESTAMP!AA:AA,M_YT_LIVE_TIMESTAMP!Z:Z,"★",0,-1))</f>
        <v>https://www.youtube.com/live/b0qPGU0sZn4?si=C5mabzVl6bhK7mp0&amp;t=3518s</v>
      </c>
    </row>
    <row r="117" spans="1:30" x14ac:dyDescent="0.4">
      <c r="A117" s="12" t="str">
        <v>白日夢</v>
      </c>
      <c r="B117" s="12" t="str">
        <v>lslet feat.倚水</v>
      </c>
      <c r="C117" s="12" t="str">
        <f t="shared" si="3"/>
        <v>lslet feat.倚水白日夢</v>
      </c>
      <c r="AA117" s="14" t="str">
        <f t="shared" si="4"/>
        <v>lslet feat.倚水</v>
      </c>
      <c r="AB117" s="14" t="str">
        <f>_xlfn.XLOOKUP(AA117,M_ARTIST!A:A,M_ARTIST!B:B,"★★★",0,1)</f>
        <v>lslet feat.いすい</v>
      </c>
      <c r="AC117" s="14" t="str">
        <f t="shared" si="5"/>
        <v>白日夢</v>
      </c>
      <c r="AD117" s="19" t="str">
        <f>HYPERLINK(_xlfn.XLOOKUP(C117,M_YT_LIVE_TIMESTAMP!AA:AA,M_YT_LIVE_TIMESTAMP!Z:Z,"★",0,-1))</f>
        <v>https://www.youtube.com/live/b0qPGU0sZn4?si=C5mabzVl6bhK7mp0&amp;t=6187s</v>
      </c>
    </row>
    <row r="118" spans="1:30" x14ac:dyDescent="0.4">
      <c r="A118" s="12" t="str">
        <v>可惜夜</v>
      </c>
      <c r="B118" s="12" t="str">
        <v>lslet feat.倚水(tayori)</v>
      </c>
      <c r="C118" s="12" t="str">
        <f t="shared" si="3"/>
        <v>lslet feat.倚水(tayori)可惜夜</v>
      </c>
      <c r="AA118" s="14" t="str">
        <f t="shared" si="4"/>
        <v>lslet feat.倚水(tayori)</v>
      </c>
      <c r="AB118" s="14" t="str">
        <f>_xlfn.XLOOKUP(AA118,M_ARTIST!A:A,M_ARTIST!B:B,"★★★",0,1)</f>
        <v>★★★</v>
      </c>
      <c r="AC118" s="14" t="str">
        <f t="shared" si="5"/>
        <v>可惜夜</v>
      </c>
      <c r="AD118" s="19" t="str">
        <f>HYPERLINK(_xlfn.XLOOKUP(C118,M_YT_LIVE_TIMESTAMP!AA:AA,M_YT_LIVE_TIMESTAMP!Z:Z,"★",0,-1))</f>
        <v>https://www.youtube.com/live/TDYlHpN4h0s?si=ysSy7YIPSXU6T0nx&amp;t=865s</v>
      </c>
    </row>
    <row r="119" spans="1:30" x14ac:dyDescent="0.4">
      <c r="A119" s="12" t="str">
        <v>ハッピー・ジャムジャム</v>
      </c>
      <c r="B119" s="12" t="str">
        <v>M.S.J</v>
      </c>
      <c r="C119" s="12" t="str">
        <f t="shared" si="3"/>
        <v>M.S.Jハッピー・ジャムジャム</v>
      </c>
      <c r="AA119" s="14" t="str">
        <f t="shared" si="4"/>
        <v>M.S.J</v>
      </c>
      <c r="AB119" s="14" t="str">
        <f>_xlfn.XLOOKUP(AA119,M_ARTIST!A:A,M_ARTIST!B:B,"★★★",0,1)</f>
        <v>MSJ</v>
      </c>
      <c r="AC119" s="14" t="str">
        <f t="shared" si="5"/>
        <v>ハッピー・ジャムジャム</v>
      </c>
      <c r="AD119" s="19" t="str">
        <f>HYPERLINK(_xlfn.XLOOKUP(C119,M_YT_LIVE_TIMESTAMP!AA:AA,M_YT_LIVE_TIMESTAMP!Z:Z,"★",0,-1))</f>
        <v>https://www.youtube.com/live/cHLqE4AOOjI?si=heDnYTUAoUpLyQ_J&amp;t=873s</v>
      </c>
    </row>
    <row r="120" spans="1:30" x14ac:dyDescent="0.4">
      <c r="A120" s="12" t="str">
        <v>トウキョウ・シャンディ・ランデヴ</v>
      </c>
      <c r="B120" s="12" t="str">
        <v>MAISONdes</v>
      </c>
      <c r="C120" s="12" t="str">
        <f t="shared" si="3"/>
        <v>MAISONdesトウキョウ・シャンディ・ランデヴ</v>
      </c>
      <c r="AA120" s="14" t="str">
        <f t="shared" si="4"/>
        <v>MAISONdes</v>
      </c>
      <c r="AB120" s="14" t="str">
        <f>_xlfn.XLOOKUP(AA120,M_ARTIST!A:A,M_ARTIST!B:B,"★★★",0,1)</f>
        <v>MAISONdes</v>
      </c>
      <c r="AC120" s="14" t="str">
        <f t="shared" si="5"/>
        <v>トウキョウ・シャンディ・ランデヴ</v>
      </c>
      <c r="AD120" s="19" t="str">
        <f>HYPERLINK(_xlfn.XLOOKUP(C120,M_YT_LIVE_TIMESTAMP!AA:AA,M_YT_LIVE_TIMESTAMP!Z:Z,"★",0,-1))</f>
        <v>https://www.youtube.com/live/lrLQ6akH23w?si=aC5HLJK6UZYwu-Yn&amp;t=704s</v>
      </c>
    </row>
    <row r="121" spans="1:30" x14ac:dyDescent="0.4">
      <c r="A121" s="12" t="str">
        <v>ラブ&amp;デストロイ</v>
      </c>
      <c r="B121" s="12" t="str">
        <v>MI8k feat.GUMI</v>
      </c>
      <c r="C121" s="12" t="str">
        <f t="shared" si="3"/>
        <v>MI8k feat.GUMIラブ&amp;デストロイ</v>
      </c>
      <c r="AA121" s="14" t="str">
        <f t="shared" si="4"/>
        <v>MI8k feat.GUMI</v>
      </c>
      <c r="AB121" s="14" t="str">
        <f>_xlfn.XLOOKUP(AA121,M_ARTIST!A:A,M_ARTIST!B:B,"★★★",0,1)</f>
        <v>★★★</v>
      </c>
      <c r="AC121" s="14" t="str">
        <f t="shared" si="5"/>
        <v>ラブ&amp;デストロイ</v>
      </c>
      <c r="AD121" s="19" t="str">
        <f>HYPERLINK(_xlfn.XLOOKUP(C121,M_YT_LIVE_TIMESTAMP!AA:AA,M_YT_LIVE_TIMESTAMP!Z:Z,"★",0,-1))</f>
        <v>https://www.youtube.com/live/TDYlHpN4h0s?si=ysSy7YIPSXU6T0nx&amp;t=6694s</v>
      </c>
    </row>
    <row r="122" spans="1:30" x14ac:dyDescent="0.4">
      <c r="A122" s="12" t="str">
        <v>ラベンダー</v>
      </c>
      <c r="B122" s="12" t="str">
        <v>MIMI feat.Saewool</v>
      </c>
      <c r="C122" s="12" t="str">
        <f t="shared" si="3"/>
        <v>MIMI feat.Saewoolラベンダー</v>
      </c>
      <c r="AA122" s="14" t="str">
        <f t="shared" si="4"/>
        <v>MIMI feat.Saewool</v>
      </c>
      <c r="AB122" s="14" t="str">
        <f>_xlfn.XLOOKUP(AA122,M_ARTIST!A:A,M_ARTIST!B:B,"★★★",0,1)</f>
        <v>★★★</v>
      </c>
      <c r="AC122" s="14" t="str">
        <f t="shared" si="5"/>
        <v>ラベンダー</v>
      </c>
      <c r="AD122" s="19" t="str">
        <f>HYPERLINK(_xlfn.XLOOKUP(C122,M_YT_LIVE_TIMESTAMP!AA:AA,M_YT_LIVE_TIMESTAMP!Z:Z,"★",0,-1))</f>
        <v>https://www.youtube.com/live/FGNU1iQLiNM?si=B75Oqj0tjRBiyl5j&amp;t=3880s</v>
      </c>
    </row>
    <row r="123" spans="1:30" x14ac:dyDescent="0.4">
      <c r="A123" s="12" t="str">
        <v>ビバハピ</v>
      </c>
      <c r="B123" s="12" t="str">
        <v>Mitchie M feat.初音ミク</v>
      </c>
      <c r="C123" s="12" t="str">
        <f t="shared" si="3"/>
        <v>Mitchie M feat.初音ミクビバハピ</v>
      </c>
      <c r="AA123" s="14" t="str">
        <f t="shared" si="4"/>
        <v>Mitchie M feat.初音ミク</v>
      </c>
      <c r="AB123" s="14" t="str">
        <f>_xlfn.XLOOKUP(AA123,M_ARTIST!A:A,M_ARTIST!B:B,"★★★",0,1)</f>
        <v>Mitchie M feat.はつねみく</v>
      </c>
      <c r="AC123" s="14" t="str">
        <f t="shared" si="5"/>
        <v>ビバハピ</v>
      </c>
      <c r="AD123" s="19" t="str">
        <f>HYPERLINK(_xlfn.XLOOKUP(C123,M_YT_LIVE_TIMESTAMP!AA:AA,M_YT_LIVE_TIMESTAMP!Z:Z,"★",0,-1))</f>
        <v>https://www.youtube.com/live/E8l1nOoKLLI?si=9GMtlAOzsgHxbniX&amp;t=4998s</v>
      </c>
    </row>
    <row r="124" spans="1:30" x14ac:dyDescent="0.4">
      <c r="A124" s="12" t="str">
        <v>ヒカリヘ</v>
      </c>
      <c r="B124" s="12" t="str">
        <v>miwa</v>
      </c>
      <c r="C124" s="12" t="str">
        <f t="shared" si="3"/>
        <v>miwaヒカリヘ</v>
      </c>
      <c r="AA124" s="14" t="str">
        <f t="shared" si="4"/>
        <v>miwa</v>
      </c>
      <c r="AB124" s="14" t="str">
        <f>_xlfn.XLOOKUP(AA124,M_ARTIST!A:A,M_ARTIST!B:B,"★★★",0,1)</f>
        <v>miwa</v>
      </c>
      <c r="AC124" s="14" t="str">
        <f t="shared" si="5"/>
        <v>ヒカリヘ</v>
      </c>
      <c r="AD124" s="19" t="str">
        <f>HYPERLINK(_xlfn.XLOOKUP(C124,M_YT_LIVE_TIMESTAMP!AA:AA,M_YT_LIVE_TIMESTAMP!Z:Z,"★",0,-1))</f>
        <v>https://www.youtube.com/live/BjWSIm9kSZs?si=1oMuQyZMLWArIABK&amp;t=2513s</v>
      </c>
    </row>
    <row r="125" spans="1:30" x14ac:dyDescent="0.4">
      <c r="A125" s="12" t="str">
        <v>HANABI</v>
      </c>
      <c r="B125" s="12" t="str">
        <v>Mr.Children</v>
      </c>
      <c r="C125" s="12" t="str">
        <f t="shared" si="3"/>
        <v>Mr.ChildrenHANABI</v>
      </c>
      <c r="AA125" s="14" t="str">
        <f t="shared" si="4"/>
        <v>Mr.Children</v>
      </c>
      <c r="AB125" s="14" t="str">
        <f>_xlfn.XLOOKUP(AA125,M_ARTIST!A:A,M_ARTIST!B:B,"★★★",0,1)</f>
        <v>Mr.Children</v>
      </c>
      <c r="AC125" s="14" t="str">
        <f t="shared" si="5"/>
        <v>HANABI</v>
      </c>
      <c r="AD125" s="19" t="str">
        <f>HYPERLINK(_xlfn.XLOOKUP(C125,M_YT_LIVE_TIMESTAMP!AA:AA,M_YT_LIVE_TIMESTAMP!Z:Z,"★",0,-1))</f>
        <v>https://www.youtube.com/live/Yti72SsHzxs?si=qlI2gfa0I0wWYoH4&amp;t=7067s</v>
      </c>
    </row>
    <row r="126" spans="1:30" x14ac:dyDescent="0.4">
      <c r="A126" s="12" t="str">
        <v>Tomorrow never knows</v>
      </c>
      <c r="B126" s="12" t="str">
        <v>Mr.Children</v>
      </c>
      <c r="C126" s="12" t="str">
        <f t="shared" si="3"/>
        <v>Mr.ChildrenTomorrow never knows</v>
      </c>
      <c r="AA126" s="14" t="str">
        <f t="shared" si="4"/>
        <v>Mr.Children</v>
      </c>
      <c r="AB126" s="14" t="str">
        <f>_xlfn.XLOOKUP(AA126,M_ARTIST!A:A,M_ARTIST!B:B,"★★★",0,1)</f>
        <v>Mr.Children</v>
      </c>
      <c r="AC126" s="14" t="str">
        <f t="shared" si="5"/>
        <v>Tomorrow never knows</v>
      </c>
      <c r="AD126" s="19" t="str">
        <f>HYPERLINK(_xlfn.XLOOKUP(C126,M_YT_LIVE_TIMESTAMP!AA:AA,M_YT_LIVE_TIMESTAMP!Z:Z,"★",0,-1))</f>
        <v>https://www.youtube.com/live/Yti72SsHzxs?si=qlI2gfa0I0wWYoH4&amp;t=7637s</v>
      </c>
    </row>
    <row r="127" spans="1:30" x14ac:dyDescent="0.4">
      <c r="A127" s="12" t="str">
        <v>ライラック</v>
      </c>
      <c r="B127" s="12" t="str">
        <v>Mrs. GREEN APPLE</v>
      </c>
      <c r="C127" s="12" t="str">
        <f t="shared" si="3"/>
        <v>Mrs. GREEN APPLEライラック</v>
      </c>
      <c r="AA127" s="14" t="str">
        <f t="shared" si="4"/>
        <v>Mrs. GREEN APPLE</v>
      </c>
      <c r="AB127" s="14" t="str">
        <f>_xlfn.XLOOKUP(AA127,M_ARTIST!A:A,M_ARTIST!B:B,"★★★",0,1)</f>
        <v>Mrs. GREEN APPLE</v>
      </c>
      <c r="AC127" s="14" t="str">
        <f t="shared" si="5"/>
        <v>ライラック</v>
      </c>
      <c r="AD127" s="19" t="str">
        <f>HYPERLINK(_xlfn.XLOOKUP(C127,M_YT_LIVE_TIMESTAMP!AA:AA,M_YT_LIVE_TIMESTAMP!Z:Z,"★",0,-1))</f>
        <v>https://www.youtube.com/live/nyXzxG79mwQ?si=kGuFyOuc0o-yNPOU&amp;t=4123s</v>
      </c>
    </row>
    <row r="128" spans="1:30" x14ac:dyDescent="0.4">
      <c r="A128" s="12" t="str">
        <v>青と夏</v>
      </c>
      <c r="B128" s="12" t="str">
        <v>Mrs. GREEN APPLE</v>
      </c>
      <c r="C128" s="12" t="str">
        <f t="shared" si="3"/>
        <v>Mrs. GREEN APPLE青と夏</v>
      </c>
      <c r="AA128" s="14" t="str">
        <f t="shared" si="4"/>
        <v>Mrs. GREEN APPLE</v>
      </c>
      <c r="AB128" s="14" t="str">
        <f>_xlfn.XLOOKUP(AA128,M_ARTIST!A:A,M_ARTIST!B:B,"★★★",0,1)</f>
        <v>Mrs. GREEN APPLE</v>
      </c>
      <c r="AC128" s="14" t="str">
        <f t="shared" si="5"/>
        <v>青と夏</v>
      </c>
      <c r="AD128" s="19" t="str">
        <f>HYPERLINK(_xlfn.XLOOKUP(C128,M_YT_LIVE_TIMESTAMP!AA:AA,M_YT_LIVE_TIMESTAMP!Z:Z,"★",0,-1))</f>
        <v>https://www.youtube.com/live/cHLqE4AOOjI?si=heDnYTUAoUpLyQ_J&amp;t=430s</v>
      </c>
    </row>
    <row r="129" spans="1:30" x14ac:dyDescent="0.4">
      <c r="A129" s="12" t="str">
        <v>点描の唄</v>
      </c>
      <c r="B129" s="12" t="str">
        <v>Mrs. GREEN APPLE feat.井上苑子</v>
      </c>
      <c r="C129" s="12" t="str">
        <f t="shared" si="3"/>
        <v>Mrs. GREEN APPLE feat.井上苑子点描の唄</v>
      </c>
      <c r="AA129" s="14" t="str">
        <f t="shared" si="4"/>
        <v>Mrs. GREEN APPLE feat.井上苑子</v>
      </c>
      <c r="AB129" s="14" t="str">
        <f>_xlfn.XLOOKUP(AA129,M_ARTIST!A:A,M_ARTIST!B:B,"★★★",0,1)</f>
        <v>Mrs. GREEN APPLE feat.いのうえそのこ</v>
      </c>
      <c r="AC129" s="14" t="str">
        <f t="shared" si="5"/>
        <v>点描の唄</v>
      </c>
      <c r="AD129" s="19" t="str">
        <f>HYPERLINK(_xlfn.XLOOKUP(C129,M_YT_LIVE_TIMESTAMP!AA:AA,M_YT_LIVE_TIMESTAMP!Z:Z,"★",0,-1))</f>
        <v>https://www.youtube.com/live/w8cj1TZhgIM?si=jSw7OZzFwM2n4KKP&amp;t=2251s</v>
      </c>
    </row>
    <row r="130" spans="1:30" x14ac:dyDescent="0.4">
      <c r="A130" s="12" t="str">
        <v>ロストワンの号哭</v>
      </c>
      <c r="B130" s="12" t="str">
        <v>Neru feat.鏡音リン</v>
      </c>
      <c r="C130" s="12" t="str">
        <f t="shared" si="3"/>
        <v>Neru feat.鏡音リンロストワンの号哭</v>
      </c>
      <c r="AA130" s="14" t="str">
        <f t="shared" si="4"/>
        <v>Neru feat.鏡音リン</v>
      </c>
      <c r="AB130" s="14" t="str">
        <f>_xlfn.XLOOKUP(AA130,M_ARTIST!A:A,M_ARTIST!B:B,"★★★",0,1)</f>
        <v>Neru feat.かがみねりん</v>
      </c>
      <c r="AC130" s="14" t="str">
        <f t="shared" si="5"/>
        <v>ロストワンの号哭</v>
      </c>
      <c r="AD130" s="19" t="str">
        <f>HYPERLINK(_xlfn.XLOOKUP(C130,M_YT_LIVE_TIMESTAMP!AA:AA,M_YT_LIVE_TIMESTAMP!Z:Z,"★",0,-1))</f>
        <v>https://www.youtube.com/live/E8l1nOoKLLI?si=9GMtlAOzsgHxbniX&amp;t=876s</v>
      </c>
    </row>
    <row r="131" spans="1:30" x14ac:dyDescent="0.4">
      <c r="A131" s="12" t="str">
        <v>脱法ロック</v>
      </c>
      <c r="B131" s="12" t="str">
        <v>Neru feat.鏡音レン</v>
      </c>
      <c r="C131" s="12" t="str">
        <f t="shared" ref="C131:C194" si="6">TRIM(B131)&amp;TRIM(A131)</f>
        <v>Neru feat.鏡音レン脱法ロック</v>
      </c>
      <c r="AA131" s="14" t="str">
        <f t="shared" ref="AA131:AA194" si="7">B131</f>
        <v>Neru feat.鏡音レン</v>
      </c>
      <c r="AB131" s="14" t="str">
        <f>_xlfn.XLOOKUP(AA131,M_ARTIST!A:A,M_ARTIST!B:B,"★★★",0,1)</f>
        <v>Neru feat.かがみねれん</v>
      </c>
      <c r="AC131" s="14" t="str">
        <f t="shared" ref="AC131:AC194" si="8">A131</f>
        <v>脱法ロック</v>
      </c>
      <c r="AD131" s="19" t="str">
        <f>HYPERLINK(_xlfn.XLOOKUP(C131,M_YT_LIVE_TIMESTAMP!AA:AA,M_YT_LIVE_TIMESTAMP!Z:Z,"★",0,-1))</f>
        <v>https://www.youtube.com/live/EIV2fME4Fec?si=lkzDtJEJ9agzd2Md&amp;t=6942s</v>
      </c>
    </row>
    <row r="132" spans="1:30" x14ac:dyDescent="0.4">
      <c r="A132" s="12" t="str">
        <v>ココロオドル</v>
      </c>
      <c r="B132" s="12" t="str">
        <v>nobodyknows+</v>
      </c>
      <c r="C132" s="12" t="str">
        <f t="shared" si="6"/>
        <v>nobodyknows+ココロオドル</v>
      </c>
      <c r="AA132" s="14" t="str">
        <f t="shared" si="7"/>
        <v>nobodyknows+</v>
      </c>
      <c r="AB132" s="14" t="str">
        <f>_xlfn.XLOOKUP(AA132,M_ARTIST!A:A,M_ARTIST!B:B,"★★★",0,1)</f>
        <v>nobodyknows+</v>
      </c>
      <c r="AC132" s="14" t="str">
        <f t="shared" si="8"/>
        <v>ココロオドル</v>
      </c>
      <c r="AD132" s="19" t="str">
        <f>HYPERLINK(_xlfn.XLOOKUP(C132,M_YT_LIVE_TIMESTAMP!AA:AA,M_YT_LIVE_TIMESTAMP!Z:Z,"★",0,-1))</f>
        <v>https://www.youtube.com/live/nyXzxG79mwQ?si=kGuFyOuc0o-yNPOU&amp;t=13769s</v>
      </c>
    </row>
    <row r="133" spans="1:30" x14ac:dyDescent="0.4">
      <c r="A133" s="12" t="str">
        <v>Pretender</v>
      </c>
      <c r="B133" s="12" t="str">
        <v>Official髭男dism</v>
      </c>
      <c r="C133" s="12" t="str">
        <f t="shared" si="6"/>
        <v>Official髭男dismPretender</v>
      </c>
      <c r="AA133" s="14" t="str">
        <f t="shared" si="7"/>
        <v>Official髭男dism</v>
      </c>
      <c r="AB133" s="14" t="str">
        <f>_xlfn.XLOOKUP(AA133,M_ARTIST!A:A,M_ARTIST!B:B,"★★★",0,1)</f>
        <v>Officialひげだんでぃずむ</v>
      </c>
      <c r="AC133" s="14" t="str">
        <f t="shared" si="8"/>
        <v>Pretender</v>
      </c>
      <c r="AD133" s="19" t="str">
        <f>HYPERLINK(_xlfn.XLOOKUP(C133,M_YT_LIVE_TIMESTAMP!AA:AA,M_YT_LIVE_TIMESTAMP!Z:Z,"★",0,-1))</f>
        <v>https://www.youtube.com/live/B1g4NIZAKqo?si=v8CWAz6GBo-vVIKK&amp;t=641s</v>
      </c>
    </row>
    <row r="134" spans="1:30" x14ac:dyDescent="0.4">
      <c r="A134" s="12" t="str">
        <v>ノーダウト</v>
      </c>
      <c r="B134" s="12" t="str">
        <v>Official髭男dism</v>
      </c>
      <c r="C134" s="12" t="str">
        <f t="shared" si="6"/>
        <v>Official髭男dismノーダウト</v>
      </c>
      <c r="AA134" s="14" t="str">
        <f t="shared" si="7"/>
        <v>Official髭男dism</v>
      </c>
      <c r="AB134" s="14" t="str">
        <f>_xlfn.XLOOKUP(AA134,M_ARTIST!A:A,M_ARTIST!B:B,"★★★",0,1)</f>
        <v>Officialひげだんでぃずむ</v>
      </c>
      <c r="AC134" s="14" t="str">
        <f t="shared" si="8"/>
        <v>ノーダウト</v>
      </c>
      <c r="AD134" s="19" t="str">
        <f>HYPERLINK(_xlfn.XLOOKUP(C134,M_YT_LIVE_TIMESTAMP!AA:AA,M_YT_LIVE_TIMESTAMP!Z:Z,"★",0,-1))</f>
        <v>https://www.youtube.com/live/nyXzxG79mwQ?si=kGuFyOuc0o-yNPOU&amp;t=12312s</v>
      </c>
    </row>
    <row r="135" spans="1:30" x14ac:dyDescent="0.4">
      <c r="A135" s="12" t="str">
        <v>The Beginning</v>
      </c>
      <c r="B135" s="12" t="str">
        <v>ONE OK ROCK</v>
      </c>
      <c r="C135" s="12" t="str">
        <f t="shared" si="6"/>
        <v>ONE OK ROCKThe Beginning</v>
      </c>
      <c r="AA135" s="14" t="str">
        <f t="shared" si="7"/>
        <v>ONE OK ROCK</v>
      </c>
      <c r="AB135" s="14" t="str">
        <f>_xlfn.XLOOKUP(AA135,M_ARTIST!A:A,M_ARTIST!B:B,"★★★",0,1)</f>
        <v>ONE OK ROCK</v>
      </c>
      <c r="AC135" s="14" t="str">
        <f t="shared" si="8"/>
        <v>The Beginning</v>
      </c>
      <c r="AD135" s="19" t="str">
        <f>HYPERLINK(_xlfn.XLOOKUP(C135,M_YT_LIVE_TIMESTAMP!AA:AA,M_YT_LIVE_TIMESTAMP!Z:Z,"★",0,-1))</f>
        <v>https://www.youtube.com/live/E8l1nOoKLLI?si=9GMtlAOzsgHxbniX&amp;t=1626s</v>
      </c>
    </row>
    <row r="136" spans="1:30" x14ac:dyDescent="0.4">
      <c r="A136" s="12" t="str">
        <v>完全感覚Dreamer</v>
      </c>
      <c r="B136" s="12" t="str">
        <v>ONE OK ROCK</v>
      </c>
      <c r="C136" s="12" t="str">
        <f t="shared" si="6"/>
        <v>ONE OK ROCK完全感覚Dreamer</v>
      </c>
      <c r="AA136" s="14" t="str">
        <f t="shared" si="7"/>
        <v>ONE OK ROCK</v>
      </c>
      <c r="AB136" s="14" t="str">
        <f>_xlfn.XLOOKUP(AA136,M_ARTIST!A:A,M_ARTIST!B:B,"★★★",0,1)</f>
        <v>ONE OK ROCK</v>
      </c>
      <c r="AC136" s="14" t="str">
        <f t="shared" si="8"/>
        <v>完全感覚Dreamer</v>
      </c>
      <c r="AD136" s="19" t="str">
        <f>HYPERLINK(_xlfn.XLOOKUP(C136,M_YT_LIVE_TIMESTAMP!AA:AA,M_YT_LIVE_TIMESTAMP!Z:Z,"★",0,-1))</f>
        <v>https://www.youtube.com/live/Yti72SsHzxs?si=qlI2gfa0I0wWYoH4&amp;t=2655s</v>
      </c>
    </row>
    <row r="137" spans="1:30" x14ac:dyDescent="0.4">
      <c r="A137" s="12" t="str">
        <v>Alice in 冷凍庫</v>
      </c>
      <c r="B137" s="12" t="str">
        <v>Orangestar feat.IA</v>
      </c>
      <c r="C137" s="12" t="str">
        <f t="shared" si="6"/>
        <v>Orangestar feat.IAAlice in 冷凍庫</v>
      </c>
      <c r="AA137" s="14" t="str">
        <f t="shared" si="7"/>
        <v>Orangestar feat.IA</v>
      </c>
      <c r="AB137" s="14" t="str">
        <f>_xlfn.XLOOKUP(AA137,M_ARTIST!A:A,M_ARTIST!B:B,"★★★",0,1)</f>
        <v>Orangestar feat.IA</v>
      </c>
      <c r="AC137" s="14" t="str">
        <f t="shared" si="8"/>
        <v>Alice in 冷凍庫</v>
      </c>
      <c r="AD137" s="19" t="str">
        <f>HYPERLINK(_xlfn.XLOOKUP(C137,M_YT_LIVE_TIMESTAMP!AA:AA,M_YT_LIVE_TIMESTAMP!Z:Z,"★",0,-1))</f>
        <v>https://www.youtube.com/live/B1g4NIZAKqo?si=v8CWAz6GBo-vVIKK&amp;t=6774s</v>
      </c>
    </row>
    <row r="138" spans="1:30" x14ac:dyDescent="0.4">
      <c r="A138" s="12" t="str">
        <v>DAYBREAK FRONTLINE</v>
      </c>
      <c r="B138" s="12" t="str">
        <v>Orangestar feat.IA</v>
      </c>
      <c r="C138" s="12" t="str">
        <f t="shared" si="6"/>
        <v>Orangestar feat.IADAYBREAK FRONTLINE</v>
      </c>
      <c r="AA138" s="14" t="str">
        <f t="shared" si="7"/>
        <v>Orangestar feat.IA</v>
      </c>
      <c r="AB138" s="14" t="str">
        <f>_xlfn.XLOOKUP(AA138,M_ARTIST!A:A,M_ARTIST!B:B,"★★★",0,1)</f>
        <v>Orangestar feat.IA</v>
      </c>
      <c r="AC138" s="14" t="str">
        <f t="shared" si="8"/>
        <v>DAYBREAK FRONTLINE</v>
      </c>
      <c r="AD138" s="19" t="str">
        <f>HYPERLINK(_xlfn.XLOOKUP(C138,M_YT_LIVE_TIMESTAMP!AA:AA,M_YT_LIVE_TIMESTAMP!Z:Z,"★",0,-1))</f>
        <v>https://www.youtube.com/live/5-PHEYq6a-Y?si=i1qN4inKhZc0prZ-&amp;t=1545s</v>
      </c>
    </row>
    <row r="139" spans="1:30" x14ac:dyDescent="0.4">
      <c r="A139" s="12" t="str">
        <v>Henceforth</v>
      </c>
      <c r="B139" s="12" t="str">
        <v>Orangestar feat.IA</v>
      </c>
      <c r="C139" s="12" t="str">
        <f t="shared" si="6"/>
        <v>Orangestar feat.IAHenceforth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Henceforth</v>
      </c>
      <c r="AD139" s="19" t="str">
        <f>HYPERLINK(_xlfn.XLOOKUP(C139,M_YT_LIVE_TIMESTAMP!AA:AA,M_YT_LIVE_TIMESTAMP!Z:Z,"★",0,-1))</f>
        <v>https://www.youtube.com/live/rjOy6A4c68o?si=Q07K-470tlYbzNHk&amp;t=9460s</v>
      </c>
    </row>
    <row r="140" spans="1:30" x14ac:dyDescent="0.4">
      <c r="A140" s="12" t="str">
        <v>イヤホンと蝉時雨</v>
      </c>
      <c r="B140" s="12" t="str">
        <v>Orangestar feat.IA</v>
      </c>
      <c r="C140" s="12" t="str">
        <f t="shared" si="6"/>
        <v>Orangestar feat.IAイヤホンと蝉時雨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イヤホンと蝉時雨</v>
      </c>
      <c r="AD140" s="19" t="str">
        <f>HYPERLINK(_xlfn.XLOOKUP(C140,M_YT_LIVE_TIMESTAMP!AA:AA,M_YT_LIVE_TIMESTAMP!Z:Z,"★",0,-1))</f>
        <v>https://www.youtube.com/live/rjOy6A4c68o?si=Q07K-470tlYbzNHk&amp;t=7530s</v>
      </c>
    </row>
    <row r="141" spans="1:30" x14ac:dyDescent="0.4">
      <c r="A141" s="12" t="str">
        <v>ノクティルーカ</v>
      </c>
      <c r="B141" s="12" t="str">
        <v>Orangestar feat.IA</v>
      </c>
      <c r="C141" s="12" t="str">
        <f t="shared" si="6"/>
        <v>Orangestar feat.IAノクティルーカ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ノクティルーカ</v>
      </c>
      <c r="AD141" s="19" t="str">
        <f>HYPERLINK(_xlfn.XLOOKUP(C141,M_YT_LIVE_TIMESTAMP!AA:AA,M_YT_LIVE_TIMESTAMP!Z:Z,"★",0,-1))</f>
        <v>https://www.youtube.com/live/r7Bwk1jHwnc?si=YSwS6uQI_0X3Y91g&amp;t=3657s</v>
      </c>
    </row>
    <row r="142" spans="1:30" x14ac:dyDescent="0.4">
      <c r="A142" s="12" t="str">
        <v>雨き声残響</v>
      </c>
      <c r="B142" s="12" t="str">
        <v>Orangestar feat.IA</v>
      </c>
      <c r="C142" s="12" t="str">
        <f t="shared" si="6"/>
        <v>Orangestar feat.IA雨き声残響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雨き声残響</v>
      </c>
      <c r="AD142" s="19" t="str">
        <f>HYPERLINK(_xlfn.XLOOKUP(C142,M_YT_LIVE_TIMESTAMP!AA:AA,M_YT_LIVE_TIMESTAMP!Z:Z,"★",0,-1))</f>
        <v>https://www.youtube.com/live/B1g4NIZAKqo?si=v8CWAz6GBo-vVIKK&amp;t=7131s</v>
      </c>
    </row>
    <row r="143" spans="1:30" x14ac:dyDescent="0.4">
      <c r="A143" s="12" t="str">
        <v>快晴</v>
      </c>
      <c r="B143" s="12" t="str">
        <v>Orangestar feat.IA</v>
      </c>
      <c r="C143" s="12" t="str">
        <f t="shared" si="6"/>
        <v>Orangestar feat.IA快晴</v>
      </c>
      <c r="AA143" s="14" t="str">
        <f t="shared" si="7"/>
        <v>Orangestar feat.IA</v>
      </c>
      <c r="AB143" s="14" t="str">
        <f>_xlfn.XLOOKUP(AA143,M_ARTIST!A:A,M_ARTIST!B:B,"★★★",0,1)</f>
        <v>Orangestar feat.IA</v>
      </c>
      <c r="AC143" s="14" t="str">
        <f t="shared" si="8"/>
        <v>快晴</v>
      </c>
      <c r="AD143" s="19" t="str">
        <f>HYPERLINK(_xlfn.XLOOKUP(C143,M_YT_LIVE_TIMESTAMP!AA:AA,M_YT_LIVE_TIMESTAMP!Z:Z,"★",0,-1))</f>
        <v>https://www.youtube.com/live/cHLqE4AOOjI?si=heDnYTUAoUpLyQ_J&amp;t=3832s</v>
      </c>
    </row>
    <row r="144" spans="1:30" x14ac:dyDescent="0.4">
      <c r="A144" s="12" t="str">
        <v>surges</v>
      </c>
      <c r="B144" s="12" t="str">
        <v>Orangestar feat.IA＆初音ミク</v>
      </c>
      <c r="C144" s="12" t="str">
        <f t="shared" si="6"/>
        <v>Orangestar feat.IA＆初音ミクsurges</v>
      </c>
      <c r="AA144" s="14" t="str">
        <f t="shared" si="7"/>
        <v>Orangestar feat.IA＆初音ミク</v>
      </c>
      <c r="AB144" s="14" t="str">
        <f>_xlfn.XLOOKUP(AA144,M_ARTIST!A:A,M_ARTIST!B:B,"★★★",0,1)</f>
        <v>Orangestar feat.IA＆はつねみく</v>
      </c>
      <c r="AC144" s="14" t="str">
        <f t="shared" si="8"/>
        <v>surges</v>
      </c>
      <c r="AD144" s="19" t="str">
        <f>HYPERLINK(_xlfn.XLOOKUP(C144,M_YT_LIVE_TIMESTAMP!AA:AA,M_YT_LIVE_TIMESTAMP!Z:Z,"★",0,-1))</f>
        <v>https://www.youtube.com/live/wEZHgaS4eCg?si=_Rpt2MlexrsFC7dZ&amp;t=4450s</v>
      </c>
    </row>
    <row r="145" spans="1:30" x14ac:dyDescent="0.4">
      <c r="A145" s="12" t="str">
        <v>アスノヨゾラ哨戒班</v>
      </c>
      <c r="B145" s="12" t="str">
        <v>Orangestar feat.初音ミク</v>
      </c>
      <c r="C145" s="12" t="str">
        <f t="shared" si="6"/>
        <v>Orangestar feat.初音ミクアスノヨゾラ哨戒班</v>
      </c>
      <c r="AA145" s="14" t="str">
        <f t="shared" si="7"/>
        <v>Orangestar feat.初音ミク</v>
      </c>
      <c r="AB145" s="14" t="str">
        <f>_xlfn.XLOOKUP(AA145,M_ARTIST!A:A,M_ARTIST!B:B,"★★★",0,1)</f>
        <v>Orangestar feat.はつねみく</v>
      </c>
      <c r="AC145" s="14" t="str">
        <f t="shared" si="8"/>
        <v>アスノヨゾラ哨戒班</v>
      </c>
      <c r="AD145" s="19" t="str">
        <f>HYPERLINK(_xlfn.XLOOKUP(C145,M_YT_LIVE_TIMESTAMP!AA:AA,M_YT_LIVE_TIMESTAMP!Z:Z,"★",0,-1))</f>
        <v>https://www.youtube.com/live/Yti72SsHzxs?si=qlI2gfa0I0wWYoH4&amp;t=702s</v>
      </c>
    </row>
    <row r="146" spans="1:30" x14ac:dyDescent="0.4">
      <c r="A146" s="12" t="str">
        <v>回る空うさぎ</v>
      </c>
      <c r="B146" s="12" t="str">
        <v>Orangestar feat.初音ミク</v>
      </c>
      <c r="C146" s="12" t="str">
        <f t="shared" si="6"/>
        <v>Orangestar feat.初音ミク回る空うさぎ</v>
      </c>
      <c r="AA146" s="14" t="str">
        <f t="shared" si="7"/>
        <v>Orangestar feat.初音ミク</v>
      </c>
      <c r="AB146" s="14" t="str">
        <f>_xlfn.XLOOKUP(AA146,M_ARTIST!A:A,M_ARTIST!B:B,"★★★",0,1)</f>
        <v>Orangestar feat.はつねみく</v>
      </c>
      <c r="AC146" s="14" t="str">
        <f t="shared" si="8"/>
        <v>回る空うさぎ</v>
      </c>
      <c r="AD146" s="19" t="str">
        <f>HYPERLINK(_xlfn.XLOOKUP(C146,M_YT_LIVE_TIMESTAMP!AA:AA,M_YT_LIVE_TIMESTAMP!Z:Z,"★",0,-1))</f>
        <v>https://www.youtube.com/live/B1g4NIZAKqo?si=v8CWAz6GBo-vVIKK&amp;t=6135s</v>
      </c>
    </row>
    <row r="147" spans="1:30" x14ac:dyDescent="0.4">
      <c r="A147" s="12" t="str">
        <v>快晴</v>
      </c>
      <c r="B147" s="12" t="str">
        <v>Orangestar feat.初音ミク</v>
      </c>
      <c r="C147" s="12" t="str">
        <f t="shared" si="6"/>
        <v>Orangestar feat.初音ミク快晴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快晴</v>
      </c>
      <c r="AD147" s="19" t="str">
        <f>HYPERLINK(_xlfn.XLOOKUP(C147,M_YT_LIVE_TIMESTAMP!AA:AA,M_YT_LIVE_TIMESTAMP!Z:Z,"★",0,-1))</f>
        <v>https://www.youtube.com/live/BIOCmyo4mQU?si=mUE7u0kM5d94T-4A&amp;t=2887s</v>
      </c>
    </row>
    <row r="148" spans="1:30" x14ac:dyDescent="0.4">
      <c r="A148" s="12" t="str">
        <v>残灯花火</v>
      </c>
      <c r="B148" s="12" t="str">
        <v>Orangestar feat.初音ミク</v>
      </c>
      <c r="C148" s="12" t="str">
        <f t="shared" si="6"/>
        <v>Orangestar feat.初音ミク残灯花火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残灯花火</v>
      </c>
      <c r="AD148" s="19" t="str">
        <f>HYPERLINK(_xlfn.XLOOKUP(C148,M_YT_LIVE_TIMESTAMP!AA:AA,M_YT_LIVE_TIMESTAMP!Z:Z,"★",0,-1))</f>
        <v>https://www.youtube.com/live/B1g4NIZAKqo?si=v8CWAz6GBo-vVIKK&amp;t=7435s</v>
      </c>
    </row>
    <row r="149" spans="1:30" x14ac:dyDescent="0.4">
      <c r="A149" s="12" t="str">
        <v>霽れを待つ</v>
      </c>
      <c r="B149" s="12" t="str">
        <v>Orangestar feat.初音ミク</v>
      </c>
      <c r="C149" s="12" t="str">
        <f t="shared" si="6"/>
        <v>Orangestar feat.初音ミク霽れを待つ</v>
      </c>
      <c r="AA149" s="14" t="str">
        <f t="shared" si="7"/>
        <v>Orangestar feat.初音ミク</v>
      </c>
      <c r="AB149" s="14" t="str">
        <f>_xlfn.XLOOKUP(AA149,M_ARTIST!A:A,M_ARTIST!B:B,"★★★",0,1)</f>
        <v>Orangestar feat.はつねみく</v>
      </c>
      <c r="AC149" s="14" t="str">
        <f t="shared" si="8"/>
        <v>霽れを待つ</v>
      </c>
      <c r="AD149" s="19" t="str">
        <f>HYPERLINK(_xlfn.XLOOKUP(C149,M_YT_LIVE_TIMESTAMP!AA:AA,M_YT_LIVE_TIMESTAMP!Z:Z,"★",0,-1))</f>
        <v>https://www.youtube.com/live/i7euCqiwzl4?si=Gvd-dBAI4nZ9HDpv&amp;t=1633s</v>
      </c>
    </row>
    <row r="150" spans="1:30" x14ac:dyDescent="0.4">
      <c r="A150" s="12" t="str">
        <v>空奏列車</v>
      </c>
      <c r="B150" s="12" t="str">
        <v>Orangestar feat.初音ミク&amp;IA</v>
      </c>
      <c r="C150" s="12" t="str">
        <f t="shared" si="6"/>
        <v>Orangestar feat.初音ミク&amp;IA空奏列車</v>
      </c>
      <c r="AA150" s="14" t="str">
        <f t="shared" si="7"/>
        <v>Orangestar feat.初音ミク&amp;IA</v>
      </c>
      <c r="AB150" s="14" t="str">
        <f>_xlfn.XLOOKUP(AA150,M_ARTIST!A:A,M_ARTIST!B:B,"★★★",0,1)</f>
        <v>Orangestar feat.はつねみく&amp;IA</v>
      </c>
      <c r="AC150" s="14" t="str">
        <f t="shared" si="8"/>
        <v>空奏列車</v>
      </c>
      <c r="AD150" s="19" t="str">
        <f>HYPERLINK(_xlfn.XLOOKUP(C150,M_YT_LIVE_TIMESTAMP!AA:AA,M_YT_LIVE_TIMESTAMP!Z:Z,"★",0,-1))</f>
        <v>https://www.youtube.com/live/B1g4NIZAKqo?si=v8CWAz6GBo-vVIKK&amp;t=6452s</v>
      </c>
    </row>
    <row r="151" spans="1:30" x14ac:dyDescent="0.4">
      <c r="A151" s="12" t="str">
        <v>A Whole New World</v>
      </c>
      <c r="B151" s="12" t="str">
        <v>Peabo Bryson&amp;Regina Belle</v>
      </c>
      <c r="C151" s="12" t="str">
        <f t="shared" si="6"/>
        <v>Peabo Bryson&amp;Regina BelleA Whole New World</v>
      </c>
      <c r="AA151" s="14" t="str">
        <f t="shared" si="7"/>
        <v>Peabo Bryson&amp;Regina Belle</v>
      </c>
      <c r="AB151" s="14" t="str">
        <f>_xlfn.XLOOKUP(AA151,M_ARTIST!A:A,M_ARTIST!B:B,"★★★",0,1)</f>
        <v>Peabo Bryson&amp;Regina Belle</v>
      </c>
      <c r="AC151" s="14" t="str">
        <f t="shared" si="8"/>
        <v>A Whole New World</v>
      </c>
      <c r="AD151" s="19" t="str">
        <f>HYPERLINK(_xlfn.XLOOKUP(C151,M_YT_LIVE_TIMESTAMP!AA:AA,M_YT_LIVE_TIMESTAMP!Z:Z,"★",0,-1))</f>
        <v>https://www.youtube.com/live/nyXzxG79mwQ?si=kGuFyOuc0o-yNPOU&amp;t=14169s</v>
      </c>
    </row>
    <row r="152" spans="1:30" x14ac:dyDescent="0.4">
      <c r="A152" s="12" t="str">
        <v>チョコレイト・ディスコ</v>
      </c>
      <c r="B152" s="12" t="str">
        <v>Perfume</v>
      </c>
      <c r="C152" s="12" t="str">
        <f t="shared" si="6"/>
        <v>Perfumeチョコレイト・ディスコ</v>
      </c>
      <c r="AA152" s="14" t="str">
        <f t="shared" si="7"/>
        <v>Perfume</v>
      </c>
      <c r="AB152" s="14" t="str">
        <f>_xlfn.XLOOKUP(AA152,M_ARTIST!A:A,M_ARTIST!B:B,"★★★",0,1)</f>
        <v>Perfume</v>
      </c>
      <c r="AC152" s="14" t="str">
        <f t="shared" si="8"/>
        <v>チョコレイト・ディスコ</v>
      </c>
      <c r="AD152" s="19" t="str">
        <f>HYPERLINK(_xlfn.XLOOKUP(C152,M_YT_LIVE_TIMESTAMP!AA:AA,M_YT_LIVE_TIMESTAMP!Z:Z,"★",0,-1))</f>
        <v>https://www.youtube.com/live/nyXzxG79mwQ?si=kGuFyOuc0o-yNPOU&amp;t=6864s</v>
      </c>
    </row>
    <row r="153" spans="1:30" x14ac:dyDescent="0.4">
      <c r="A153" s="12" t="str">
        <v>ツキヨミ</v>
      </c>
      <c r="B153" s="12" t="str">
        <v>phatmans after school</v>
      </c>
      <c r="C153" s="12" t="str">
        <f t="shared" si="6"/>
        <v>phatmans after schoolツキヨミ</v>
      </c>
      <c r="AA153" s="14" t="str">
        <f t="shared" si="7"/>
        <v>phatmans after school</v>
      </c>
      <c r="AB153" s="14" t="str">
        <f>_xlfn.XLOOKUP(AA153,M_ARTIST!A:A,M_ARTIST!B:B,"★★★",0,1)</f>
        <v>phatmans after school</v>
      </c>
      <c r="AC153" s="14" t="str">
        <f t="shared" si="8"/>
        <v>ツキヨミ</v>
      </c>
      <c r="AD153" s="19" t="str">
        <f>HYPERLINK(_xlfn.XLOOKUP(C153,M_YT_LIVE_TIMESTAMP!AA:AA,M_YT_LIVE_TIMESTAMP!Z:Z,"★",0,-1))</f>
        <v>https://www.youtube.com/live/YC2XfDeeAQI?si=BpJIi-KScnRHEoFo&amp;t=744s</v>
      </c>
    </row>
    <row r="154" spans="1:30" x14ac:dyDescent="0.4">
      <c r="A154" s="12" t="str">
        <v>シル・ヴ・プレジデント</v>
      </c>
      <c r="B154" s="12" t="str">
        <v>P丸様。</v>
      </c>
      <c r="C154" s="12" t="str">
        <f t="shared" si="6"/>
        <v>P丸様。シル・ヴ・プレジデント</v>
      </c>
      <c r="AA154" s="14" t="str">
        <f t="shared" si="7"/>
        <v>P丸様。</v>
      </c>
      <c r="AB154" s="14" t="str">
        <f>_xlfn.XLOOKUP(AA154,M_ARTIST!A:A,M_ARTIST!B:B,"★★★",0,1)</f>
        <v>Pまるさま。</v>
      </c>
      <c r="AC154" s="14" t="str">
        <f t="shared" si="8"/>
        <v>シル・ヴ・プレジデント</v>
      </c>
      <c r="AD154" s="19" t="str">
        <f>HYPERLINK(_xlfn.XLOOKUP(C154,M_YT_LIVE_TIMESTAMP!AA:AA,M_YT_LIVE_TIMESTAMP!Z:Z,"★",0,-1))</f>
        <v>https://www.youtube.com/live/nyXzxG79mwQ?si=kGuFyOuc0o-yNPOU&amp;t=7552s</v>
      </c>
    </row>
    <row r="155" spans="1:30" x14ac:dyDescent="0.4">
      <c r="A155" s="12" t="str">
        <v>レトロポリス</v>
      </c>
      <c r="B155" s="12" t="str">
        <v>R Sound Design feat.可不</v>
      </c>
      <c r="C155" s="12" t="str">
        <f t="shared" si="6"/>
        <v>R Sound Design feat.可不レトロポリス</v>
      </c>
      <c r="AA155" s="14" t="str">
        <f t="shared" si="7"/>
        <v>R Sound Design feat.可不</v>
      </c>
      <c r="AB155" s="14" t="str">
        <f>_xlfn.XLOOKUP(AA155,M_ARTIST!A:A,M_ARTIST!B:B,"★★★",0,1)</f>
        <v>R Sound Design feat.かふ</v>
      </c>
      <c r="AC155" s="14" t="str">
        <f t="shared" si="8"/>
        <v>レトロポリス</v>
      </c>
      <c r="AD155" s="19" t="str">
        <f>HYPERLINK(_xlfn.XLOOKUP(C155,M_YT_LIVE_TIMESTAMP!AA:AA,M_YT_LIVE_TIMESTAMP!Z:Z,"★",0,-1))</f>
        <v>https://www.youtube.com/live/i7euCqiwzl4?si=Gvd-dBAI4nZ9HDpv&amp;t=2666s</v>
      </c>
    </row>
    <row r="156" spans="1:30" x14ac:dyDescent="0.4">
      <c r="A156" s="12" t="str">
        <v>flos</v>
      </c>
      <c r="B156" s="12" t="str">
        <v>R Sound Design feat.初音ミク</v>
      </c>
      <c r="C156" s="12" t="str">
        <f t="shared" si="6"/>
        <v>R Sound Design feat.初音ミクflos</v>
      </c>
      <c r="AA156" s="14" t="str">
        <f t="shared" si="7"/>
        <v>R Sound Design feat.初音ミク</v>
      </c>
      <c r="AB156" s="14" t="str">
        <f>_xlfn.XLOOKUP(AA156,M_ARTIST!A:A,M_ARTIST!B:B,"★★★",0,1)</f>
        <v>R Sound Design feat.はつねみく</v>
      </c>
      <c r="AC156" s="14" t="str">
        <f t="shared" si="8"/>
        <v>flos</v>
      </c>
      <c r="AD156" s="19" t="str">
        <f>HYPERLINK(_xlfn.XLOOKUP(C156,M_YT_LIVE_TIMESTAMP!AA:AA,M_YT_LIVE_TIMESTAMP!Z:Z,"★",0,-1))</f>
        <v>https://www.youtube.com/live/B1g4NIZAKqo?si=v8CWAz6GBo-vVIKK&amp;t=3483s</v>
      </c>
    </row>
    <row r="157" spans="1:30" x14ac:dyDescent="0.4">
      <c r="A157" s="12" t="str">
        <v>帝国少女</v>
      </c>
      <c r="B157" s="12" t="str">
        <v>R Sound Design feat.初音ミク</v>
      </c>
      <c r="C157" s="12" t="str">
        <f t="shared" si="6"/>
        <v>R Sound Design feat.初音ミク帝国少女</v>
      </c>
      <c r="AA157" s="14" t="str">
        <f t="shared" si="7"/>
        <v>R Sound Design feat.初音ミク</v>
      </c>
      <c r="AB157" s="14" t="str">
        <f>_xlfn.XLOOKUP(AA157,M_ARTIST!A:A,M_ARTIST!B:B,"★★★",0,1)</f>
        <v>R Sound Design feat.はつねみく</v>
      </c>
      <c r="AC157" s="14" t="str">
        <f t="shared" si="8"/>
        <v>帝国少女</v>
      </c>
      <c r="AD157" s="19" t="str">
        <f>HYPERLINK(_xlfn.XLOOKUP(C157,M_YT_LIVE_TIMESTAMP!AA:AA,M_YT_LIVE_TIMESTAMP!Z:Z,"★",0,-1))</f>
        <v>https://www.youtube.com/live/Cs48limSzrE?si=n8CFockH4OVXGSvE&amp;t=772s</v>
      </c>
    </row>
    <row r="158" spans="1:30" x14ac:dyDescent="0.4">
      <c r="A158" s="12" t="str">
        <v>スパークル</v>
      </c>
      <c r="B158" s="12" t="str">
        <v>RADWIMPS</v>
      </c>
      <c r="C158" s="12" t="str">
        <f t="shared" si="6"/>
        <v>RADWIMPSスパークル</v>
      </c>
      <c r="AA158" s="14" t="str">
        <f t="shared" si="7"/>
        <v>RADWIMPS</v>
      </c>
      <c r="AB158" s="14" t="str">
        <f>_xlfn.XLOOKUP(AA158,M_ARTIST!A:A,M_ARTIST!B:B,"★★★",0,1)</f>
        <v>RADWIMPS</v>
      </c>
      <c r="AC158" s="14" t="str">
        <f t="shared" si="8"/>
        <v>スパークル</v>
      </c>
      <c r="AD158" s="19" t="str">
        <f>HYPERLINK(_xlfn.XLOOKUP(C158,M_YT_LIVE_TIMESTAMP!AA:AA,M_YT_LIVE_TIMESTAMP!Z:Z,"★",0,-1))</f>
        <v>https://www.youtube.com/live/nyXzxG79mwQ?si=kGuFyOuc0o-yNPOU&amp;t=16754s</v>
      </c>
    </row>
    <row r="159" spans="1:30" x14ac:dyDescent="0.4">
      <c r="A159" s="12" t="str">
        <v>なんでもないや</v>
      </c>
      <c r="B159" s="12" t="str">
        <v>RADWIMPS</v>
      </c>
      <c r="C159" s="12" t="str">
        <f t="shared" si="6"/>
        <v>RADWIMPSなんでもないや</v>
      </c>
      <c r="AA159" s="14" t="str">
        <f t="shared" si="7"/>
        <v>RADWIMPS</v>
      </c>
      <c r="AB159" s="14" t="str">
        <f>_xlfn.XLOOKUP(AA159,M_ARTIST!A:A,M_ARTIST!B:B,"★★★",0,1)</f>
        <v>RADWIMPS</v>
      </c>
      <c r="AC159" s="14" t="str">
        <f t="shared" si="8"/>
        <v>なんでもないや</v>
      </c>
      <c r="AD159" s="19" t="str">
        <f>HYPERLINK(_xlfn.XLOOKUP(C159,M_YT_LIVE_TIMESTAMP!AA:AA,M_YT_LIVE_TIMESTAMP!Z:Z,"★",0,-1))</f>
        <v>https://www.youtube.com/live/6wh0qjbo6K4?si=vntI9mYE52ZplV6U&amp;t=4979s</v>
      </c>
    </row>
    <row r="160" spans="1:30" x14ac:dyDescent="0.4">
      <c r="A160" s="12" t="str">
        <v>前前前世</v>
      </c>
      <c r="B160" s="12" t="str">
        <v>RADWIMPS</v>
      </c>
      <c r="C160" s="12" t="str">
        <f t="shared" si="6"/>
        <v>RADWIMPS前前前世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前前前世</v>
      </c>
      <c r="AD160" s="19" t="str">
        <f>HYPERLINK(_xlfn.XLOOKUP(C160,M_YT_LIVE_TIMESTAMP!AA:AA,M_YT_LIVE_TIMESTAMP!Z:Z,"★",0,-1))</f>
        <v>https://www.youtube.com/live/rowkHJneOgY?si=dzvDO_qNHD4fLHMQ&amp;t=7091s</v>
      </c>
    </row>
    <row r="161" spans="1:30" x14ac:dyDescent="0.4">
      <c r="A161" s="12" t="str">
        <v>夢灯篭</v>
      </c>
      <c r="B161" s="12" t="str">
        <v>RADWIMPS</v>
      </c>
      <c r="C161" s="12" t="str">
        <f t="shared" si="6"/>
        <v>RADWIMPS夢灯篭</v>
      </c>
      <c r="AA161" s="14" t="str">
        <f t="shared" si="7"/>
        <v>RADWIMPS</v>
      </c>
      <c r="AB161" s="14" t="str">
        <f>_xlfn.XLOOKUP(AA161,M_ARTIST!A:A,M_ARTIST!B:B,"★★★",0,1)</f>
        <v>RADWIMPS</v>
      </c>
      <c r="AC161" s="14" t="str">
        <f t="shared" si="8"/>
        <v>夢灯篭</v>
      </c>
      <c r="AD161" s="19" t="str">
        <f>HYPERLINK(_xlfn.XLOOKUP(C161,M_YT_LIVE_TIMESTAMP!AA:AA,M_YT_LIVE_TIMESTAMP!Z:Z,"★",0,-1))</f>
        <v>https://www.youtube.com/live/b0qPGU0sZn4?si=C5mabzVl6bhK7mp0&amp;t=1189s</v>
      </c>
    </row>
    <row r="162" spans="1:30" x14ac:dyDescent="0.4">
      <c r="A162" s="12" t="str">
        <v>ebb and flow</v>
      </c>
      <c r="B162" s="12" t="str">
        <v>Ray</v>
      </c>
      <c r="C162" s="12" t="str">
        <f t="shared" si="6"/>
        <v>Rayebb and flow</v>
      </c>
      <c r="AA162" s="14" t="str">
        <f t="shared" si="7"/>
        <v>Ray</v>
      </c>
      <c r="AB162" s="14" t="str">
        <f>_xlfn.XLOOKUP(AA162,M_ARTIST!A:A,M_ARTIST!B:B,"★★★",0,1)</f>
        <v>Ray</v>
      </c>
      <c r="AC162" s="14" t="str">
        <f t="shared" si="8"/>
        <v>ebb and flow</v>
      </c>
      <c r="AD162" s="19" t="str">
        <f>HYPERLINK(_xlfn.XLOOKUP(C162,M_YT_LIVE_TIMESTAMP!AA:AA,M_YT_LIVE_TIMESTAMP!Z:Z,"★",0,-1))</f>
        <v>https://www.youtube.com/live/YC2XfDeeAQI?si=BpJIi-KScnRHEoFo&amp;t=4498s</v>
      </c>
    </row>
    <row r="163" spans="1:30" x14ac:dyDescent="0.4">
      <c r="A163" s="12" t="str">
        <v>ANIMA</v>
      </c>
      <c r="B163" s="12" t="str">
        <v>ReoNa</v>
      </c>
      <c r="C163" s="12" t="str">
        <f t="shared" si="6"/>
        <v>ReoNaANIMA</v>
      </c>
      <c r="AA163" s="14" t="str">
        <f t="shared" si="7"/>
        <v>ReoNa</v>
      </c>
      <c r="AB163" s="14" t="str">
        <f>_xlfn.XLOOKUP(AA163,M_ARTIST!A:A,M_ARTIST!B:B,"★★★",0,1)</f>
        <v>ReoNa</v>
      </c>
      <c r="AC163" s="14" t="str">
        <f t="shared" si="8"/>
        <v>ANIMA</v>
      </c>
      <c r="AD163" s="19" t="str">
        <f>HYPERLINK(_xlfn.XLOOKUP(C163,M_YT_LIVE_TIMESTAMP!AA:AA,M_YT_LIVE_TIMESTAMP!Z:Z,"★",0,-1))</f>
        <v>https://www.youtube.com/live/nyXzxG79mwQ?si=kGuFyOuc0o-yNPOU&amp;t=10330s</v>
      </c>
    </row>
    <row r="164" spans="1:30" x14ac:dyDescent="0.4">
      <c r="A164" s="12" t="str">
        <v>Great distance</v>
      </c>
      <c r="B164" s="12" t="str">
        <v>ryo feat.chelly</v>
      </c>
      <c r="C164" s="12" t="str">
        <f t="shared" si="6"/>
        <v>ryo feat.chellyGreat distance</v>
      </c>
      <c r="AA164" s="14" t="str">
        <f t="shared" si="7"/>
        <v>ryo feat.chelly</v>
      </c>
      <c r="AB164" s="14" t="str">
        <f>_xlfn.XLOOKUP(AA164,M_ARTIST!A:A,M_ARTIST!B:B,"★★★",0,1)</f>
        <v>ryo feat.chelly</v>
      </c>
      <c r="AC164" s="14" t="str">
        <f t="shared" si="8"/>
        <v>Great distance</v>
      </c>
      <c r="AD164" s="19" t="str">
        <f>HYPERLINK(_xlfn.XLOOKUP(C164,M_YT_LIVE_TIMESTAMP!AA:AA,M_YT_LIVE_TIMESTAMP!Z:Z,"★",0,-1))</f>
        <v>https://www.youtube.com/live/FuJDk5I3Oyo?si=KP6eEuJrPYERUqMb&amp;t=3519s</v>
      </c>
    </row>
    <row r="165" spans="1:30" x14ac:dyDescent="0.4">
      <c r="A165" s="12" t="str">
        <v>ワールドイズマイン</v>
      </c>
      <c r="B165" s="12" t="str">
        <v>ryo feat.初音ミク</v>
      </c>
      <c r="C165" s="12" t="str">
        <f t="shared" si="6"/>
        <v>ryo feat.初音ミクワールドイズマイン</v>
      </c>
      <c r="AA165" s="14" t="str">
        <f t="shared" si="7"/>
        <v>ryo feat.初音ミク</v>
      </c>
      <c r="AB165" s="14" t="str">
        <f>_xlfn.XLOOKUP(AA165,M_ARTIST!A:A,M_ARTIST!B:B,"★★★",0,1)</f>
        <v>ryo feat.はつねみく</v>
      </c>
      <c r="AC165" s="14" t="str">
        <f t="shared" si="8"/>
        <v>ワールドイズマイン</v>
      </c>
      <c r="AD165" s="19" t="str">
        <f>HYPERLINK(_xlfn.XLOOKUP(C165,M_YT_LIVE_TIMESTAMP!AA:AA,M_YT_LIVE_TIMESTAMP!Z:Z,"★",0,-1))</f>
        <v>https://www.youtube.com/live/EIV2fME4Fec?si=lkzDtJEJ9agzd2Md&amp;t=6401s</v>
      </c>
    </row>
    <row r="166" spans="1:30" x14ac:dyDescent="0.4">
      <c r="A166" s="12" t="str">
        <v>メルト</v>
      </c>
      <c r="B166" s="12" t="str">
        <v>ryo(supercell) feat.初音ミク</v>
      </c>
      <c r="C166" s="12" t="str">
        <f t="shared" si="6"/>
        <v>ryo(supercell) feat.初音ミクメルト</v>
      </c>
      <c r="AA166" s="14" t="str">
        <f t="shared" si="7"/>
        <v>ryo(supercell) feat.初音ミク</v>
      </c>
      <c r="AB166" s="14" t="str">
        <f>_xlfn.XLOOKUP(AA166,M_ARTIST!A:A,M_ARTIST!B:B,"★★★",0,1)</f>
        <v>ryo(supercell) feat.はつねみく</v>
      </c>
      <c r="AC166" s="14" t="str">
        <f t="shared" si="8"/>
        <v>メルト</v>
      </c>
      <c r="AD166" s="19" t="str">
        <f>HYPERLINK(_xlfn.XLOOKUP(C166,M_YT_LIVE_TIMESTAMP!AA:AA,M_YT_LIVE_TIMESTAMP!Z:Z,"★",0,-1))</f>
        <v>https://www.youtube.com/live/nyXzxG79mwQ?si=kGuFyOuc0o-yNPOU&amp;t=5717s</v>
      </c>
    </row>
    <row r="167" spans="1:30" x14ac:dyDescent="0.4">
      <c r="A167" s="12" t="str">
        <v>シンデレラボーイ</v>
      </c>
      <c r="B167" s="12" t="str">
        <v>Saucy Dog</v>
      </c>
      <c r="C167" s="12" t="str">
        <f t="shared" si="6"/>
        <v>Saucy Dogシンデレラボーイ</v>
      </c>
      <c r="AA167" s="14" t="str">
        <f t="shared" si="7"/>
        <v>Saucy Dog</v>
      </c>
      <c r="AB167" s="14" t="str">
        <f>_xlfn.XLOOKUP(AA167,M_ARTIST!A:A,M_ARTIST!B:B,"★★★",0,1)</f>
        <v>Saucy Dog</v>
      </c>
      <c r="AC167" s="14" t="str">
        <f t="shared" si="8"/>
        <v>シンデレラボーイ</v>
      </c>
      <c r="AD167" s="19" t="str">
        <f>HYPERLINK(_xlfn.XLOOKUP(C167,M_YT_LIVE_TIMESTAMP!AA:AA,M_YT_LIVE_TIMESTAMP!Z:Z,"★",0,-1))</f>
        <v>https://www.youtube.com/live/BjWSIm9kSZs?si=1oMuQyZMLWArIABK&amp;t=847s</v>
      </c>
    </row>
    <row r="168" spans="1:30" x14ac:dyDescent="0.4">
      <c r="A168" s="12" t="str">
        <v>バンドマン(1chorus)</v>
      </c>
      <c r="B168" s="12" t="str">
        <v>SHISHAMO</v>
      </c>
      <c r="C168" s="12" t="str">
        <f t="shared" si="6"/>
        <v>SHISHAMOバンドマン(1chorus)</v>
      </c>
      <c r="AA168" s="14" t="str">
        <f t="shared" si="7"/>
        <v>SHISHAMO</v>
      </c>
      <c r="AB168" s="14" t="str">
        <f>_xlfn.XLOOKUP(AA168,M_ARTIST!A:A,M_ARTIST!B:B,"★★★",0,1)</f>
        <v>★★★</v>
      </c>
      <c r="AC168" s="14" t="str">
        <f t="shared" si="8"/>
        <v>バンドマン(1chorus)</v>
      </c>
      <c r="AD168" s="19" t="str">
        <f>HYPERLINK(_xlfn.XLOOKUP(C168,M_YT_LIVE_TIMESTAMP!AA:AA,M_YT_LIVE_TIMESTAMP!Z:Z,"★",0,-1))</f>
        <v>https://www.youtube.com/live/5-PHEYq6a-Y?si=i1qN4inKhZc0prZ-&amp;t=4974s</v>
      </c>
    </row>
    <row r="169" spans="1:30" x14ac:dyDescent="0.4">
      <c r="A169" s="12" t="str">
        <v>熱帯夜</v>
      </c>
      <c r="B169" s="12" t="str">
        <v>SHISHAMO</v>
      </c>
      <c r="C169" s="12" t="str">
        <f t="shared" si="6"/>
        <v>SHISHAMO熱帯夜</v>
      </c>
      <c r="AA169" s="14" t="str">
        <f t="shared" si="7"/>
        <v>SHISHAMO</v>
      </c>
      <c r="AB169" s="14" t="str">
        <f>_xlfn.XLOOKUP(AA169,M_ARTIST!A:A,M_ARTIST!B:B,"★★★",0,1)</f>
        <v>★★★</v>
      </c>
      <c r="AC169" s="14" t="str">
        <f t="shared" si="8"/>
        <v>熱帯夜</v>
      </c>
      <c r="AD169" s="19" t="str">
        <f>HYPERLINK(_xlfn.XLOOKUP(C169,M_YT_LIVE_TIMESTAMP!AA:AA,M_YT_LIVE_TIMESTAMP!Z:Z,"★",0,-1))</f>
        <v>https://www.youtube.com/live/5-PHEYq6a-Y?si=i1qN4inKhZc0prZ-&amp;t=4662s</v>
      </c>
    </row>
    <row r="170" spans="1:30" x14ac:dyDescent="0.4">
      <c r="A170" s="12" t="str">
        <v>世界に一つだけの花</v>
      </c>
      <c r="B170" s="12" t="str">
        <v>SMAP</v>
      </c>
      <c r="C170" s="12" t="str">
        <f t="shared" si="6"/>
        <v>SMAP世界に一つだけの花</v>
      </c>
      <c r="AA170" s="14" t="str">
        <f t="shared" si="7"/>
        <v>SMAP</v>
      </c>
      <c r="AB170" s="14" t="str">
        <f>_xlfn.XLOOKUP(AA170,M_ARTIST!A:A,M_ARTIST!B:B,"★★★",0,1)</f>
        <v>SMAP</v>
      </c>
      <c r="AC170" s="14" t="str">
        <f t="shared" si="8"/>
        <v>世界に一つだけの花</v>
      </c>
      <c r="AD170" s="19" t="str">
        <f>HYPERLINK(_xlfn.XLOOKUP(C170,M_YT_LIVE_TIMESTAMP!AA:AA,M_YT_LIVE_TIMESTAMP!Z:Z,"★",0,-1))</f>
        <v>https://www.youtube.com/live/DX8misWhJuA?si=x9BqkZPlvHen5SCl&amp;t=5247s</v>
      </c>
    </row>
    <row r="171" spans="1:30" x14ac:dyDescent="0.4">
      <c r="A171" s="12" t="str">
        <v>サムライハート(Some Like It Hot!!)</v>
      </c>
      <c r="B171" s="12" t="str">
        <v>SPYAIR</v>
      </c>
      <c r="C171" s="12" t="str">
        <f t="shared" si="6"/>
        <v>SPYAIRサムライハート(Some Like It Hot!!)</v>
      </c>
      <c r="AA171" s="14" t="str">
        <f t="shared" si="7"/>
        <v>SPYAIR</v>
      </c>
      <c r="AB171" s="14" t="str">
        <f>_xlfn.XLOOKUP(AA171,M_ARTIST!A:A,M_ARTIST!B:B,"★★★",0,1)</f>
        <v>SPYAIR</v>
      </c>
      <c r="AC171" s="14" t="str">
        <f t="shared" si="8"/>
        <v>サムライハート(Some Like It Hot!!)</v>
      </c>
      <c r="AD171" s="19" t="str">
        <f>HYPERLINK(_xlfn.XLOOKUP(C171,M_YT_LIVE_TIMESTAMP!AA:AA,M_YT_LIVE_TIMESTAMP!Z:Z,"★",0,-1))</f>
        <v>https://www.youtube.com/live/cHLqE4AOOjI?si=heDnYTUAoUpLyQ_J&amp;t=1484s</v>
      </c>
    </row>
    <row r="172" spans="1:30" x14ac:dyDescent="0.4">
      <c r="A172" s="12" t="str">
        <v>Love&amp;Roll</v>
      </c>
      <c r="B172" s="12" t="str">
        <v>supercell</v>
      </c>
      <c r="C172" s="12" t="str">
        <f t="shared" si="6"/>
        <v>supercellLove&amp;Roll</v>
      </c>
      <c r="AA172" s="14" t="str">
        <f t="shared" si="7"/>
        <v>supercell</v>
      </c>
      <c r="AB172" s="14" t="str">
        <f>_xlfn.XLOOKUP(AA172,M_ARTIST!A:A,M_ARTIST!B:B,"★★★",0,1)</f>
        <v>supercell</v>
      </c>
      <c r="AC172" s="14" t="str">
        <f t="shared" si="8"/>
        <v>Love&amp;Roll</v>
      </c>
      <c r="AD172" s="19" t="str">
        <f>HYPERLINK(_xlfn.XLOOKUP(C172,M_YT_LIVE_TIMESTAMP!AA:AA,M_YT_LIVE_TIMESTAMP!Z:Z,"★",0,-1))</f>
        <v>https://www.youtube.com/live/FuJDk5I3Oyo?si=KP6eEuJrPYERUqMb&amp;t=3080s</v>
      </c>
    </row>
    <row r="173" spans="1:30" x14ac:dyDescent="0.4">
      <c r="A173" s="12" t="str">
        <v>My Dearest</v>
      </c>
      <c r="B173" s="12" t="str">
        <v>supercell</v>
      </c>
      <c r="C173" s="12" t="str">
        <f t="shared" si="6"/>
        <v>supercellMy Dearest</v>
      </c>
      <c r="AA173" s="14" t="str">
        <f t="shared" si="7"/>
        <v>supercell</v>
      </c>
      <c r="AB173" s="14" t="str">
        <f>_xlfn.XLOOKUP(AA173,M_ARTIST!A:A,M_ARTIST!B:B,"★★★",0,1)</f>
        <v>supercell</v>
      </c>
      <c r="AC173" s="14" t="str">
        <f t="shared" si="8"/>
        <v>My Dearest</v>
      </c>
      <c r="AD173" s="19" t="str">
        <f>HYPERLINK(_xlfn.XLOOKUP(C173,M_YT_LIVE_TIMESTAMP!AA:AA,M_YT_LIVE_TIMESTAMP!Z:Z,"★",0,-1))</f>
        <v>https://www.youtube.com/live/keSRwH4Zr7g?si=RPmDxNZjQB1dZWSK&amp;t=4353s</v>
      </c>
    </row>
    <row r="174" spans="1:30" x14ac:dyDescent="0.4">
      <c r="A174" s="12" t="str">
        <v>Perfect Day</v>
      </c>
      <c r="B174" s="12" t="str">
        <v>supercell</v>
      </c>
      <c r="C174" s="12" t="str">
        <f t="shared" si="6"/>
        <v>supercellPerfect Day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Perfect Day</v>
      </c>
      <c r="AD174" s="19" t="str">
        <f>HYPERLINK(_xlfn.XLOOKUP(C174,M_YT_LIVE_TIMESTAMP!AA:AA,M_YT_LIVE_TIMESTAMP!Z:Z,"★",0,-1))</f>
        <v>https://www.youtube.com/live/keSRwH4Zr7g?si=RPmDxNZjQB1dZWSK&amp;t=2455s</v>
      </c>
    </row>
    <row r="175" spans="1:30" x14ac:dyDescent="0.4">
      <c r="A175" s="12" t="str">
        <v>The Bravery</v>
      </c>
      <c r="B175" s="12" t="str">
        <v>supercell</v>
      </c>
      <c r="C175" s="12" t="str">
        <f t="shared" si="6"/>
        <v>supercellThe Bravery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The Bravery</v>
      </c>
      <c r="AD175" s="19" t="str">
        <f>HYPERLINK(_xlfn.XLOOKUP(C175,M_YT_LIVE_TIMESTAMP!AA:AA,M_YT_LIVE_TIMESTAMP!Z:Z,"★",0,-1))</f>
        <v>https://www.youtube.com/live/FuJDk5I3Oyo?si=KP6eEuJrPYERUqMb&amp;t=6386s</v>
      </c>
    </row>
    <row r="176" spans="1:30" x14ac:dyDescent="0.4">
      <c r="A176" s="12" t="str">
        <v>The Bravery(1chorus)</v>
      </c>
      <c r="B176" s="12" t="str">
        <v>supercell</v>
      </c>
      <c r="C176" s="12" t="str">
        <f t="shared" si="6"/>
        <v>supercellThe Bravery(1chorus)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The Bravery(1chorus)</v>
      </c>
      <c r="AD176" s="19" t="str">
        <f>HYPERLINK(_xlfn.XLOOKUP(C176,M_YT_LIVE_TIMESTAMP!AA:AA,M_YT_LIVE_TIMESTAMP!Z:Z,"★",0,-1))</f>
        <v>https://www.youtube.com/live/8yfLYQayxQg?si=O0Q0AXQXC39nd7WJ&amp;t=6257s</v>
      </c>
    </row>
    <row r="177" spans="1:30" x14ac:dyDescent="0.4">
      <c r="A177" s="12" t="str">
        <v>うたかた花火</v>
      </c>
      <c r="B177" s="12" t="str">
        <v>supercell</v>
      </c>
      <c r="C177" s="12" t="str">
        <f t="shared" si="6"/>
        <v>supercellうたかた花火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うたかた花火</v>
      </c>
      <c r="AD177" s="19" t="str">
        <f>HYPERLINK(_xlfn.XLOOKUP(C177,M_YT_LIVE_TIMESTAMP!AA:AA,M_YT_LIVE_TIMESTAMP!Z:Z,"★",0,-1))</f>
        <v>https://www.youtube.com/live/r7Bwk1jHwnc?si=YSwS6uQI_0X3Y91g&amp;t=1134s</v>
      </c>
    </row>
    <row r="178" spans="1:30" x14ac:dyDescent="0.4">
      <c r="A178" s="12" t="str">
        <v>さよならメモリーズ</v>
      </c>
      <c r="B178" s="12" t="str">
        <v>supercell</v>
      </c>
      <c r="C178" s="12" t="str">
        <f t="shared" si="6"/>
        <v>supercellさよならメモリーズ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さよならメモリーズ</v>
      </c>
      <c r="AD178" s="19" t="str">
        <f>HYPERLINK(_xlfn.XLOOKUP(C178,M_YT_LIVE_TIMESTAMP!AA:AA,M_YT_LIVE_TIMESTAMP!Z:Z,"★",0,-1))</f>
        <v>https://www.youtube.com/live/FuJDk5I3Oyo?si=KP6eEuJrPYERUqMb&amp;t=5165s</v>
      </c>
    </row>
    <row r="179" spans="1:30" x14ac:dyDescent="0.4">
      <c r="A179" s="12" t="str">
        <v>ヒーロー</v>
      </c>
      <c r="B179" s="12" t="str">
        <v>supercell</v>
      </c>
      <c r="C179" s="12" t="str">
        <f t="shared" si="6"/>
        <v>supercellヒーロー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ヒーロー</v>
      </c>
      <c r="AD179" s="19" t="str">
        <f>HYPERLINK(_xlfn.XLOOKUP(C179,M_YT_LIVE_TIMESTAMP!AA:AA,M_YT_LIVE_TIMESTAMP!Z:Z,"★",0,-1))</f>
        <v>https://www.youtube.com/live/Us_EP0LuOUI?si=QKfLbi9NsZLi9sIi&amp;t=5449s</v>
      </c>
    </row>
    <row r="180" spans="1:30" x14ac:dyDescent="0.4">
      <c r="A180" s="12" t="str">
        <v>ヒーロー(1chorus)</v>
      </c>
      <c r="B180" s="12" t="str">
        <v>supercell</v>
      </c>
      <c r="C180" s="12" t="str">
        <f t="shared" si="6"/>
        <v>supercellヒーロー(1chorus)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ヒーロー(1chorus)</v>
      </c>
      <c r="AD180" s="19" t="str">
        <f>HYPERLINK(_xlfn.XLOOKUP(C180,M_YT_LIVE_TIMESTAMP!AA:AA,M_YT_LIVE_TIMESTAMP!Z:Z,"★",0,-1))</f>
        <v>https://www.youtube.com/live/8yfLYQayxQg?si=O0Q0AXQXC39nd7WJ&amp;t=6036s</v>
      </c>
    </row>
    <row r="181" spans="1:30" x14ac:dyDescent="0.4">
      <c r="A181" s="12" t="str">
        <v>リルモア</v>
      </c>
      <c r="B181" s="12" t="str">
        <v>supercell</v>
      </c>
      <c r="C181" s="12" t="str">
        <f t="shared" si="6"/>
        <v>supercellリルモア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リルモア</v>
      </c>
      <c r="AD181" s="19" t="str">
        <f>HYPERLINK(_xlfn.XLOOKUP(C181,M_YT_LIVE_TIMESTAMP!AA:AA,M_YT_LIVE_TIMESTAMP!Z:Z,"★",0,-1))</f>
        <v>https://www.youtube.com/live/keSRwH4Zr7g?si=RPmDxNZjQB1dZWSK&amp;t=1990s</v>
      </c>
    </row>
    <row r="182" spans="1:30" x14ac:dyDescent="0.4">
      <c r="A182" s="12" t="str">
        <v>銀色飛行船</v>
      </c>
      <c r="B182" s="12" t="str">
        <v>supercell</v>
      </c>
      <c r="C182" s="12" t="str">
        <f t="shared" si="6"/>
        <v>supercell銀色飛行船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銀色飛行船</v>
      </c>
      <c r="AD182" s="19" t="str">
        <f>HYPERLINK(_xlfn.XLOOKUP(C182,M_YT_LIVE_TIMESTAMP!AA:AA,M_YT_LIVE_TIMESTAMP!Z:Z,"★",0,-1))</f>
        <v>https://www.youtube.com/live/r7Bwk1jHwnc?si=YSwS6uQI_0X3Y91g&amp;t=2367s</v>
      </c>
    </row>
    <row r="183" spans="1:30" x14ac:dyDescent="0.4">
      <c r="A183" s="12" t="str">
        <v>君の知らない物語</v>
      </c>
      <c r="B183" s="12" t="str">
        <v>supercell</v>
      </c>
      <c r="C183" s="12" t="str">
        <f t="shared" si="6"/>
        <v>supercell君の知らない物語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君の知らない物語</v>
      </c>
      <c r="AD183" s="19" t="str">
        <f>HYPERLINK(_xlfn.XLOOKUP(C183,M_YT_LIVE_TIMESTAMP!AA:AA,M_YT_LIVE_TIMESTAMP!Z:Z,"★",0,-1))</f>
        <v>https://www.youtube.com/live/r7Bwk1jHwnc?si=YSwS6uQI_0X3Y91g&amp;t=1861s</v>
      </c>
    </row>
    <row r="184" spans="1:30" x14ac:dyDescent="0.4">
      <c r="A184" s="12" t="str">
        <v>星が瞬くこんな夜に</v>
      </c>
      <c r="B184" s="12" t="str">
        <v>supercell</v>
      </c>
      <c r="C184" s="12" t="str">
        <f t="shared" si="6"/>
        <v>supercell星が瞬くこんな夜に</v>
      </c>
      <c r="AA184" s="14" t="str">
        <f t="shared" si="7"/>
        <v>supercell</v>
      </c>
      <c r="AB184" s="14" t="str">
        <f>_xlfn.XLOOKUP(AA184,M_ARTIST!A:A,M_ARTIST!B:B,"★★★",0,1)</f>
        <v>supercell</v>
      </c>
      <c r="AC184" s="14" t="str">
        <f t="shared" si="8"/>
        <v>星が瞬くこんな夜に</v>
      </c>
      <c r="AD184" s="19" t="str">
        <f>HYPERLINK(_xlfn.XLOOKUP(C184,M_YT_LIVE_TIMESTAMP!AA:AA,M_YT_LIVE_TIMESTAMP!Z:Z,"★",0,-1))</f>
        <v>https://www.youtube.com/live/nyXzxG79mwQ?si=kGuFyOuc0o-yNPOU&amp;t=11118s</v>
      </c>
    </row>
    <row r="185" spans="1:30" x14ac:dyDescent="0.4">
      <c r="A185" s="12" t="str">
        <v>愛をこめて花束を</v>
      </c>
      <c r="B185" s="12" t="str">
        <v>Superfly</v>
      </c>
      <c r="C185" s="12" t="str">
        <f t="shared" si="6"/>
        <v>Superfly愛をこめて花束を</v>
      </c>
      <c r="AA185" s="14" t="str">
        <f t="shared" si="7"/>
        <v>Superfly</v>
      </c>
      <c r="AB185" s="14" t="str">
        <f>_xlfn.XLOOKUP(AA185,M_ARTIST!A:A,M_ARTIST!B:B,"★★★",0,1)</f>
        <v>Superfly</v>
      </c>
      <c r="AC185" s="14" t="str">
        <f t="shared" si="8"/>
        <v>愛をこめて花束を</v>
      </c>
      <c r="AD185" s="19" t="str">
        <f>HYPERLINK(_xlfn.XLOOKUP(C185,M_YT_LIVE_TIMESTAMP!AA:AA,M_YT_LIVE_TIMESTAMP!Z:Z,"★",0,-1))</f>
        <v>https://www.youtube.com/live/DX8misWhJuA?si=x9BqkZPlvHen5SCl&amp;t=6075s</v>
      </c>
    </row>
    <row r="186" spans="1:30" x14ac:dyDescent="0.4">
      <c r="A186" s="12" t="str">
        <v>雪解け</v>
      </c>
      <c r="B186" s="12" t="str">
        <v>tayori</v>
      </c>
      <c r="C186" s="12" t="str">
        <f t="shared" si="6"/>
        <v>tayori雪解け</v>
      </c>
      <c r="AA186" s="14" t="str">
        <f t="shared" si="7"/>
        <v>tayori</v>
      </c>
      <c r="AB186" s="14" t="str">
        <f>_xlfn.XLOOKUP(AA186,M_ARTIST!A:A,M_ARTIST!B:B,"★★★",0,1)</f>
        <v>★★★</v>
      </c>
      <c r="AC186" s="14" t="str">
        <f t="shared" si="8"/>
        <v>雪解け</v>
      </c>
      <c r="AD186" s="19" t="str">
        <f>HYPERLINK(_xlfn.XLOOKUP(C186,M_YT_LIVE_TIMESTAMP!AA:AA,M_YT_LIVE_TIMESTAMP!Z:Z,"★",0,-1))</f>
        <v>https://www.youtube.com/live/FGNU1iQLiNM?si=B75Oqj0tjRBiyl5j&amp;t=4217s</v>
      </c>
    </row>
    <row r="187" spans="1:30" x14ac:dyDescent="0.4">
      <c r="A187" s="12" t="str">
        <v>狂乱 Hey Kids!!</v>
      </c>
      <c r="B187" s="12" t="str">
        <v>THE ORAL CIGARETTES</v>
      </c>
      <c r="C187" s="12" t="str">
        <f t="shared" si="6"/>
        <v>THE ORAL CIGARETTES狂乱 Hey Kids!!</v>
      </c>
      <c r="AA187" s="14" t="str">
        <f t="shared" si="7"/>
        <v>THE ORAL CIGARETTES</v>
      </c>
      <c r="AB187" s="14" t="str">
        <f>_xlfn.XLOOKUP(AA187,M_ARTIST!A:A,M_ARTIST!B:B,"★★★",0,1)</f>
        <v>THE ORAL CIGARETTES</v>
      </c>
      <c r="AC187" s="14" t="str">
        <f t="shared" si="8"/>
        <v>狂乱 Hey Kids!!</v>
      </c>
      <c r="AD187" s="19" t="str">
        <f>HYPERLINK(_xlfn.XLOOKUP(C187,M_YT_LIVE_TIMESTAMP!AA:AA,M_YT_LIVE_TIMESTAMP!Z:Z,"★",0,-1))</f>
        <v>https://www.youtube.com/live/rowkHJneOgY?si=dzvDO_qNHD4fLHMQ&amp;t=6740s</v>
      </c>
    </row>
    <row r="188" spans="1:30" x14ac:dyDescent="0.4">
      <c r="A188" s="12" t="str">
        <v>君のせい</v>
      </c>
      <c r="B188" s="12" t="str">
        <v>the peggies</v>
      </c>
      <c r="C188" s="12" t="str">
        <f t="shared" si="6"/>
        <v>the peggies君のせい</v>
      </c>
      <c r="AA188" s="14" t="str">
        <f t="shared" si="7"/>
        <v>the peggies</v>
      </c>
      <c r="AB188" s="14" t="str">
        <f>_xlfn.XLOOKUP(AA188,M_ARTIST!A:A,M_ARTIST!B:B,"★★★",0,1)</f>
        <v>the peggies</v>
      </c>
      <c r="AC188" s="14" t="str">
        <f t="shared" si="8"/>
        <v>君のせい</v>
      </c>
      <c r="AD188" s="19" t="str">
        <f>HYPERLINK(_xlfn.XLOOKUP(C188,M_YT_LIVE_TIMESTAMP!AA:AA,M_YT_LIVE_TIMESTAMP!Z:Z,"★",0,-1))</f>
        <v>https://www.youtube.com/live/bXG5ottJZas?si=VsjzjU8RreUrJGd3&amp;t=1600s</v>
      </c>
    </row>
    <row r="189" spans="1:30" x14ac:dyDescent="0.4">
      <c r="A189" s="12" t="str">
        <v>unravel</v>
      </c>
      <c r="B189" s="12" t="str">
        <v>TK from 凛</v>
      </c>
      <c r="C189" s="12" t="str">
        <f t="shared" si="6"/>
        <v>TK from 凛unravel</v>
      </c>
      <c r="AA189" s="14" t="str">
        <f t="shared" si="7"/>
        <v>TK from 凛</v>
      </c>
      <c r="AB189" s="14" t="str">
        <f>_xlfn.XLOOKUP(AA189,M_ARTIST!A:A,M_ARTIST!B:B,"★★★",0,1)</f>
        <v>TK from りんとしてしぐれ</v>
      </c>
      <c r="AC189" s="14" t="str">
        <f t="shared" si="8"/>
        <v>unravel</v>
      </c>
      <c r="AD189" s="19" t="str">
        <f>HYPERLINK(_xlfn.XLOOKUP(C189,M_YT_LIVE_TIMESTAMP!AA:AA,M_YT_LIVE_TIMESTAMP!Z:Z,"★",0,-1))</f>
        <v>https://www.youtube.com/live/rjOy6A4c68o?si=Q07K-470tlYbzNHk&amp;t=8114s</v>
      </c>
    </row>
    <row r="190" spans="1:30" x14ac:dyDescent="0.4">
      <c r="A190" s="12" t="str">
        <v>夜もすがら君想ふ</v>
      </c>
      <c r="B190" s="12" t="str">
        <v>TOKOTOKO feat.GUMI</v>
      </c>
      <c r="C190" s="12" t="str">
        <f t="shared" si="6"/>
        <v>TOKOTOKO feat.GUMI夜もすがら君想ふ</v>
      </c>
      <c r="AA190" s="14" t="str">
        <f t="shared" si="7"/>
        <v>TOKOTOKO feat.GUMI</v>
      </c>
      <c r="AB190" s="14" t="str">
        <f>_xlfn.XLOOKUP(AA190,M_ARTIST!A:A,M_ARTIST!B:B,"★★★",0,1)</f>
        <v>TOKOTOKO feat.GUMI</v>
      </c>
      <c r="AC190" s="14" t="str">
        <f t="shared" si="8"/>
        <v>夜もすがら君想ふ</v>
      </c>
      <c r="AD190" s="19" t="str">
        <f>HYPERLINK(_xlfn.XLOOKUP(C190,M_YT_LIVE_TIMESTAMP!AA:AA,M_YT_LIVE_TIMESTAMP!Z:Z,"★",0,-1))</f>
        <v>https://www.youtube.com/live/nyXzxG79mwQ?si=kGuFyOuc0o-yNPOU&amp;t=288s</v>
      </c>
    </row>
    <row r="191" spans="1:30" x14ac:dyDescent="0.4">
      <c r="A191" s="12" t="str">
        <v>innocent promise</v>
      </c>
      <c r="B191" s="12" t="str">
        <v>TRUSTRICK</v>
      </c>
      <c r="C191" s="12" t="str">
        <f t="shared" si="6"/>
        <v>TRUSTRICKinnocent promise</v>
      </c>
      <c r="AA191" s="14" t="str">
        <f t="shared" si="7"/>
        <v>TRUSTRICK</v>
      </c>
      <c r="AB191" s="14" t="str">
        <f>_xlfn.XLOOKUP(AA191,M_ARTIST!A:A,M_ARTIST!B:B,"★★★",0,1)</f>
        <v>TRUSTRICK</v>
      </c>
      <c r="AC191" s="14" t="str">
        <f t="shared" si="8"/>
        <v>innocent promise</v>
      </c>
      <c r="AD191" s="19" t="str">
        <f>HYPERLINK(_xlfn.XLOOKUP(C191,M_YT_LIVE_TIMESTAMP!AA:AA,M_YT_LIVE_TIMESTAMP!Z:Z,"★",0,-1))</f>
        <v>https://www.youtube.com/live/JAK2m4FWxF0?si=Xy-B8lpcz7dX_b5n&amp;t=4990s</v>
      </c>
    </row>
    <row r="192" spans="1:30" x14ac:dyDescent="0.4">
      <c r="A192" s="12" t="str">
        <v>晩餐歌</v>
      </c>
      <c r="B192" s="12" t="str">
        <v>tuki.</v>
      </c>
      <c r="C192" s="12" t="str">
        <f t="shared" si="6"/>
        <v>tuki.晩餐歌</v>
      </c>
      <c r="AA192" s="14" t="str">
        <f t="shared" si="7"/>
        <v>tuki.</v>
      </c>
      <c r="AB192" s="14" t="str">
        <f>_xlfn.XLOOKUP(AA192,M_ARTIST!A:A,M_ARTIST!B:B,"★★★",0,1)</f>
        <v>tuki.</v>
      </c>
      <c r="AC192" s="14" t="str">
        <f t="shared" si="8"/>
        <v>晩餐歌</v>
      </c>
      <c r="AD192" s="19" t="str">
        <f>HYPERLINK(_xlfn.XLOOKUP(C192,M_YT_LIVE_TIMESTAMP!AA:AA,M_YT_LIVE_TIMESTAMP!Z:Z,"★",0,-1))</f>
        <v>https://www.youtube.com/live/T2z_BAhLZz0?si=FZhoxASjxucX4Rxr&amp;t=272s</v>
      </c>
    </row>
    <row r="193" spans="1:30" x14ac:dyDescent="0.4">
      <c r="A193" s="12" t="str">
        <v>シュガーソングとビターステップ</v>
      </c>
      <c r="B193" s="12" t="str">
        <v>UNISON SQUARE GARDEN</v>
      </c>
      <c r="C193" s="12" t="str">
        <f t="shared" si="6"/>
        <v>UNISON SQUARE GARDENシュガーソングとビターステップ</v>
      </c>
      <c r="AA193" s="14" t="str">
        <f t="shared" si="7"/>
        <v>UNISON SQUARE GARDEN</v>
      </c>
      <c r="AB193" s="14" t="str">
        <f>_xlfn.XLOOKUP(AA193,M_ARTIST!A:A,M_ARTIST!B:B,"★★★",0,1)</f>
        <v>UNISON SQUARE GARDEN</v>
      </c>
      <c r="AC193" s="14" t="str">
        <f t="shared" si="8"/>
        <v>シュガーソングとビターステップ</v>
      </c>
      <c r="AD193" s="19" t="str">
        <f>HYPERLINK(_xlfn.XLOOKUP(C193,M_YT_LIVE_TIMESTAMP!AA:AA,M_YT_LIVE_TIMESTAMP!Z:Z,"★",0,-1))</f>
        <v>https://www.youtube.com/live/nyXzxG79mwQ?si=kGuFyOuc0o-yNPOU&amp;t=15053s</v>
      </c>
    </row>
    <row r="194" spans="1:30" x14ac:dyDescent="0.4">
      <c r="A194" s="12" t="str">
        <v>napori</v>
      </c>
      <c r="B194" s="12" t="str">
        <v>Vaundy</v>
      </c>
      <c r="C194" s="12" t="str">
        <f t="shared" si="6"/>
        <v>Vaundynapori</v>
      </c>
      <c r="AA194" s="14" t="str">
        <f t="shared" si="7"/>
        <v>Vaundy</v>
      </c>
      <c r="AB194" s="14" t="str">
        <f>_xlfn.XLOOKUP(AA194,M_ARTIST!A:A,M_ARTIST!B:B,"★★★",0,1)</f>
        <v>Vaundy</v>
      </c>
      <c r="AC194" s="14" t="str">
        <f t="shared" si="8"/>
        <v>napori</v>
      </c>
      <c r="AD194" s="19" t="str">
        <f>HYPERLINK(_xlfn.XLOOKUP(C194,M_YT_LIVE_TIMESTAMP!AA:AA,M_YT_LIVE_TIMESTAMP!Z:Z,"★",0,-1))</f>
        <v>https://www.youtube.com/live/7AO0pzyJtLE?si=5iKHGNjfGH8OxSY8&amp;t=394s</v>
      </c>
    </row>
    <row r="195" spans="1:30" x14ac:dyDescent="0.4">
      <c r="A195" s="12" t="str">
        <v>花占い</v>
      </c>
      <c r="B195" s="12" t="str">
        <v>Vaundy</v>
      </c>
      <c r="C195" s="12" t="str">
        <f t="shared" ref="C195:C258" si="9">TRIM(B195)&amp;TRIM(A195)</f>
        <v>Vaundy花占い</v>
      </c>
      <c r="AA195" s="14" t="str">
        <f t="shared" ref="AA195:AA258" si="10">B195</f>
        <v>Vaundy</v>
      </c>
      <c r="AB195" s="14" t="str">
        <f>_xlfn.XLOOKUP(AA195,M_ARTIST!A:A,M_ARTIST!B:B,"★★★",0,1)</f>
        <v>Vaundy</v>
      </c>
      <c r="AC195" s="14" t="str">
        <f t="shared" ref="AC195:AC258" si="11">A195</f>
        <v>花占い</v>
      </c>
      <c r="AD195" s="19" t="str">
        <f>HYPERLINK(_xlfn.XLOOKUP(C195,M_YT_LIVE_TIMESTAMP!AA:AA,M_YT_LIVE_TIMESTAMP!Z:Z,"★",0,-1))</f>
        <v>https://www.youtube.com/live/hkpPXWM6LDY?si=pgl-HW7-u6yZjLAi&amp;t=4108s</v>
      </c>
    </row>
    <row r="196" spans="1:30" x14ac:dyDescent="0.4">
      <c r="A196" s="12" t="str">
        <v>怪獣の花唄</v>
      </c>
      <c r="B196" s="12" t="str">
        <v>Vaundy</v>
      </c>
      <c r="C196" s="12" t="str">
        <f t="shared" si="9"/>
        <v>Vaundy怪獣の花唄</v>
      </c>
      <c r="AA196" s="14" t="str">
        <f t="shared" si="10"/>
        <v>Vaundy</v>
      </c>
      <c r="AB196" s="14" t="str">
        <f>_xlfn.XLOOKUP(AA196,M_ARTIST!A:A,M_ARTIST!B:B,"★★★",0,1)</f>
        <v>Vaundy</v>
      </c>
      <c r="AC196" s="14" t="str">
        <f t="shared" si="11"/>
        <v>怪獣の花唄</v>
      </c>
      <c r="AD196" s="19" t="str">
        <f>HYPERLINK(_xlfn.XLOOKUP(C196,M_YT_LIVE_TIMESTAMP!AA:AA,M_YT_LIVE_TIMESTAMP!Z:Z,"★",0,-1))</f>
        <v>https://www.youtube.com/live/NkjXzUMUZpw?si=EmGBj6Hh6tIlwjGQ&amp;t=4131s</v>
      </c>
    </row>
    <row r="197" spans="1:30" x14ac:dyDescent="0.4">
      <c r="A197" s="12" t="str">
        <v>置き手紙</v>
      </c>
      <c r="B197" s="12" t="str">
        <v>Vaundy</v>
      </c>
      <c r="C197" s="12" t="str">
        <f t="shared" si="9"/>
        <v>Vaundy置き手紙</v>
      </c>
      <c r="AA197" s="14" t="str">
        <f t="shared" si="10"/>
        <v>Vaundy</v>
      </c>
      <c r="AB197" s="14" t="str">
        <f>_xlfn.XLOOKUP(AA197,M_ARTIST!A:A,M_ARTIST!B:B,"★★★",0,1)</f>
        <v>Vaundy</v>
      </c>
      <c r="AC197" s="14" t="str">
        <f t="shared" si="11"/>
        <v>置き手紙</v>
      </c>
      <c r="AD197" s="19" t="str">
        <f>HYPERLINK(_xlfn.XLOOKUP(C197,M_YT_LIVE_TIMESTAMP!AA:AA,M_YT_LIVE_TIMESTAMP!Z:Z,"★",0,-1))</f>
        <v>https://www.youtube.com/live/BjWSIm9kSZs?si=1oMuQyZMLWArIABK&amp;t=1290s</v>
      </c>
    </row>
    <row r="198" spans="1:30" x14ac:dyDescent="0.4">
      <c r="A198" s="12" t="str">
        <v>東京フラッシュ</v>
      </c>
      <c r="B198" s="12" t="str">
        <v>Vaundy</v>
      </c>
      <c r="C198" s="12" t="str">
        <f t="shared" si="9"/>
        <v>Vaundy東京フラッシュ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東京フラッシュ</v>
      </c>
      <c r="AD198" s="19" t="str">
        <f>HYPERLINK(_xlfn.XLOOKUP(C198,M_YT_LIVE_TIMESTAMP!AA:AA,M_YT_LIVE_TIMESTAMP!Z:Z,"★",0,-1))</f>
        <v>https://www.youtube.com/live/5-PHEYq6a-Y?si=i1qN4inKhZc0prZ-&amp;t=3802s</v>
      </c>
    </row>
    <row r="199" spans="1:30" x14ac:dyDescent="0.4">
      <c r="A199" s="12" t="str">
        <v>灯火</v>
      </c>
      <c r="B199" s="12" t="str">
        <v>Vaundy</v>
      </c>
      <c r="C199" s="12" t="str">
        <f t="shared" si="9"/>
        <v>Vaundy灯火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灯火</v>
      </c>
      <c r="AD199" s="19" t="str">
        <f>HYPERLINK(_xlfn.XLOOKUP(C199,M_YT_LIVE_TIMESTAMP!AA:AA,M_YT_LIVE_TIMESTAMP!Z:Z,"★",0,-1))</f>
        <v>https://www.youtube.com/live/keSRwH4Zr7g?si=RPmDxNZjQB1dZWSK&amp;t=3260s</v>
      </c>
    </row>
    <row r="200" spans="1:30" x14ac:dyDescent="0.4">
      <c r="A200" s="12" t="str">
        <v>不可幸力</v>
      </c>
      <c r="B200" s="12" t="str">
        <v>Vaundy</v>
      </c>
      <c r="C200" s="12" t="str">
        <f t="shared" si="9"/>
        <v>Vaundy不可幸力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不可幸力</v>
      </c>
      <c r="AD200" s="19" t="str">
        <f>HYPERLINK(_xlfn.XLOOKUP(C200,M_YT_LIVE_TIMESTAMP!AA:AA,M_YT_LIVE_TIMESTAMP!Z:Z,"★",0,-1))</f>
        <v>https://www.youtube.com/live/nyXzxG79mwQ?si=kGuFyOuc0o-yNPOU&amp;t=6589s</v>
      </c>
    </row>
    <row r="201" spans="1:30" x14ac:dyDescent="0.4">
      <c r="A201" s="12" t="str">
        <v>踊り子</v>
      </c>
      <c r="B201" s="12" t="str">
        <v>Vaundy</v>
      </c>
      <c r="C201" s="12" t="str">
        <f t="shared" si="9"/>
        <v>Vaundy踊り子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踊り子</v>
      </c>
      <c r="AD201" s="19" t="str">
        <f>HYPERLINK(_xlfn.XLOOKUP(C201,M_YT_LIVE_TIMESTAMP!AA:AA,M_YT_LIVE_TIMESTAMP!Z:Z,"★",0,-1))</f>
        <v>https://www.youtube.com/live/w3oM0fDmwz4?si=VVO-ga6uipBLMrpR&amp;t=851s</v>
      </c>
    </row>
    <row r="202" spans="1:30" x14ac:dyDescent="0.4">
      <c r="A202" s="12" t="str">
        <v>恋風邪に乗せて</v>
      </c>
      <c r="B202" s="12" t="str">
        <v>Vaundy</v>
      </c>
      <c r="C202" s="12" t="str">
        <f t="shared" si="9"/>
        <v>Vaundy恋風邪に乗せて</v>
      </c>
      <c r="AA202" s="14" t="str">
        <f t="shared" si="10"/>
        <v>Vaundy</v>
      </c>
      <c r="AB202" s="14" t="str">
        <f>_xlfn.XLOOKUP(AA202,M_ARTIST!A:A,M_ARTIST!B:B,"★★★",0,1)</f>
        <v>Vaundy</v>
      </c>
      <c r="AC202" s="14" t="str">
        <f t="shared" si="11"/>
        <v>恋風邪に乗せて</v>
      </c>
      <c r="AD202" s="19" t="str">
        <f>HYPERLINK(_xlfn.XLOOKUP(C202,M_YT_LIVE_TIMESTAMP!AA:AA,M_YT_LIVE_TIMESTAMP!Z:Z,"★",0,-1))</f>
        <v>https://www.youtube.com/live/7AO0pzyJtLE?si=5iKHGNjfGH8OxSY8&amp;t=1584s</v>
      </c>
    </row>
    <row r="203" spans="1:30" x14ac:dyDescent="0.4">
      <c r="A203" s="12" t="str">
        <v>春を告げる</v>
      </c>
      <c r="B203" s="12" t="str">
        <v>yama</v>
      </c>
      <c r="C203" s="12" t="str">
        <f t="shared" si="9"/>
        <v>yama春を告げる</v>
      </c>
      <c r="AA203" s="14" t="str">
        <f t="shared" si="10"/>
        <v>yama</v>
      </c>
      <c r="AB203" s="14" t="str">
        <f>_xlfn.XLOOKUP(AA203,M_ARTIST!A:A,M_ARTIST!B:B,"★★★",0,1)</f>
        <v>yama</v>
      </c>
      <c r="AC203" s="14" t="str">
        <f t="shared" si="11"/>
        <v>春を告げる</v>
      </c>
      <c r="AD203" s="19" t="str">
        <f>HYPERLINK(_xlfn.XLOOKUP(C203,M_YT_LIVE_TIMESTAMP!AA:AA,M_YT_LIVE_TIMESTAMP!Z:Z,"★",0,-1))</f>
        <v>https://www.youtube.com/live/nyXzxG79mwQ?si=kGuFyOuc0o-yNPOU&amp;t=8729s</v>
      </c>
    </row>
    <row r="204" spans="1:30" x14ac:dyDescent="0.4">
      <c r="A204" s="12" t="str">
        <v>アイドル</v>
      </c>
      <c r="B204" s="12" t="str">
        <v>YOASOBI</v>
      </c>
      <c r="C204" s="12" t="str">
        <f t="shared" si="9"/>
        <v>YOASOBIアイドル</v>
      </c>
      <c r="AA204" s="14" t="str">
        <f t="shared" si="10"/>
        <v>YOASOBI</v>
      </c>
      <c r="AB204" s="14" t="str">
        <f>_xlfn.XLOOKUP(AA204,M_ARTIST!A:A,M_ARTIST!B:B,"★★★",0,1)</f>
        <v>YOASOBI</v>
      </c>
      <c r="AC204" s="14" t="str">
        <f t="shared" si="11"/>
        <v>アイドル</v>
      </c>
      <c r="AD204" s="19" t="str">
        <f>HYPERLINK(_xlfn.XLOOKUP(C204,M_YT_LIVE_TIMESTAMP!AA:AA,M_YT_LIVE_TIMESTAMP!Z:Z,"★",0,-1))</f>
        <v>https://www.youtube.com/live/nyXzxG79mwQ?si=kGuFyOuc0o-yNPOU&amp;t=2966s</v>
      </c>
    </row>
    <row r="205" spans="1:30" x14ac:dyDescent="0.4">
      <c r="A205" s="12" t="str">
        <v>あの夢をなぞって</v>
      </c>
      <c r="B205" s="12" t="str">
        <v>YOASOBI</v>
      </c>
      <c r="C205" s="12" t="str">
        <f t="shared" si="9"/>
        <v>YOASOBIあの夢をなぞって</v>
      </c>
      <c r="AA205" s="14" t="str">
        <f t="shared" si="10"/>
        <v>YOASOBI</v>
      </c>
      <c r="AB205" s="14" t="str">
        <f>_xlfn.XLOOKUP(AA205,M_ARTIST!A:A,M_ARTIST!B:B,"★★★",0,1)</f>
        <v>YOASOBI</v>
      </c>
      <c r="AC205" s="14" t="str">
        <f t="shared" si="11"/>
        <v>あの夢をなぞって</v>
      </c>
      <c r="AD205" s="19" t="str">
        <f>HYPERLINK(_xlfn.XLOOKUP(C205,M_YT_LIVE_TIMESTAMP!AA:AA,M_YT_LIVE_TIMESTAMP!Z:Z,"★",0,-1))</f>
        <v>https://www.youtube.com/live/OEtLBen9pLM?si=M4WDMSGkkHfWLvDr&amp;t=1859s</v>
      </c>
    </row>
    <row r="206" spans="1:30" x14ac:dyDescent="0.4">
      <c r="A206" s="12" t="str">
        <v>アンコール</v>
      </c>
      <c r="B206" s="12" t="str">
        <v>YOASOBI</v>
      </c>
      <c r="C206" s="12" t="str">
        <f t="shared" si="9"/>
        <v>YOASOBIアンコール</v>
      </c>
      <c r="AA206" s="14" t="str">
        <f t="shared" si="10"/>
        <v>YOASOBI</v>
      </c>
      <c r="AB206" s="14" t="str">
        <f>_xlfn.XLOOKUP(AA206,M_ARTIST!A:A,M_ARTIST!B:B,"★★★",0,1)</f>
        <v>YOASOBI</v>
      </c>
      <c r="AC206" s="14" t="str">
        <f t="shared" si="11"/>
        <v>アンコール</v>
      </c>
      <c r="AD206" s="19" t="str">
        <f>HYPERLINK(_xlfn.XLOOKUP(C206,M_YT_LIVE_TIMESTAMP!AA:AA,M_YT_LIVE_TIMESTAMP!Z:Z,"★",0,-1))</f>
        <v>https://www.youtube.com/live/FGNU1iQLiNM?si=B75Oqj0tjRBiyl5j&amp;t=3321s</v>
      </c>
    </row>
    <row r="207" spans="1:30" x14ac:dyDescent="0.4">
      <c r="A207" s="12" t="str">
        <v>ハルジオン</v>
      </c>
      <c r="B207" s="12" t="str">
        <v>YOASOBI</v>
      </c>
      <c r="C207" s="12" t="str">
        <f t="shared" si="9"/>
        <v>YOASOBIハルジオン</v>
      </c>
      <c r="AA207" s="14" t="str">
        <f t="shared" si="10"/>
        <v>YOASOBI</v>
      </c>
      <c r="AB207" s="14" t="str">
        <f>_xlfn.XLOOKUP(AA207,M_ARTIST!A:A,M_ARTIST!B:B,"★★★",0,1)</f>
        <v>YOASOBI</v>
      </c>
      <c r="AC207" s="14" t="str">
        <f t="shared" si="11"/>
        <v>ハルジオン</v>
      </c>
      <c r="AD207" s="19" t="str">
        <f>HYPERLINK(_xlfn.XLOOKUP(C207,M_YT_LIVE_TIMESTAMP!AA:AA,M_YT_LIVE_TIMESTAMP!Z:Z,"★",0,-1))</f>
        <v>https://www.youtube.com/live/OYaf_O-6WRs?si=20Zo4VVa8PxJbw_X&amp;t=1918s</v>
      </c>
    </row>
    <row r="208" spans="1:30" x14ac:dyDescent="0.4">
      <c r="A208" s="12" t="str">
        <v>群青</v>
      </c>
      <c r="B208" s="12" t="str">
        <v>YOASOBI</v>
      </c>
      <c r="C208" s="12" t="str">
        <f t="shared" si="9"/>
        <v>YOASOBI群青</v>
      </c>
      <c r="AA208" s="14" t="str">
        <f t="shared" si="10"/>
        <v>YOASOBI</v>
      </c>
      <c r="AB208" s="14" t="str">
        <f>_xlfn.XLOOKUP(AA208,M_ARTIST!A:A,M_ARTIST!B:B,"★★★",0,1)</f>
        <v>YOASOBI</v>
      </c>
      <c r="AC208" s="14" t="str">
        <f t="shared" si="11"/>
        <v>群青</v>
      </c>
      <c r="AD208" s="19" t="str">
        <f>HYPERLINK(_xlfn.XLOOKUP(C208,M_YT_LIVE_TIMESTAMP!AA:AA,M_YT_LIVE_TIMESTAMP!Z:Z,"★",0,-1))</f>
        <v>https://www.youtube.com/live/lQQh4G5up3Y?si=U2BJIBIs-2OZdL6R&amp;t=2686s</v>
      </c>
    </row>
    <row r="209" spans="1:30" x14ac:dyDescent="0.4">
      <c r="A209" s="12" t="str">
        <v>夜に駆ける</v>
      </c>
      <c r="B209" s="12" t="str">
        <v>YOASOBI</v>
      </c>
      <c r="C209" s="12" t="str">
        <f t="shared" si="9"/>
        <v>YOASOBI夜に駆ける</v>
      </c>
      <c r="AA209" s="14" t="str">
        <f t="shared" si="10"/>
        <v>YOASOBI</v>
      </c>
      <c r="AB209" s="14" t="str">
        <f>_xlfn.XLOOKUP(AA209,M_ARTIST!A:A,M_ARTIST!B:B,"★★★",0,1)</f>
        <v>YOASOBI</v>
      </c>
      <c r="AC209" s="14" t="str">
        <f t="shared" si="11"/>
        <v>夜に駆ける</v>
      </c>
      <c r="AD209" s="19" t="str">
        <f>HYPERLINK(_xlfn.XLOOKUP(C209,M_YT_LIVE_TIMESTAMP!AA:AA,M_YT_LIVE_TIMESTAMP!Z:Z,"★",0,-1))</f>
        <v>https://www.youtube.com/live/nyXzxG79mwQ?si=kGuFyOuc0o-yNPOU&amp;t=15713s</v>
      </c>
    </row>
    <row r="210" spans="1:30" x14ac:dyDescent="0.4">
      <c r="A210" s="12" t="str">
        <v>優しい彗星</v>
      </c>
      <c r="B210" s="12" t="str">
        <v>YOASOBI</v>
      </c>
      <c r="C210" s="12" t="str">
        <f t="shared" si="9"/>
        <v>YOASOBI優しい彗星</v>
      </c>
      <c r="AA210" s="14" t="str">
        <f t="shared" si="10"/>
        <v>YOASOBI</v>
      </c>
      <c r="AB210" s="14" t="str">
        <f>_xlfn.XLOOKUP(AA210,M_ARTIST!A:A,M_ARTIST!B:B,"★★★",0,1)</f>
        <v>YOASOBI</v>
      </c>
      <c r="AC210" s="14" t="str">
        <f t="shared" si="11"/>
        <v>優しい彗星</v>
      </c>
      <c r="AD210" s="19" t="str">
        <f>HYPERLINK(_xlfn.XLOOKUP(C210,M_YT_LIVE_TIMESTAMP!AA:AA,M_YT_LIVE_TIMESTAMP!Z:Z,"★",0,-1))</f>
        <v>https://www.youtube.com/live/OYaf_O-6WRs?si=20Zo4VVa8PxJbw_X&amp;t=2258s</v>
      </c>
    </row>
    <row r="211" spans="1:30" x14ac:dyDescent="0.4">
      <c r="A211" s="12" t="str">
        <v>again</v>
      </c>
      <c r="B211" s="12" t="str">
        <v>YUI</v>
      </c>
      <c r="C211" s="12" t="str">
        <f t="shared" si="9"/>
        <v>YUIagain</v>
      </c>
      <c r="AA211" s="14" t="str">
        <f t="shared" si="10"/>
        <v>YUI</v>
      </c>
      <c r="AB211" s="14" t="str">
        <f>_xlfn.XLOOKUP(AA211,M_ARTIST!A:A,M_ARTIST!B:B,"★★★",0,1)</f>
        <v>YUI</v>
      </c>
      <c r="AC211" s="14" t="str">
        <f t="shared" si="11"/>
        <v>again</v>
      </c>
      <c r="AD211" s="19" t="str">
        <f>HYPERLINK(_xlfn.XLOOKUP(C211,M_YT_LIVE_TIMESTAMP!AA:AA,M_YT_LIVE_TIMESTAMP!Z:Z,"★",0,-1))</f>
        <v>https://www.youtube.com/live/8eShd7lbOHQ?si=tMBt33Wr9js5gLMn&amp;t=2457s</v>
      </c>
    </row>
    <row r="212" spans="1:30" x14ac:dyDescent="0.4">
      <c r="A212" s="12" t="str">
        <v>CHE.R.RY</v>
      </c>
      <c r="B212" s="12" t="str">
        <v>YUI</v>
      </c>
      <c r="C212" s="12" t="str">
        <f t="shared" si="9"/>
        <v>YUICHE.R.RY</v>
      </c>
      <c r="AA212" s="14" t="str">
        <f t="shared" si="10"/>
        <v>YUI</v>
      </c>
      <c r="AB212" s="14" t="str">
        <f>_xlfn.XLOOKUP(AA212,M_ARTIST!A:A,M_ARTIST!B:B,"★★★",0,1)</f>
        <v>YUI</v>
      </c>
      <c r="AC212" s="14" t="str">
        <f t="shared" si="11"/>
        <v>CHE.R.RY</v>
      </c>
      <c r="AD212" s="19" t="str">
        <f>HYPERLINK(_xlfn.XLOOKUP(C212,M_YT_LIVE_TIMESTAMP!AA:AA,M_YT_LIVE_TIMESTAMP!Z:Z,"★",0,-1))</f>
        <v>https://www.youtube.com/live/8eShd7lbOHQ?si=tMBt33Wr9js5gLMn&amp;t=1070s</v>
      </c>
    </row>
    <row r="213" spans="1:30" x14ac:dyDescent="0.4">
      <c r="A213" s="12" t="str">
        <v>GLORIA</v>
      </c>
      <c r="B213" s="12" t="str">
        <v>YUI</v>
      </c>
      <c r="C213" s="12" t="str">
        <f t="shared" si="9"/>
        <v>YUIGLORIA</v>
      </c>
      <c r="AA213" s="14" t="str">
        <f t="shared" si="10"/>
        <v>YUI</v>
      </c>
      <c r="AB213" s="14" t="str">
        <f>_xlfn.XLOOKUP(AA213,M_ARTIST!A:A,M_ARTIST!B:B,"★★★",0,1)</f>
        <v>YUI</v>
      </c>
      <c r="AC213" s="14" t="str">
        <f t="shared" si="11"/>
        <v>GLORIA</v>
      </c>
      <c r="AD213" s="19" t="str">
        <f>HYPERLINK(_xlfn.XLOOKUP(C213,M_YT_LIVE_TIMESTAMP!AA:AA,M_YT_LIVE_TIMESTAMP!Z:Z,"★",0,-1))</f>
        <v>https://www.youtube.com/live/8eShd7lbOHQ?si=tMBt33Wr9js5gLMn&amp;t=4033s</v>
      </c>
    </row>
    <row r="214" spans="1:30" x14ac:dyDescent="0.4">
      <c r="A214" s="12" t="str">
        <v>HELLO〜Paradise Kiss〜</v>
      </c>
      <c r="B214" s="12" t="str">
        <v>YUI</v>
      </c>
      <c r="C214" s="12" t="str">
        <f t="shared" si="9"/>
        <v>YUIHELLO〜Paradise Kiss〜</v>
      </c>
      <c r="AA214" s="14" t="str">
        <f t="shared" si="10"/>
        <v>YUI</v>
      </c>
      <c r="AB214" s="14" t="str">
        <f>_xlfn.XLOOKUP(AA214,M_ARTIST!A:A,M_ARTIST!B:B,"★★★",0,1)</f>
        <v>YUI</v>
      </c>
      <c r="AC214" s="14" t="str">
        <f t="shared" si="11"/>
        <v>HELLO〜Paradise Kiss〜</v>
      </c>
      <c r="AD214" s="19" t="str">
        <f>HYPERLINK(_xlfn.XLOOKUP(C214,M_YT_LIVE_TIMESTAMP!AA:AA,M_YT_LIVE_TIMESTAMP!Z:Z,"★",0,-1))</f>
        <v>https://www.youtube.com/live/8eShd7lbOHQ?si=tMBt33Wr9js5gLMn&amp;t=1964s</v>
      </c>
    </row>
    <row r="215" spans="1:30" x14ac:dyDescent="0.4">
      <c r="A215" s="12" t="str">
        <v>How Crazy</v>
      </c>
      <c r="B215" s="12" t="str">
        <v>YUI</v>
      </c>
      <c r="C215" s="12" t="str">
        <f t="shared" si="9"/>
        <v>YUIHow Crazy</v>
      </c>
      <c r="AA215" s="14" t="str">
        <f t="shared" si="10"/>
        <v>YUI</v>
      </c>
      <c r="AB215" s="14" t="str">
        <f>_xlfn.XLOOKUP(AA215,M_ARTIST!A:A,M_ARTIST!B:B,"★★★",0,1)</f>
        <v>YUI</v>
      </c>
      <c r="AC215" s="14" t="str">
        <f t="shared" si="11"/>
        <v>How Crazy</v>
      </c>
      <c r="AD215" s="19" t="str">
        <f>HYPERLINK(_xlfn.XLOOKUP(C215,M_YT_LIVE_TIMESTAMP!AA:AA,M_YT_LIVE_TIMESTAMP!Z:Z,"★",0,-1))</f>
        <v>https://www.youtube.com/live/8eShd7lbOHQ?si=tMBt33Wr9js5gLMn&amp;t=2957s</v>
      </c>
    </row>
    <row r="216" spans="1:30" x14ac:dyDescent="0.4">
      <c r="A216" s="12" t="str">
        <v>Laugh away</v>
      </c>
      <c r="B216" s="12" t="str">
        <v>YUI</v>
      </c>
      <c r="C216" s="12" t="str">
        <f t="shared" si="9"/>
        <v>YUILaugh away</v>
      </c>
      <c r="AA216" s="14" t="str">
        <f t="shared" si="10"/>
        <v>YUI</v>
      </c>
      <c r="AB216" s="14" t="str">
        <f>_xlfn.XLOOKUP(AA216,M_ARTIST!A:A,M_ARTIST!B:B,"★★★",0,1)</f>
        <v>YUI</v>
      </c>
      <c r="AC216" s="14" t="str">
        <f t="shared" si="11"/>
        <v>Laugh away</v>
      </c>
      <c r="AD216" s="19" t="str">
        <f>HYPERLINK(_xlfn.XLOOKUP(C216,M_YT_LIVE_TIMESTAMP!AA:AA,M_YT_LIVE_TIMESTAMP!Z:Z,"★",0,-1))</f>
        <v>https://www.youtube.com/live/8eShd7lbOHQ?si=tMBt33Wr9js5gLMn&amp;t=1468s</v>
      </c>
    </row>
    <row r="217" spans="1:30" x14ac:dyDescent="0.4">
      <c r="A217" s="12" t="str">
        <v>Rolling star</v>
      </c>
      <c r="B217" s="12" t="str">
        <v>YUI</v>
      </c>
      <c r="C217" s="12" t="str">
        <f t="shared" si="9"/>
        <v>YUIRolling star</v>
      </c>
      <c r="AA217" s="14" t="str">
        <f t="shared" si="10"/>
        <v>YUI</v>
      </c>
      <c r="AB217" s="14" t="str">
        <f>_xlfn.XLOOKUP(AA217,M_ARTIST!A:A,M_ARTIST!B:B,"★★★",0,1)</f>
        <v>YUI</v>
      </c>
      <c r="AC217" s="14" t="str">
        <f t="shared" si="11"/>
        <v>Rolling star</v>
      </c>
      <c r="AD217" s="19" t="str">
        <f>HYPERLINK(_xlfn.XLOOKUP(C217,M_YT_LIVE_TIMESTAMP!AA:AA,M_YT_LIVE_TIMESTAMP!Z:Z,"★",0,-1))</f>
        <v>https://www.youtube.com/live/8eShd7lbOHQ?si=tMBt33Wr9js5gLMn&amp;t=3547s</v>
      </c>
    </row>
    <row r="218" spans="1:30" x14ac:dyDescent="0.4">
      <c r="A218" s="12" t="str">
        <v>SUMMER SONG</v>
      </c>
      <c r="B218" s="12" t="str">
        <v>YUI</v>
      </c>
      <c r="C218" s="12" t="str">
        <f t="shared" si="9"/>
        <v>YUISUMMER SONG</v>
      </c>
      <c r="AA218" s="14" t="str">
        <f t="shared" si="10"/>
        <v>YUI</v>
      </c>
      <c r="AB218" s="14" t="str">
        <f>_xlfn.XLOOKUP(AA218,M_ARTIST!A:A,M_ARTIST!B:B,"★★★",0,1)</f>
        <v>YUI</v>
      </c>
      <c r="AC218" s="14" t="str">
        <f t="shared" si="11"/>
        <v>SUMMER SONG</v>
      </c>
      <c r="AD218" s="19" t="str">
        <f>HYPERLINK(_xlfn.XLOOKUP(C218,M_YT_LIVE_TIMESTAMP!AA:AA,M_YT_LIVE_TIMESTAMP!Z:Z,"★",0,-1))</f>
        <v>https://www.youtube.com/live/nyXzxG79mwQ?si=kGuFyOuc0o-yNPOU&amp;t=2702s</v>
      </c>
    </row>
    <row r="219" spans="1:30" x14ac:dyDescent="0.4">
      <c r="A219" s="12" t="str">
        <v>Good-bye days</v>
      </c>
      <c r="B219" s="12" t="str">
        <v>YUI for 雨音薫</v>
      </c>
      <c r="C219" s="12" t="str">
        <f t="shared" si="9"/>
        <v>YUI for 雨音薫Good-bye days</v>
      </c>
      <c r="AA219" s="14" t="str">
        <f t="shared" si="10"/>
        <v>YUI for 雨音薫</v>
      </c>
      <c r="AB219" s="14" t="str">
        <f>_xlfn.XLOOKUP(AA219,M_ARTIST!A:A,M_ARTIST!B:B,"★★★",0,1)</f>
        <v>YUI for あまねかおる</v>
      </c>
      <c r="AC219" s="14" t="str">
        <f t="shared" si="11"/>
        <v>Good-bye days</v>
      </c>
      <c r="AD219" s="19" t="str">
        <f>HYPERLINK(_xlfn.XLOOKUP(C219,M_YT_LIVE_TIMESTAMP!AA:AA,M_YT_LIVE_TIMESTAMP!Z:Z,"★",0,-1))</f>
        <v>https://www.youtube.com/live/8eShd7lbOHQ?si=tMBt33Wr9js5gLMn&amp;t=4486s</v>
      </c>
    </row>
    <row r="220" spans="1:30" x14ac:dyDescent="0.4">
      <c r="A220" s="12" t="str">
        <v>カーストルーム</v>
      </c>
      <c r="B220" s="12" t="str">
        <v>ZAQ</v>
      </c>
      <c r="C220" s="12" t="str">
        <f t="shared" si="9"/>
        <v>ZAQカーストルーム</v>
      </c>
      <c r="AA220" s="14" t="str">
        <f t="shared" si="10"/>
        <v>ZAQ</v>
      </c>
      <c r="AB220" s="14" t="str">
        <f>_xlfn.XLOOKUP(AA220,M_ARTIST!A:A,M_ARTIST!B:B,"★★★",0,1)</f>
        <v>ZAQ</v>
      </c>
      <c r="AC220" s="14" t="str">
        <f t="shared" si="11"/>
        <v>カーストルーム</v>
      </c>
      <c r="AD220" s="19" t="str">
        <f>HYPERLINK(_xlfn.XLOOKUP(C220,M_YT_LIVE_TIMESTAMP!AA:AA,M_YT_LIVE_TIMESTAMP!Z:Z,"★",0,-1))</f>
        <v>https://www.youtube.com/live/JAK2m4FWxF0?si=Xy-B8lpcz7dX_b5n&amp;t=5909s</v>
      </c>
    </row>
    <row r="221" spans="1:30" x14ac:dyDescent="0.4">
      <c r="A221" s="12" t="str">
        <v>Snow halation</v>
      </c>
      <c r="B221" s="12" t="str">
        <v>μ‘s(ラブライブ!)</v>
      </c>
      <c r="C221" s="12" t="str">
        <f t="shared" si="9"/>
        <v>μ‘s(ラブライブ!)Snow halation</v>
      </c>
      <c r="AA221" s="14" t="str">
        <f t="shared" si="10"/>
        <v>μ‘s(ラブライブ!)</v>
      </c>
      <c r="AB221" s="14" t="str">
        <f>_xlfn.XLOOKUP(AA221,M_ARTIST!A:A,M_ARTIST!B:B,"★★★",0,1)</f>
        <v>μ‘s(らぶらいぶ!)</v>
      </c>
      <c r="AC221" s="14" t="str">
        <f t="shared" si="11"/>
        <v>Snow halation</v>
      </c>
      <c r="AD221" s="19" t="str">
        <f>HYPERLINK(_xlfn.XLOOKUP(C221,M_YT_LIVE_TIMESTAMP!AA:AA,M_YT_LIVE_TIMESTAMP!Z:Z,"★",0,-1))</f>
        <v>https://www.youtube.com/live/orkAkFl798M?si=7tK-YB5J1dGoAFWq&amp;t=2675s</v>
      </c>
    </row>
    <row r="222" spans="1:30" x14ac:dyDescent="0.4">
      <c r="A222" s="12" t="str">
        <v>ハルノヒ</v>
      </c>
      <c r="B222" s="12" t="str">
        <v>あいみょん</v>
      </c>
      <c r="C222" s="12" t="str">
        <f t="shared" si="9"/>
        <v>あいみょんハルノヒ</v>
      </c>
      <c r="AA222" s="14" t="str">
        <f t="shared" si="10"/>
        <v>あいみょん</v>
      </c>
      <c r="AB222" s="14" t="str">
        <f>_xlfn.XLOOKUP(AA222,M_ARTIST!A:A,M_ARTIST!B:B,"★★★",0,1)</f>
        <v>あいみょん</v>
      </c>
      <c r="AC222" s="14" t="str">
        <f t="shared" si="11"/>
        <v>ハルノヒ</v>
      </c>
      <c r="AD222" s="19" t="str">
        <f>HYPERLINK(_xlfn.XLOOKUP(C222,M_YT_LIVE_TIMESTAMP!AA:AA,M_YT_LIVE_TIMESTAMP!Z:Z,"★",0,-1))</f>
        <v>https://www.youtube.com/live/Z1v3sT_d6uU?si=epz4SGbUtnFLtw2-&amp;t=300s</v>
      </c>
    </row>
    <row r="223" spans="1:30" x14ac:dyDescent="0.4">
      <c r="A223" s="12" t="str">
        <v>マリーゴールド</v>
      </c>
      <c r="B223" s="12" t="str">
        <v>あいみょん</v>
      </c>
      <c r="C223" s="12" t="str">
        <f t="shared" si="9"/>
        <v>あいみょんマリーゴールド</v>
      </c>
      <c r="AA223" s="14" t="str">
        <f t="shared" si="10"/>
        <v>あいみょん</v>
      </c>
      <c r="AB223" s="14" t="str">
        <f>_xlfn.XLOOKUP(AA223,M_ARTIST!A:A,M_ARTIST!B:B,"★★★",0,1)</f>
        <v>あいみょん</v>
      </c>
      <c r="AC223" s="14" t="str">
        <f t="shared" si="11"/>
        <v>マリーゴールド</v>
      </c>
      <c r="AD223" s="19" t="str">
        <f>HYPERLINK(_xlfn.XLOOKUP(C223,M_YT_LIVE_TIMESTAMP!AA:AA,M_YT_LIVE_TIMESTAMP!Z:Z,"★",0,-1))</f>
        <v>https://www.youtube.com/live/lQQh4G5up3Y?si=U2BJIBIs-2OZdL6R&amp;t=1674s</v>
      </c>
    </row>
    <row r="224" spans="1:30" x14ac:dyDescent="0.4">
      <c r="A224" s="12" t="str">
        <v>今夜このまま</v>
      </c>
      <c r="B224" s="12" t="str">
        <v>あいみょん</v>
      </c>
      <c r="C224" s="12" t="str">
        <f t="shared" si="9"/>
        <v>あいみょん今夜このまま</v>
      </c>
      <c r="AA224" s="14" t="str">
        <f t="shared" si="10"/>
        <v>あいみょん</v>
      </c>
      <c r="AB224" s="14" t="str">
        <f>_xlfn.XLOOKUP(AA224,M_ARTIST!A:A,M_ARTIST!B:B,"★★★",0,1)</f>
        <v>あいみょん</v>
      </c>
      <c r="AC224" s="14" t="str">
        <f t="shared" si="11"/>
        <v>今夜このまま</v>
      </c>
      <c r="AD224" s="19" t="str">
        <f>HYPERLINK(_xlfn.XLOOKUP(C224,M_YT_LIVE_TIMESTAMP!AA:AA,M_YT_LIVE_TIMESTAMP!Z:Z,"★",0,-1))</f>
        <v>https://www.youtube.com/live/rowkHJneOgY?si=dzvDO_qNHD4fLHMQ&amp;t=3087s</v>
      </c>
    </row>
    <row r="225" spans="1:30" x14ac:dyDescent="0.4">
      <c r="A225" s="12" t="str">
        <v>Together</v>
      </c>
      <c r="B225" s="12" t="str">
        <v>あきよしふみえ</v>
      </c>
      <c r="C225" s="12" t="str">
        <f t="shared" si="9"/>
        <v>あきよしふみえTogether</v>
      </c>
      <c r="AA225" s="14" t="str">
        <f t="shared" si="10"/>
        <v>あきよしふみえ</v>
      </c>
      <c r="AB225" s="14" t="str">
        <f>_xlfn.XLOOKUP(AA225,M_ARTIST!A:A,M_ARTIST!B:B,"★★★",0,1)</f>
        <v>あきよしふみえ</v>
      </c>
      <c r="AC225" s="14" t="str">
        <f t="shared" si="11"/>
        <v>Together</v>
      </c>
      <c r="AD225" s="19" t="str">
        <f>HYPERLINK(_xlfn.XLOOKUP(C225,M_YT_LIVE_TIMESTAMP!AA:AA,M_YT_LIVE_TIMESTAMP!Z:Z,"★",0,-1))</f>
        <v>https://www.youtube.com/live/Yti72SsHzxs?si=qlI2gfa0I0wWYoH4&amp;t=1728s</v>
      </c>
    </row>
    <row r="226" spans="1:30" x14ac:dyDescent="0.4">
      <c r="A226" s="12" t="str">
        <v>じょいふる</v>
      </c>
      <c r="B226" s="12" t="str">
        <v>いきものがかり</v>
      </c>
      <c r="C226" s="12" t="str">
        <f t="shared" si="9"/>
        <v>いきものがかりじょいふる</v>
      </c>
      <c r="AA226" s="14" t="str">
        <f t="shared" si="10"/>
        <v>いきものがかり</v>
      </c>
      <c r="AB226" s="14" t="str">
        <f>_xlfn.XLOOKUP(AA226,M_ARTIST!A:A,M_ARTIST!B:B,"★★★",0,1)</f>
        <v>いきものがかり</v>
      </c>
      <c r="AC226" s="14" t="str">
        <f t="shared" si="11"/>
        <v>じょいふる</v>
      </c>
      <c r="AD226" s="19" t="str">
        <f>HYPERLINK(_xlfn.XLOOKUP(C226,M_YT_LIVE_TIMESTAMP!AA:AA,M_YT_LIVE_TIMESTAMP!Z:Z,"★",0,-1))</f>
        <v>https://www.youtube.com/live/DX8misWhJuA?si=x9BqkZPlvHen5SCl&amp;t=1636s</v>
      </c>
    </row>
    <row r="227" spans="1:30" x14ac:dyDescent="0.4">
      <c r="A227" s="12" t="str">
        <v>ブルーバード</v>
      </c>
      <c r="B227" s="12" t="str">
        <v>いきものがかり</v>
      </c>
      <c r="C227" s="12" t="str">
        <f t="shared" si="9"/>
        <v>いきものがかりブルーバード</v>
      </c>
      <c r="AA227" s="14" t="str">
        <f t="shared" si="10"/>
        <v>いきものがかり</v>
      </c>
      <c r="AB227" s="14" t="str">
        <f>_xlfn.XLOOKUP(AA227,M_ARTIST!A:A,M_ARTIST!B:B,"★★★",0,1)</f>
        <v>いきものがかり</v>
      </c>
      <c r="AC227" s="14" t="str">
        <f t="shared" si="11"/>
        <v>ブルーバード</v>
      </c>
      <c r="AD227" s="19" t="str">
        <f>HYPERLINK(_xlfn.XLOOKUP(C227,M_YT_LIVE_TIMESTAMP!AA:AA,M_YT_LIVE_TIMESTAMP!Z:Z,"★",0,-1))</f>
        <v>https://www.youtube.com/live/DX8misWhJuA?si=x9BqkZPlvHen5SCl&amp;t=1895s</v>
      </c>
    </row>
    <row r="228" spans="1:30" x14ac:dyDescent="0.4">
      <c r="A228" s="12" t="str">
        <v>気まぐれロマンティック</v>
      </c>
      <c r="B228" s="12" t="str">
        <v>いきものがかり</v>
      </c>
      <c r="C228" s="12" t="str">
        <f t="shared" si="9"/>
        <v>いきものがかり気まぐれロマンティック</v>
      </c>
      <c r="AA228" s="14" t="str">
        <f t="shared" si="10"/>
        <v>いきものがかり</v>
      </c>
      <c r="AB228" s="14" t="str">
        <f>_xlfn.XLOOKUP(AA228,M_ARTIST!A:A,M_ARTIST!B:B,"★★★",0,1)</f>
        <v>いきものがかり</v>
      </c>
      <c r="AC228" s="14" t="str">
        <f t="shared" si="11"/>
        <v>気まぐれロマンティック</v>
      </c>
      <c r="AD228" s="19" t="str">
        <f>HYPERLINK(_xlfn.XLOOKUP(C228,M_YT_LIVE_TIMESTAMP!AA:AA,M_YT_LIVE_TIMESTAMP!Z:Z,"★",0,-1))</f>
        <v>https://www.youtube.com/live/nyXzxG79mwQ?si=kGuFyOuc0o-yNPOU&amp;t=5372s</v>
      </c>
    </row>
    <row r="229" spans="1:30" x14ac:dyDescent="0.4">
      <c r="A229" s="12" t="str">
        <v>きゅうくらりん</v>
      </c>
      <c r="B229" s="12" t="str">
        <v>いよわ feat.可不</v>
      </c>
      <c r="C229" s="12" t="str">
        <f t="shared" si="9"/>
        <v>いよわ feat.可不きゅうくらりん</v>
      </c>
      <c r="AA229" s="14" t="str">
        <f t="shared" si="10"/>
        <v>いよわ feat.可不</v>
      </c>
      <c r="AB229" s="14" t="str">
        <f>_xlfn.XLOOKUP(AA229,M_ARTIST!A:A,M_ARTIST!B:B,"★★★",0,1)</f>
        <v>いよわ feat.かふ</v>
      </c>
      <c r="AC229" s="14" t="str">
        <f t="shared" si="11"/>
        <v>きゅうくらりん</v>
      </c>
      <c r="AD229" s="19" t="str">
        <f>HYPERLINK(_xlfn.XLOOKUP(C229,M_YT_LIVE_TIMESTAMP!AA:AA,M_YT_LIVE_TIMESTAMP!Z:Z,"★",0,-1))</f>
        <v>https://www.youtube.com/live/i7euCqiwzl4?si=Gvd-dBAI4nZ9HDpv&amp;t=4050s</v>
      </c>
    </row>
    <row r="230" spans="1:30" x14ac:dyDescent="0.4">
      <c r="A230" s="12" t="str">
        <v>Stay Alive</v>
      </c>
      <c r="B230" s="12" t="str">
        <v>エミリア(高橋李依)</v>
      </c>
      <c r="C230" s="12" t="str">
        <f t="shared" si="9"/>
        <v>エミリア(高橋李依)Stay Alive</v>
      </c>
      <c r="AA230" s="14" t="str">
        <f t="shared" si="10"/>
        <v>エミリア(高橋李依)</v>
      </c>
      <c r="AB230" s="14" t="str">
        <f>_xlfn.XLOOKUP(AA230,M_ARTIST!A:A,M_ARTIST!B:B,"★★★",0,1)</f>
        <v>えみりあ(たかはしりえ)</v>
      </c>
      <c r="AC230" s="14" t="str">
        <f t="shared" si="11"/>
        <v>Stay Alive</v>
      </c>
      <c r="AD230" s="19" t="str">
        <f>HYPERLINK(_xlfn.XLOOKUP(C230,M_YT_LIVE_TIMESTAMP!AA:AA,M_YT_LIVE_TIMESTAMP!Z:Z,"★",0,-1))</f>
        <v>https://www.youtube.com/live/wY3z5W9B8N0?si=FVqBjyoCdmcOKFxz&amp;t=4314s</v>
      </c>
    </row>
    <row r="231" spans="1:30" x14ac:dyDescent="0.4">
      <c r="A231" s="12" t="str">
        <v>ずうっといっしょ！</v>
      </c>
      <c r="B231" s="12" t="str">
        <v>キタニタツヤ</v>
      </c>
      <c r="C231" s="12" t="str">
        <f t="shared" si="9"/>
        <v>キタニタツヤずうっといっしょ！</v>
      </c>
      <c r="AA231" s="14" t="str">
        <f t="shared" si="10"/>
        <v>キタニタツヤ</v>
      </c>
      <c r="AB231" s="14" t="str">
        <f>_xlfn.XLOOKUP(AA231,M_ARTIST!A:A,M_ARTIST!B:B,"★★★",0,1)</f>
        <v>きたにたつや</v>
      </c>
      <c r="AC231" s="14" t="str">
        <f t="shared" si="11"/>
        <v>ずうっといっしょ！</v>
      </c>
      <c r="AD231" s="19" t="str">
        <f>HYPERLINK(_xlfn.XLOOKUP(C231,M_YT_LIVE_TIMESTAMP!AA:AA,M_YT_LIVE_TIMESTAMP!Z:Z,"★",0,-1))</f>
        <v>https://www.youtube.com/live/YC2XfDeeAQI?si=BpJIi-KScnRHEoFo&amp;t=6064s</v>
      </c>
    </row>
    <row r="232" spans="1:30" x14ac:dyDescent="0.4">
      <c r="A232" s="12" t="str">
        <v>青のすみか</v>
      </c>
      <c r="B232" s="12" t="str">
        <v>キタニタツヤ</v>
      </c>
      <c r="C232" s="12" t="str">
        <f t="shared" si="9"/>
        <v>キタニタツヤ青のすみか</v>
      </c>
      <c r="AA232" s="14" t="str">
        <f t="shared" si="10"/>
        <v>キタニタツヤ</v>
      </c>
      <c r="AB232" s="14" t="str">
        <f>_xlfn.XLOOKUP(AA232,M_ARTIST!A:A,M_ARTIST!B:B,"★★★",0,1)</f>
        <v>きたにたつや</v>
      </c>
      <c r="AC232" s="14" t="str">
        <f t="shared" si="11"/>
        <v>青のすみか</v>
      </c>
      <c r="AD232" s="19" t="str">
        <f>HYPERLINK(_xlfn.XLOOKUP(C232,M_YT_LIVE_TIMESTAMP!AA:AA,M_YT_LIVE_TIMESTAMP!Z:Z,"★",0,-1))</f>
        <v>https://www.youtube.com/live/YC2XfDeeAQI?si=BpJIi-KScnRHEoFo&amp;t=6383s</v>
      </c>
    </row>
    <row r="233" spans="1:30" x14ac:dyDescent="0.4">
      <c r="A233" s="12" t="str">
        <v>金木犀の夜</v>
      </c>
      <c r="B233" s="12" t="str">
        <v>きのこ帝国</v>
      </c>
      <c r="C233" s="12" t="str">
        <f t="shared" si="9"/>
        <v>きのこ帝国金木犀の夜</v>
      </c>
      <c r="AA233" s="14" t="str">
        <f t="shared" si="10"/>
        <v>きのこ帝国</v>
      </c>
      <c r="AB233" s="14" t="str">
        <f>_xlfn.XLOOKUP(AA233,M_ARTIST!A:A,M_ARTIST!B:B,"★★★",0,1)</f>
        <v>きのこていこく</v>
      </c>
      <c r="AC233" s="14" t="str">
        <f t="shared" si="11"/>
        <v>金木犀の夜</v>
      </c>
      <c r="AD233" s="19" t="str">
        <f>HYPERLINK(_xlfn.XLOOKUP(C233,M_YT_LIVE_TIMESTAMP!AA:AA,M_YT_LIVE_TIMESTAMP!Z:Z,"★",0,-1))</f>
        <v>https://www.youtube.com/live/YC2XfDeeAQI?si=BpJIi-KScnRHEoFo&amp;t=3270s</v>
      </c>
    </row>
    <row r="234" spans="1:30" x14ac:dyDescent="0.4">
      <c r="A234" s="12" t="str">
        <v>東京</v>
      </c>
      <c r="B234" s="12" t="str">
        <v>きのこ帝国</v>
      </c>
      <c r="C234" s="12" t="str">
        <f t="shared" si="9"/>
        <v>きのこ帝国東京</v>
      </c>
      <c r="AA234" s="14" t="str">
        <f t="shared" si="10"/>
        <v>きのこ帝国</v>
      </c>
      <c r="AB234" s="14" t="str">
        <f>_xlfn.XLOOKUP(AA234,M_ARTIST!A:A,M_ARTIST!B:B,"★★★",0,1)</f>
        <v>きのこていこく</v>
      </c>
      <c r="AC234" s="14" t="str">
        <f t="shared" si="11"/>
        <v>東京</v>
      </c>
      <c r="AD234" s="19" t="str">
        <f>HYPERLINK(_xlfn.XLOOKUP(C234,M_YT_LIVE_TIMESTAMP!AA:AA,M_YT_LIVE_TIMESTAMP!Z:Z,"★",0,-1))</f>
        <v>https://www.youtube.com/live/YC2XfDeeAQI?si=BpJIi-KScnRHEoFo&amp;t=3599s</v>
      </c>
    </row>
    <row r="235" spans="1:30" x14ac:dyDescent="0.4">
      <c r="A235" s="12" t="str">
        <v>エロ</v>
      </c>
      <c r="B235" s="12" t="str">
        <v>クリープハイプ</v>
      </c>
      <c r="C235" s="12" t="str">
        <f t="shared" si="9"/>
        <v>クリープハイプエロ</v>
      </c>
      <c r="AA235" s="14" t="str">
        <f t="shared" si="10"/>
        <v>クリープハイプ</v>
      </c>
      <c r="AB235" s="14" t="str">
        <f>_xlfn.XLOOKUP(AA235,M_ARTIST!A:A,M_ARTIST!B:B,"★★★",0,1)</f>
        <v>くりーぷはいぷ</v>
      </c>
      <c r="AC235" s="14" t="str">
        <f t="shared" si="11"/>
        <v>エロ</v>
      </c>
      <c r="AD235" s="19" t="str">
        <f>HYPERLINK(_xlfn.XLOOKUP(C235,M_YT_LIVE_TIMESTAMP!AA:AA,M_YT_LIVE_TIMESTAMP!Z:Z,"★",0,-1))</f>
        <v>https://www.youtube.com/live/5-PHEYq6a-Y?si=i1qN4inKhZc0prZ-&amp;t=6520s</v>
      </c>
    </row>
    <row r="236" spans="1:30" x14ac:dyDescent="0.4">
      <c r="A236" s="12" t="str">
        <v>おやすみ、泣き声 さよなら歌姫</v>
      </c>
      <c r="B236" s="12" t="str">
        <v>クリープハイプ</v>
      </c>
      <c r="C236" s="12" t="str">
        <f t="shared" si="9"/>
        <v>クリープハイプおやすみ、泣き声 さよなら歌姫</v>
      </c>
      <c r="AA236" s="14" t="str">
        <f t="shared" si="10"/>
        <v>クリープハイプ</v>
      </c>
      <c r="AB236" s="14" t="str">
        <f>_xlfn.XLOOKUP(AA236,M_ARTIST!A:A,M_ARTIST!B:B,"★★★",0,1)</f>
        <v>くりーぷはいぷ</v>
      </c>
      <c r="AC236" s="14" t="str">
        <f t="shared" si="11"/>
        <v>おやすみ、泣き声 さよなら歌姫</v>
      </c>
      <c r="AD236" s="19" t="str">
        <f>HYPERLINK(_xlfn.XLOOKUP(C236,M_YT_LIVE_TIMESTAMP!AA:AA,M_YT_LIVE_TIMESTAMP!Z:Z,"★",0,-1))</f>
        <v>https://www.youtube.com/live/h9yyUj584EA?si=1RWpj-7KllpU7qa_&amp;t=346s</v>
      </c>
    </row>
    <row r="237" spans="1:30" x14ac:dyDescent="0.4">
      <c r="A237" s="12" t="str">
        <v>鬼</v>
      </c>
      <c r="B237" s="12" t="str">
        <v>クリープハイプ</v>
      </c>
      <c r="C237" s="12" t="str">
        <f t="shared" si="9"/>
        <v>クリープハイプ鬼</v>
      </c>
      <c r="AA237" s="14" t="str">
        <f t="shared" si="10"/>
        <v>クリープハイプ</v>
      </c>
      <c r="AB237" s="14" t="str">
        <f>_xlfn.XLOOKUP(AA237,M_ARTIST!A:A,M_ARTIST!B:B,"★★★",0,1)</f>
        <v>くりーぷはいぷ</v>
      </c>
      <c r="AC237" s="14" t="str">
        <f t="shared" si="11"/>
        <v>鬼</v>
      </c>
      <c r="AD237" s="19" t="str">
        <f>HYPERLINK(_xlfn.XLOOKUP(C237,M_YT_LIVE_TIMESTAMP!AA:AA,M_YT_LIVE_TIMESTAMP!Z:Z,"★",0,-1))</f>
        <v>https://www.youtube.com/live/5-PHEYq6a-Y?si=i1qN4inKhZc0prZ-&amp;t=6792s</v>
      </c>
    </row>
    <row r="238" spans="1:30" x14ac:dyDescent="0.4">
      <c r="A238" s="12" t="str">
        <v>社会の窓</v>
      </c>
      <c r="B238" s="12" t="str">
        <v>クリープハイプ</v>
      </c>
      <c r="C238" s="12" t="str">
        <f t="shared" si="9"/>
        <v>クリープハイプ社会の窓</v>
      </c>
      <c r="AA238" s="14" t="str">
        <f t="shared" si="10"/>
        <v>クリープハイプ</v>
      </c>
      <c r="AB238" s="14" t="str">
        <f>_xlfn.XLOOKUP(AA238,M_ARTIST!A:A,M_ARTIST!B:B,"★★★",0,1)</f>
        <v>くりーぷはいぷ</v>
      </c>
      <c r="AC238" s="14" t="str">
        <f t="shared" si="11"/>
        <v>社会の窓</v>
      </c>
      <c r="AD238" s="19" t="str">
        <f>HYPERLINK(_xlfn.XLOOKUP(C238,M_YT_LIVE_TIMESTAMP!AA:AA,M_YT_LIVE_TIMESTAMP!Z:Z,"★",0,-1))</f>
        <v>https://www.youtube.com/live/5-PHEYq6a-Y?si=i1qN4inKhZc0prZ-&amp;t=6174s</v>
      </c>
    </row>
    <row r="239" spans="1:30" x14ac:dyDescent="0.4">
      <c r="A239" s="12" t="str">
        <v>憂、燦々</v>
      </c>
      <c r="B239" s="12" t="str">
        <v>クリープハイプ</v>
      </c>
      <c r="C239" s="12" t="str">
        <f t="shared" si="9"/>
        <v>クリープハイプ憂、燦々</v>
      </c>
      <c r="AA239" s="14" t="str">
        <f t="shared" si="10"/>
        <v>クリープハイプ</v>
      </c>
      <c r="AB239" s="14" t="str">
        <f>_xlfn.XLOOKUP(AA239,M_ARTIST!A:A,M_ARTIST!B:B,"★★★",0,1)</f>
        <v>くりーぷはいぷ</v>
      </c>
      <c r="AC239" s="14" t="str">
        <f t="shared" si="11"/>
        <v>憂、燦々</v>
      </c>
      <c r="AD239" s="19" t="str">
        <f>HYPERLINK(_xlfn.XLOOKUP(C239,M_YT_LIVE_TIMESTAMP!AA:AA,M_YT_LIVE_TIMESTAMP!Z:Z,"★",0,-1))</f>
        <v>https://www.youtube.com/live/5-PHEYq6a-Y?si=i1qN4inKhZc0prZ-&amp;t=7224s</v>
      </c>
    </row>
    <row r="240" spans="1:30" x14ac:dyDescent="0.4">
      <c r="A240" s="12" t="str">
        <v>栞</v>
      </c>
      <c r="B240" s="12" t="str">
        <v>クリープハイプ</v>
      </c>
      <c r="C240" s="12" t="str">
        <f t="shared" si="9"/>
        <v>クリープハイプ栞</v>
      </c>
      <c r="AA240" s="14" t="str">
        <f t="shared" si="10"/>
        <v>クリープハイプ</v>
      </c>
      <c r="AB240" s="14" t="str">
        <f>_xlfn.XLOOKUP(AA240,M_ARTIST!A:A,M_ARTIST!B:B,"★★★",0,1)</f>
        <v>くりーぷはいぷ</v>
      </c>
      <c r="AC240" s="14" t="str">
        <f t="shared" si="11"/>
        <v>栞</v>
      </c>
      <c r="AD240" s="19" t="str">
        <f>HYPERLINK(_xlfn.XLOOKUP(C240,M_YT_LIVE_TIMESTAMP!AA:AA,M_YT_LIVE_TIMESTAMP!Z:Z,"★",0,-1))</f>
        <v>https://www.youtube.com/live/Yti72SsHzxs?si=qlI2gfa0I0wWYoH4&amp;t=347s</v>
      </c>
    </row>
    <row r="241" spans="1:30" x14ac:dyDescent="0.4">
      <c r="A241" s="12" t="str">
        <v>蕾</v>
      </c>
      <c r="B241" s="12" t="str">
        <v>コブクロ</v>
      </c>
      <c r="C241" s="12" t="str">
        <f t="shared" si="9"/>
        <v>コブクロ蕾</v>
      </c>
      <c r="AA241" s="14" t="str">
        <f t="shared" si="10"/>
        <v>コブクロ</v>
      </c>
      <c r="AB241" s="14" t="str">
        <f>_xlfn.XLOOKUP(AA241,M_ARTIST!A:A,M_ARTIST!B:B,"★★★",0,1)</f>
        <v>こぶくろ</v>
      </c>
      <c r="AC241" s="14" t="str">
        <f t="shared" si="11"/>
        <v>蕾</v>
      </c>
      <c r="AD241" s="19" t="str">
        <f>HYPERLINK(_xlfn.XLOOKUP(C241,M_YT_LIVE_TIMESTAMP!AA:AA,M_YT_LIVE_TIMESTAMP!Z:Z,"★",0,-1))</f>
        <v>https://www.youtube.com/live/DX8misWhJuA?si=x9BqkZPlvHen5SCl&amp;t=4812s</v>
      </c>
    </row>
    <row r="242" spans="1:30" x14ac:dyDescent="0.4">
      <c r="A242" s="12" t="str">
        <v>記憶の水槽</v>
      </c>
      <c r="B242" s="12" t="str">
        <v>こんにちは谷田さん(キタニタツヤ) feat.初音ミク</v>
      </c>
      <c r="C242" s="12" t="str">
        <f t="shared" si="9"/>
        <v>こんにちは谷田さん(キタニタツヤ) feat.初音ミク記憶の水槽</v>
      </c>
      <c r="AA242" s="14" t="str">
        <f t="shared" si="10"/>
        <v>こんにちは谷田さん(キタニタツヤ) feat.初音ミク</v>
      </c>
      <c r="AB242" s="14" t="str">
        <f>_xlfn.XLOOKUP(AA242,M_ARTIST!A:A,M_ARTIST!B:B,"★★★",0,1)</f>
        <v>こんにちはたにたさん(きたにたつや) feat.はつねみく</v>
      </c>
      <c r="AC242" s="14" t="str">
        <f t="shared" si="11"/>
        <v>記憶の水槽</v>
      </c>
      <c r="AD242" s="19" t="str">
        <f>HYPERLINK(_xlfn.XLOOKUP(C242,M_YT_LIVE_TIMESTAMP!AA:AA,M_YT_LIVE_TIMESTAMP!Z:Z,"★",0,-1))</f>
        <v>https://www.youtube.com/live/YC2XfDeeAQI?si=BpJIi-KScnRHEoFo&amp;t=5647s</v>
      </c>
    </row>
    <row r="243" spans="1:30" x14ac:dyDescent="0.4">
      <c r="A243" s="12" t="str">
        <v>ミュージック</v>
      </c>
      <c r="B243" s="12" t="str">
        <v>サカナクション</v>
      </c>
      <c r="C243" s="12" t="str">
        <f t="shared" si="9"/>
        <v>サカナクションミュージック</v>
      </c>
      <c r="AA243" s="14" t="str">
        <f t="shared" si="10"/>
        <v>サカナクション</v>
      </c>
      <c r="AB243" s="14" t="str">
        <f>_xlfn.XLOOKUP(AA243,M_ARTIST!A:A,M_ARTIST!B:B,"★★★",0,1)</f>
        <v>さかなくしょん</v>
      </c>
      <c r="AC243" s="14" t="str">
        <f t="shared" si="11"/>
        <v>ミュージック</v>
      </c>
      <c r="AD243" s="19" t="str">
        <f>HYPERLINK(_xlfn.XLOOKUP(C243,M_YT_LIVE_TIMESTAMP!AA:AA,M_YT_LIVE_TIMESTAMP!Z:Z,"★",0,-1))</f>
        <v>https://www.youtube.com/live/Cs48limSzrE?si=n8CFockH4OVXGSvE&amp;t=5540s</v>
      </c>
    </row>
    <row r="244" spans="1:30" x14ac:dyDescent="0.4">
      <c r="A244" s="12" t="str">
        <v>新宝島</v>
      </c>
      <c r="B244" s="12" t="str">
        <v>サカナクション</v>
      </c>
      <c r="C244" s="12" t="str">
        <f t="shared" si="9"/>
        <v>サカナクション新宝島</v>
      </c>
      <c r="AA244" s="14" t="str">
        <f t="shared" si="10"/>
        <v>サカナクション</v>
      </c>
      <c r="AB244" s="14" t="str">
        <f>_xlfn.XLOOKUP(AA244,M_ARTIST!A:A,M_ARTIST!B:B,"★★★",0,1)</f>
        <v>さかなくしょん</v>
      </c>
      <c r="AC244" s="14" t="str">
        <f t="shared" si="11"/>
        <v>新宝島</v>
      </c>
      <c r="AD244" s="19" t="str">
        <f>HYPERLINK(_xlfn.XLOOKUP(C244,M_YT_LIVE_TIMESTAMP!AA:AA,M_YT_LIVE_TIMESTAMP!Z:Z,"★",0,-1))</f>
        <v>https://www.youtube.com/live/rowkHJneOgY?si=dzvDO_qNHD4fLHMQ&amp;t=6156s</v>
      </c>
    </row>
    <row r="245" spans="1:30" x14ac:dyDescent="0.4">
      <c r="A245" s="12" t="str">
        <v>グッドバイ</v>
      </c>
      <c r="B245" s="12" t="str">
        <v>サクナクション</v>
      </c>
      <c r="C245" s="12" t="str">
        <f t="shared" si="9"/>
        <v>サクナクショングッドバイ</v>
      </c>
      <c r="AA245" s="14" t="str">
        <f t="shared" si="10"/>
        <v>サクナクション</v>
      </c>
      <c r="AB245" s="14" t="str">
        <f>_xlfn.XLOOKUP(AA245,M_ARTIST!A:A,M_ARTIST!B:B,"★★★",0,1)</f>
        <v>★★★</v>
      </c>
      <c r="AC245" s="14" t="str">
        <f t="shared" si="11"/>
        <v>グッドバイ</v>
      </c>
      <c r="AD245" s="19" t="str">
        <f>HYPERLINK(_xlfn.XLOOKUP(C245,M_YT_LIVE_TIMESTAMP!AA:AA,M_YT_LIVE_TIMESTAMP!Z:Z,"★",0,-1))</f>
        <v>https://www.youtube.com/live/TDYlHpN4h0s?si=ysSy7YIPSXU6T0nx&amp;t=1308s</v>
      </c>
    </row>
    <row r="246" spans="1:30" x14ac:dyDescent="0.4">
      <c r="A246" s="12" t="str">
        <v>ハロー、プラネット。</v>
      </c>
      <c r="B246" s="12" t="str">
        <v>ささくれ。P feat.初音ミク</v>
      </c>
      <c r="C246" s="12" t="str">
        <f t="shared" si="9"/>
        <v>ささくれ。P feat.初音ミクハロー、プラネット。</v>
      </c>
      <c r="AA246" s="14" t="str">
        <f t="shared" si="10"/>
        <v>ささくれ。P feat.初音ミク</v>
      </c>
      <c r="AB246" s="14" t="str">
        <f>_xlfn.XLOOKUP(AA246,M_ARTIST!A:A,M_ARTIST!B:B,"★★★",0,1)</f>
        <v>ささくれ。P feat.はつねみく</v>
      </c>
      <c r="AC246" s="14" t="str">
        <f t="shared" si="11"/>
        <v>ハロー、プラネット。</v>
      </c>
      <c r="AD246" s="19" t="str">
        <f>HYPERLINK(_xlfn.XLOOKUP(C246,M_YT_LIVE_TIMESTAMP!AA:AA,M_YT_LIVE_TIMESTAMP!Z:Z,"★",0,-1))</f>
        <v>https://www.youtube.com/live/EIV2fME4Fec?si=lkzDtJEJ9agzd2Md&amp;t=7800s</v>
      </c>
    </row>
    <row r="247" spans="1:30" x14ac:dyDescent="0.4">
      <c r="A247" s="12" t="str">
        <v>ミカヅキ</v>
      </c>
      <c r="B247" s="12" t="str">
        <v>さユリ</v>
      </c>
      <c r="C247" s="12" t="str">
        <f t="shared" si="9"/>
        <v>さユリミカヅキ</v>
      </c>
      <c r="AA247" s="14" t="str">
        <f t="shared" si="10"/>
        <v>さユリ</v>
      </c>
      <c r="AB247" s="14" t="str">
        <f>_xlfn.XLOOKUP(AA247,M_ARTIST!A:A,M_ARTIST!B:B,"★★★",0,1)</f>
        <v>★★★</v>
      </c>
      <c r="AC247" s="14" t="str">
        <f t="shared" si="11"/>
        <v>ミカヅキ</v>
      </c>
      <c r="AD247" s="19" t="str">
        <f>HYPERLINK(_xlfn.XLOOKUP(C247,M_YT_LIVE_TIMESTAMP!AA:AA,M_YT_LIVE_TIMESTAMP!Z:Z,"★",0,-1))</f>
        <v>https://www.youtube.com/live/TDYlHpN4h0s?si=ysSy7YIPSXU6T0nx&amp;t=4005s</v>
      </c>
    </row>
    <row r="248" spans="1:30" x14ac:dyDescent="0.4">
      <c r="A248" s="12" t="str">
        <v>フラレガイガール</v>
      </c>
      <c r="B248" s="12" t="str">
        <v>さユり</v>
      </c>
      <c r="C248" s="12" t="str">
        <f t="shared" si="9"/>
        <v>さユりフラレガイガール</v>
      </c>
      <c r="AA248" s="14" t="str">
        <f t="shared" si="10"/>
        <v>さユり</v>
      </c>
      <c r="AB248" s="14" t="str">
        <f>_xlfn.XLOOKUP(AA248,M_ARTIST!A:A,M_ARTIST!B:B,"★★★",0,1)</f>
        <v>さゆり</v>
      </c>
      <c r="AC248" s="14" t="str">
        <f t="shared" si="11"/>
        <v>フラレガイガール</v>
      </c>
      <c r="AD248" s="19" t="str">
        <f>HYPERLINK(_xlfn.XLOOKUP(C248,M_YT_LIVE_TIMESTAMP!AA:AA,M_YT_LIVE_TIMESTAMP!Z:Z,"★",0,-1))</f>
        <v>https://www.youtube.com/live/TDYlHpN4h0s?si=ysSy7YIPSXU6T0nx&amp;t=3427s</v>
      </c>
    </row>
    <row r="249" spans="1:30" x14ac:dyDescent="0.4">
      <c r="A249" s="12" t="str">
        <v>ミカヅキ</v>
      </c>
      <c r="B249" s="12" t="str">
        <v>さユり</v>
      </c>
      <c r="C249" s="12" t="str">
        <f t="shared" si="9"/>
        <v>さユりミカヅキ</v>
      </c>
      <c r="AA249" s="14" t="str">
        <f t="shared" si="10"/>
        <v>さユり</v>
      </c>
      <c r="AB249" s="14" t="str">
        <f>_xlfn.XLOOKUP(AA249,M_ARTIST!A:A,M_ARTIST!B:B,"★★★",0,1)</f>
        <v>さゆり</v>
      </c>
      <c r="AC249" s="14" t="str">
        <f t="shared" si="11"/>
        <v>ミカヅキ</v>
      </c>
      <c r="AD249" s="19" t="str">
        <f>HYPERLINK(_xlfn.XLOOKUP(C249,M_YT_LIVE_TIMESTAMP!AA:AA,M_YT_LIVE_TIMESTAMP!Z:Z,"★",0,-1))</f>
        <v>https://www.youtube.com/live/BTi31luRntI?si=HKZA9dD6UF6pnPvq&amp;t=2880s</v>
      </c>
    </row>
    <row r="250" spans="1:30" x14ac:dyDescent="0.4">
      <c r="A250" s="12" t="str">
        <v>花の塔</v>
      </c>
      <c r="B250" s="12" t="str">
        <v>さユり</v>
      </c>
      <c r="C250" s="12" t="str">
        <f t="shared" si="9"/>
        <v>さユり花の塔</v>
      </c>
      <c r="AA250" s="14" t="str">
        <f t="shared" si="10"/>
        <v>さユり</v>
      </c>
      <c r="AB250" s="14" t="str">
        <f>_xlfn.XLOOKUP(AA250,M_ARTIST!A:A,M_ARTIST!B:B,"★★★",0,1)</f>
        <v>さゆり</v>
      </c>
      <c r="AC250" s="14" t="str">
        <f t="shared" si="11"/>
        <v>花の塔</v>
      </c>
      <c r="AD250" s="19" t="str">
        <f>HYPERLINK(_xlfn.XLOOKUP(C250,M_YT_LIVE_TIMESTAMP!AA:AA,M_YT_LIVE_TIMESTAMP!Z:Z,"★",0,-1))</f>
        <v>https://www.youtube.com/live/8yfLYQayxQg?si=O0Q0AXQXC39nd7WJ&amp;t=8628s</v>
      </c>
    </row>
    <row r="251" spans="1:30" x14ac:dyDescent="0.4">
      <c r="A251" s="12" t="str">
        <v>平行線</v>
      </c>
      <c r="B251" s="12" t="str">
        <v>さユり</v>
      </c>
      <c r="C251" s="12" t="str">
        <f t="shared" si="9"/>
        <v>さユり平行線</v>
      </c>
      <c r="AA251" s="14" t="str">
        <f t="shared" si="10"/>
        <v>さユり</v>
      </c>
      <c r="AB251" s="14" t="str">
        <f>_xlfn.XLOOKUP(AA251,M_ARTIST!A:A,M_ARTIST!B:B,"★★★",0,1)</f>
        <v>さゆり</v>
      </c>
      <c r="AC251" s="14" t="str">
        <f t="shared" si="11"/>
        <v>平行線</v>
      </c>
      <c r="AD251" s="19" t="str">
        <f>HYPERLINK(_xlfn.XLOOKUP(C251,M_YT_LIVE_TIMESTAMP!AA:AA,M_YT_LIVE_TIMESTAMP!Z:Z,"★",0,-1))</f>
        <v>https://www.youtube.com/live/BTi31luRntI?si=HKZA9dD6UF6pnPvq&amp;t=3349s</v>
      </c>
    </row>
    <row r="252" spans="1:30" x14ac:dyDescent="0.4">
      <c r="A252" s="12" t="str">
        <v>しんでしまうとはなさけない!</v>
      </c>
      <c r="B252" s="12" t="str">
        <v>じーざすP（WONDERFUL★OPPORTUNITY!） feat.鏡音リン&amp;鏡音レン</v>
      </c>
      <c r="C252" s="12" t="str">
        <f t="shared" si="9"/>
        <v>じーざすP（WONDERFUL★OPPORTUNITY!） feat.鏡音リン&amp;鏡音レンしんでしまうとはなさけない!</v>
      </c>
      <c r="AA252" s="14" t="str">
        <f t="shared" si="10"/>
        <v>じーざすP（WONDERFUL★OPPORTUNITY!） feat.鏡音リン&amp;鏡音レン</v>
      </c>
      <c r="AB252" s="14" t="str">
        <f>_xlfn.XLOOKUP(AA252,M_ARTIST!A:A,M_ARTIST!B:B,"★★★",0,1)</f>
        <v>じーざすP（WONDERFUL★OPPORTUNITY!） feat.かがみねりん&amp;かがみねれん</v>
      </c>
      <c r="AC252" s="14" t="str">
        <f t="shared" si="11"/>
        <v>しんでしまうとはなさけない!</v>
      </c>
      <c r="AD252" s="19" t="str">
        <f>HYPERLINK(_xlfn.XLOOKUP(C252,M_YT_LIVE_TIMESTAMP!AA:AA,M_YT_LIVE_TIMESTAMP!Z:Z,"★",0,-1))</f>
        <v>https://www.youtube.com/live/bXG5ottJZas?si=VsjzjU8RreUrJGd3&amp;t=3241s</v>
      </c>
    </row>
    <row r="253" spans="1:30" x14ac:dyDescent="0.4">
      <c r="A253" s="12" t="str">
        <v>ダイアモンドクレバス</v>
      </c>
      <c r="B253" s="12" t="str">
        <v>シェリル・ノーム starring May'n</v>
      </c>
      <c r="C253" s="12" t="str">
        <f t="shared" si="9"/>
        <v>シェリル・ノーム starring May'nダイアモンドクレバス</v>
      </c>
      <c r="AA253" s="14" t="str">
        <f t="shared" si="10"/>
        <v>シェリル・ノーム starring May'n</v>
      </c>
      <c r="AB253" s="14" t="str">
        <f>_xlfn.XLOOKUP(AA253,M_ARTIST!A:A,M_ARTIST!B:B,"★★★",0,1)</f>
        <v>しぇりる・のーむ starring May'n</v>
      </c>
      <c r="AC253" s="14" t="str">
        <f t="shared" si="11"/>
        <v>ダイアモンドクレバス</v>
      </c>
      <c r="AD253" s="19" t="str">
        <f>HYPERLINK(_xlfn.XLOOKUP(C253,M_YT_LIVE_TIMESTAMP!AA:AA,M_YT_LIVE_TIMESTAMP!Z:Z,"★",0,-1))</f>
        <v>https://www.youtube.com/live/GvGh24EJfGg?si=QLYBryRLPz4v_Qdl&amp;t=10341s</v>
      </c>
    </row>
    <row r="254" spans="1:30" x14ac:dyDescent="0.4">
      <c r="A254" s="12" t="str">
        <v>ノーザンクロス</v>
      </c>
      <c r="B254" s="12" t="str">
        <v>シェリル・ノーム starring May'n</v>
      </c>
      <c r="C254" s="12" t="str">
        <f t="shared" si="9"/>
        <v>シェリル・ノーム starring May'nノーザンクロス</v>
      </c>
      <c r="AA254" s="14" t="str">
        <f t="shared" si="10"/>
        <v>シェリル・ノーム starring May'n</v>
      </c>
      <c r="AB254" s="14" t="str">
        <f>_xlfn.XLOOKUP(AA254,M_ARTIST!A:A,M_ARTIST!B:B,"★★★",0,1)</f>
        <v>しぇりる・のーむ starring May'n</v>
      </c>
      <c r="AC254" s="14" t="str">
        <f t="shared" si="11"/>
        <v>ノーザンクロス</v>
      </c>
      <c r="AD254" s="19" t="str">
        <f>HYPERLINK(_xlfn.XLOOKUP(C254,M_YT_LIVE_TIMESTAMP!AA:AA,M_YT_LIVE_TIMESTAMP!Z:Z,"★",0,-1))</f>
        <v>https://www.youtube.com/live/JAK2m4FWxF0?si=Xy-B8lpcz7dX_b5n&amp;t=2012s</v>
      </c>
    </row>
    <row r="255" spans="1:30" x14ac:dyDescent="0.4">
      <c r="A255" s="12" t="str">
        <v>射手座☆午後九時Don't be late</v>
      </c>
      <c r="B255" s="12" t="str">
        <v>シェリル・ノーム starring May'n</v>
      </c>
      <c r="C255" s="12" t="str">
        <f t="shared" si="9"/>
        <v>シェリル・ノーム starring May'n射手座☆午後九時Don't be late</v>
      </c>
      <c r="AA255" s="14" t="str">
        <f t="shared" si="10"/>
        <v>シェリル・ノーム starring May'n</v>
      </c>
      <c r="AB255" s="14" t="str">
        <f>_xlfn.XLOOKUP(AA255,M_ARTIST!A:A,M_ARTIST!B:B,"★★★",0,1)</f>
        <v>しぇりる・のーむ starring May'n</v>
      </c>
      <c r="AC255" s="14" t="str">
        <f t="shared" si="11"/>
        <v>射手座☆午後九時Don't be late</v>
      </c>
      <c r="AD255" s="19" t="str">
        <f>HYPERLINK(_xlfn.XLOOKUP(C255,M_YT_LIVE_TIMESTAMP!AA:AA,M_YT_LIVE_TIMESTAMP!Z:Z,"★",0,-1))</f>
        <v>https://www.youtube.com/live/JAK2m4FWxF0?si=Xy-B8lpcz7dX_b5n&amp;t=1113s</v>
      </c>
    </row>
    <row r="256" spans="1:30" x14ac:dyDescent="0.4">
      <c r="A256" s="12" t="str">
        <v>ライオン</v>
      </c>
      <c r="B256" s="12" t="str">
        <v>シェリル・ノーム starring May'n&amp;ランカ・リー(CV.中島愛)</v>
      </c>
      <c r="C256" s="12" t="str">
        <f t="shared" si="9"/>
        <v>シェリル・ノーム starring May'n&amp;ランカ・リー(CV.中島愛)ライオン</v>
      </c>
      <c r="AA256" s="14" t="str">
        <f t="shared" si="10"/>
        <v>シェリル・ノーム starring May'n&amp;ランカ・リー(CV.中島愛)</v>
      </c>
      <c r="AB256" s="14" t="str">
        <f>_xlfn.XLOOKUP(AA256,M_ARTIST!A:A,M_ARTIST!B:B,"★★★",0,1)</f>
        <v>しぇりる・のーむ starring May'n&amp;らんか・りー(CV.なかじまめぐみ)</v>
      </c>
      <c r="AC256" s="14" t="str">
        <f t="shared" si="11"/>
        <v>ライオン</v>
      </c>
      <c r="AD256" s="19" t="str">
        <f>HYPERLINK(_xlfn.XLOOKUP(C256,M_YT_LIVE_TIMESTAMP!AA:AA,M_YT_LIVE_TIMESTAMP!Z:Z,"★",0,-1))</f>
        <v>https://www.youtube.com/live/NkjXzUMUZpw?si=EmGBj6Hh6tIlwjGQ&amp;t=892s</v>
      </c>
    </row>
    <row r="257" spans="1:30" x14ac:dyDescent="0.4">
      <c r="A257" s="12" t="str">
        <v>ナナヒツジ</v>
      </c>
      <c r="B257" s="12" t="str">
        <v>シナリオアート</v>
      </c>
      <c r="C257" s="12" t="str">
        <f t="shared" si="9"/>
        <v>シナリオアートナナヒツジ</v>
      </c>
      <c r="AA257" s="14" t="str">
        <f t="shared" si="10"/>
        <v>シナリオアート</v>
      </c>
      <c r="AB257" s="14" t="str">
        <f>_xlfn.XLOOKUP(AA257,M_ARTIST!A:A,M_ARTIST!B:B,"★★★",0,1)</f>
        <v>しなりおあーと</v>
      </c>
      <c r="AC257" s="14" t="str">
        <f t="shared" si="11"/>
        <v>ナナヒツジ</v>
      </c>
      <c r="AD257" s="19" t="str">
        <f>HYPERLINK(_xlfn.XLOOKUP(C257,M_YT_LIVE_TIMESTAMP!AA:AA,M_YT_LIVE_TIMESTAMP!Z:Z,"★",0,-1))</f>
        <v>https://www.youtube.com/live/cHLqE4AOOjI?si=heDnYTUAoUpLyQ_J&amp;t=2432s</v>
      </c>
    </row>
    <row r="258" spans="1:30" x14ac:dyDescent="0.4">
      <c r="A258" s="12" t="str">
        <v>No Logic</v>
      </c>
      <c r="B258" s="12" t="str">
        <v>ジミーサムP feat.巡音ルカ</v>
      </c>
      <c r="C258" s="12" t="str">
        <f t="shared" si="9"/>
        <v>ジミーサムP feat.巡音ルカNo Logic</v>
      </c>
      <c r="AA258" s="14" t="str">
        <f t="shared" si="10"/>
        <v>ジミーサムP feat.巡音ルカ</v>
      </c>
      <c r="AB258" s="14" t="str">
        <f>_xlfn.XLOOKUP(AA258,M_ARTIST!A:A,M_ARTIST!B:B,"★★★",0,1)</f>
        <v>じみーさむP feat.めぐりねるか</v>
      </c>
      <c r="AC258" s="14" t="str">
        <f t="shared" si="11"/>
        <v>No Logic</v>
      </c>
      <c r="AD258" s="19" t="str">
        <f>HYPERLINK(_xlfn.XLOOKUP(C258,M_YT_LIVE_TIMESTAMP!AA:AA,M_YT_LIVE_TIMESTAMP!Z:Z,"★",0,-1))</f>
        <v>https://www.youtube.com/live/h9yyUj584EA?si=1RWpj-7KllpU7qa_&amp;t=4823s</v>
      </c>
    </row>
    <row r="259" spans="1:30" x14ac:dyDescent="0.4">
      <c r="A259" s="12" t="str">
        <v>Calc.</v>
      </c>
      <c r="B259" s="12" t="str">
        <v>ジミーサムP feat.初音ミク</v>
      </c>
      <c r="C259" s="12" t="str">
        <f t="shared" ref="C259:C322" si="12">TRIM(B259)&amp;TRIM(A259)</f>
        <v>ジミーサムP feat.初音ミクCalc.</v>
      </c>
      <c r="AA259" s="14" t="str">
        <f t="shared" ref="AA259:AA322" si="13">B259</f>
        <v>ジミーサムP feat.初音ミク</v>
      </c>
      <c r="AB259" s="14" t="str">
        <f>_xlfn.XLOOKUP(AA259,M_ARTIST!A:A,M_ARTIST!B:B,"★★★",0,1)</f>
        <v>じみーさむP feat.はつねみく</v>
      </c>
      <c r="AC259" s="14" t="str">
        <f t="shared" ref="AC259:AC322" si="14">A259</f>
        <v>Calc.</v>
      </c>
      <c r="AD259" s="19" t="str">
        <f>HYPERLINK(_xlfn.XLOOKUP(C259,M_YT_LIVE_TIMESTAMP!AA:AA,M_YT_LIVE_TIMESTAMP!Z:Z,"★",0,-1))</f>
        <v>https://www.youtube.com/live/h9yyUj584EA?si=1RWpj-7KllpU7qa_&amp;t=2924s</v>
      </c>
    </row>
    <row r="260" spans="1:30" x14ac:dyDescent="0.4">
      <c r="A260" s="12" t="str">
        <v>Little Traveler (1chorus)</v>
      </c>
      <c r="B260" s="12" t="str">
        <v>ジミーサムP feat.初音ミク</v>
      </c>
      <c r="C260" s="12" t="str">
        <f t="shared" si="12"/>
        <v>ジミーサムP feat.初音ミクLittle Traveler (1chorus)</v>
      </c>
      <c r="AA260" s="14" t="str">
        <f t="shared" si="13"/>
        <v>ジミーサムP feat.初音ミク</v>
      </c>
      <c r="AB260" s="14" t="str">
        <f>_xlfn.XLOOKUP(AA260,M_ARTIST!A:A,M_ARTIST!B:B,"★★★",0,1)</f>
        <v>じみーさむP feat.はつねみく</v>
      </c>
      <c r="AC260" s="14" t="str">
        <f t="shared" si="14"/>
        <v>Little Traveler (1chorus)</v>
      </c>
      <c r="AD260" s="19" t="str">
        <f>HYPERLINK(_xlfn.XLOOKUP(C260,M_YT_LIVE_TIMESTAMP!AA:AA,M_YT_LIVE_TIMESTAMP!Z:Z,"★",0,-1))</f>
        <v>https://www.youtube.com/live/h9yyUj584EA?si=1RWpj-7KllpU7qa_&amp;t=3336s</v>
      </c>
    </row>
    <row r="261" spans="1:30" x14ac:dyDescent="0.4">
      <c r="A261" s="12" t="str">
        <v>from Y to Y</v>
      </c>
      <c r="B261" s="12" t="str">
        <v>ジミーサムP feat.初音ミク＆巡音ルカ(コーラス)</v>
      </c>
      <c r="C261" s="12" t="str">
        <f t="shared" si="12"/>
        <v>ジミーサムP feat.初音ミク＆巡音ルカ(コーラス)from Y to Y</v>
      </c>
      <c r="AA261" s="14" t="str">
        <f t="shared" si="13"/>
        <v>ジミーサムP feat.初音ミク＆巡音ルカ(コーラス)</v>
      </c>
      <c r="AB261" s="14" t="str">
        <f>_xlfn.XLOOKUP(AA261,M_ARTIST!A:A,M_ARTIST!B:B,"★★★",0,1)</f>
        <v>じみーさむP feat.はつねみく＆めぐりねるか(こーらす)</v>
      </c>
      <c r="AC261" s="14" t="str">
        <f t="shared" si="14"/>
        <v>from Y to Y</v>
      </c>
      <c r="AD261" s="19" t="str">
        <f>HYPERLINK(_xlfn.XLOOKUP(C261,M_YT_LIVE_TIMESTAMP!AA:AA,M_YT_LIVE_TIMESTAMP!Z:Z,"★",0,-1))</f>
        <v>https://www.youtube.com/live/h9yyUj584EA?si=1RWpj-7KllpU7qa_&amp;t=2283s</v>
      </c>
    </row>
    <row r="262" spans="1:30" x14ac:dyDescent="0.4">
      <c r="A262" s="12" t="str">
        <v>オツキミリサイタル</v>
      </c>
      <c r="B262" s="12" t="str">
        <v>じん feat.IA</v>
      </c>
      <c r="C262" s="12" t="str">
        <f t="shared" si="12"/>
        <v>じん feat.IAオツキミリサイタル</v>
      </c>
      <c r="AA262" s="14" t="str">
        <f t="shared" si="13"/>
        <v>じん feat.IA</v>
      </c>
      <c r="AB262" s="14" t="str">
        <f>_xlfn.XLOOKUP(AA262,M_ARTIST!A:A,M_ARTIST!B:B,"★★★",0,1)</f>
        <v>じん feat.IA</v>
      </c>
      <c r="AC262" s="14" t="str">
        <f t="shared" si="14"/>
        <v>オツキミリサイタル</v>
      </c>
      <c r="AD262" s="19" t="str">
        <f>HYPERLINK(_xlfn.XLOOKUP(C262,M_YT_LIVE_TIMESTAMP!AA:AA,M_YT_LIVE_TIMESTAMP!Z:Z,"★",0,-1))</f>
        <v>https://www.youtube.com/live/i7euCqiwzl4?si=Gvd-dBAI4nZ9HDpv&amp;t=780s</v>
      </c>
    </row>
    <row r="263" spans="1:30" x14ac:dyDescent="0.4">
      <c r="A263" s="12" t="str">
        <v>アウターサイエンス</v>
      </c>
      <c r="B263" s="12" t="str">
        <v>じん(自然の敵P) feat.IA</v>
      </c>
      <c r="C263" s="12" t="str">
        <f t="shared" si="12"/>
        <v>じん(自然の敵P) feat.IAアウターサイエンス</v>
      </c>
      <c r="AA263" s="14" t="str">
        <f t="shared" si="13"/>
        <v>じん(自然の敵P) feat.IA</v>
      </c>
      <c r="AB263" s="14" t="str">
        <f>_xlfn.XLOOKUP(AA263,M_ARTIST!A:A,M_ARTIST!B:B,"★★★",0,1)</f>
        <v>じん(しぜんのてきP) feat.IA</v>
      </c>
      <c r="AC263" s="14" t="str">
        <f t="shared" si="14"/>
        <v>アウターサイエンス</v>
      </c>
      <c r="AD263" s="19" t="str">
        <f>HYPERLINK(_xlfn.XLOOKUP(C263,M_YT_LIVE_TIMESTAMP!AA:AA,M_YT_LIVE_TIMESTAMP!Z:Z,"★",0,-1))</f>
        <v>https://www.youtube.com/live/Dm-WC5w7K8Y?si=Pph-3uJ8wVrF5vc0&amp;t=3257s</v>
      </c>
    </row>
    <row r="264" spans="1:30" x14ac:dyDescent="0.4">
      <c r="A264" s="12" t="str">
        <v>サマータイムレコード</v>
      </c>
      <c r="B264" s="12" t="str">
        <v>じん(自然の敵P) feat.IA</v>
      </c>
      <c r="C264" s="12" t="str">
        <f t="shared" si="12"/>
        <v>じん(自然の敵P) feat.IAサマータイムレコード</v>
      </c>
      <c r="AA264" s="14" t="str">
        <f t="shared" si="13"/>
        <v>じん(自然の敵P) feat.IA</v>
      </c>
      <c r="AB264" s="14" t="str">
        <f>_xlfn.XLOOKUP(AA264,M_ARTIST!A:A,M_ARTIST!B:B,"★★★",0,1)</f>
        <v>じん(しぜんのてきP) feat.IA</v>
      </c>
      <c r="AC264" s="14" t="str">
        <f t="shared" si="14"/>
        <v>サマータイムレコード</v>
      </c>
      <c r="AD264" s="19" t="str">
        <f>HYPERLINK(_xlfn.XLOOKUP(C264,M_YT_LIVE_TIMESTAMP!AA:AA,M_YT_LIVE_TIMESTAMP!Z:Z,"★",0,-1))</f>
        <v>https://www.youtube.com/live/E8l1nOoKLLI?si=9GMtlAOzsgHxbniX&amp;t=6981s</v>
      </c>
    </row>
    <row r="265" spans="1:30" x14ac:dyDescent="0.4">
      <c r="A265" s="12" t="str">
        <v>チルドレンレコード</v>
      </c>
      <c r="B265" s="12" t="str">
        <v>じん(自然の敵P) feat.IA</v>
      </c>
      <c r="C265" s="12" t="str">
        <f t="shared" si="12"/>
        <v>じん(自然の敵P) feat.IAチルドレンレコード</v>
      </c>
      <c r="AA265" s="14" t="str">
        <f t="shared" si="13"/>
        <v>じん(自然の敵P) feat.IA</v>
      </c>
      <c r="AB265" s="14" t="str">
        <f>_xlfn.XLOOKUP(AA265,M_ARTIST!A:A,M_ARTIST!B:B,"★★★",0,1)</f>
        <v>じん(しぜんのてきP) feat.IA</v>
      </c>
      <c r="AC265" s="14" t="str">
        <f t="shared" si="14"/>
        <v>チルドレンレコード</v>
      </c>
      <c r="AD265" s="19" t="str">
        <f>HYPERLINK(_xlfn.XLOOKUP(C265,M_YT_LIVE_TIMESTAMP!AA:AA,M_YT_LIVE_TIMESTAMP!Z:Z,"★",0,-1))</f>
        <v>https://www.youtube.com/live/EIV2fME4Fec?si=lkzDtJEJ9agzd2Md&amp;t=1047s</v>
      </c>
    </row>
    <row r="266" spans="1:30" x14ac:dyDescent="0.4">
      <c r="A266" s="12" t="str">
        <v>ロスタイムメモリー</v>
      </c>
      <c r="B266" s="12" t="str">
        <v>じん(自然の敵P) feat.IA</v>
      </c>
      <c r="C266" s="12" t="str">
        <f t="shared" si="12"/>
        <v>じん(自然の敵P) feat.IAロスタイムメモリー</v>
      </c>
      <c r="AA266" s="14" t="str">
        <f t="shared" si="13"/>
        <v>じん(自然の敵P) feat.IA</v>
      </c>
      <c r="AB266" s="14" t="str">
        <f>_xlfn.XLOOKUP(AA266,M_ARTIST!A:A,M_ARTIST!B:B,"★★★",0,1)</f>
        <v>じん(しぜんのてきP) feat.IA</v>
      </c>
      <c r="AC266" s="14" t="str">
        <f t="shared" si="14"/>
        <v>ロスタイムメモリー</v>
      </c>
      <c r="AD266" s="19" t="str">
        <f>HYPERLINK(_xlfn.XLOOKUP(C266,M_YT_LIVE_TIMESTAMP!AA:AA,M_YT_LIVE_TIMESTAMP!Z:Z,"★",0,-1))</f>
        <v>https://www.youtube.com/live/EIV2fME4Fec?si=lkzDtJEJ9agzd2Md&amp;t=1297s</v>
      </c>
    </row>
    <row r="267" spans="1:30" x14ac:dyDescent="0.4">
      <c r="A267" s="12" t="str">
        <v>ワールド・コーリング</v>
      </c>
      <c r="B267" s="12" t="str">
        <v>じん(自然の敵P) feat.IA</v>
      </c>
      <c r="C267" s="12" t="str">
        <f t="shared" si="12"/>
        <v>じん(自然の敵P) feat.IAワールド・コーリング</v>
      </c>
      <c r="AA267" s="14" t="str">
        <f t="shared" si="13"/>
        <v>じん(自然の敵P) feat.IA</v>
      </c>
      <c r="AB267" s="14" t="str">
        <f>_xlfn.XLOOKUP(AA267,M_ARTIST!A:A,M_ARTIST!B:B,"★★★",0,1)</f>
        <v>じん(しぜんのてきP) feat.IA</v>
      </c>
      <c r="AC267" s="14" t="str">
        <f t="shared" si="14"/>
        <v>ワールド・コーリング</v>
      </c>
      <c r="AD267" s="19" t="str">
        <f>HYPERLINK(_xlfn.XLOOKUP(C267,M_YT_LIVE_TIMESTAMP!AA:AA,M_YT_LIVE_TIMESTAMP!Z:Z,"★",0,-1))</f>
        <v>https://www.youtube.com/live/AHfCHGope8I?si=qrXuqYy-tTqldtt4&amp;t=3309s</v>
      </c>
    </row>
    <row r="268" spans="1:30" x14ac:dyDescent="0.4">
      <c r="A268" s="12" t="str">
        <v>空想フォレスト</v>
      </c>
      <c r="B268" s="12" t="str">
        <v>じん(自然の敵P) feat.IA</v>
      </c>
      <c r="C268" s="12" t="str">
        <f t="shared" si="12"/>
        <v>じん(自然の敵P) feat.IA空想フォレスト</v>
      </c>
      <c r="AA268" s="14" t="str">
        <f t="shared" si="13"/>
        <v>じん(自然の敵P) feat.IA</v>
      </c>
      <c r="AB268" s="14" t="str">
        <f>_xlfn.XLOOKUP(AA268,M_ARTIST!A:A,M_ARTIST!B:B,"★★★",0,1)</f>
        <v>じん(しぜんのてきP) feat.IA</v>
      </c>
      <c r="AC268" s="14" t="str">
        <f t="shared" si="14"/>
        <v>空想フォレスト</v>
      </c>
      <c r="AD268" s="19" t="str">
        <f>HYPERLINK(_xlfn.XLOOKUP(C268,M_YT_LIVE_TIMESTAMP!AA:AA,M_YT_LIVE_TIMESTAMP!Z:Z,"★",0,-1))</f>
        <v>https://www.youtube.com/live/E8l1nOoKLLI?si=9GMtlAOzsgHxbniX&amp;t=6686s</v>
      </c>
    </row>
    <row r="269" spans="1:30" x14ac:dyDescent="0.4">
      <c r="A269" s="12" t="str">
        <v>少年ブレイヴ</v>
      </c>
      <c r="B269" s="12" t="str">
        <v>じん(自然の敵P) feat.IA</v>
      </c>
      <c r="C269" s="12" t="str">
        <f t="shared" si="12"/>
        <v>じん(自然の敵P) feat.IA少年ブレイヴ</v>
      </c>
      <c r="AA269" s="14" t="str">
        <f t="shared" si="13"/>
        <v>じん(自然の敵P) feat.IA</v>
      </c>
      <c r="AB269" s="14" t="str">
        <f>_xlfn.XLOOKUP(AA269,M_ARTIST!A:A,M_ARTIST!B:B,"★★★",0,1)</f>
        <v>じん(しぜんのてきP) feat.IA</v>
      </c>
      <c r="AC269" s="14" t="str">
        <f t="shared" si="14"/>
        <v>少年ブレイヴ</v>
      </c>
      <c r="AD269" s="19" t="str">
        <f>HYPERLINK(_xlfn.XLOOKUP(C269,M_YT_LIVE_TIMESTAMP!AA:AA,M_YT_LIVE_TIMESTAMP!Z:Z,"★",0,-1))</f>
        <v>https://www.youtube.com/live/8yfLYQayxQg?si=O0Q0AXQXC39nd7WJ&amp;t=6523s</v>
      </c>
    </row>
    <row r="270" spans="1:30" x14ac:dyDescent="0.4">
      <c r="A270" s="12" t="str">
        <v>想像フォレスト</v>
      </c>
      <c r="B270" s="12" t="str">
        <v>じん(自然の敵P) feat.IA</v>
      </c>
      <c r="C270" s="12" t="str">
        <f t="shared" si="12"/>
        <v>じん(自然の敵P) feat.IA想像フォレスト</v>
      </c>
      <c r="AA270" s="14" t="str">
        <f t="shared" si="13"/>
        <v>じん(自然の敵P) feat.IA</v>
      </c>
      <c r="AB270" s="14" t="str">
        <f>_xlfn.XLOOKUP(AA270,M_ARTIST!A:A,M_ARTIST!B:B,"★★★",0,1)</f>
        <v>じん(しぜんのてきP) feat.IA</v>
      </c>
      <c r="AC270" s="14" t="str">
        <f t="shared" si="14"/>
        <v>想像フォレスト</v>
      </c>
      <c r="AD270" s="19" t="str">
        <f>HYPERLINK(_xlfn.XLOOKUP(C270,M_YT_LIVE_TIMESTAMP!AA:AA,M_YT_LIVE_TIMESTAMP!Z:Z,"★",0,-1))</f>
        <v>https://www.youtube.com/live/YC2XfDeeAQI?si=BpJIi-KScnRHEoFo&amp;t=1195s</v>
      </c>
    </row>
    <row r="271" spans="1:30" x14ac:dyDescent="0.4">
      <c r="A271" s="12" t="str">
        <v>透明アンサー</v>
      </c>
      <c r="B271" s="12" t="str">
        <v>じん(自然の敵P) feat.IA</v>
      </c>
      <c r="C271" s="12" t="str">
        <f t="shared" si="12"/>
        <v>じん(自然の敵P) feat.IA透明アンサー</v>
      </c>
      <c r="AA271" s="14" t="str">
        <f t="shared" si="13"/>
        <v>じん(自然の敵P) feat.IA</v>
      </c>
      <c r="AB271" s="14" t="str">
        <f>_xlfn.XLOOKUP(AA271,M_ARTIST!A:A,M_ARTIST!B:B,"★★★",0,1)</f>
        <v>じん(しぜんのてきP) feat.IA</v>
      </c>
      <c r="AC271" s="14" t="str">
        <f t="shared" si="14"/>
        <v>透明アンサー</v>
      </c>
      <c r="AD271" s="19" t="str">
        <f>HYPERLINK(_xlfn.XLOOKUP(C271,M_YT_LIVE_TIMESTAMP!AA:AA,M_YT_LIVE_TIMESTAMP!Z:Z,"★",0,-1))</f>
        <v>https://www.youtube.com/live/i7euCqiwzl4?si=Gvd-dBAI4nZ9HDpv&amp;t=1145s</v>
      </c>
    </row>
    <row r="272" spans="1:30" x14ac:dyDescent="0.4">
      <c r="A272" s="12" t="str">
        <v>夜咄ディセイブ</v>
      </c>
      <c r="B272" s="12" t="str">
        <v>じん(自然の敵P) feat.IA</v>
      </c>
      <c r="C272" s="12" t="str">
        <f t="shared" si="12"/>
        <v>じん(自然の敵P) feat.IA夜咄ディセイブ</v>
      </c>
      <c r="AA272" s="14" t="str">
        <f t="shared" si="13"/>
        <v>じん(自然の敵P) feat.IA</v>
      </c>
      <c r="AB272" s="14" t="str">
        <f>_xlfn.XLOOKUP(AA272,M_ARTIST!A:A,M_ARTIST!B:B,"★★★",0,1)</f>
        <v>じん(しぜんのてきP) feat.IA</v>
      </c>
      <c r="AC272" s="14" t="str">
        <f t="shared" si="14"/>
        <v>夜咄ディセイブ</v>
      </c>
      <c r="AD272" s="19" t="str">
        <f>HYPERLINK(_xlfn.XLOOKUP(C272,M_YT_LIVE_TIMESTAMP!AA:AA,M_YT_LIVE_TIMESTAMP!Z:Z,"★",0,-1))</f>
        <v>https://www.youtube.com/live/AHfCHGope8I?si=qrXuqYy-tTqldtt4&amp;t=3734s</v>
      </c>
    </row>
    <row r="273" spans="1:30" x14ac:dyDescent="0.4">
      <c r="A273" s="12" t="str">
        <v>daze</v>
      </c>
      <c r="B273" s="12" t="str">
        <v>じん(自然の敵P) feat.メイリア</v>
      </c>
      <c r="C273" s="12" t="str">
        <f t="shared" si="12"/>
        <v>じん(自然の敵P) feat.メイリアdaze</v>
      </c>
      <c r="AA273" s="14" t="str">
        <f t="shared" si="13"/>
        <v>じん(自然の敵P) feat.メイリア</v>
      </c>
      <c r="AB273" s="14" t="str">
        <f>_xlfn.XLOOKUP(AA273,M_ARTIST!A:A,M_ARTIST!B:B,"★★★",0,1)</f>
        <v>じん(しぜんのてきP) feat.めいりあ</v>
      </c>
      <c r="AC273" s="14" t="str">
        <f t="shared" si="14"/>
        <v>daze</v>
      </c>
      <c r="AD273" s="19" t="str">
        <f>HYPERLINK(_xlfn.XLOOKUP(C273,M_YT_LIVE_TIMESTAMP!AA:AA,M_YT_LIVE_TIMESTAMP!Z:Z,"★",0,-1))</f>
        <v>https://www.youtube.com/live/GvGh24EJfGg?si=QLYBryRLPz4v_Qdl&amp;t=6966s</v>
      </c>
    </row>
    <row r="274" spans="1:30" x14ac:dyDescent="0.4">
      <c r="A274" s="12" t="str">
        <v>カゲロウデイズ</v>
      </c>
      <c r="B274" s="12" t="str">
        <v>じん(自然の敵P) feat.初音ミク</v>
      </c>
      <c r="C274" s="12" t="str">
        <f t="shared" si="12"/>
        <v>じん(自然の敵P) feat.初音ミクカゲロウデイズ</v>
      </c>
      <c r="AA274" s="14" t="str">
        <f t="shared" si="13"/>
        <v>じん(自然の敵P) feat.初音ミク</v>
      </c>
      <c r="AB274" s="14" t="str">
        <f>_xlfn.XLOOKUP(AA274,M_ARTIST!A:A,M_ARTIST!B:B,"★★★",0,1)</f>
        <v>じん(しぜんのてきP) feat.はつねみく</v>
      </c>
      <c r="AC274" s="14" t="str">
        <f t="shared" si="14"/>
        <v>カゲロウデイズ</v>
      </c>
      <c r="AD274" s="19" t="str">
        <f>HYPERLINK(_xlfn.XLOOKUP(C274,M_YT_LIVE_TIMESTAMP!AA:AA,M_YT_LIVE_TIMESTAMP!Z:Z,"★",0,-1))</f>
        <v>https://www.youtube.com/live/Dm-WC5w7K8Y?si=Pph-3uJ8wVrF5vc0&amp;t=2835s</v>
      </c>
    </row>
    <row r="275" spans="1:30" x14ac:dyDescent="0.4">
      <c r="A275" s="12" t="str">
        <v>カゲロウデイズ(1chorus)</v>
      </c>
      <c r="B275" s="12" t="str">
        <v>じん(自然の敵P) feat.初音ミク</v>
      </c>
      <c r="C275" s="12" t="str">
        <f t="shared" si="12"/>
        <v>じん(自然の敵P) feat.初音ミクカゲロウデイズ(1chorus)</v>
      </c>
      <c r="AA275" s="14" t="str">
        <f t="shared" si="13"/>
        <v>じん(自然の敵P) feat.初音ミク</v>
      </c>
      <c r="AB275" s="14" t="str">
        <f>_xlfn.XLOOKUP(AA275,M_ARTIST!A:A,M_ARTIST!B:B,"★★★",0,1)</f>
        <v>じん(しぜんのてきP) feat.はつねみく</v>
      </c>
      <c r="AC275" s="14" t="str">
        <f t="shared" si="14"/>
        <v>カゲロウデイズ(1chorus)</v>
      </c>
      <c r="AD275" s="19" t="str">
        <f>HYPERLINK(_xlfn.XLOOKUP(C275,M_YT_LIVE_TIMESTAMP!AA:AA,M_YT_LIVE_TIMESTAMP!Z:Z,"★",0,-1))</f>
        <v>https://www.youtube.com/live/8yfLYQayxQg?si=O0Q0AXQXC39nd7WJ&amp;t=7035s</v>
      </c>
    </row>
    <row r="276" spans="1:30" x14ac:dyDescent="0.4">
      <c r="A276" s="12" t="str">
        <v>ゴールデンタイムラバー</v>
      </c>
      <c r="B276" s="12" t="str">
        <v>スキマスイッチ</v>
      </c>
      <c r="C276" s="12" t="str">
        <f t="shared" si="12"/>
        <v>スキマスイッチゴールデンタイムラバー</v>
      </c>
      <c r="AA276" s="14" t="str">
        <f t="shared" si="13"/>
        <v>スキマスイッチ</v>
      </c>
      <c r="AB276" s="14" t="str">
        <f>_xlfn.XLOOKUP(AA276,M_ARTIST!A:A,M_ARTIST!B:B,"★★★",0,1)</f>
        <v>すきますいっち</v>
      </c>
      <c r="AC276" s="14" t="str">
        <f t="shared" si="14"/>
        <v>ゴールデンタイムラバー</v>
      </c>
      <c r="AD276" s="19" t="str">
        <f>HYPERLINK(_xlfn.XLOOKUP(C276,M_YT_LIVE_TIMESTAMP!AA:AA,M_YT_LIVE_TIMESTAMP!Z:Z,"★",0,-1))</f>
        <v>https://www.youtube.com/live/DX8misWhJuA?si=x9BqkZPlvHen5SCl&amp;t=241s</v>
      </c>
    </row>
    <row r="277" spans="1:30" x14ac:dyDescent="0.4">
      <c r="A277" s="12" t="str">
        <v>全力少年</v>
      </c>
      <c r="B277" s="12" t="str">
        <v>スキマスイッチ</v>
      </c>
      <c r="C277" s="12" t="str">
        <f t="shared" si="12"/>
        <v>スキマスイッチ全力少年</v>
      </c>
      <c r="AA277" s="14" t="str">
        <f t="shared" si="13"/>
        <v>スキマスイッチ</v>
      </c>
      <c r="AB277" s="14" t="str">
        <f>_xlfn.XLOOKUP(AA277,M_ARTIST!A:A,M_ARTIST!B:B,"★★★",0,1)</f>
        <v>すきますいっち</v>
      </c>
      <c r="AC277" s="14" t="str">
        <f t="shared" si="14"/>
        <v>全力少年</v>
      </c>
      <c r="AD277" s="19" t="str">
        <f>HYPERLINK(_xlfn.XLOOKUP(C277,M_YT_LIVE_TIMESTAMP!AA:AA,M_YT_LIVE_TIMESTAMP!Z:Z,"★",0,-1))</f>
        <v>https://www.youtube.com/live/DX8misWhJuA?si=x9BqkZPlvHen5SCl&amp;t=614s</v>
      </c>
    </row>
    <row r="278" spans="1:30" x14ac:dyDescent="0.4">
      <c r="A278" s="12" t="str">
        <v>奏</v>
      </c>
      <c r="B278" s="12" t="str">
        <v>スキマスイッチ</v>
      </c>
      <c r="C278" s="12" t="str">
        <f t="shared" si="12"/>
        <v>スキマスイッチ奏</v>
      </c>
      <c r="AA278" s="14" t="str">
        <f t="shared" si="13"/>
        <v>スキマスイッチ</v>
      </c>
      <c r="AB278" s="14" t="str">
        <f>_xlfn.XLOOKUP(AA278,M_ARTIST!A:A,M_ARTIST!B:B,"★★★",0,1)</f>
        <v>すきますいっち</v>
      </c>
      <c r="AC278" s="14" t="str">
        <f t="shared" si="14"/>
        <v>奏</v>
      </c>
      <c r="AD278" s="19" t="str">
        <f>HYPERLINK(_xlfn.XLOOKUP(C278,M_YT_LIVE_TIMESTAMP!AA:AA,M_YT_LIVE_TIMESTAMP!Z:Z,"★",0,-1))</f>
        <v>https://www.youtube.com/live/B1g4NIZAKqo?si=v8CWAz6GBo-vVIKK&amp;t=1623s</v>
      </c>
    </row>
    <row r="279" spans="1:30" x14ac:dyDescent="0.4">
      <c r="A279" s="12" t="str">
        <v>アイロニ</v>
      </c>
      <c r="B279" s="12" t="str">
        <v>すこっぷ feat.初音ミク</v>
      </c>
      <c r="C279" s="12" t="str">
        <f t="shared" si="12"/>
        <v>すこっぷ feat.初音ミクアイロニ</v>
      </c>
      <c r="AA279" s="14" t="str">
        <f t="shared" si="13"/>
        <v>すこっぷ feat.初音ミク</v>
      </c>
      <c r="AB279" s="14" t="str">
        <f>_xlfn.XLOOKUP(AA279,M_ARTIST!A:A,M_ARTIST!B:B,"★★★",0,1)</f>
        <v>すこっぷ feat.はつねみく</v>
      </c>
      <c r="AC279" s="14" t="str">
        <f t="shared" si="14"/>
        <v>アイロニ</v>
      </c>
      <c r="AD279" s="19" t="str">
        <f>HYPERLINK(_xlfn.XLOOKUP(C279,M_YT_LIVE_TIMESTAMP!AA:AA,M_YT_LIVE_TIMESTAMP!Z:Z,"★",0,-1))</f>
        <v>https://www.youtube.com/live/hkpPXWM6LDY?si=pgl-HW7-u6yZjLAi&amp;t=3821s</v>
      </c>
    </row>
    <row r="280" spans="1:30" x14ac:dyDescent="0.4">
      <c r="A280" s="12" t="str">
        <v>世界寿命と最後の一日</v>
      </c>
      <c r="B280" s="12" t="str">
        <v>スズム feat.GUMI</v>
      </c>
      <c r="C280" s="12" t="str">
        <f t="shared" si="12"/>
        <v>スズム feat.GUMI世界寿命と最後の一日</v>
      </c>
      <c r="AA280" s="14" t="str">
        <f t="shared" si="13"/>
        <v>スズム feat.GUMI</v>
      </c>
      <c r="AB280" s="14" t="str">
        <f>_xlfn.XLOOKUP(AA280,M_ARTIST!A:A,M_ARTIST!B:B,"★★★",0,1)</f>
        <v>すずむ feat.GUMI</v>
      </c>
      <c r="AC280" s="14" t="str">
        <f t="shared" si="14"/>
        <v>世界寿命と最後の一日</v>
      </c>
      <c r="AD280" s="19" t="str">
        <f>HYPERLINK(_xlfn.XLOOKUP(C280,M_YT_LIVE_TIMESTAMP!AA:AA,M_YT_LIVE_TIMESTAMP!Z:Z,"★",0,-1))</f>
        <v>https://www.youtube.com/live/bXG5ottJZas?si=VsjzjU8RreUrJGd3&amp;t=4821s</v>
      </c>
    </row>
    <row r="281" spans="1:30" x14ac:dyDescent="0.4">
      <c r="A281" s="12" t="str">
        <v>Dear Mr 「F」</v>
      </c>
      <c r="B281" s="12" t="str">
        <v>ずっと真夜中でいいのに。</v>
      </c>
      <c r="C281" s="12" t="str">
        <f t="shared" si="12"/>
        <v>ずっと真夜中でいいのに。Dear Mr 「F」</v>
      </c>
      <c r="AA281" s="14" t="str">
        <f t="shared" si="13"/>
        <v>ずっと真夜中でいいのに。</v>
      </c>
      <c r="AB281" s="14" t="str">
        <f>_xlfn.XLOOKUP(AA281,M_ARTIST!A:A,M_ARTIST!B:B,"★★★",0,1)</f>
        <v>ずっとまよなかでいいのに。</v>
      </c>
      <c r="AC281" s="14" t="str">
        <f t="shared" si="14"/>
        <v>Dear Mr 「F」</v>
      </c>
      <c r="AD281" s="19" t="str">
        <f>HYPERLINK(_xlfn.XLOOKUP(C281,M_YT_LIVE_TIMESTAMP!AA:AA,M_YT_LIVE_TIMESTAMP!Z:Z,"★",0,-1))</f>
        <v>https://www.youtube.com/live/TDYlHpN4h0s?si=ysSy7YIPSXU6T0nx&amp;t=2532s</v>
      </c>
    </row>
    <row r="282" spans="1:30" x14ac:dyDescent="0.4">
      <c r="A282" s="12" t="str">
        <v>Ham</v>
      </c>
      <c r="B282" s="12" t="str">
        <v>ずっと真夜中でいいのに。</v>
      </c>
      <c r="C282" s="12" t="str">
        <f t="shared" si="12"/>
        <v>ずっと真夜中でいいのに。Ham</v>
      </c>
      <c r="AA282" s="14" t="str">
        <f t="shared" si="13"/>
        <v>ずっと真夜中でいいのに。</v>
      </c>
      <c r="AB282" s="14" t="str">
        <f>_xlfn.XLOOKUP(AA282,M_ARTIST!A:A,M_ARTIST!B:B,"★★★",0,1)</f>
        <v>ずっとまよなかでいいのに。</v>
      </c>
      <c r="AC282" s="14" t="str">
        <f t="shared" si="14"/>
        <v>Ham</v>
      </c>
      <c r="AD282" s="19" t="str">
        <f>HYPERLINK(_xlfn.XLOOKUP(C282,M_YT_LIVE_TIMESTAMP!AA:AA,M_YT_LIVE_TIMESTAMP!Z:Z,"★",0,-1))</f>
        <v>https://www.youtube.com/live/TDYlHpN4h0s?si=ysSy7YIPSXU6T0nx&amp;t=2160s</v>
      </c>
    </row>
    <row r="283" spans="1:30" x14ac:dyDescent="0.4">
      <c r="A283" s="12" t="str">
        <v>MILABO</v>
      </c>
      <c r="B283" s="12" t="str">
        <v>ずっと真夜中でいいのに。</v>
      </c>
      <c r="C283" s="12" t="str">
        <f t="shared" si="12"/>
        <v>ずっと真夜中でいいのに。MILABO</v>
      </c>
      <c r="AA283" s="14" t="str">
        <f t="shared" si="13"/>
        <v>ずっと真夜中でいいのに。</v>
      </c>
      <c r="AB283" s="14" t="str">
        <f>_xlfn.XLOOKUP(AA283,M_ARTIST!A:A,M_ARTIST!B:B,"★★★",0,1)</f>
        <v>ずっとまよなかでいいのに。</v>
      </c>
      <c r="AC283" s="14" t="str">
        <f t="shared" si="14"/>
        <v>MILABO</v>
      </c>
      <c r="AD283" s="19" t="str">
        <f>HYPERLINK(_xlfn.XLOOKUP(C283,M_YT_LIVE_TIMESTAMP!AA:AA,M_YT_LIVE_TIMESTAMP!Z:Z,"★",0,-1))</f>
        <v>https://www.youtube.com/live/OEtLBen9pLM?si=M4WDMSGkkHfWLvDr&amp;t=2519s</v>
      </c>
    </row>
    <row r="284" spans="1:30" x14ac:dyDescent="0.4">
      <c r="A284" s="12" t="str">
        <v>サターン</v>
      </c>
      <c r="B284" s="12" t="str">
        <v>ずっと真夜中でいいのに。</v>
      </c>
      <c r="C284" s="12" t="str">
        <f t="shared" si="12"/>
        <v>ずっと真夜中でいいのに。サターン</v>
      </c>
      <c r="AA284" s="14" t="str">
        <f t="shared" si="13"/>
        <v>ずっと真夜中でいいのに。</v>
      </c>
      <c r="AB284" s="14" t="str">
        <f>_xlfn.XLOOKUP(AA284,M_ARTIST!A:A,M_ARTIST!B:B,"★★★",0,1)</f>
        <v>ずっとまよなかでいいのに。</v>
      </c>
      <c r="AC284" s="14" t="str">
        <f t="shared" si="14"/>
        <v>サターン</v>
      </c>
      <c r="AD284" s="19" t="str">
        <f>HYPERLINK(_xlfn.XLOOKUP(C284,M_YT_LIVE_TIMESTAMP!AA:AA,M_YT_LIVE_TIMESTAMP!Z:Z,"★",0,-1))</f>
        <v>https://www.youtube.com/live/ac4RYGdoGfw?si=XYuojmcqpJZOLb9x&amp;t=761s</v>
      </c>
    </row>
    <row r="285" spans="1:30" x14ac:dyDescent="0.4">
      <c r="A285" s="12" t="str">
        <v>ヒューマノイド</v>
      </c>
      <c r="B285" s="12" t="str">
        <v>ずっと真夜中でいいのに。</v>
      </c>
      <c r="C285" s="12" t="str">
        <f t="shared" si="12"/>
        <v>ずっと真夜中でいいのに。ヒューマノイド</v>
      </c>
      <c r="AA285" s="14" t="str">
        <f t="shared" si="13"/>
        <v>ずっと真夜中でいいのに。</v>
      </c>
      <c r="AB285" s="14" t="str">
        <f>_xlfn.XLOOKUP(AA285,M_ARTIST!A:A,M_ARTIST!B:B,"★★★",0,1)</f>
        <v>ずっとまよなかでいいのに。</v>
      </c>
      <c r="AC285" s="14" t="str">
        <f t="shared" si="14"/>
        <v>ヒューマノイド</v>
      </c>
      <c r="AD285" s="19" t="str">
        <f>HYPERLINK(_xlfn.XLOOKUP(C285,M_YT_LIVE_TIMESTAMP!AA:AA,M_YT_LIVE_TIMESTAMP!Z:Z,"★",0,-1))</f>
        <v>https://www.youtube.com/live/ac4RYGdoGfw?si=XYuojmcqpJZOLb9x&amp;t=1612s</v>
      </c>
    </row>
    <row r="286" spans="1:30" x14ac:dyDescent="0.4">
      <c r="A286" s="12" t="str">
        <v>勘冴えて悔しいわ</v>
      </c>
      <c r="B286" s="12" t="str">
        <v>ずっと真夜中でいいのに。</v>
      </c>
      <c r="C286" s="12" t="str">
        <f t="shared" si="12"/>
        <v>ずっと真夜中でいいのに。勘冴えて悔しいわ</v>
      </c>
      <c r="AA286" s="14" t="str">
        <f t="shared" si="13"/>
        <v>ずっと真夜中でいいのに。</v>
      </c>
      <c r="AB286" s="14" t="str">
        <f>_xlfn.XLOOKUP(AA286,M_ARTIST!A:A,M_ARTIST!B:B,"★★★",0,1)</f>
        <v>ずっとまよなかでいいのに。</v>
      </c>
      <c r="AC286" s="14" t="str">
        <f t="shared" si="14"/>
        <v>勘冴えて悔しいわ</v>
      </c>
      <c r="AD286" s="19" t="str">
        <f>HYPERLINK(_xlfn.XLOOKUP(C286,M_YT_LIVE_TIMESTAMP!AA:AA,M_YT_LIVE_TIMESTAMP!Z:Z,"★",0,-1))</f>
        <v>https://www.youtube.com/live/E8l1nOoKLLI?si=9GMtlAOzsgHxbniX&amp;t=2888s</v>
      </c>
    </row>
    <row r="287" spans="1:30" x14ac:dyDescent="0.4">
      <c r="A287" s="12" t="str">
        <v>正しくなれない</v>
      </c>
      <c r="B287" s="12" t="str">
        <v>ずっと真夜中でいいのに。</v>
      </c>
      <c r="C287" s="12" t="str">
        <f t="shared" si="12"/>
        <v>ずっと真夜中でいいのに。正しくなれない</v>
      </c>
      <c r="AA287" s="14" t="str">
        <f t="shared" si="13"/>
        <v>ずっと真夜中でいいのに。</v>
      </c>
      <c r="AB287" s="14" t="str">
        <f>_xlfn.XLOOKUP(AA287,M_ARTIST!A:A,M_ARTIST!B:B,"★★★",0,1)</f>
        <v>ずっとまよなかでいいのに。</v>
      </c>
      <c r="AC287" s="14" t="str">
        <f t="shared" si="14"/>
        <v>正しくなれない</v>
      </c>
      <c r="AD287" s="19" t="str">
        <f>HYPERLINK(_xlfn.XLOOKUP(C287,M_YT_LIVE_TIMESTAMP!AA:AA,M_YT_LIVE_TIMESTAMP!Z:Z,"★",0,-1))</f>
        <v>https://www.youtube.com/live/OEtLBen9pLM?si=M4WDMSGkkHfWLvDr&amp;t=2976s</v>
      </c>
    </row>
    <row r="288" spans="1:30" x14ac:dyDescent="0.4">
      <c r="A288" s="12" t="str">
        <v>低血ボルト</v>
      </c>
      <c r="B288" s="12" t="str">
        <v>ずっと真夜中でいいのに。</v>
      </c>
      <c r="C288" s="12" t="str">
        <f t="shared" si="12"/>
        <v>ずっと真夜中でいいのに。低血ボルト</v>
      </c>
      <c r="AA288" s="14" t="str">
        <f t="shared" si="13"/>
        <v>ずっと真夜中でいいのに。</v>
      </c>
      <c r="AB288" s="14" t="str">
        <f>_xlfn.XLOOKUP(AA288,M_ARTIST!A:A,M_ARTIST!B:B,"★★★",0,1)</f>
        <v>ずっとまよなかでいいのに。</v>
      </c>
      <c r="AC288" s="14" t="str">
        <f t="shared" si="14"/>
        <v>低血ボルト</v>
      </c>
      <c r="AD288" s="19" t="str">
        <f>HYPERLINK(_xlfn.XLOOKUP(C288,M_YT_LIVE_TIMESTAMP!AA:AA,M_YT_LIVE_TIMESTAMP!Z:Z,"★",0,-1))</f>
        <v>https://www.youtube.com/live/OEtLBen9pLM?si=M4WDMSGkkHfWLvDr&amp;t=3438s</v>
      </c>
    </row>
    <row r="289" spans="1:30" x14ac:dyDescent="0.4">
      <c r="A289" s="12" t="str">
        <v>脳裏上のクラッカー</v>
      </c>
      <c r="B289" s="12" t="str">
        <v>ずっと真夜中でいいのに。</v>
      </c>
      <c r="C289" s="12" t="str">
        <f t="shared" si="12"/>
        <v>ずっと真夜中でいいのに。脳裏上のクラッカー</v>
      </c>
      <c r="AA289" s="14" t="str">
        <f t="shared" si="13"/>
        <v>ずっと真夜中でいいのに。</v>
      </c>
      <c r="AB289" s="14" t="str">
        <f>_xlfn.XLOOKUP(AA289,M_ARTIST!A:A,M_ARTIST!B:B,"★★★",0,1)</f>
        <v>ずっとまよなかでいいのに。</v>
      </c>
      <c r="AC289" s="14" t="str">
        <f t="shared" si="14"/>
        <v>脳裏上のクラッカー</v>
      </c>
      <c r="AD289" s="19" t="str">
        <f>HYPERLINK(_xlfn.XLOOKUP(C289,M_YT_LIVE_TIMESTAMP!AA:AA,M_YT_LIVE_TIMESTAMP!Z:Z,"★",0,-1))</f>
        <v>https://www.youtube.com/live/E8l1nOoKLLI?si=9GMtlAOzsgHxbniX&amp;t=2531s</v>
      </c>
    </row>
    <row r="290" spans="1:30" x14ac:dyDescent="0.4">
      <c r="A290" s="12" t="str">
        <v>秒針を噛む</v>
      </c>
      <c r="B290" s="12" t="str">
        <v>ずっと真夜中でいいのに。</v>
      </c>
      <c r="C290" s="12" t="str">
        <f t="shared" si="12"/>
        <v>ずっと真夜中でいいのに。秒針を噛む</v>
      </c>
      <c r="AA290" s="14" t="str">
        <f t="shared" si="13"/>
        <v>ずっと真夜中でいいのに。</v>
      </c>
      <c r="AB290" s="14" t="str">
        <f>_xlfn.XLOOKUP(AA290,M_ARTIST!A:A,M_ARTIST!B:B,"★★★",0,1)</f>
        <v>ずっとまよなかでいいのに。</v>
      </c>
      <c r="AC290" s="14" t="str">
        <f t="shared" si="14"/>
        <v>秒針を噛む</v>
      </c>
      <c r="AD290" s="19" t="str">
        <f>HYPERLINK(_xlfn.XLOOKUP(C290,M_YT_LIVE_TIMESTAMP!AA:AA,M_YT_LIVE_TIMESTAMP!Z:Z,"★",0,-1))</f>
        <v>https://www.youtube.com/live/ac4RYGdoGfw?si=XYuojmcqpJZOLb9x&amp;t=374s</v>
      </c>
    </row>
    <row r="291" spans="1:30" x14ac:dyDescent="0.4">
      <c r="A291" s="12" t="str">
        <v>チェリー</v>
      </c>
      <c r="B291" s="12" t="str">
        <v>スピッツ</v>
      </c>
      <c r="C291" s="12" t="str">
        <f t="shared" si="12"/>
        <v>スピッツチェリー</v>
      </c>
      <c r="AA291" s="14" t="str">
        <f t="shared" si="13"/>
        <v>スピッツ</v>
      </c>
      <c r="AB291" s="14" t="str">
        <f>_xlfn.XLOOKUP(AA291,M_ARTIST!A:A,M_ARTIST!B:B,"★★★",0,1)</f>
        <v>すぴっつ</v>
      </c>
      <c r="AC291" s="14" t="str">
        <f t="shared" si="14"/>
        <v>チェリー</v>
      </c>
      <c r="AD291" s="19" t="str">
        <f>HYPERLINK(_xlfn.XLOOKUP(C291,M_YT_LIVE_TIMESTAMP!AA:AA,M_YT_LIVE_TIMESTAMP!Z:Z,"★",0,-1))</f>
        <v>https://www.youtube.com/live/DX8misWhJuA?si=x9BqkZPlvHen5SCl&amp;t=2745s</v>
      </c>
    </row>
    <row r="292" spans="1:30" x14ac:dyDescent="0.4">
      <c r="A292" s="12" t="str">
        <v>SEVENTH HAVEN</v>
      </c>
      <c r="B292" s="12" t="str">
        <v>セブンスシスターズ</v>
      </c>
      <c r="C292" s="12" t="str">
        <f t="shared" si="12"/>
        <v>セブンスシスターズSEVENTH HAVEN</v>
      </c>
      <c r="AA292" s="14" t="str">
        <f t="shared" si="13"/>
        <v>セブンスシスターズ</v>
      </c>
      <c r="AB292" s="14" t="str">
        <f>_xlfn.XLOOKUP(AA292,M_ARTIST!A:A,M_ARTIST!B:B,"★★★",0,1)</f>
        <v>せぶんすしすたーず</v>
      </c>
      <c r="AC292" s="14" t="str">
        <f t="shared" si="14"/>
        <v>SEVENTH HAVEN</v>
      </c>
      <c r="AD292" s="19" t="str">
        <f>HYPERLINK(_xlfn.XLOOKUP(C292,M_YT_LIVE_TIMESTAMP!AA:AA,M_YT_LIVE_TIMESTAMP!Z:Z,"★",0,-1))</f>
        <v>https://www.youtube.com/live/orkAkFl798M?si=7tK-YB5J1dGoAFWq&amp;t=3799s</v>
      </c>
    </row>
    <row r="293" spans="1:30" x14ac:dyDescent="0.4">
      <c r="A293" s="12" t="str">
        <v>動く、動く</v>
      </c>
      <c r="B293" s="12" t="str">
        <v>チト(水瀬いのり)、ユーリ(久保ユリカ)</v>
      </c>
      <c r="C293" s="12" t="str">
        <f t="shared" si="12"/>
        <v>チト(水瀬いのり)、ユーリ(久保ユリカ)動く、動く</v>
      </c>
      <c r="AA293" s="14" t="str">
        <f t="shared" si="13"/>
        <v>チト(水瀬いのり)、ユーリ(久保ユリカ)</v>
      </c>
      <c r="AB293" s="14" t="str">
        <f>_xlfn.XLOOKUP(AA293,M_ARTIST!A:A,M_ARTIST!B:B,"★★★",0,1)</f>
        <v>ちと(みなせいおり)、ゆーり(くぼゆりか)</v>
      </c>
      <c r="AC293" s="14" t="str">
        <f t="shared" si="14"/>
        <v>動く、動く</v>
      </c>
      <c r="AD293" s="19" t="str">
        <f>HYPERLINK(_xlfn.XLOOKUP(C293,M_YT_LIVE_TIMESTAMP!AA:AA,M_YT_LIVE_TIMESTAMP!Z:Z,"★",0,-1))</f>
        <v>https://www.youtube.com/live/wY3z5W9B8N0?si=FVqBjyoCdmcOKFxz&amp;t=81540s</v>
      </c>
    </row>
    <row r="294" spans="1:30" x14ac:dyDescent="0.4">
      <c r="A294" s="12" t="str">
        <v>真夜中遊園地</v>
      </c>
      <c r="B294" s="12" t="str">
        <v>チャットモンチー</v>
      </c>
      <c r="C294" s="12" t="str">
        <f t="shared" si="12"/>
        <v>チャットモンチー真夜中遊園地</v>
      </c>
      <c r="AA294" s="14" t="str">
        <f t="shared" si="13"/>
        <v>チャットモンチー</v>
      </c>
      <c r="AB294" s="14" t="str">
        <f>_xlfn.XLOOKUP(AA294,M_ARTIST!A:A,M_ARTIST!B:B,"★★★",0,1)</f>
        <v>ちゃっともんちー</v>
      </c>
      <c r="AC294" s="14" t="str">
        <f t="shared" si="14"/>
        <v>真夜中遊園地</v>
      </c>
      <c r="AD294" s="19" t="str">
        <f>HYPERLINK(_xlfn.XLOOKUP(C294,M_YT_LIVE_TIMESTAMP!AA:AA,M_YT_LIVE_TIMESTAMP!Z:Z,"★",0,-1))</f>
        <v>https://www.youtube.com/live/5-PHEYq6a-Y?si=i1qN4inKhZc0prZ-&amp;t=1821s</v>
      </c>
    </row>
    <row r="295" spans="1:30" x14ac:dyDescent="0.4">
      <c r="A295" s="12" t="str">
        <v>染まるよ</v>
      </c>
      <c r="B295" s="12" t="str">
        <v>チャットモンチー</v>
      </c>
      <c r="C295" s="12" t="str">
        <f t="shared" si="12"/>
        <v>チャットモンチー染まるよ</v>
      </c>
      <c r="AA295" s="14" t="str">
        <f t="shared" si="13"/>
        <v>チャットモンチー</v>
      </c>
      <c r="AB295" s="14" t="str">
        <f>_xlfn.XLOOKUP(AA295,M_ARTIST!A:A,M_ARTIST!B:B,"★★★",0,1)</f>
        <v>ちゃっともんちー</v>
      </c>
      <c r="AC295" s="14" t="str">
        <f t="shared" si="14"/>
        <v>染まるよ</v>
      </c>
      <c r="AD295" s="19" t="str">
        <f>HYPERLINK(_xlfn.XLOOKUP(C295,M_YT_LIVE_TIMESTAMP!AA:AA,M_YT_LIVE_TIMESTAMP!Z:Z,"★",0,-1))</f>
        <v>https://www.youtube.com/live/N0Tp3auhZ54?si=TUAMJQ8TqFkAVZ1r&amp;t=4605s</v>
      </c>
    </row>
    <row r="296" spans="1:30" x14ac:dyDescent="0.4">
      <c r="A296" s="12" t="str">
        <v>風吹けば恋</v>
      </c>
      <c r="B296" s="12" t="str">
        <v>チャットモンチー</v>
      </c>
      <c r="C296" s="12" t="str">
        <f t="shared" si="12"/>
        <v>チャットモンチー風吹けば恋</v>
      </c>
      <c r="AA296" s="14" t="str">
        <f t="shared" si="13"/>
        <v>チャットモンチー</v>
      </c>
      <c r="AB296" s="14" t="str">
        <f>_xlfn.XLOOKUP(AA296,M_ARTIST!A:A,M_ARTIST!B:B,"★★★",0,1)</f>
        <v>ちゃっともんちー</v>
      </c>
      <c r="AC296" s="14" t="str">
        <f t="shared" si="14"/>
        <v>風吹けば恋</v>
      </c>
      <c r="AD296" s="19" t="str">
        <f>HYPERLINK(_xlfn.XLOOKUP(C296,M_YT_LIVE_TIMESTAMP!AA:AA,M_YT_LIVE_TIMESTAMP!Z:Z,"★",0,-1))</f>
        <v>https://www.youtube.com/live/5-PHEYq6a-Y?si=i1qN4inKhZc0prZ-&amp;t=2105s</v>
      </c>
    </row>
    <row r="297" spans="1:30" x14ac:dyDescent="0.4">
      <c r="A297" s="12" t="str">
        <v>SHIKIBU feat. 阿波の踊り子</v>
      </c>
      <c r="B297" s="12" t="str">
        <v>チャットモンチー(レキシ)</v>
      </c>
      <c r="C297" s="12" t="str">
        <f t="shared" si="12"/>
        <v>チャットモンチー(レキシ)SHIKIBU feat. 阿波の踊り子</v>
      </c>
      <c r="AA297" s="14" t="str">
        <f t="shared" si="13"/>
        <v>チャットモンチー(レキシ)</v>
      </c>
      <c r="AB297" s="14" t="str">
        <f>_xlfn.XLOOKUP(AA297,M_ARTIST!A:A,M_ARTIST!B:B,"★★★",0,1)</f>
        <v>ちゃっともんちー(れきし)</v>
      </c>
      <c r="AC297" s="14" t="str">
        <f t="shared" si="14"/>
        <v>SHIKIBU feat. 阿波の踊り子</v>
      </c>
      <c r="AD297" s="19" t="str">
        <f>HYPERLINK(_xlfn.XLOOKUP(C297,M_YT_LIVE_TIMESTAMP!AA:AA,M_YT_LIVE_TIMESTAMP!Z:Z,"★",0,-1))</f>
        <v>https://www.youtube.com/live/rowkHJneOgY?si=dzvDO_qNHD4fLHMQ&amp;t=2240s</v>
      </c>
    </row>
    <row r="298" spans="1:30" x14ac:dyDescent="0.4">
      <c r="A298" s="12" t="str">
        <v>フォニイ</v>
      </c>
      <c r="B298" s="12" t="str">
        <v>ツミキ feat.可不</v>
      </c>
      <c r="C298" s="12" t="str">
        <f t="shared" si="12"/>
        <v>ツミキ feat.可不フォニイ</v>
      </c>
      <c r="AA298" s="14" t="str">
        <f t="shared" si="13"/>
        <v>ツミキ feat.可不</v>
      </c>
      <c r="AB298" s="14" t="str">
        <f>_xlfn.XLOOKUP(AA298,M_ARTIST!A:A,M_ARTIST!B:B,"★★★",0,1)</f>
        <v>ツミキ feat.かふ</v>
      </c>
      <c r="AC298" s="14" t="str">
        <f t="shared" si="14"/>
        <v>フォニイ</v>
      </c>
      <c r="AD298" s="19" t="str">
        <f>HYPERLINK(_xlfn.XLOOKUP(C298,M_YT_LIVE_TIMESTAMP!AA:AA,M_YT_LIVE_TIMESTAMP!Z:Z,"★",0,-1))</f>
        <v>https://www.youtube.com/live/AHfCHGope8I?si=qrXuqYy-tTqldtt4&amp;t=1759s</v>
      </c>
    </row>
    <row r="299" spans="1:30" x14ac:dyDescent="0.4">
      <c r="A299" s="12" t="str">
        <v>ミュージックミュージック</v>
      </c>
      <c r="B299" s="12" t="str">
        <v>とあ feat.初音ミク</v>
      </c>
      <c r="C299" s="12" t="str">
        <f t="shared" si="12"/>
        <v>とあ feat.初音ミクミュージックミュージック</v>
      </c>
      <c r="AA299" s="14" t="str">
        <f t="shared" si="13"/>
        <v>とあ feat.初音ミク</v>
      </c>
      <c r="AB299" s="14" t="str">
        <f>_xlfn.XLOOKUP(AA299,M_ARTIST!A:A,M_ARTIST!B:B,"★★★",0,1)</f>
        <v>とあ feat.はつねみく</v>
      </c>
      <c r="AC299" s="14" t="str">
        <f t="shared" si="14"/>
        <v>ミュージックミュージック</v>
      </c>
      <c r="AD299" s="19" t="str">
        <f>HYPERLINK(_xlfn.XLOOKUP(C299,M_YT_LIVE_TIMESTAMP!AA:AA,M_YT_LIVE_TIMESTAMP!Z:Z,"★",0,-1))</f>
        <v>https://www.youtube.com/live/Cs48limSzrE?si=n8CFockH4OVXGSvE&amp;t=3346s</v>
      </c>
    </row>
    <row r="300" spans="1:30" x14ac:dyDescent="0.4">
      <c r="A300" s="12" t="str">
        <v>エンヴィーキャットウォーク</v>
      </c>
      <c r="B300" s="12" t="str">
        <v>トーマ feat.初音ミク</v>
      </c>
      <c r="C300" s="12" t="str">
        <f t="shared" si="12"/>
        <v>トーマ feat.初音ミクエンヴィーキャットウォーク</v>
      </c>
      <c r="AA300" s="14" t="str">
        <f t="shared" si="13"/>
        <v>トーマ feat.初音ミク</v>
      </c>
      <c r="AB300" s="14" t="str">
        <f>_xlfn.XLOOKUP(AA300,M_ARTIST!A:A,M_ARTIST!B:B,"★★★",0,1)</f>
        <v>とーま feat.はつねみく</v>
      </c>
      <c r="AC300" s="14" t="str">
        <f t="shared" si="14"/>
        <v>エンヴィーキャットウォーク</v>
      </c>
      <c r="AD300" s="19" t="str">
        <f>HYPERLINK(_xlfn.XLOOKUP(C300,M_YT_LIVE_TIMESTAMP!AA:AA,M_YT_LIVE_TIMESTAMP!Z:Z,"★",0,-1))</f>
        <v>https://www.youtube.com/live/bXG5ottJZas?si=VsjzjU8RreUrJGd3&amp;t=2878s</v>
      </c>
    </row>
    <row r="301" spans="1:30" x14ac:dyDescent="0.4">
      <c r="A301" s="12" t="str">
        <v>ド屑</v>
      </c>
      <c r="B301" s="12" t="str">
        <v>なきそ feat.歌愛ユキ</v>
      </c>
      <c r="C301" s="12" t="str">
        <f t="shared" si="12"/>
        <v>なきそ feat.歌愛ユキド屑</v>
      </c>
      <c r="AA301" s="14" t="str">
        <f t="shared" si="13"/>
        <v>なきそ feat.歌愛ユキ</v>
      </c>
      <c r="AB301" s="14" t="str">
        <f>_xlfn.XLOOKUP(AA301,M_ARTIST!A:A,M_ARTIST!B:B,"★★★",0,1)</f>
        <v>なきそ feat.かあいゆき</v>
      </c>
      <c r="AC301" s="14" t="str">
        <f t="shared" si="14"/>
        <v>ド屑</v>
      </c>
      <c r="AD301" s="19" t="str">
        <f>HYPERLINK(_xlfn.XLOOKUP(C301,M_YT_LIVE_TIMESTAMP!AA:AA,M_YT_LIVE_TIMESTAMP!Z:Z,"★",0,-1))</f>
        <v>https://www.youtube.com/live/OEtLBen9pLM?si=M4WDMSGkkHfWLvDr&amp;t=4117s</v>
      </c>
    </row>
    <row r="302" spans="1:30" x14ac:dyDescent="0.4">
      <c r="A302" s="12" t="str">
        <v>瞬間イマジネーション</v>
      </c>
      <c r="B302" s="12" t="str">
        <v>ななしいんく</v>
      </c>
      <c r="C302" s="12" t="str">
        <f t="shared" si="12"/>
        <v>ななしいんく瞬間イマジネーション</v>
      </c>
      <c r="AA302" s="14" t="str">
        <f t="shared" si="13"/>
        <v>ななしいんく</v>
      </c>
      <c r="AB302" s="14" t="str">
        <f>_xlfn.XLOOKUP(AA302,M_ARTIST!A:A,M_ARTIST!B:B,"★★★",0,1)</f>
        <v>ななしいんく</v>
      </c>
      <c r="AC302" s="14" t="str">
        <f t="shared" si="14"/>
        <v>瞬間イマジネーション</v>
      </c>
      <c r="AD302" s="19" t="str">
        <f>HYPERLINK(_xlfn.XLOOKUP(C302,M_YT_LIVE_TIMESTAMP!AA:AA,M_YT_LIVE_TIMESTAMP!Z:Z,"★",0,-1))</f>
        <v>https://www.youtube.com/live/zHPmNlzplRQ?si=hKbKp_wLxXmd13Kq&amp;t=4203s</v>
      </c>
    </row>
    <row r="303" spans="1:30" x14ac:dyDescent="0.4">
      <c r="A303" s="12" t="str">
        <v>星空のエチュード</v>
      </c>
      <c r="B303" s="12" t="str">
        <v>ななしいんく</v>
      </c>
      <c r="C303" s="12" t="str">
        <f t="shared" si="12"/>
        <v>ななしいんく星空のエチュード</v>
      </c>
      <c r="AA303" s="14" t="str">
        <f t="shared" si="13"/>
        <v>ななしいんく</v>
      </c>
      <c r="AB303" s="14" t="str">
        <f>_xlfn.XLOOKUP(AA303,M_ARTIST!A:A,M_ARTIST!B:B,"★★★",0,1)</f>
        <v>ななしいんく</v>
      </c>
      <c r="AC303" s="14" t="str">
        <f t="shared" si="14"/>
        <v>星空のエチュード</v>
      </c>
      <c r="AD303" s="19" t="str">
        <f>HYPERLINK(_xlfn.XLOOKUP(C303,M_YT_LIVE_TIMESTAMP!AA:AA,M_YT_LIVE_TIMESTAMP!Z:Z,"★",0,-1))</f>
        <v>https://www.youtube.com/live/zHPmNlzplRQ?si=hKbKp_wLxXmd13Kq&amp;t=3641s</v>
      </c>
    </row>
    <row r="304" spans="1:30" x14ac:dyDescent="0.4">
      <c r="A304" s="12" t="str">
        <v>チューリングラブ</v>
      </c>
      <c r="B304" s="12" t="str">
        <v>ナナヲアカリ feat.Sou</v>
      </c>
      <c r="C304" s="12" t="str">
        <f t="shared" si="12"/>
        <v>ナナヲアカリ feat.Souチューリングラブ</v>
      </c>
      <c r="AA304" s="14" t="str">
        <f t="shared" si="13"/>
        <v>ナナヲアカリ feat.Sou</v>
      </c>
      <c r="AB304" s="14" t="str">
        <f>_xlfn.XLOOKUP(AA304,M_ARTIST!A:A,M_ARTIST!B:B,"★★★",0,1)</f>
        <v>ななおあかり feat.Sou</v>
      </c>
      <c r="AC304" s="14" t="str">
        <f t="shared" si="14"/>
        <v>チューリングラブ</v>
      </c>
      <c r="AD304" s="19" t="str">
        <f>HYPERLINK(_xlfn.XLOOKUP(C304,M_YT_LIVE_TIMESTAMP!AA:AA,M_YT_LIVE_TIMESTAMP!Z:Z,"★",0,-1))</f>
        <v>https://www.youtube.com/live/NkjXzUMUZpw?si=EmGBj6Hh6tIlwjGQ&amp;t=3711s</v>
      </c>
    </row>
    <row r="305" spans="1:30" x14ac:dyDescent="0.4">
      <c r="A305" s="12" t="str">
        <v>ハロ/ハワユ</v>
      </c>
      <c r="B305" s="12" t="str">
        <v>ナノウ(ほえほえP) feat. 初音ミク</v>
      </c>
      <c r="C305" s="12" t="str">
        <f t="shared" si="12"/>
        <v>ナノウ(ほえほえP) feat. 初音ミクハロ/ハワユ</v>
      </c>
      <c r="AA305" s="14" t="str">
        <f t="shared" si="13"/>
        <v>ナノウ(ほえほえP) feat. 初音ミク</v>
      </c>
      <c r="AB305" s="14" t="str">
        <f>_xlfn.XLOOKUP(AA305,M_ARTIST!A:A,M_ARTIST!B:B,"★★★",0,1)</f>
        <v>なのう(ほえほえP) feat. はつねみく</v>
      </c>
      <c r="AC305" s="14" t="str">
        <f t="shared" si="14"/>
        <v>ハロ/ハワユ</v>
      </c>
      <c r="AD305" s="19" t="str">
        <f>HYPERLINK(_xlfn.XLOOKUP(C305,M_YT_LIVE_TIMESTAMP!AA:AA,M_YT_LIVE_TIMESTAMP!Z:Z,"★",0,-1))</f>
        <v>https://www.youtube.com/live/h9yyUj584EA?si=1RWpj-7KllpU7qa_&amp;t=4250s</v>
      </c>
    </row>
    <row r="306" spans="1:30" x14ac:dyDescent="0.4">
      <c r="A306" s="12" t="str">
        <v>ロケットサイダー</v>
      </c>
      <c r="B306" s="12" t="str">
        <v>ナユタン星人</v>
      </c>
      <c r="C306" s="12" t="str">
        <f t="shared" si="12"/>
        <v>ナユタン星人ロケットサイダー</v>
      </c>
      <c r="AA306" s="14" t="str">
        <f t="shared" si="13"/>
        <v>ナユタン星人</v>
      </c>
      <c r="AB306" s="14" t="str">
        <f>_xlfn.XLOOKUP(AA306,M_ARTIST!A:A,M_ARTIST!B:B,"★★★",0,1)</f>
        <v>なゆたんせいじん</v>
      </c>
      <c r="AC306" s="14" t="str">
        <f t="shared" si="14"/>
        <v>ロケットサイダー</v>
      </c>
      <c r="AD306" s="19" t="str">
        <f>HYPERLINK(_xlfn.XLOOKUP(C306,M_YT_LIVE_TIMESTAMP!AA:AA,M_YT_LIVE_TIMESTAMP!Z:Z,"★",0,-1))</f>
        <v>https://www.youtube.com/live/E8l1nOoKLLI?si=9GMtlAOzsgHxbniX&amp;t=6046s</v>
      </c>
    </row>
    <row r="307" spans="1:30" x14ac:dyDescent="0.4">
      <c r="A307" s="12" t="str">
        <v>ロケットサイダー</v>
      </c>
      <c r="B307" s="12" t="str">
        <v>ナユタン星人 feat.初音ミク</v>
      </c>
      <c r="C307" s="12" t="str">
        <f t="shared" si="12"/>
        <v>ナユタン星人 feat.初音ミクロケットサイダー</v>
      </c>
      <c r="AA307" s="14" t="str">
        <f t="shared" si="13"/>
        <v>ナユタン星人 feat.初音ミク</v>
      </c>
      <c r="AB307" s="14" t="str">
        <f>_xlfn.XLOOKUP(AA307,M_ARTIST!A:A,M_ARTIST!B:B,"★★★",0,1)</f>
        <v>★★★</v>
      </c>
      <c r="AC307" s="14" t="str">
        <f t="shared" si="14"/>
        <v>ロケットサイダー</v>
      </c>
      <c r="AD307" s="19" t="str">
        <f>HYPERLINK(_xlfn.XLOOKUP(C307,M_YT_LIVE_TIMESTAMP!AA:AA,M_YT_LIVE_TIMESTAMP!Z:Z,"★",0,-1))</f>
        <v>https://www.youtube.com/live/TDYlHpN4h0s?si=ysSy7YIPSXU6T0nx&amp;t=6191s</v>
      </c>
    </row>
    <row r="308" spans="1:30" x14ac:dyDescent="0.4">
      <c r="A308" s="12" t="str">
        <v>フラジール</v>
      </c>
      <c r="B308" s="12" t="str">
        <v>ぬゆりfeat.GUMI</v>
      </c>
      <c r="C308" s="12" t="str">
        <f t="shared" si="12"/>
        <v>ぬゆりfeat.GUMIフラジール</v>
      </c>
      <c r="AA308" s="14" t="str">
        <f t="shared" si="13"/>
        <v>ぬゆりfeat.GUMI</v>
      </c>
      <c r="AB308" s="14" t="str">
        <f>_xlfn.XLOOKUP(AA308,M_ARTIST!A:A,M_ARTIST!B:B,"★★★",0,1)</f>
        <v>ぬゆりfeat.GUMI</v>
      </c>
      <c r="AC308" s="14" t="str">
        <f t="shared" si="14"/>
        <v>フラジール</v>
      </c>
      <c r="AD308" s="19" t="str">
        <f>HYPERLINK(_xlfn.XLOOKUP(C308,M_YT_LIVE_TIMESTAMP!AA:AA,M_YT_LIVE_TIMESTAMP!Z:Z,"★",0,-1))</f>
        <v>https://www.youtube.com/live/AHfCHGope8I?si=qrXuqYy-tTqldtt4&amp;t=1046s</v>
      </c>
    </row>
    <row r="309" spans="1:30" x14ac:dyDescent="0.4">
      <c r="A309" s="12" t="str">
        <v>オシャレ大作戦</v>
      </c>
      <c r="B309" s="12" t="str">
        <v>ネクライトーキー</v>
      </c>
      <c r="C309" s="12" t="str">
        <f t="shared" si="12"/>
        <v>ネクライトーキーオシャレ大作戦</v>
      </c>
      <c r="AA309" s="14" t="str">
        <f t="shared" si="13"/>
        <v>ネクライトーキー</v>
      </c>
      <c r="AB309" s="14" t="str">
        <f>_xlfn.XLOOKUP(AA309,M_ARTIST!A:A,M_ARTIST!B:B,"★★★",0,1)</f>
        <v>ねくらいとーきー</v>
      </c>
      <c r="AC309" s="14" t="str">
        <f t="shared" si="14"/>
        <v>オシャレ大作戦</v>
      </c>
      <c r="AD309" s="19" t="str">
        <f>HYPERLINK(_xlfn.XLOOKUP(C309,M_YT_LIVE_TIMESTAMP!AA:AA,M_YT_LIVE_TIMESTAMP!Z:Z,"★",0,-1))</f>
        <v>https://www.youtube.com/live/rowkHJneOgY?si=dzvDO_qNHD4fLHMQ&amp;t=1325s</v>
      </c>
    </row>
    <row r="310" spans="1:30" x14ac:dyDescent="0.4">
      <c r="A310" s="12" t="str">
        <v>カロン</v>
      </c>
      <c r="B310" s="12" t="str">
        <v>ねごと</v>
      </c>
      <c r="C310" s="12" t="str">
        <f t="shared" si="12"/>
        <v>ねごとカロン</v>
      </c>
      <c r="AA310" s="14" t="str">
        <f t="shared" si="13"/>
        <v>ねごと</v>
      </c>
      <c r="AB310" s="14" t="str">
        <f>_xlfn.XLOOKUP(AA310,M_ARTIST!A:A,M_ARTIST!B:B,"★★★",0,1)</f>
        <v>ねごと</v>
      </c>
      <c r="AC310" s="14" t="str">
        <f t="shared" si="14"/>
        <v>カロン</v>
      </c>
      <c r="AD310" s="19" t="str">
        <f>HYPERLINK(_xlfn.XLOOKUP(C310,M_YT_LIVE_TIMESTAMP!AA:AA,M_YT_LIVE_TIMESTAMP!Z:Z,"★",0,-1))</f>
        <v>https://www.youtube.com/live/N0Tp3auhZ54?si=TUAMJQ8TqFkAVZ1r&amp;t=961s</v>
      </c>
    </row>
    <row r="311" spans="1:30" x14ac:dyDescent="0.4">
      <c r="A311" s="12" t="str">
        <v>ドーナツホール</v>
      </c>
      <c r="B311" s="12" t="str">
        <v>ハチ(米津玄師) feat.GUMI</v>
      </c>
      <c r="C311" s="12" t="str">
        <f t="shared" si="12"/>
        <v>ハチ(米津玄師) feat.GUMIドーナツホール</v>
      </c>
      <c r="AA311" s="14" t="str">
        <f t="shared" si="13"/>
        <v>ハチ(米津玄師) feat.GUMI</v>
      </c>
      <c r="AB311" s="14" t="str">
        <f>_xlfn.XLOOKUP(AA311,M_ARTIST!A:A,M_ARTIST!B:B,"★★★",0,1)</f>
        <v>はち(よねづけんし) feat.GUMI</v>
      </c>
      <c r="AC311" s="14" t="str">
        <f t="shared" si="14"/>
        <v>ドーナツホール</v>
      </c>
      <c r="AD311" s="19" t="str">
        <f>HYPERLINK(_xlfn.XLOOKUP(C311,M_YT_LIVE_TIMESTAMP!AA:AA,M_YT_LIVE_TIMESTAMP!Z:Z,"★",0,-1))</f>
        <v>https://www.youtube.com/live/EIV2fME4Fec?si=lkzDtJEJ9agzd2Md&amp;t=5103s</v>
      </c>
    </row>
    <row r="312" spans="1:30" x14ac:dyDescent="0.4">
      <c r="A312" s="12" t="str">
        <v>マトリョシカ</v>
      </c>
      <c r="B312" s="12" t="str">
        <v>ハチ(米津玄師) feat.初音ミク&amp;GUMI</v>
      </c>
      <c r="C312" s="12" t="str">
        <f t="shared" si="12"/>
        <v>ハチ(米津玄師) feat.初音ミク&amp;GUMIマトリョシカ</v>
      </c>
      <c r="AA312" s="14" t="str">
        <f t="shared" si="13"/>
        <v>ハチ(米津玄師) feat.初音ミク&amp;GUMI</v>
      </c>
      <c r="AB312" s="14" t="str">
        <f>_xlfn.XLOOKUP(AA312,M_ARTIST!A:A,M_ARTIST!B:B,"★★★",0,1)</f>
        <v>はち(よねづけんし) feat.はつねみく&amp;GUMI</v>
      </c>
      <c r="AC312" s="14" t="str">
        <f t="shared" si="14"/>
        <v>マトリョシカ</v>
      </c>
      <c r="AD312" s="19" t="str">
        <f>HYPERLINK(_xlfn.XLOOKUP(C312,M_YT_LIVE_TIMESTAMP!AA:AA,M_YT_LIVE_TIMESTAMP!Z:Z,"★",0,-1))</f>
        <v>https://www.youtube.com/live/bXG5ottJZas?si=VsjzjU8RreUrJGd3&amp;t=2493s</v>
      </c>
    </row>
    <row r="313" spans="1:30" x14ac:dyDescent="0.4">
      <c r="A313" s="12" t="str">
        <v>ハム太郎とっとこうた</v>
      </c>
      <c r="B313" s="12" t="str">
        <v>ハムちゃんず</v>
      </c>
      <c r="C313" s="12" t="str">
        <f t="shared" si="12"/>
        <v>ハムちゃんずハム太郎とっとこうた</v>
      </c>
      <c r="AA313" s="14" t="str">
        <f t="shared" si="13"/>
        <v>ハムちゃんず</v>
      </c>
      <c r="AB313" s="14" t="str">
        <f>_xlfn.XLOOKUP(AA313,M_ARTIST!A:A,M_ARTIST!B:B,"★★★",0,1)</f>
        <v>はむちゃんず</v>
      </c>
      <c r="AC313" s="14" t="str">
        <f t="shared" si="14"/>
        <v>ハム太郎とっとこうた</v>
      </c>
      <c r="AD313" s="19" t="str">
        <f>HYPERLINK(_xlfn.XLOOKUP(C313,M_YT_LIVE_TIMESTAMP!AA:AA,M_YT_LIVE_TIMESTAMP!Z:Z,"★",0,-1))</f>
        <v>https://www.youtube.com/live/JAK2m4FWxF0?si=Xy-B8lpcz7dX_b5n&amp;t=7043s</v>
      </c>
    </row>
    <row r="314" spans="1:30" x14ac:dyDescent="0.4">
      <c r="A314" s="12" t="str">
        <v>レディーレ</v>
      </c>
      <c r="B314" s="12" t="str">
        <v>バルーン feat.flower</v>
      </c>
      <c r="C314" s="12" t="str">
        <f t="shared" si="12"/>
        <v>バルーン feat.flowerレディーレ</v>
      </c>
      <c r="AA314" s="14" t="str">
        <f t="shared" si="13"/>
        <v>バルーン feat.flower</v>
      </c>
      <c r="AB314" s="14" t="str">
        <f>_xlfn.XLOOKUP(AA314,M_ARTIST!A:A,M_ARTIST!B:B,"★★★",0,1)</f>
        <v>ばるーん feat.flower</v>
      </c>
      <c r="AC314" s="14" t="str">
        <f t="shared" si="14"/>
        <v>レディーレ</v>
      </c>
      <c r="AD314" s="19" t="str">
        <f>HYPERLINK(_xlfn.XLOOKUP(C314,M_YT_LIVE_TIMESTAMP!AA:AA,M_YT_LIVE_TIMESTAMP!Z:Z,"★",0,-1))</f>
        <v>https://www.youtube.com/live/w3oM0fDmwz4?si=VVO-ga6uipBLMrpR&amp;t=4675s</v>
      </c>
    </row>
    <row r="315" spans="1:30" x14ac:dyDescent="0.4">
      <c r="A315" s="12" t="str">
        <v>シャルル</v>
      </c>
      <c r="B315" s="12" t="str">
        <v>バルーン(須田景凪) feat.flowel</v>
      </c>
      <c r="C315" s="12" t="str">
        <f t="shared" si="12"/>
        <v>バルーン(須田景凪) feat.flowelシャルル</v>
      </c>
      <c r="AA315" s="14" t="str">
        <f t="shared" si="13"/>
        <v>バルーン(須田景凪) feat.flowel</v>
      </c>
      <c r="AB315" s="14" t="str">
        <f>_xlfn.XLOOKUP(AA315,M_ARTIST!A:A,M_ARTIST!B:B,"★★★",0,1)</f>
        <v>ばるーん(すだけいな) feat.flowel</v>
      </c>
      <c r="AC315" s="14" t="str">
        <f t="shared" si="14"/>
        <v>シャルル</v>
      </c>
      <c r="AD315" s="19" t="str">
        <f>HYPERLINK(_xlfn.XLOOKUP(C315,M_YT_LIVE_TIMESTAMP!AA:AA,M_YT_LIVE_TIMESTAMP!Z:Z,"★",0,-1))</f>
        <v>https://www.youtube.com/live/nyXzxG79mwQ?si=kGuFyOuc0o-yNPOU&amp;t=12634s</v>
      </c>
    </row>
    <row r="316" spans="1:30" x14ac:dyDescent="0.4">
      <c r="A316" s="12" t="str">
        <v>花瓶に触れた</v>
      </c>
      <c r="B316" s="12" t="str">
        <v>バルーン(須田景凪) feat.flower</v>
      </c>
      <c r="C316" s="12" t="str">
        <f t="shared" si="12"/>
        <v>バルーン(須田景凪) feat.flower花瓶に触れた</v>
      </c>
      <c r="AA316" s="14" t="str">
        <f t="shared" si="13"/>
        <v>バルーン(須田景凪) feat.flower</v>
      </c>
      <c r="AB316" s="14" t="str">
        <f>_xlfn.XLOOKUP(AA316,M_ARTIST!A:A,M_ARTIST!B:B,"★★★",0,1)</f>
        <v>ばるーん(すだけいな) feat.flower</v>
      </c>
      <c r="AC316" s="14" t="str">
        <f t="shared" si="14"/>
        <v>花瓶に触れた</v>
      </c>
      <c r="AD316" s="19" t="str">
        <f>HYPERLINK(_xlfn.XLOOKUP(C316,M_YT_LIVE_TIMESTAMP!AA:AA,M_YT_LIVE_TIMESTAMP!Z:Z,"★",0,-1))</f>
        <v>https://www.youtube.com/live/w3oM0fDmwz4?si=VVO-ga6uipBLMrpR&amp;t=4294s</v>
      </c>
    </row>
    <row r="317" spans="1:30" x14ac:dyDescent="0.4">
      <c r="A317" s="12" t="str">
        <v>シャルル</v>
      </c>
      <c r="B317" s="12" t="str">
        <v>バルーン(須田景凪)feat.flowel</v>
      </c>
      <c r="C317" s="12" t="str">
        <f t="shared" si="12"/>
        <v>バルーン(須田景凪)feat.flowelシャルル</v>
      </c>
      <c r="AA317" s="14" t="str">
        <f t="shared" si="13"/>
        <v>バルーン(須田景凪)feat.flowel</v>
      </c>
      <c r="AB317" s="14" t="str">
        <f>_xlfn.XLOOKUP(AA317,M_ARTIST!A:A,M_ARTIST!B:B,"★★★",0,1)</f>
        <v>ばるーん(すだけいな)feat.flowel</v>
      </c>
      <c r="AC317" s="14" t="str">
        <f t="shared" si="14"/>
        <v>シャルル</v>
      </c>
      <c r="AD317" s="19" t="str">
        <f>HYPERLINK(_xlfn.XLOOKUP(C317,M_YT_LIVE_TIMESTAMP!AA:AA,M_YT_LIVE_TIMESTAMP!Z:Z,"★",0,-1))</f>
        <v>https://www.youtube.com/live/lrLQ6akH23w?si=aC5HLJK6UZYwu-Yn&amp;t=4010s</v>
      </c>
    </row>
    <row r="318" spans="1:30" x14ac:dyDescent="0.4">
      <c r="A318" s="12" t="str">
        <v>メルティランドナイトメア</v>
      </c>
      <c r="B318" s="12" t="str">
        <v>はるまきごはん feat.初音ミク</v>
      </c>
      <c r="C318" s="12" t="str">
        <f t="shared" si="12"/>
        <v>はるまきごはん feat.初音ミクメルティランドナイトメア</v>
      </c>
      <c r="AA318" s="14" t="str">
        <f t="shared" si="13"/>
        <v>はるまきごはん feat.初音ミク</v>
      </c>
      <c r="AB318" s="14" t="str">
        <f>_xlfn.XLOOKUP(AA318,M_ARTIST!A:A,M_ARTIST!B:B,"★★★",0,1)</f>
        <v>はるまきごはん feat.はつねみく</v>
      </c>
      <c r="AC318" s="14" t="str">
        <f t="shared" si="14"/>
        <v>メルティランドナイトメア</v>
      </c>
      <c r="AD318" s="19" t="str">
        <f>HYPERLINK(_xlfn.XLOOKUP(C318,M_YT_LIVE_TIMESTAMP!AA:AA,M_YT_LIVE_TIMESTAMP!Z:Z,"★",0,-1))</f>
        <v>https://www.youtube.com/live/OYaf_O-6WRs?si=20Zo4VVa8PxJbw_X&amp;t=367s</v>
      </c>
    </row>
    <row r="319" spans="1:30" x14ac:dyDescent="0.4">
      <c r="A319" s="12" t="str">
        <v>群像夏</v>
      </c>
      <c r="B319" s="12" t="str">
        <v>パン野実々美</v>
      </c>
      <c r="C319" s="12" t="str">
        <f t="shared" si="12"/>
        <v>パン野実々美群像夏</v>
      </c>
      <c r="AA319" s="14" t="str">
        <f t="shared" si="13"/>
        <v>パン野実々美</v>
      </c>
      <c r="AB319" s="14" t="str">
        <f>_xlfn.XLOOKUP(AA319,M_ARTIST!A:A,M_ARTIST!B:B,"★★★",0,1)</f>
        <v>★★★</v>
      </c>
      <c r="AC319" s="14" t="str">
        <f t="shared" si="14"/>
        <v>群像夏</v>
      </c>
      <c r="AD319" s="19" t="str">
        <f>HYPERLINK(_xlfn.XLOOKUP(C319,M_YT_LIVE_TIMESTAMP!AA:AA,M_YT_LIVE_TIMESTAMP!Z:Z,"★",0,-1))</f>
        <v>https://www.youtube.com/live/FGNU1iQLiNM?si=B75Oqj0tjRBiyl5j&amp;t=2145s</v>
      </c>
    </row>
    <row r="320" spans="1:30" x14ac:dyDescent="0.4">
      <c r="A320" s="12" t="str">
        <v>シスターピース</v>
      </c>
      <c r="B320" s="12" t="str">
        <v>ひかるい(飛良ひかり＆瀬島るい)</v>
      </c>
      <c r="C320" s="12" t="str">
        <f t="shared" si="12"/>
        <v>ひかるい(飛良ひかり＆瀬島るい)シスターピース</v>
      </c>
      <c r="AA320" s="14" t="str">
        <f t="shared" si="13"/>
        <v>ひかるい(飛良ひかり＆瀬島るい)</v>
      </c>
      <c r="AB320" s="14" t="str">
        <f>_xlfn.XLOOKUP(AA320,M_ARTIST!A:A,M_ARTIST!B:B,"★★★",0,1)</f>
        <v>ひかるい(ひらひかり＆せじまるい)</v>
      </c>
      <c r="AC320" s="14" t="str">
        <f t="shared" si="14"/>
        <v>シスターピース</v>
      </c>
      <c r="AD320" s="19" t="str">
        <f>HYPERLINK(_xlfn.XLOOKUP(C320,M_YT_LIVE_TIMESTAMP!AA:AA,M_YT_LIVE_TIMESTAMP!Z:Z,"★",0,-1))</f>
        <v>https://www.youtube.com/live/zHPmNlzplRQ?si=hKbKp_wLxXmd13Kq&amp;t=1949s</v>
      </c>
    </row>
    <row r="321" spans="1:30" x14ac:dyDescent="0.4">
      <c r="A321" s="12" t="str">
        <v>ガランド</v>
      </c>
      <c r="B321" s="12" t="str">
        <v>ピコン feat.初音ミク</v>
      </c>
      <c r="C321" s="12" t="str">
        <f t="shared" si="12"/>
        <v>ピコン feat.初音ミクガランド</v>
      </c>
      <c r="AA321" s="14" t="str">
        <f t="shared" si="13"/>
        <v>ピコン feat.初音ミク</v>
      </c>
      <c r="AB321" s="14" t="str">
        <f>_xlfn.XLOOKUP(AA321,M_ARTIST!A:A,M_ARTIST!B:B,"★★★",0,1)</f>
        <v>ピコン feat.はつねみく</v>
      </c>
      <c r="AC321" s="14" t="str">
        <f t="shared" si="14"/>
        <v>ガランド</v>
      </c>
      <c r="AD321" s="19" t="str">
        <f>HYPERLINK(_xlfn.XLOOKUP(C321,M_YT_LIVE_TIMESTAMP!AA:AA,M_YT_LIVE_TIMESTAMP!Z:Z,"★",0,-1))</f>
        <v>https://www.youtube.com/live/AHfCHGope8I?si=qrXuqYy-tTqldtt4&amp;t=2479s</v>
      </c>
    </row>
    <row r="322" spans="1:30" x14ac:dyDescent="0.4">
      <c r="A322" s="12" t="str">
        <v>若者のすべて</v>
      </c>
      <c r="B322" s="12" t="str">
        <v>フジファブリック</v>
      </c>
      <c r="C322" s="12" t="str">
        <f t="shared" si="12"/>
        <v>フジファブリック若者のすべて</v>
      </c>
      <c r="AA322" s="14" t="str">
        <f t="shared" si="13"/>
        <v>フジファブリック</v>
      </c>
      <c r="AB322" s="14" t="str">
        <f>_xlfn.XLOOKUP(AA322,M_ARTIST!A:A,M_ARTIST!B:B,"★★★",0,1)</f>
        <v>ふじふぁぶりっく</v>
      </c>
      <c r="AC322" s="14" t="str">
        <f t="shared" si="14"/>
        <v>若者のすべて</v>
      </c>
      <c r="AD322" s="19" t="str">
        <f>HYPERLINK(_xlfn.XLOOKUP(C322,M_YT_LIVE_TIMESTAMP!AA:AA,M_YT_LIVE_TIMESTAMP!Z:Z,"★",0,-1))</f>
        <v>https://www.youtube.com/live/rowkHJneOgY?si=dzvDO_qNHD4fLHMQ&amp;t=2590s</v>
      </c>
    </row>
    <row r="323" spans="1:30" x14ac:dyDescent="0.4">
      <c r="A323" s="12" t="str">
        <v>オドループ</v>
      </c>
      <c r="B323" s="12" t="str">
        <v>フレデリック</v>
      </c>
      <c r="C323" s="12" t="str">
        <f t="shared" ref="C323:C368" si="15">TRIM(B323)&amp;TRIM(A323)</f>
        <v>フレデリックオドループ</v>
      </c>
      <c r="AA323" s="14" t="str">
        <f t="shared" ref="AA323:AA361" si="16">B323</f>
        <v>フレデリック</v>
      </c>
      <c r="AB323" s="14" t="str">
        <f>_xlfn.XLOOKUP(AA323,M_ARTIST!A:A,M_ARTIST!B:B,"★★★",0,1)</f>
        <v>ふれでりっく</v>
      </c>
      <c r="AC323" s="14" t="str">
        <f t="shared" ref="AC323:AC361" si="17">A323</f>
        <v>オドループ</v>
      </c>
      <c r="AD323" s="19" t="str">
        <f>HYPERLINK(_xlfn.XLOOKUP(C323,M_YT_LIVE_TIMESTAMP!AA:AA,M_YT_LIVE_TIMESTAMP!Z:Z,"★",0,-1))</f>
        <v>https://www.youtube.com/live/rowkHJneOgY?si=dzvDO_qNHD4fLHMQ&amp;t=1931s</v>
      </c>
    </row>
    <row r="324" spans="1:30" x14ac:dyDescent="0.4">
      <c r="A324" s="12" t="str">
        <v>ICHIDAIJI</v>
      </c>
      <c r="B324" s="12" t="str">
        <v>ポルカドットスティングレイ</v>
      </c>
      <c r="C324" s="12" t="str">
        <f t="shared" si="15"/>
        <v>ポルカドットスティングレイICHIDAIJI</v>
      </c>
      <c r="AA324" s="14" t="str">
        <f t="shared" si="16"/>
        <v>ポルカドットスティングレイ</v>
      </c>
      <c r="AB324" s="14" t="str">
        <f>_xlfn.XLOOKUP(AA324,M_ARTIST!A:A,M_ARTIST!B:B,"★★★",0,1)</f>
        <v>ぽるかどっとすてぃんぐれい</v>
      </c>
      <c r="AC324" s="14" t="str">
        <f t="shared" si="17"/>
        <v>ICHIDAIJI</v>
      </c>
      <c r="AD324" s="19" t="str">
        <f>HYPERLINK(_xlfn.XLOOKUP(C324,M_YT_LIVE_TIMESTAMP!AA:AA,M_YT_LIVE_TIMESTAMP!Z:Z,"★",0,-1))</f>
        <v>https://www.youtube.com/live/rowkHJneOgY?si=dzvDO_qNHD4fLHMQ&amp;t=609s</v>
      </c>
    </row>
    <row r="325" spans="1:30" x14ac:dyDescent="0.4">
      <c r="A325" s="12" t="str">
        <v>テレキャスター・ストライプ</v>
      </c>
      <c r="B325" s="12" t="str">
        <v>ポルカドットスティングレイ</v>
      </c>
      <c r="C325" s="12" t="str">
        <f t="shared" si="15"/>
        <v>ポルカドットスティングレイテレキャスター・ストライプ</v>
      </c>
      <c r="AA325" s="14" t="str">
        <f t="shared" si="16"/>
        <v>ポルカドットスティングレイ</v>
      </c>
      <c r="AB325" s="14" t="str">
        <f>_xlfn.XLOOKUP(AA325,M_ARTIST!A:A,M_ARTIST!B:B,"★★★",0,1)</f>
        <v>ぽるかどっとすてぃんぐれい</v>
      </c>
      <c r="AC325" s="14" t="str">
        <f t="shared" si="17"/>
        <v>テレキャスター・ストライプ</v>
      </c>
      <c r="AD325" s="19" t="str">
        <f>HYPERLINK(_xlfn.XLOOKUP(C325,M_YT_LIVE_TIMESTAMP!AA:AA,M_YT_LIVE_TIMESTAMP!Z:Z,"★",0,-1))</f>
        <v>https://www.youtube.com/live/rowkHJneOgY?si=dzvDO_qNHD4fLHMQ&amp;t=1015s</v>
      </c>
    </row>
    <row r="326" spans="1:30" x14ac:dyDescent="0.4">
      <c r="A326" s="12" t="str">
        <v>トゲめくスピカ</v>
      </c>
      <c r="B326" s="12" t="str">
        <v>ポルカドットスティングレイ</v>
      </c>
      <c r="C326" s="12" t="str">
        <f t="shared" si="15"/>
        <v>ポルカドットスティングレイトゲめくスピカ</v>
      </c>
      <c r="AA326" s="14" t="str">
        <f t="shared" si="16"/>
        <v>ポルカドットスティングレイ</v>
      </c>
      <c r="AB326" s="14" t="str">
        <f>_xlfn.XLOOKUP(AA326,M_ARTIST!A:A,M_ARTIST!B:B,"★★★",0,1)</f>
        <v>ぽるかどっとすてぃんぐれい</v>
      </c>
      <c r="AC326" s="14" t="str">
        <f t="shared" si="17"/>
        <v>トゲめくスピカ</v>
      </c>
      <c r="AD326" s="19" t="str">
        <f>HYPERLINK(_xlfn.XLOOKUP(C326,M_YT_LIVE_TIMESTAMP!AA:AA,M_YT_LIVE_TIMESTAMP!Z:Z,"★",0,-1))</f>
        <v>https://www.youtube.com/live/BjWSIm9kSZs?si=1oMuQyZMLWArIABK&amp;t=4110s</v>
      </c>
    </row>
    <row r="327" spans="1:30" x14ac:dyDescent="0.4">
      <c r="A327" s="12" t="str">
        <v>ヒミツ</v>
      </c>
      <c r="B327" s="12" t="str">
        <v>ポルカドットスティングレイ</v>
      </c>
      <c r="C327" s="12" t="str">
        <f t="shared" si="15"/>
        <v>ポルカドットスティングレイヒミツ</v>
      </c>
      <c r="AA327" s="14" t="str">
        <f t="shared" si="16"/>
        <v>ポルカドットスティングレイ</v>
      </c>
      <c r="AB327" s="14" t="str">
        <f>_xlfn.XLOOKUP(AA327,M_ARTIST!A:A,M_ARTIST!B:B,"★★★",0,1)</f>
        <v>ぽるかどっとすてぃんぐれい</v>
      </c>
      <c r="AC327" s="14" t="str">
        <f t="shared" si="17"/>
        <v>ヒミツ</v>
      </c>
      <c r="AD327" s="19" t="str">
        <f>HYPERLINK(_xlfn.XLOOKUP(C327,M_YT_LIVE_TIMESTAMP!AA:AA,M_YT_LIVE_TIMESTAMP!Z:Z,"★",0,-1))</f>
        <v>https://www.youtube.com/live/5-PHEYq6a-Y?si=i1qN4inKhZc0prZ-&amp;t=585s</v>
      </c>
    </row>
    <row r="328" spans="1:30" x14ac:dyDescent="0.4">
      <c r="A328" s="12" t="str">
        <v>化身</v>
      </c>
      <c r="B328" s="12" t="str">
        <v>ポルカドットスティングレイ</v>
      </c>
      <c r="C328" s="12" t="str">
        <f t="shared" si="15"/>
        <v>ポルカドットスティングレイ化身</v>
      </c>
      <c r="AA328" s="14" t="str">
        <f t="shared" si="16"/>
        <v>ポルカドットスティングレイ</v>
      </c>
      <c r="AB328" s="14" t="str">
        <f>_xlfn.XLOOKUP(AA328,M_ARTIST!A:A,M_ARTIST!B:B,"★★★",0,1)</f>
        <v>ぽるかどっとすてぃんぐれい</v>
      </c>
      <c r="AC328" s="14" t="str">
        <f t="shared" si="17"/>
        <v>化身</v>
      </c>
      <c r="AD328" s="19" t="str">
        <f>HYPERLINK(_xlfn.XLOOKUP(C328,M_YT_LIVE_TIMESTAMP!AA:AA,M_YT_LIVE_TIMESTAMP!Z:Z,"★",0,-1))</f>
        <v>https://www.youtube.com/live/5-PHEYq6a-Y?si=i1qN4inKhZc0prZ-&amp;t=257s</v>
      </c>
    </row>
    <row r="329" spans="1:30" x14ac:dyDescent="0.4">
      <c r="A329" s="12" t="str">
        <v>サウダージ</v>
      </c>
      <c r="B329" s="12" t="str">
        <v>ポルノグラフィティ</v>
      </c>
      <c r="C329" s="12" t="str">
        <f t="shared" si="15"/>
        <v>ポルノグラフィティサウダージ</v>
      </c>
      <c r="AA329" s="14" t="str">
        <f t="shared" si="16"/>
        <v>ポルノグラフィティ</v>
      </c>
      <c r="AB329" s="14" t="str">
        <f>_xlfn.XLOOKUP(AA329,M_ARTIST!A:A,M_ARTIST!B:B,"★★★",0,1)</f>
        <v>ぽるのぐらふぃてぃ</v>
      </c>
      <c r="AC329" s="14" t="str">
        <f t="shared" si="17"/>
        <v>サウダージ</v>
      </c>
      <c r="AD329" s="19" t="str">
        <f>HYPERLINK(_xlfn.XLOOKUP(C329,M_YT_LIVE_TIMESTAMP!AA:AA,M_YT_LIVE_TIMESTAMP!Z:Z,"★",0,-1))</f>
        <v>https://www.youtube.com/live/DX8misWhJuA?si=x9BqkZPlvHen5SCl&amp;t=6485s</v>
      </c>
    </row>
    <row r="330" spans="1:30" x14ac:dyDescent="0.4">
      <c r="A330" s="12" t="str">
        <v>ブルーベリー・ナイツ</v>
      </c>
      <c r="B330" s="12" t="str">
        <v>マカロニえんぴつ</v>
      </c>
      <c r="C330" s="12" t="str">
        <f t="shared" si="15"/>
        <v>マカロニえんぴつブルーベリー・ナイツ</v>
      </c>
      <c r="AA330" s="14" t="str">
        <f t="shared" si="16"/>
        <v>マカロニえんぴつ</v>
      </c>
      <c r="AB330" s="14" t="str">
        <f>_xlfn.XLOOKUP(AA330,M_ARTIST!A:A,M_ARTIST!B:B,"★★★",0,1)</f>
        <v>まかろにえんぴつ</v>
      </c>
      <c r="AC330" s="14" t="str">
        <f t="shared" si="17"/>
        <v>ブルーベリー・ナイツ</v>
      </c>
      <c r="AD330" s="19" t="str">
        <f>HYPERLINK(_xlfn.XLOOKUP(C330,M_YT_LIVE_TIMESTAMP!AA:AA,M_YT_LIVE_TIMESTAMP!Z:Z,"★",0,-1))</f>
        <v>https://www.youtube.com/live/TDYlHpN4h0s?si=ysSy7YIPSXU6T0nx&amp;t=370s</v>
      </c>
    </row>
    <row r="331" spans="1:30" x14ac:dyDescent="0.4">
      <c r="A331" s="12" t="str">
        <v>夕立のりぼん</v>
      </c>
      <c r="B331" s="12" t="str">
        <v>みきとP feat.MAYU</v>
      </c>
      <c r="C331" s="12" t="str">
        <f t="shared" si="15"/>
        <v>みきとP feat.MAYU夕立のりぼん</v>
      </c>
      <c r="AA331" s="14" t="str">
        <f t="shared" si="16"/>
        <v>みきとP feat.MAYU</v>
      </c>
      <c r="AB331" s="14" t="str">
        <f>_xlfn.XLOOKUP(AA331,M_ARTIST!A:A,M_ARTIST!B:B,"★★★",0,1)</f>
        <v>みきとP feat.MAYU</v>
      </c>
      <c r="AC331" s="14" t="str">
        <f t="shared" si="17"/>
        <v>夕立のりぼん</v>
      </c>
      <c r="AD331" s="19" t="str">
        <f>HYPERLINK(_xlfn.XLOOKUP(C331,M_YT_LIVE_TIMESTAMP!AA:AA,M_YT_LIVE_TIMESTAMP!Z:Z,"★",0,-1))</f>
        <v>https://www.youtube.com/live/E8l1nOoKLLI?si=9GMtlAOzsgHxbniX&amp;t=4721s</v>
      </c>
    </row>
    <row r="332" spans="1:30" x14ac:dyDescent="0.4">
      <c r="A332" s="12" t="str">
        <v>ロキ</v>
      </c>
      <c r="B332" s="12" t="str">
        <v>みきとP feat.鏡音リン</v>
      </c>
      <c r="C332" s="12" t="str">
        <f t="shared" si="15"/>
        <v>みきとP feat.鏡音リンロキ</v>
      </c>
      <c r="AA332" s="14" t="str">
        <f t="shared" si="16"/>
        <v>みきとP feat.鏡音リン</v>
      </c>
      <c r="AB332" s="14" t="str">
        <f>_xlfn.XLOOKUP(AA332,M_ARTIST!A:A,M_ARTIST!B:B,"★★★",0,1)</f>
        <v>みきとP feat.かがみねりん</v>
      </c>
      <c r="AC332" s="14" t="str">
        <f t="shared" si="17"/>
        <v>ロキ</v>
      </c>
      <c r="AD332" s="19" t="str">
        <f>HYPERLINK(_xlfn.XLOOKUP(C332,M_YT_LIVE_TIMESTAMP!AA:AA,M_YT_LIVE_TIMESTAMP!Z:Z,"★",0,-1))</f>
        <v>https://www.youtube.com/live/NkjXzUMUZpw?si=EmGBj6Hh6tIlwjGQ&amp;t=1415s</v>
      </c>
    </row>
    <row r="333" spans="1:30" x14ac:dyDescent="0.4">
      <c r="A333" s="12" t="str">
        <v>サリシノハラ</v>
      </c>
      <c r="B333" s="12" t="str">
        <v>みきとP feat.初音ミク</v>
      </c>
      <c r="C333" s="12" t="str">
        <f t="shared" si="15"/>
        <v>みきとP feat.初音ミクサリシノハラ</v>
      </c>
      <c r="AA333" s="14" t="str">
        <f t="shared" si="16"/>
        <v>みきとP feat.初音ミク</v>
      </c>
      <c r="AB333" s="14" t="str">
        <f>_xlfn.XLOOKUP(AA333,M_ARTIST!A:A,M_ARTIST!B:B,"★★★",0,1)</f>
        <v>みきとP feat.はつねみく</v>
      </c>
      <c r="AC333" s="14" t="str">
        <f t="shared" si="17"/>
        <v>サリシノハラ</v>
      </c>
      <c r="AD333" s="19" t="str">
        <f>HYPERLINK(_xlfn.XLOOKUP(C333,M_YT_LIVE_TIMESTAMP!AA:AA,M_YT_LIVE_TIMESTAMP!Z:Z,"★",0,-1))</f>
        <v>https://www.youtube.com/live/N0Tp3auhZ54?si=TUAMJQ8TqFkAVZ1r&amp;t=1800s</v>
      </c>
    </row>
    <row r="334" spans="1:30" x14ac:dyDescent="0.4">
      <c r="A334" s="12" t="str">
        <v>夏の半券</v>
      </c>
      <c r="B334" s="12" t="str">
        <v>みきとP feat.初音ミク</v>
      </c>
      <c r="C334" s="12" t="str">
        <f t="shared" si="15"/>
        <v>みきとP feat.初音ミク夏の半券</v>
      </c>
      <c r="AA334" s="14" t="str">
        <f t="shared" si="16"/>
        <v>みきとP feat.初音ミク</v>
      </c>
      <c r="AB334" s="14" t="str">
        <f>_xlfn.XLOOKUP(AA334,M_ARTIST!A:A,M_ARTIST!B:B,"★★★",0,1)</f>
        <v>みきとP feat.はつねみく</v>
      </c>
      <c r="AC334" s="14" t="str">
        <f t="shared" si="17"/>
        <v>夏の半券</v>
      </c>
      <c r="AD334" s="19" t="str">
        <f>HYPERLINK(_xlfn.XLOOKUP(C334,M_YT_LIVE_TIMESTAMP!AA:AA,M_YT_LIVE_TIMESTAMP!Z:Z,"★",0,-1))</f>
        <v>https://www.youtube.com/live/Cs48limSzrE?si=n8CFockH4OVXGSvE&amp;t=2810s</v>
      </c>
    </row>
    <row r="335" spans="1:30" x14ac:dyDescent="0.4">
      <c r="A335" s="12" t="str">
        <v>小夜子</v>
      </c>
      <c r="B335" s="12" t="str">
        <v>みきとP feat.初音ミク</v>
      </c>
      <c r="C335" s="12" t="str">
        <f t="shared" si="15"/>
        <v>みきとP feat.初音ミク小夜子</v>
      </c>
      <c r="AA335" s="14" t="str">
        <f t="shared" si="16"/>
        <v>みきとP feat.初音ミク</v>
      </c>
      <c r="AB335" s="14" t="str">
        <f>_xlfn.XLOOKUP(AA335,M_ARTIST!A:A,M_ARTIST!B:B,"★★★",0,1)</f>
        <v>みきとP feat.はつねみく</v>
      </c>
      <c r="AC335" s="14" t="str">
        <f t="shared" si="17"/>
        <v>小夜子</v>
      </c>
      <c r="AD335" s="19" t="str">
        <f>HYPERLINK(_xlfn.XLOOKUP(C335,M_YT_LIVE_TIMESTAMP!AA:AA,M_YT_LIVE_TIMESTAMP!Z:Z,"★",0,-1))</f>
        <v>https://www.youtube.com/live/N0Tp3auhZ54?si=TUAMJQ8TqFkAVZ1r&amp;t=1347s</v>
      </c>
    </row>
    <row r="336" spans="1:30" x14ac:dyDescent="0.4">
      <c r="A336" s="12" t="str">
        <v>少女レイ</v>
      </c>
      <c r="B336" s="12" t="str">
        <v>みきとP feat.初音ミク</v>
      </c>
      <c r="C336" s="12" t="str">
        <f t="shared" si="15"/>
        <v>みきとP feat.初音ミク少女レイ</v>
      </c>
      <c r="AA336" s="14" t="str">
        <f t="shared" si="16"/>
        <v>みきとP feat.初音ミク</v>
      </c>
      <c r="AB336" s="14" t="str">
        <f>_xlfn.XLOOKUP(AA336,M_ARTIST!A:A,M_ARTIST!B:B,"★★★",0,1)</f>
        <v>みきとP feat.はつねみく</v>
      </c>
      <c r="AC336" s="14" t="str">
        <f t="shared" si="17"/>
        <v>少女レイ</v>
      </c>
      <c r="AD336" s="19" t="str">
        <f>HYPERLINK(_xlfn.XLOOKUP(C336,M_YT_LIVE_TIMESTAMP!AA:AA,M_YT_LIVE_TIMESTAMP!Z:Z,"★",0,-1))</f>
        <v>https://www.youtube.com/live/b0qPGU0sZn4?si=C5mabzVl6bhK7mp0&amp;t=329s</v>
      </c>
    </row>
    <row r="337" spans="1:30" x14ac:dyDescent="0.4">
      <c r="A337" s="12" t="str">
        <v>プラトニック・ラヴ</v>
      </c>
      <c r="B337" s="12" t="str">
        <v>メル feat.IA</v>
      </c>
      <c r="C337" s="12" t="str">
        <f t="shared" si="15"/>
        <v>メル feat.IAプラトニック・ラヴ</v>
      </c>
      <c r="AA337" s="14" t="str">
        <f t="shared" si="16"/>
        <v>メル feat.IA</v>
      </c>
      <c r="AB337" s="14" t="str">
        <f>_xlfn.XLOOKUP(AA337,M_ARTIST!A:A,M_ARTIST!B:B,"★★★",0,1)</f>
        <v>める feat.IA</v>
      </c>
      <c r="AC337" s="14" t="str">
        <f t="shared" si="17"/>
        <v>プラトニック・ラヴ</v>
      </c>
      <c r="AD337" s="19" t="str">
        <f>HYPERLINK(_xlfn.XLOOKUP(C337,M_YT_LIVE_TIMESTAMP!AA:AA,M_YT_LIVE_TIMESTAMP!Z:Z,"★",0,-1))</f>
        <v>https://www.youtube.com/live/B1g4NIZAKqo?si=v8CWAz6GBo-vVIKK&amp;t=4590s</v>
      </c>
    </row>
    <row r="338" spans="1:30" x14ac:dyDescent="0.4">
      <c r="A338" s="12" t="str">
        <v>さようなら、花泥棒さん</v>
      </c>
      <c r="B338" s="12" t="str">
        <v>メル feat.初音ミク</v>
      </c>
      <c r="C338" s="12" t="str">
        <f t="shared" si="15"/>
        <v>メル feat.初音ミクさようなら、花泥棒さん</v>
      </c>
      <c r="AA338" s="14" t="str">
        <f t="shared" si="16"/>
        <v>メル feat.初音ミク</v>
      </c>
      <c r="AB338" s="14" t="str">
        <f>_xlfn.XLOOKUP(AA338,M_ARTIST!A:A,M_ARTIST!B:B,"★★★",0,1)</f>
        <v>める feat.はつねみく</v>
      </c>
      <c r="AC338" s="14" t="str">
        <f t="shared" si="17"/>
        <v>さようなら、花泥棒さん</v>
      </c>
      <c r="AD338" s="19" t="str">
        <f>HYPERLINK(_xlfn.XLOOKUP(C338,M_YT_LIVE_TIMESTAMP!AA:AA,M_YT_LIVE_TIMESTAMP!Z:Z,"★",0,-1))</f>
        <v>https://www.youtube.com/live/B1g4NIZAKqo?si=v8CWAz6GBo-vVIKK&amp;t=5760s</v>
      </c>
    </row>
    <row r="339" spans="1:30" x14ac:dyDescent="0.4">
      <c r="A339" s="12" t="str">
        <v>翡翠のまち</v>
      </c>
      <c r="B339" s="12" t="str">
        <v>メル feat.初音ミク</v>
      </c>
      <c r="C339" s="12" t="str">
        <f t="shared" si="15"/>
        <v>メル feat.初音ミク翡翠のまち</v>
      </c>
      <c r="AA339" s="14" t="str">
        <f t="shared" si="16"/>
        <v>メル feat.初音ミク</v>
      </c>
      <c r="AB339" s="14" t="str">
        <f>_xlfn.XLOOKUP(AA339,M_ARTIST!A:A,M_ARTIST!B:B,"★★★",0,1)</f>
        <v>める feat.はつねみく</v>
      </c>
      <c r="AC339" s="14" t="str">
        <f t="shared" si="17"/>
        <v>翡翠のまち</v>
      </c>
      <c r="AD339" s="19" t="str">
        <f>HYPERLINK(_xlfn.XLOOKUP(C339,M_YT_LIVE_TIMESTAMP!AA:AA,M_YT_LIVE_TIMESTAMP!Z:Z,"★",0,-1))</f>
        <v>https://www.youtube.com/live/hkpPXWM6LDY?si=pgl-HW7-u6yZjLAi&amp;t=257s</v>
      </c>
    </row>
    <row r="340" spans="1:30" x14ac:dyDescent="0.4">
      <c r="A340" s="12" t="str">
        <v>サラバ、愛しき悲しみたちよ</v>
      </c>
      <c r="B340" s="12" t="str">
        <v>ももいろクローバーZ</v>
      </c>
      <c r="C340" s="12" t="str">
        <f t="shared" si="15"/>
        <v>ももいろクローバーZサラバ、愛しき悲しみたちよ</v>
      </c>
      <c r="AA340" s="14" t="str">
        <f t="shared" si="16"/>
        <v>ももいろクローバーZ</v>
      </c>
      <c r="AB340" s="14" t="str">
        <f>_xlfn.XLOOKUP(AA340,M_ARTIST!A:A,M_ARTIST!B:B,"★★★",0,1)</f>
        <v>★★★</v>
      </c>
      <c r="AC340" s="14" t="str">
        <f t="shared" si="17"/>
        <v>サラバ、愛しき悲しみたちよ</v>
      </c>
      <c r="AD340" s="19" t="str">
        <f>HYPERLINK(_xlfn.XLOOKUP(C340,M_YT_LIVE_TIMESTAMP!AA:AA,M_YT_LIVE_TIMESTAMP!Z:Z,"★",0,-1))</f>
        <v>https://www.youtube.com/live/orkAkFl798M?si=7tK-YB5J1dGoAFWq&amp;t=845s</v>
      </c>
    </row>
    <row r="341" spans="1:30" x14ac:dyDescent="0.4">
      <c r="A341" s="12" t="str">
        <v>行くぜっ!怪盗少女</v>
      </c>
      <c r="B341" s="12" t="str">
        <v>ももいろクローバーZ</v>
      </c>
      <c r="C341" s="12" t="str">
        <f t="shared" si="15"/>
        <v>ももいろクローバーZ行くぜっ!怪盗少女</v>
      </c>
      <c r="AA341" s="14" t="str">
        <f t="shared" si="16"/>
        <v>ももいろクローバーZ</v>
      </c>
      <c r="AB341" s="14" t="str">
        <f>_xlfn.XLOOKUP(AA341,M_ARTIST!A:A,M_ARTIST!B:B,"★★★",0,1)</f>
        <v>★★★</v>
      </c>
      <c r="AC341" s="14" t="str">
        <f t="shared" si="17"/>
        <v>行くぜっ!怪盗少女</v>
      </c>
      <c r="AD341" s="19" t="str">
        <f>HYPERLINK(_xlfn.XLOOKUP(C341,M_YT_LIVE_TIMESTAMP!AA:AA,M_YT_LIVE_TIMESTAMP!Z:Z,"★",0,-1))</f>
        <v>https://www.youtube.com/live/orkAkFl798M?si=7tK-YB5J1dGoAFWq&amp;t=395s</v>
      </c>
    </row>
    <row r="342" spans="1:30" x14ac:dyDescent="0.4">
      <c r="A342" s="12" t="str">
        <v>over and over</v>
      </c>
      <c r="B342" s="12" t="str">
        <v>やなぎなぎ</v>
      </c>
      <c r="C342" s="12" t="str">
        <f t="shared" si="15"/>
        <v>やなぎなぎover and over</v>
      </c>
      <c r="AA342" s="14" t="str">
        <f t="shared" si="16"/>
        <v>やなぎなぎ</v>
      </c>
      <c r="AB342" s="14" t="str">
        <f>_xlfn.XLOOKUP(AA342,M_ARTIST!A:A,M_ARTIST!B:B,"★★★",0,1)</f>
        <v>やなぎなぎ</v>
      </c>
      <c r="AC342" s="14" t="str">
        <f t="shared" si="17"/>
        <v>over and over</v>
      </c>
      <c r="AD342" s="19" t="str">
        <f>HYPERLINK(_xlfn.XLOOKUP(C342,M_YT_LIVE_TIMESTAMP!AA:AA,M_YT_LIVE_TIMESTAMP!Z:Z,"★",0,-1))</f>
        <v>https://www.youtube.com/live/wY3z5W9B8N0?si=FVqBjyoCdmcOKFxz&amp;t=53760s</v>
      </c>
    </row>
    <row r="343" spans="1:30" x14ac:dyDescent="0.4">
      <c r="A343" s="12" t="str">
        <v>Zoetrope</v>
      </c>
      <c r="B343" s="12" t="str">
        <v>やなぎなぎ</v>
      </c>
      <c r="C343" s="12" t="str">
        <f t="shared" si="15"/>
        <v>やなぎなぎZoetrope</v>
      </c>
      <c r="AA343" s="14" t="str">
        <f t="shared" si="16"/>
        <v>やなぎなぎ</v>
      </c>
      <c r="AB343" s="14" t="str">
        <f>_xlfn.XLOOKUP(AA343,M_ARTIST!A:A,M_ARTIST!B:B,"★★★",0,1)</f>
        <v>やなぎなぎ</v>
      </c>
      <c r="AC343" s="14" t="str">
        <f t="shared" si="17"/>
        <v>Zoetrope</v>
      </c>
      <c r="AD343" s="19" t="str">
        <f>HYPERLINK(_xlfn.XLOOKUP(C343,M_YT_LIVE_TIMESTAMP!AA:AA,M_YT_LIVE_TIMESTAMP!Z:Z,"★",0,-1))</f>
        <v>https://www.youtube.com/live/FGNU1iQLiNM?si=B75Oqj0tjRBiyl5j&amp;t=1349s</v>
      </c>
    </row>
    <row r="344" spans="1:30" x14ac:dyDescent="0.4">
      <c r="A344" s="12" t="str">
        <v>トコハナ</v>
      </c>
      <c r="B344" s="12" t="str">
        <v>やなぎなぎ</v>
      </c>
      <c r="C344" s="12" t="str">
        <f t="shared" si="15"/>
        <v>やなぎなぎトコハナ</v>
      </c>
      <c r="AA344" s="14" t="str">
        <f t="shared" si="16"/>
        <v>やなぎなぎ</v>
      </c>
      <c r="AB344" s="14" t="str">
        <f>_xlfn.XLOOKUP(AA344,M_ARTIST!A:A,M_ARTIST!B:B,"★★★",0,1)</f>
        <v>やなぎなぎ</v>
      </c>
      <c r="AC344" s="14" t="str">
        <f t="shared" si="17"/>
        <v>トコハナ</v>
      </c>
      <c r="AD344" s="19" t="str">
        <f>HYPERLINK(_xlfn.XLOOKUP(C344,M_YT_LIVE_TIMESTAMP!AA:AA,M_YT_LIVE_TIMESTAMP!Z:Z,"★",0,-1))</f>
        <v>https://www.youtube.com/live/keSRwH4Zr7g?si=RPmDxNZjQB1dZWSK&amp;t=4798s</v>
      </c>
    </row>
    <row r="345" spans="1:30" x14ac:dyDescent="0.4">
      <c r="A345" s="12" t="str">
        <v>ユキトキ</v>
      </c>
      <c r="B345" s="12" t="str">
        <v>やなぎなぎ</v>
      </c>
      <c r="C345" s="12" t="str">
        <f t="shared" si="15"/>
        <v>やなぎなぎユキトキ</v>
      </c>
      <c r="AA345" s="14" t="str">
        <f t="shared" si="16"/>
        <v>やなぎなぎ</v>
      </c>
      <c r="AB345" s="14" t="str">
        <f>_xlfn.XLOOKUP(AA345,M_ARTIST!A:A,M_ARTIST!B:B,"★★★",0,1)</f>
        <v>やなぎなぎ</v>
      </c>
      <c r="AC345" s="14" t="str">
        <f t="shared" si="17"/>
        <v>ユキトキ</v>
      </c>
      <c r="AD345" s="19" t="str">
        <f>HYPERLINK(_xlfn.XLOOKUP(C345,M_YT_LIVE_TIMESTAMP!AA:AA,M_YT_LIVE_TIMESTAMP!Z:Z,"★",0,-1))</f>
        <v>https://www.youtube.com/live/0d6TiZm7xWc?si=rSfrknMqNQFcz5xw&amp;t=1669s</v>
      </c>
    </row>
    <row r="346" spans="1:30" x14ac:dyDescent="0.4">
      <c r="A346" s="12" t="str">
        <v>春擬き</v>
      </c>
      <c r="B346" s="12" t="str">
        <v>やなぎなぎ</v>
      </c>
      <c r="C346" s="12" t="str">
        <f t="shared" si="15"/>
        <v>やなぎなぎ春擬き</v>
      </c>
      <c r="AA346" s="14" t="str">
        <f t="shared" si="16"/>
        <v>やなぎなぎ</v>
      </c>
      <c r="AB346" s="14" t="str">
        <f>_xlfn.XLOOKUP(AA346,M_ARTIST!A:A,M_ARTIST!B:B,"★★★",0,1)</f>
        <v>やなぎなぎ</v>
      </c>
      <c r="AC346" s="14" t="str">
        <f t="shared" si="17"/>
        <v>春擬き</v>
      </c>
      <c r="AD346" s="19" t="str">
        <f>HYPERLINK(_xlfn.XLOOKUP(C346,M_YT_LIVE_TIMESTAMP!AA:AA,M_YT_LIVE_TIMESTAMP!Z:Z,"★",0,-1))</f>
        <v>https://www.youtube.com/live/Yti72SsHzxs?si=qlI2gfa0I0wWYoH4&amp;t=952s</v>
      </c>
    </row>
    <row r="347" spans="1:30" x14ac:dyDescent="0.4">
      <c r="A347" s="12" t="str">
        <v>君という神話</v>
      </c>
      <c r="B347" s="12" t="str">
        <v>やなぎなぎ&amp; 麻枝准</v>
      </c>
      <c r="C347" s="12" t="str">
        <f t="shared" si="15"/>
        <v>やなぎなぎ&amp; 麻枝准君という神話</v>
      </c>
      <c r="AA347" s="14" t="str">
        <f t="shared" si="16"/>
        <v>やなぎなぎ&amp; 麻枝准</v>
      </c>
      <c r="AB347" s="14" t="str">
        <f>_xlfn.XLOOKUP(AA347,M_ARTIST!A:A,M_ARTIST!B:B,"★★★",0,1)</f>
        <v>やなぎなぎ&amp; まえだじゅん</v>
      </c>
      <c r="AC347" s="14" t="str">
        <f t="shared" si="17"/>
        <v>君という神話</v>
      </c>
      <c r="AD347" s="19" t="str">
        <f>HYPERLINK(_xlfn.XLOOKUP(C347,M_YT_LIVE_TIMESTAMP!AA:AA,M_YT_LIVE_TIMESTAMP!Z:Z,"★",0,-1))</f>
        <v>https://www.youtube.com/live/TDYlHpN4h0s?si=ysSy7YIPSXU6T0nx&amp;t=1731s</v>
      </c>
    </row>
    <row r="348" spans="1:30" x14ac:dyDescent="0.4">
      <c r="A348" s="12" t="str">
        <v>アンパンマンのマーチ</v>
      </c>
      <c r="B348" s="12" t="str">
        <v>やなせたかし(作曲者)</v>
      </c>
      <c r="C348" s="12" t="str">
        <f t="shared" si="15"/>
        <v>やなせたかし(作曲者)アンパンマンのマーチ</v>
      </c>
      <c r="AA348" s="14" t="str">
        <f t="shared" si="16"/>
        <v>やなせたかし(作曲者)</v>
      </c>
      <c r="AB348" s="14" t="str">
        <f>_xlfn.XLOOKUP(AA348,M_ARTIST!A:A,M_ARTIST!B:B,"★★★",0,1)</f>
        <v>やなせたかし(さっきょくしゃ)</v>
      </c>
      <c r="AC348" s="14" t="str">
        <f t="shared" si="17"/>
        <v>アンパンマンのマーチ</v>
      </c>
      <c r="AD348" s="19" t="str">
        <f>HYPERLINK(_xlfn.XLOOKUP(C348,M_YT_LIVE_TIMESTAMP!AA:AA,M_YT_LIVE_TIMESTAMP!Z:Z,"★",0,-1))</f>
        <v>https://www.youtube.com/live/cHLqE4AOOjI?si=heDnYTUAoUpLyQ_J&amp;t=1183s</v>
      </c>
    </row>
    <row r="349" spans="1:30" x14ac:dyDescent="0.4">
      <c r="A349" s="12" t="str">
        <v>隙</v>
      </c>
      <c r="B349" s="12" t="str">
        <v>ユーリ</v>
      </c>
      <c r="C349" s="12" t="str">
        <f t="shared" si="15"/>
        <v>ユーリ隙</v>
      </c>
      <c r="AA349" s="14" t="str">
        <f t="shared" si="16"/>
        <v>ユーリ</v>
      </c>
      <c r="AB349" s="14" t="str">
        <f>_xlfn.XLOOKUP(AA349,M_ARTIST!A:A,M_ARTIST!B:B,"★★★",0,1)</f>
        <v>ゆーり</v>
      </c>
      <c r="AC349" s="14" t="str">
        <f t="shared" si="17"/>
        <v>隙</v>
      </c>
      <c r="AD349" s="19" t="str">
        <f>HYPERLINK(_xlfn.XLOOKUP(C349,M_YT_LIVE_TIMESTAMP!AA:AA,M_YT_LIVE_TIMESTAMP!Z:Z,"★",0,-1))</f>
        <v>https://www.youtube.com/live/b0qPGU0sZn4?si=C5mabzVl6bhK7mp0&amp;t=4283s</v>
      </c>
    </row>
    <row r="350" spans="1:30" x14ac:dyDescent="0.4">
      <c r="A350" s="12" t="str">
        <v>栄光の架け橋</v>
      </c>
      <c r="B350" s="12" t="str">
        <v>ゆず</v>
      </c>
      <c r="C350" s="12" t="str">
        <f t="shared" si="15"/>
        <v>ゆず栄光の架け橋</v>
      </c>
      <c r="AA350" s="14" t="str">
        <f t="shared" si="16"/>
        <v>ゆず</v>
      </c>
      <c r="AB350" s="14" t="str">
        <f>_xlfn.XLOOKUP(AA350,M_ARTIST!A:A,M_ARTIST!B:B,"★★★",0,1)</f>
        <v>ゆず</v>
      </c>
      <c r="AC350" s="14" t="str">
        <f t="shared" si="17"/>
        <v>栄光の架け橋</v>
      </c>
      <c r="AD350" s="19" t="str">
        <f>HYPERLINK(_xlfn.XLOOKUP(C350,M_YT_LIVE_TIMESTAMP!AA:AA,M_YT_LIVE_TIMESTAMP!Z:Z,"★",0,-1))</f>
        <v>https://www.youtube.com/live/DX8misWhJuA?si=x9BqkZPlvHen5SCl&amp;t=4348s</v>
      </c>
    </row>
    <row r="351" spans="1:30" x14ac:dyDescent="0.4">
      <c r="A351" s="12" t="str">
        <v>夏色</v>
      </c>
      <c r="B351" s="12" t="str">
        <v>ゆず</v>
      </c>
      <c r="C351" s="12" t="str">
        <f t="shared" si="15"/>
        <v>ゆず夏色</v>
      </c>
      <c r="AA351" s="14" t="str">
        <f t="shared" si="16"/>
        <v>ゆず</v>
      </c>
      <c r="AB351" s="14" t="str">
        <f>_xlfn.XLOOKUP(AA351,M_ARTIST!A:A,M_ARTIST!B:B,"★★★",0,1)</f>
        <v>ゆず</v>
      </c>
      <c r="AC351" s="14" t="str">
        <f t="shared" si="17"/>
        <v>夏色</v>
      </c>
      <c r="AD351" s="19" t="str">
        <f>HYPERLINK(_xlfn.XLOOKUP(C351,M_YT_LIVE_TIMESTAMP!AA:AA,M_YT_LIVE_TIMESTAMP!Z:Z,"★",0,-1))</f>
        <v>https://www.youtube.com/live/DX8misWhJuA?si=x9BqkZPlvHen5SCl&amp;t=2503s</v>
      </c>
    </row>
    <row r="352" spans="1:30" x14ac:dyDescent="0.4">
      <c r="A352" s="12" t="str">
        <v>アポリア</v>
      </c>
      <c r="B352" s="12" t="str">
        <v>ヨルシカ</v>
      </c>
      <c r="C352" s="12" t="str">
        <f t="shared" si="15"/>
        <v>ヨルシカアポリア</v>
      </c>
      <c r="AA352" s="14" t="str">
        <f t="shared" si="16"/>
        <v>ヨルシカ</v>
      </c>
      <c r="AB352" s="14" t="str">
        <f>_xlfn.XLOOKUP(AA352,M_ARTIST!A:A,M_ARTIST!B:B,"★★★",0,1)</f>
        <v>よるしか</v>
      </c>
      <c r="AC352" s="14" t="str">
        <f t="shared" si="17"/>
        <v>アポリア</v>
      </c>
      <c r="AD352" s="19" t="str">
        <f>HYPERLINK(_xlfn.XLOOKUP(C352,M_YT_LIVE_TIMESTAMP!AA:AA,M_YT_LIVE_TIMESTAMP!Z:Z,"★",0,-1))</f>
        <v>https://www.youtube.com/live/h9yyUj584EA?si=1RWpj-7KllpU7qa_&amp;t=815s</v>
      </c>
    </row>
    <row r="353" spans="1:30" x14ac:dyDescent="0.4">
      <c r="A353" s="12" t="str">
        <v>アルジャーノン</v>
      </c>
      <c r="B353" s="12" t="str">
        <v>ヨルシカ</v>
      </c>
      <c r="C353" s="12" t="str">
        <f t="shared" si="15"/>
        <v>ヨルシカアルジャーノン</v>
      </c>
      <c r="AA353" s="14" t="str">
        <f t="shared" si="16"/>
        <v>ヨルシカ</v>
      </c>
      <c r="AB353" s="14" t="str">
        <f>_xlfn.XLOOKUP(AA353,M_ARTIST!A:A,M_ARTIST!B:B,"★★★",0,1)</f>
        <v>よるしか</v>
      </c>
      <c r="AC353" s="14" t="str">
        <f t="shared" si="17"/>
        <v>アルジャーノン</v>
      </c>
      <c r="AD353" s="19" t="str">
        <f>HYPERLINK(_xlfn.XLOOKUP(C353,M_YT_LIVE_TIMESTAMP!AA:AA,M_YT_LIVE_TIMESTAMP!Z:Z,"★",0,-1))</f>
        <v>https://www.youtube.com/live/Us_EP0LuOUI?si=QKfLbi9NsZLi9sIi&amp;t=4945s</v>
      </c>
    </row>
    <row r="354" spans="1:30" x14ac:dyDescent="0.4">
      <c r="A354" s="12" t="str">
        <v>だから僕は音楽を辞めた</v>
      </c>
      <c r="B354" s="12" t="str">
        <v>ヨルシカ</v>
      </c>
      <c r="C354" s="12" t="str">
        <f t="shared" si="15"/>
        <v>ヨルシカだから僕は音楽を辞めた</v>
      </c>
      <c r="AA354" s="14" t="str">
        <f t="shared" si="16"/>
        <v>ヨルシカ</v>
      </c>
      <c r="AB354" s="14" t="str">
        <f>_xlfn.XLOOKUP(AA354,M_ARTIST!A:A,M_ARTIST!B:B,"★★★",0,1)</f>
        <v>よるしか</v>
      </c>
      <c r="AC354" s="14" t="str">
        <f t="shared" si="17"/>
        <v>だから僕は音楽を辞めた</v>
      </c>
      <c r="AD354" s="19" t="str">
        <f>HYPERLINK(_xlfn.XLOOKUP(C354,M_YT_LIVE_TIMESTAMP!AA:AA,M_YT_LIVE_TIMESTAMP!Z:Z,"★",0,-1))</f>
        <v>https://www.youtube.com/live/yHiPuPE1ZpI?si=2EeKQkMqvxvThhyp&amp;t=654s</v>
      </c>
    </row>
    <row r="355" spans="1:30" x14ac:dyDescent="0.4">
      <c r="A355" s="12" t="str">
        <v>ただ君に晴れ</v>
      </c>
      <c r="B355" s="12" t="str">
        <v>ヨルシカ</v>
      </c>
      <c r="C355" s="12" t="str">
        <f t="shared" si="15"/>
        <v>ヨルシカただ君に晴れ</v>
      </c>
      <c r="AA355" s="14" t="str">
        <f t="shared" si="16"/>
        <v>ヨルシカ</v>
      </c>
      <c r="AB355" s="14" t="str">
        <f>_xlfn.XLOOKUP(AA355,M_ARTIST!A:A,M_ARTIST!B:B,"★★★",0,1)</f>
        <v>よるしか</v>
      </c>
      <c r="AC355" s="14" t="str">
        <f t="shared" si="17"/>
        <v>ただ君に晴れ</v>
      </c>
      <c r="AD355" s="19" t="str">
        <f>HYPERLINK(_xlfn.XLOOKUP(C355,M_YT_LIVE_TIMESTAMP!AA:AA,M_YT_LIVE_TIMESTAMP!Z:Z,"★",0,-1))</f>
        <v>https://www.youtube.com/live/Dm-WC5w7K8Y?si=Pph-3uJ8wVrF5vc0&amp;t=386s</v>
      </c>
    </row>
    <row r="356" spans="1:30" x14ac:dyDescent="0.4">
      <c r="A356" s="12" t="str">
        <v>チノカテ</v>
      </c>
      <c r="B356" s="12" t="str">
        <v>ヨルシカ</v>
      </c>
      <c r="C356" s="12" t="str">
        <f t="shared" si="15"/>
        <v>ヨルシカチノカテ</v>
      </c>
      <c r="AA356" s="14" t="str">
        <f t="shared" si="16"/>
        <v>ヨルシカ</v>
      </c>
      <c r="AB356" s="14" t="str">
        <f>_xlfn.XLOOKUP(AA356,M_ARTIST!A:A,M_ARTIST!B:B,"★★★",0,1)</f>
        <v>よるしか</v>
      </c>
      <c r="AC356" s="14" t="str">
        <f t="shared" si="17"/>
        <v>チノカテ</v>
      </c>
      <c r="AD356" s="19" t="str">
        <f>HYPERLINK(_xlfn.XLOOKUP(C356,M_YT_LIVE_TIMESTAMP!AA:AA,M_YT_LIVE_TIMESTAMP!Z:Z,"★",0,-1))</f>
        <v>https://www.youtube.com/live/lQQh4G5up3Y?si=U2BJIBIs-2OZdL6R&amp;t=1216s</v>
      </c>
    </row>
    <row r="357" spans="1:30" x14ac:dyDescent="0.4">
      <c r="A357" s="12" t="str">
        <v>ノーチラス</v>
      </c>
      <c r="B357" s="12" t="str">
        <v>ヨルシカ</v>
      </c>
      <c r="C357" s="12" t="str">
        <f t="shared" si="15"/>
        <v>ヨルシカノーチラス</v>
      </c>
      <c r="AA357" s="14" t="str">
        <f t="shared" si="16"/>
        <v>ヨルシカ</v>
      </c>
      <c r="AB357" s="14" t="str">
        <f>_xlfn.XLOOKUP(AA357,M_ARTIST!A:A,M_ARTIST!B:B,"★★★",0,1)</f>
        <v>よるしか</v>
      </c>
      <c r="AC357" s="14" t="str">
        <f t="shared" si="17"/>
        <v>ノーチラス</v>
      </c>
      <c r="AD357" s="19" t="str">
        <f>HYPERLINK(_xlfn.XLOOKUP(C357,M_YT_LIVE_TIMESTAMP!AA:AA,M_YT_LIVE_TIMESTAMP!Z:Z,"★",0,-1))</f>
        <v>https://www.youtube.com/live/h9yyUj584EA?si=1RWpj-7KllpU7qa_&amp;t=1377s</v>
      </c>
    </row>
    <row r="358" spans="1:30" x14ac:dyDescent="0.4">
      <c r="A358" s="12" t="str">
        <v>ヒッチコック</v>
      </c>
      <c r="B358" s="12" t="str">
        <v>ヨルシカ</v>
      </c>
      <c r="C358" s="12" t="str">
        <f t="shared" si="15"/>
        <v>ヨルシカヒッチコック</v>
      </c>
      <c r="AA358" s="14" t="str">
        <f t="shared" si="16"/>
        <v>ヨルシカ</v>
      </c>
      <c r="AB358" s="14" t="str">
        <f>_xlfn.XLOOKUP(AA358,M_ARTIST!A:A,M_ARTIST!B:B,"★★★",0,1)</f>
        <v>よるしか</v>
      </c>
      <c r="AC358" s="14" t="str">
        <f t="shared" si="17"/>
        <v>ヒッチコック</v>
      </c>
      <c r="AD358" s="19" t="str">
        <f>HYPERLINK(_xlfn.XLOOKUP(C358,M_YT_LIVE_TIMESTAMP!AA:AA,M_YT_LIVE_TIMESTAMP!Z:Z,"★",0,-1))</f>
        <v>https://www.youtube.com/live/OYaf_O-6WRs?si=20Zo4VVa8PxJbw_X&amp;t=1479s</v>
      </c>
    </row>
    <row r="359" spans="1:30" x14ac:dyDescent="0.4">
      <c r="A359" s="12" t="str">
        <v>雨とカプチーノ</v>
      </c>
      <c r="B359" s="12" t="str">
        <v>ヨルシカ</v>
      </c>
      <c r="C359" s="12" t="str">
        <f t="shared" si="15"/>
        <v>ヨルシカ雨とカプチーノ</v>
      </c>
      <c r="AA359" s="14" t="str">
        <f t="shared" si="16"/>
        <v>ヨルシカ</v>
      </c>
      <c r="AB359" s="14" t="str">
        <f>_xlfn.XLOOKUP(AA359,M_ARTIST!A:A,M_ARTIST!B:B,"★★★",0,1)</f>
        <v>よるしか</v>
      </c>
      <c r="AC359" s="14" t="str">
        <f t="shared" si="17"/>
        <v>雨とカプチーノ</v>
      </c>
      <c r="AD359" s="19" t="str">
        <f>HYPERLINK(_xlfn.XLOOKUP(C359,M_YT_LIVE_TIMESTAMP!AA:AA,M_YT_LIVE_TIMESTAMP!Z:Z,"★",0,-1))</f>
        <v>https://www.youtube.com/live/yHiPuPE1ZpI?si=2EeKQkMqvxvThhyp&amp;t=1995s</v>
      </c>
    </row>
    <row r="360" spans="1:30" x14ac:dyDescent="0.4">
      <c r="A360" s="12" t="str">
        <v>火星人</v>
      </c>
      <c r="B360" s="12" t="str">
        <v>ヨルシカ</v>
      </c>
      <c r="C360" s="12" t="str">
        <f t="shared" si="15"/>
        <v>ヨルシカ火星人</v>
      </c>
      <c r="AA360" s="14" t="str">
        <f t="shared" si="16"/>
        <v>ヨルシカ</v>
      </c>
      <c r="AB360" s="14" t="str">
        <f>_xlfn.XLOOKUP(AA360,M_ARTIST!A:A,M_ARTIST!B:B,"★★★",0,1)</f>
        <v>よるしか</v>
      </c>
      <c r="AC360" s="14" t="str">
        <f t="shared" si="17"/>
        <v>火星人</v>
      </c>
      <c r="AD360" s="19" t="str">
        <f>HYPERLINK(_xlfn.XLOOKUP(C360,M_YT_LIVE_TIMESTAMP!AA:AA,M_YT_LIVE_TIMESTAMP!Z:Z,"★",0,-1))</f>
        <v>https://www.youtube.com/live/hkpPXWM6LDY?si=pgl-HW7-u6yZjLAi&amp;t=2936s</v>
      </c>
    </row>
    <row r="361" spans="1:30" x14ac:dyDescent="0.4">
      <c r="A361" s="12" t="str">
        <v>花に亡霊</v>
      </c>
      <c r="B361" s="12" t="str">
        <v>ヨルシカ</v>
      </c>
      <c r="C361" s="12" t="str">
        <f t="shared" si="15"/>
        <v>ヨルシカ花に亡霊</v>
      </c>
      <c r="AA361" s="14" t="str">
        <f t="shared" si="16"/>
        <v>ヨルシカ</v>
      </c>
      <c r="AB361" s="14" t="str">
        <f>_xlfn.XLOOKUP(AA361,M_ARTIST!A:A,M_ARTIST!B:B,"★★★",0,1)</f>
        <v>よるしか</v>
      </c>
      <c r="AC361" s="14" t="str">
        <f t="shared" si="17"/>
        <v>花に亡霊</v>
      </c>
      <c r="AD361" s="19" t="str">
        <f>HYPERLINK(_xlfn.XLOOKUP(C361,M_YT_LIVE_TIMESTAMP!AA:AA,M_YT_LIVE_TIMESTAMP!Z:Z,"★",0,-1))</f>
        <v>https://www.youtube.com/live/nyXzxG79mwQ?si=kGuFyOuc0o-yNPOU&amp;t=1571s</v>
      </c>
    </row>
    <row r="362" spans="1:30" x14ac:dyDescent="0.4">
      <c r="A362" s="12" t="str">
        <v>靴の花火</v>
      </c>
      <c r="B362" s="12" t="str">
        <v>ヨルシカ</v>
      </c>
      <c r="C362" s="12" t="str">
        <f t="shared" si="15"/>
        <v>ヨルシカ靴の花火</v>
      </c>
      <c r="AA362" s="14" t="str">
        <f t="shared" ref="AA362:AA368" si="18">B362</f>
        <v>ヨルシカ</v>
      </c>
      <c r="AB362" s="14" t="str">
        <f>_xlfn.XLOOKUP(AA362,M_ARTIST!A:A,M_ARTIST!B:B,"★★★",0,1)</f>
        <v>よるしか</v>
      </c>
      <c r="AC362" s="14" t="str">
        <f t="shared" ref="AC362:AC368" si="19">A362</f>
        <v>靴の花火</v>
      </c>
      <c r="AD362" s="19" t="str">
        <f>HYPERLINK(_xlfn.XLOOKUP(C362,M_YT_LIVE_TIMESTAMP!AA:AA,M_YT_LIVE_TIMESTAMP!Z:Z,"★",0,-1))</f>
        <v>https://www.youtube.com/live/r7Bwk1jHwnc?si=YSwS6uQI_0X3Y91g&amp;t=667s</v>
      </c>
    </row>
    <row r="363" spans="1:30" x14ac:dyDescent="0.4">
      <c r="A363" s="12" t="str">
        <v>言って。</v>
      </c>
      <c r="B363" s="12" t="str">
        <v>ヨルシカ</v>
      </c>
      <c r="C363" s="12" t="str">
        <f t="shared" si="15"/>
        <v>ヨルシカ言って。</v>
      </c>
      <c r="AA363" s="14" t="str">
        <f t="shared" si="18"/>
        <v>ヨルシカ</v>
      </c>
      <c r="AB363" s="14" t="str">
        <f>_xlfn.XLOOKUP(AA363,M_ARTIST!A:A,M_ARTIST!B:B,"★★★",0,1)</f>
        <v>よるしか</v>
      </c>
      <c r="AC363" s="14" t="str">
        <f t="shared" si="19"/>
        <v>言って。</v>
      </c>
      <c r="AD363" s="19" t="str">
        <f>HYPERLINK(_xlfn.XLOOKUP(C363,M_YT_LIVE_TIMESTAMP!AA:AA,M_YT_LIVE_TIMESTAMP!Z:Z,"★",0,-1))</f>
        <v>https://www.youtube.com/live/7l8RLTKBC8E?si=4WR3af3ZrVMWAe9X&amp;t=2984s</v>
      </c>
    </row>
    <row r="364" spans="1:30" x14ac:dyDescent="0.4">
      <c r="A364" s="12" t="str">
        <v>斜陽</v>
      </c>
      <c r="B364" s="12" t="str">
        <v>ヨルシカ</v>
      </c>
      <c r="C364" s="12" t="str">
        <f t="shared" si="15"/>
        <v>ヨルシカ斜陽</v>
      </c>
      <c r="AA364" s="14" t="str">
        <f t="shared" si="18"/>
        <v>ヨルシカ</v>
      </c>
      <c r="AB364" s="14" t="str">
        <f>_xlfn.XLOOKUP(AA364,M_ARTIST!A:A,M_ARTIST!B:B,"★★★",0,1)</f>
        <v>よるしか</v>
      </c>
      <c r="AC364" s="14" t="str">
        <f t="shared" si="19"/>
        <v>斜陽</v>
      </c>
      <c r="AD364" s="19" t="str">
        <f>HYPERLINK(_xlfn.XLOOKUP(C364,M_YT_LIVE_TIMESTAMP!AA:AA,M_YT_LIVE_TIMESTAMP!Z:Z,"★",0,-1))</f>
        <v>https://www.youtube.com/live/hkpPXWM6LDY?si=pgl-HW7-u6yZjLAi&amp;t=2618s</v>
      </c>
    </row>
    <row r="365" spans="1:30" x14ac:dyDescent="0.4">
      <c r="A365" s="12" t="str">
        <v>春泥棒</v>
      </c>
      <c r="B365" s="12" t="str">
        <v>ヨルシカ</v>
      </c>
      <c r="C365" s="12" t="str">
        <f t="shared" si="15"/>
        <v>ヨルシカ春泥棒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春泥棒</v>
      </c>
      <c r="AD365" s="19" t="str">
        <f>HYPERLINK(_xlfn.XLOOKUP(C365,M_YT_LIVE_TIMESTAMP!AA:AA,M_YT_LIVE_TIMESTAMP!Z:Z,"★",0,-1))</f>
        <v>https://www.youtube.com/live/nyXzxG79mwQ?si=kGuFyOuc0o-yNPOU&amp;t=9975s</v>
      </c>
    </row>
    <row r="366" spans="1:30" x14ac:dyDescent="0.4">
      <c r="A366" s="12" t="str">
        <v>心に穴が空いた</v>
      </c>
      <c r="B366" s="12" t="str">
        <v>ヨルシカ</v>
      </c>
      <c r="C366" s="12" t="str">
        <f t="shared" si="15"/>
        <v>ヨルシカ心に穴が空いた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心に穴が空いた</v>
      </c>
      <c r="AD366" s="19" t="str">
        <f>HYPERLINK(_xlfn.XLOOKUP(C366,M_YT_LIVE_TIMESTAMP!AA:AA,M_YT_LIVE_TIMESTAMP!Z:Z,"★",0,-1))</f>
        <v>https://www.youtube.com/live/yHiPuPE1ZpI?si=2EeKQkMqvxvThhyp&amp;t=174s</v>
      </c>
    </row>
    <row r="367" spans="1:30" x14ac:dyDescent="0.4">
      <c r="A367" s="12" t="str">
        <v>晴る</v>
      </c>
      <c r="B367" s="12" t="str">
        <v>ヨルシカ</v>
      </c>
      <c r="C367" s="12" t="str">
        <f t="shared" si="15"/>
        <v>ヨルシカ晴る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晴る</v>
      </c>
      <c r="AD367" s="19" t="str">
        <f>HYPERLINK(_xlfn.XLOOKUP(C367,M_YT_LIVE_TIMESTAMP!AA:AA,M_YT_LIVE_TIMESTAMP!Z:Z,"★",0,-1))</f>
        <v>https://www.youtube.com/live/nyXzxG79mwQ?si=kGuFyOuc0o-yNPOU&amp;t=4707s</v>
      </c>
    </row>
    <row r="368" spans="1:30" x14ac:dyDescent="0.4">
      <c r="A368" s="12" t="str">
        <v>忘れてください</v>
      </c>
      <c r="B368" s="12" t="str">
        <v>ヨルシカ</v>
      </c>
      <c r="C368" s="12" t="str">
        <f t="shared" si="15"/>
        <v>ヨルシカ忘れてください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忘れてください</v>
      </c>
      <c r="AD368" s="19" t="str">
        <f>HYPERLINK(_xlfn.XLOOKUP(C368,M_YT_LIVE_TIMESTAMP!AA:AA,M_YT_LIVE_TIMESTAMP!Z:Z,"★",0,-1))</f>
        <v>https://www.youtube.com/live/YC2XfDeeAQI?si=BpJIi-KScnRHEoFo&amp;t=4129s</v>
      </c>
    </row>
    <row r="369" spans="1:30" x14ac:dyDescent="0.4">
      <c r="A369" s="12" t="str">
        <v>又三郎</v>
      </c>
      <c r="B369" s="12" t="str">
        <v>ヨルシカ</v>
      </c>
      <c r="C369" s="12" t="str">
        <f t="shared" ref="C369:C379" si="20">TRIM(B369)&amp;TRIM(A369)</f>
        <v>ヨルシカ又三郎</v>
      </c>
      <c r="AA369" s="14" t="str">
        <f t="shared" ref="AA369:AA379" si="21">B369</f>
        <v>ヨルシカ</v>
      </c>
      <c r="AB369" s="14" t="str">
        <f>_xlfn.XLOOKUP(AA369,M_ARTIST!A:A,M_ARTIST!B:B,"★★★",0,1)</f>
        <v>よるしか</v>
      </c>
      <c r="AC369" s="14" t="str">
        <f t="shared" ref="AC369:AC379" si="22">A369</f>
        <v>又三郎</v>
      </c>
      <c r="AD369" s="19" t="str">
        <f>HYPERLINK(_xlfn.XLOOKUP(C369,M_YT_LIVE_TIMESTAMP!AA:AA,M_YT_LIVE_TIMESTAMP!Z:Z,"★",0,-1))</f>
        <v>https://www.youtube.com/live/hkpPXWM6LDY?si=pgl-HW7-u6yZjLAi&amp;t=3293s</v>
      </c>
    </row>
    <row r="370" spans="1:30" x14ac:dyDescent="0.4">
      <c r="A370" s="12" t="str">
        <v>藍二乗</v>
      </c>
      <c r="B370" s="12" t="str">
        <v>ヨルシカ</v>
      </c>
      <c r="C370" s="12" t="str">
        <f t="shared" si="20"/>
        <v>ヨルシカ藍二乗</v>
      </c>
      <c r="AA370" s="14" t="str">
        <f t="shared" si="21"/>
        <v>ヨルシカ</v>
      </c>
      <c r="AB370" s="14" t="str">
        <f>_xlfn.XLOOKUP(AA370,M_ARTIST!A:A,M_ARTIST!B:B,"★★★",0,1)</f>
        <v>よるしか</v>
      </c>
      <c r="AC370" s="14" t="str">
        <f t="shared" si="22"/>
        <v>藍二乗</v>
      </c>
      <c r="AD370" s="19" t="str">
        <f>HYPERLINK(_xlfn.XLOOKUP(C370,M_YT_LIVE_TIMESTAMP!AA:AA,M_YT_LIVE_TIMESTAMP!Z:Z,"★",0,-1))</f>
        <v>https://www.youtube.com/live/yHiPuPE1ZpI?si=2EeKQkMqvxvThhyp&amp;t=1548s</v>
      </c>
    </row>
    <row r="371" spans="1:30" x14ac:dyDescent="0.4">
      <c r="A371" s="12" t="str">
        <v>星間飛行</v>
      </c>
      <c r="B371" s="12" t="str">
        <v>ランカー・リー(CV.中島愛)</v>
      </c>
      <c r="C371" s="12" t="str">
        <f t="shared" si="20"/>
        <v>ランカー・リー(CV.中島愛)星間飛行</v>
      </c>
      <c r="AA371" s="14" t="str">
        <f t="shared" si="21"/>
        <v>ランカー・リー(CV.中島愛)</v>
      </c>
      <c r="AB371" s="14" t="str">
        <f>_xlfn.XLOOKUP(AA371,M_ARTIST!A:A,M_ARTIST!B:B,"★★★",0,1)</f>
        <v>らんか・りー(CV.なかじまめぐみ)</v>
      </c>
      <c r="AC371" s="14" t="str">
        <f t="shared" si="22"/>
        <v>星間飛行</v>
      </c>
      <c r="AD371" s="19" t="str">
        <f>HYPERLINK(_xlfn.XLOOKUP(C371,M_YT_LIVE_TIMESTAMP!AA:AA,M_YT_LIVE_TIMESTAMP!Z:Z,"★",0,-1))</f>
        <v>https://www.youtube.com/live/nyXzxG79mwQ?si=kGuFyOuc0o-yNPOU&amp;t=1320s</v>
      </c>
    </row>
    <row r="372" spans="1:30" x14ac:dyDescent="0.4">
      <c r="A372" s="12" t="str">
        <v>粉雪</v>
      </c>
      <c r="B372" s="12" t="str">
        <v>レミオロメン</v>
      </c>
      <c r="C372" s="12" t="str">
        <f t="shared" si="20"/>
        <v>レミオロメン粉雪</v>
      </c>
      <c r="AA372" s="14" t="str">
        <f t="shared" si="21"/>
        <v>レミオロメン</v>
      </c>
      <c r="AB372" s="14" t="str">
        <f>_xlfn.XLOOKUP(AA372,M_ARTIST!A:A,M_ARTIST!B:B,"★★★",0,1)</f>
        <v>れみおろめん</v>
      </c>
      <c r="AC372" s="14" t="str">
        <f t="shared" si="22"/>
        <v>粉雪</v>
      </c>
      <c r="AD372" s="19" t="str">
        <f>HYPERLINK(_xlfn.XLOOKUP(C372,M_YT_LIVE_TIMESTAMP!AA:AA,M_YT_LIVE_TIMESTAMP!Z:Z,"★",0,-1))</f>
        <v>https://www.youtube.com/live/Yti72SsHzxs?si=qlI2gfa0I0wWYoH4&amp;t=2962s</v>
      </c>
    </row>
    <row r="373" spans="1:30" x14ac:dyDescent="0.4">
      <c r="A373" s="12" t="str">
        <v>ヤミタイガール</v>
      </c>
      <c r="B373" s="12" t="str">
        <v>れるりり feat.GUMI</v>
      </c>
      <c r="C373" s="12" t="str">
        <f t="shared" si="20"/>
        <v>れるりり feat.GUMIヤミタイガール</v>
      </c>
      <c r="AA373" s="14" t="str">
        <f t="shared" si="21"/>
        <v>れるりり feat.GUMI</v>
      </c>
      <c r="AB373" s="14" t="str">
        <f>_xlfn.XLOOKUP(AA373,M_ARTIST!A:A,M_ARTIST!B:B,"★★★",0,1)</f>
        <v>れるりり feat.GUMI</v>
      </c>
      <c r="AC373" s="14" t="str">
        <f t="shared" si="22"/>
        <v>ヤミタイガール</v>
      </c>
      <c r="AD373" s="19" t="str">
        <f>HYPERLINK(_xlfn.XLOOKUP(C373,M_YT_LIVE_TIMESTAMP!AA:AA,M_YT_LIVE_TIMESTAMP!Z:Z,"★",0,-1))</f>
        <v>https://www.youtube.com/live/Yti72SsHzxs?si=qlI2gfa0I0wWYoH4&amp;t=9481s</v>
      </c>
    </row>
    <row r="374" spans="1:30" x14ac:dyDescent="0.4">
      <c r="A374" s="12" t="str">
        <v>脳漿炸裂ガール</v>
      </c>
      <c r="B374" s="12" t="str">
        <v>れるりり(当社比P) feat.初音ミク</v>
      </c>
      <c r="C374" s="12" t="str">
        <f t="shared" si="20"/>
        <v>れるりり(当社比P) feat.初音ミク脳漿炸裂ガール</v>
      </c>
      <c r="AA374" s="14" t="str">
        <f t="shared" si="21"/>
        <v>れるりり(当社比P) feat.初音ミク</v>
      </c>
      <c r="AB374" s="14" t="str">
        <f>_xlfn.XLOOKUP(AA374,M_ARTIST!A:A,M_ARTIST!B:B,"★★★",0,1)</f>
        <v>れるりり(とうしゃひP) feat.はつねみく</v>
      </c>
      <c r="AC374" s="14" t="str">
        <f t="shared" si="22"/>
        <v>脳漿炸裂ガール</v>
      </c>
      <c r="AD374" s="19" t="str">
        <f>HYPERLINK(_xlfn.XLOOKUP(C374,M_YT_LIVE_TIMESTAMP!AA:AA,M_YT_LIVE_TIMESTAMP!Z:Z,"★",0,-1))</f>
        <v>https://www.youtube.com/live/EIV2fME4Fec?si=lkzDtJEJ9agzd2Md&amp;t=1690s</v>
      </c>
    </row>
    <row r="375" spans="1:30" x14ac:dyDescent="0.4">
      <c r="A375" s="12" t="str">
        <v>Drop pop candy</v>
      </c>
      <c r="B375" s="12" t="str">
        <v>れをる&amp;ぎがP feat.鏡音リン&amp;巡音ルカ</v>
      </c>
      <c r="C375" s="12" t="str">
        <f t="shared" si="20"/>
        <v>れをる&amp;ぎがP feat.鏡音リン&amp;巡音ルカDrop pop candy</v>
      </c>
      <c r="AA375" s="14" t="str">
        <f t="shared" si="21"/>
        <v>れをる&amp;ぎがP feat.鏡音リン&amp;巡音ルカ</v>
      </c>
      <c r="AB375" s="14" t="str">
        <f>_xlfn.XLOOKUP(AA375,M_ARTIST!A:A,M_ARTIST!B:B,"★★★",0,1)</f>
        <v>れをる&amp;ぎがP feat.かがみねりん&amp;めぐりねるか</v>
      </c>
      <c r="AC375" s="14" t="str">
        <f t="shared" si="22"/>
        <v>Drop pop candy</v>
      </c>
      <c r="AD375" s="19" t="str">
        <f>HYPERLINK(_xlfn.XLOOKUP(C375,M_YT_LIVE_TIMESTAMP!AA:AA,M_YT_LIVE_TIMESTAMP!Z:Z,"★",0,-1))</f>
        <v>https://www.youtube.com/live/lrLQ6akH23w?si=aC5HLJK6UZYwu-Yn&amp;t=4408s</v>
      </c>
    </row>
    <row r="376" spans="1:30" x14ac:dyDescent="0.4">
      <c r="A376" s="12" t="str">
        <v>リインカーネーション</v>
      </c>
      <c r="B376" s="12" t="str">
        <v>ロクデナシ</v>
      </c>
      <c r="C376" s="12" t="str">
        <f t="shared" si="20"/>
        <v>ロクデナシリインカーネーション</v>
      </c>
      <c r="AA376" s="14" t="str">
        <f t="shared" si="21"/>
        <v>ロクデナシ</v>
      </c>
      <c r="AB376" s="14" t="str">
        <f>_xlfn.XLOOKUP(AA376,M_ARTIST!A:A,M_ARTIST!B:B,"★★★",0,1)</f>
        <v>ろくでなし</v>
      </c>
      <c r="AC376" s="14" t="str">
        <f t="shared" si="22"/>
        <v>リインカーネーション</v>
      </c>
      <c r="AD376" s="19" t="str">
        <f>HYPERLINK(_xlfn.XLOOKUP(C376,M_YT_LIVE_TIMESTAMP!AA:AA,M_YT_LIVE_TIMESTAMP!Z:Z,"★",0,-1))</f>
        <v>https://www.youtube.com/live/ac4RYGdoGfw?si=XYuojmcqpJZOLb9x&amp;t=2920s</v>
      </c>
    </row>
    <row r="377" spans="1:30" x14ac:dyDescent="0.4">
      <c r="A377" s="12" t="str">
        <v>ストーカーの唄～3丁目、貴方の家～</v>
      </c>
      <c r="B377" s="12" t="str">
        <v>阿部真央</v>
      </c>
      <c r="C377" s="12" t="str">
        <f t="shared" si="20"/>
        <v>阿部真央ストーカーの唄～3丁目、貴方の家～</v>
      </c>
      <c r="AA377" s="14" t="str">
        <f t="shared" si="21"/>
        <v>阿部真央</v>
      </c>
      <c r="AB377" s="14" t="str">
        <f>_xlfn.XLOOKUP(AA377,M_ARTIST!A:A,M_ARTIST!B:B,"★★★",0,1)</f>
        <v>あべまお</v>
      </c>
      <c r="AC377" s="14" t="str">
        <f t="shared" si="22"/>
        <v>ストーカーの唄～3丁目、貴方の家～</v>
      </c>
      <c r="AD377" s="19" t="str">
        <f>HYPERLINK(_xlfn.XLOOKUP(C377,M_YT_LIVE_TIMESTAMP!AA:AA,M_YT_LIVE_TIMESTAMP!Z:Z,"★",0,-1))</f>
        <v>https://www.youtube.com/live/OEtLBen9pLM?si=M4WDMSGkkHfWLvDr&amp;t=4610s</v>
      </c>
    </row>
    <row r="378" spans="1:30" x14ac:dyDescent="0.4">
      <c r="A378" s="12" t="str">
        <v>ロンリー</v>
      </c>
      <c r="B378" s="12" t="str">
        <v>阿部真央</v>
      </c>
      <c r="C378" s="12" t="str">
        <f t="shared" si="20"/>
        <v>阿部真央ロンリー</v>
      </c>
      <c r="AA378" s="14" t="str">
        <f t="shared" si="21"/>
        <v>阿部真央</v>
      </c>
      <c r="AB378" s="14" t="str">
        <f>_xlfn.XLOOKUP(AA378,M_ARTIST!A:A,M_ARTIST!B:B,"★★★",0,1)</f>
        <v>あべまお</v>
      </c>
      <c r="AC378" s="14" t="str">
        <f t="shared" si="22"/>
        <v>ロンリー</v>
      </c>
      <c r="AD378" s="19" t="str">
        <f>HYPERLINK(_xlfn.XLOOKUP(C378,M_YT_LIVE_TIMESTAMP!AA:AA,M_YT_LIVE_TIMESTAMP!Z:Z,"★",0,-1))</f>
        <v>https://www.youtube.com/live/OEtLBen9pLM?si=M4WDMSGkkHfWLvDr&amp;t=5351s</v>
      </c>
    </row>
    <row r="379" spans="1:30" x14ac:dyDescent="0.4">
      <c r="A379" s="12" t="str">
        <v>貴方の恋人になりたいのです</v>
      </c>
      <c r="B379" s="12" t="str">
        <v>阿部真央</v>
      </c>
      <c r="C379" s="12" t="str">
        <f t="shared" si="20"/>
        <v>阿部真央貴方の恋人になりたいのです</v>
      </c>
      <c r="AA379" s="14" t="str">
        <f t="shared" si="21"/>
        <v>阿部真央</v>
      </c>
      <c r="AB379" s="14" t="str">
        <f>_xlfn.XLOOKUP(AA379,M_ARTIST!A:A,M_ARTIST!B:B,"★★★",0,1)</f>
        <v>あべまお</v>
      </c>
      <c r="AC379" s="14" t="str">
        <f t="shared" si="22"/>
        <v>貴方の恋人になりたいのです</v>
      </c>
      <c r="AD379" s="19" t="str">
        <f>HYPERLINK(_xlfn.XLOOKUP(C379,M_YT_LIVE_TIMESTAMP!AA:AA,M_YT_LIVE_TIMESTAMP!Z:Z,"★",0,-1))</f>
        <v>https://www.youtube.com/live/TDYlHpN4h0s?si=ysSy7YIPSXU6T0nx&amp;t=4774s</v>
      </c>
    </row>
    <row r="380" spans="1:30" x14ac:dyDescent="0.4">
      <c r="A380" s="12" t="str">
        <v>側にいて</v>
      </c>
      <c r="B380" s="12" t="str">
        <v>阿部真央</v>
      </c>
      <c r="C380" s="12" t="str">
        <f t="shared" ref="C380:C402" si="23">TRIM(B380)&amp;TRIM(A380)</f>
        <v>阿部真央側にいて</v>
      </c>
      <c r="AA380" s="14" t="str">
        <f t="shared" ref="AA380:AA402" si="24">B380</f>
        <v>阿部真央</v>
      </c>
      <c r="AB380" s="14" t="str">
        <f>_xlfn.XLOOKUP(AA380,M_ARTIST!A:A,M_ARTIST!B:B,"★★★",0,1)</f>
        <v>あべまお</v>
      </c>
      <c r="AC380" s="14" t="str">
        <f t="shared" ref="AC380:AC402" si="25">A380</f>
        <v>側にいて</v>
      </c>
      <c r="AD380" s="19" t="str">
        <f>HYPERLINK(_xlfn.XLOOKUP(C380,M_YT_LIVE_TIMESTAMP!AA:AA,M_YT_LIVE_TIMESTAMP!Z:Z,"★",0,-1))</f>
        <v>https://www.youtube.com/live/TDYlHpN4h0s?si=ysSy7YIPSXU6T0nx&amp;t=5254s</v>
      </c>
    </row>
    <row r="381" spans="1:30" x14ac:dyDescent="0.4">
      <c r="A381" s="12" t="str">
        <v>未だ</v>
      </c>
      <c r="B381" s="12" t="str">
        <v>阿部真央</v>
      </c>
      <c r="C381" s="12" t="str">
        <f t="shared" si="23"/>
        <v>阿部真央未だ</v>
      </c>
      <c r="AA381" s="14" t="str">
        <f t="shared" si="24"/>
        <v>阿部真央</v>
      </c>
      <c r="AB381" s="14" t="str">
        <f>_xlfn.XLOOKUP(AA381,M_ARTIST!A:A,M_ARTIST!B:B,"★★★",0,1)</f>
        <v>あべまお</v>
      </c>
      <c r="AC381" s="14" t="str">
        <f t="shared" si="25"/>
        <v>未だ</v>
      </c>
      <c r="AD381" s="19" t="str">
        <f>HYPERLINK(_xlfn.XLOOKUP(C381,M_YT_LIVE_TIMESTAMP!AA:AA,M_YT_LIVE_TIMESTAMP!Z:Z,"★",0,-1))</f>
        <v>https://www.youtube.com/live/TDYlHpN4h0s?si=ysSy7YIPSXU6T0nx&amp;t=4430s</v>
      </c>
    </row>
    <row r="382" spans="1:30" x14ac:dyDescent="0.4">
      <c r="A382" s="12" t="str">
        <v>はじまりのとき</v>
      </c>
      <c r="B382" s="12" t="str">
        <v>絢香</v>
      </c>
      <c r="C382" s="12" t="str">
        <f t="shared" si="23"/>
        <v>絢香はじまりのとき</v>
      </c>
      <c r="AA382" s="14" t="str">
        <f t="shared" si="24"/>
        <v>絢香</v>
      </c>
      <c r="AB382" s="14" t="str">
        <f>_xlfn.XLOOKUP(AA382,M_ARTIST!A:A,M_ARTIST!B:B,"★★★",0,1)</f>
        <v>あやか</v>
      </c>
      <c r="AC382" s="14" t="str">
        <f t="shared" si="25"/>
        <v>はじまりのとき</v>
      </c>
      <c r="AD382" s="19" t="str">
        <f>HYPERLINK(_xlfn.XLOOKUP(C382,M_YT_LIVE_TIMESTAMP!AA:AA,M_YT_LIVE_TIMESTAMP!Z:Z,"★",0,-1))</f>
        <v>https://www.youtube.com/live/Yti72SsHzxs?si=qlI2gfa0I0wWYoH4&amp;t=6670s</v>
      </c>
    </row>
    <row r="383" spans="1:30" x14ac:dyDescent="0.4">
      <c r="A383" s="12" t="str">
        <v>三日月</v>
      </c>
      <c r="B383" s="12" t="str">
        <v>絢香</v>
      </c>
      <c r="C383" s="12" t="str">
        <f t="shared" si="23"/>
        <v>絢香三日月</v>
      </c>
      <c r="AA383" s="14" t="str">
        <f t="shared" si="24"/>
        <v>絢香</v>
      </c>
      <c r="AB383" s="14" t="str">
        <f>_xlfn.XLOOKUP(AA383,M_ARTIST!A:A,M_ARTIST!B:B,"★★★",0,1)</f>
        <v>あやか</v>
      </c>
      <c r="AC383" s="14" t="str">
        <f t="shared" si="25"/>
        <v>三日月</v>
      </c>
      <c r="AD383" s="19" t="str">
        <f>HYPERLINK(_xlfn.XLOOKUP(C383,M_YT_LIVE_TIMESTAMP!AA:AA,M_YT_LIVE_TIMESTAMP!Z:Z,"★",0,-1))</f>
        <v>https://www.youtube.com/live/Yti72SsHzxs?si=qlI2gfa0I0wWYoH4&amp;t=6324s</v>
      </c>
    </row>
    <row r="384" spans="1:30" x14ac:dyDescent="0.4">
      <c r="A384" s="12" t="str">
        <v>ハナミズキ</v>
      </c>
      <c r="B384" s="12" t="str">
        <v>一青窈</v>
      </c>
      <c r="C384" s="12" t="str">
        <f t="shared" si="23"/>
        <v>一青窈ハナミズキ</v>
      </c>
      <c r="AA384" s="14" t="str">
        <f t="shared" si="24"/>
        <v>一青窈</v>
      </c>
      <c r="AB384" s="14" t="str">
        <f>_xlfn.XLOOKUP(AA384,M_ARTIST!A:A,M_ARTIST!B:B,"★★★",0,1)</f>
        <v>ひととよう</v>
      </c>
      <c r="AC384" s="14" t="str">
        <f t="shared" si="25"/>
        <v>ハナミズキ</v>
      </c>
      <c r="AD384" s="19" t="str">
        <f>HYPERLINK(_xlfn.XLOOKUP(C384,M_YT_LIVE_TIMESTAMP!AA:AA,M_YT_LIVE_TIMESTAMP!Z:Z,"★",0,-1))</f>
        <v>https://www.youtube.com/live/DX8misWhJuA?si=x9BqkZPlvHen5SCl&amp;t=3089s</v>
      </c>
    </row>
    <row r="385" spans="1:30" x14ac:dyDescent="0.4">
      <c r="A385" s="12" t="str">
        <v>阿吽のビーツ</v>
      </c>
      <c r="B385" s="12" t="str">
        <v>羽生まゐご feat.flower</v>
      </c>
      <c r="C385" s="12" t="str">
        <f t="shared" si="23"/>
        <v>羽生まゐご feat.flower阿吽のビーツ</v>
      </c>
      <c r="AA385" s="14" t="str">
        <f t="shared" si="24"/>
        <v>羽生まゐご feat.flower</v>
      </c>
      <c r="AB385" s="14" t="str">
        <f>_xlfn.XLOOKUP(AA385,M_ARTIST!A:A,M_ARTIST!B:B,"★★★",0,1)</f>
        <v>はにゅうまいご feat.flower</v>
      </c>
      <c r="AC385" s="14" t="str">
        <f t="shared" si="25"/>
        <v>阿吽のビーツ</v>
      </c>
      <c r="AD385" s="19" t="str">
        <f>HYPERLINK(_xlfn.XLOOKUP(C385,M_YT_LIVE_TIMESTAMP!AA:AA,M_YT_LIVE_TIMESTAMP!Z:Z,"★",0,-1))</f>
        <v>https://www.youtube.com/live/B1g4NIZAKqo?si=v8CWAz6GBo-vVIKK&amp;t=5109s</v>
      </c>
    </row>
    <row r="386" spans="1:30" x14ac:dyDescent="0.4">
      <c r="A386" s="12" t="str">
        <v>変わらないもの</v>
      </c>
      <c r="B386" s="12" t="str">
        <v>奥華子</v>
      </c>
      <c r="C386" s="12" t="str">
        <f t="shared" si="23"/>
        <v>奥華子変わらないもの</v>
      </c>
      <c r="AA386" s="14" t="str">
        <f t="shared" si="24"/>
        <v>奥華子</v>
      </c>
      <c r="AB386" s="14" t="str">
        <f>_xlfn.XLOOKUP(AA386,M_ARTIST!A:A,M_ARTIST!B:B,"★★★",0,1)</f>
        <v>おくはなこ</v>
      </c>
      <c r="AC386" s="14" t="str">
        <f t="shared" si="25"/>
        <v>変わらないもの</v>
      </c>
      <c r="AD386" s="19" t="str">
        <f>HYPERLINK(_xlfn.XLOOKUP(C386,M_YT_LIVE_TIMESTAMP!AA:AA,M_YT_LIVE_TIMESTAMP!Z:Z,"★",0,-1))</f>
        <v>https://www.youtube.com/live/B1g4NIZAKqo?si=v8CWAz6GBo-vVIKK&amp;t=2051s</v>
      </c>
    </row>
    <row r="387" spans="1:30" x14ac:dyDescent="0.4">
      <c r="A387" s="12" t="str">
        <v>サブリナ</v>
      </c>
      <c r="B387" s="12" t="str">
        <v>家入レオ</v>
      </c>
      <c r="C387" s="12" t="str">
        <f t="shared" si="23"/>
        <v>家入レオサブリナ</v>
      </c>
      <c r="AA387" s="14" t="str">
        <f t="shared" si="24"/>
        <v>家入レオ</v>
      </c>
      <c r="AB387" s="14" t="str">
        <f>_xlfn.XLOOKUP(AA387,M_ARTIST!A:A,M_ARTIST!B:B,"★★★",0,1)</f>
        <v>いえいりれお</v>
      </c>
      <c r="AC387" s="14" t="str">
        <f t="shared" si="25"/>
        <v>サブリナ</v>
      </c>
      <c r="AD387" s="19" t="str">
        <f>HYPERLINK(_xlfn.XLOOKUP(C387,M_YT_LIVE_TIMESTAMP!AA:AA,M_YT_LIVE_TIMESTAMP!Z:Z,"★",0,-1))</f>
        <v>https://www.youtube.com/live/BTi31luRntI?si=HKZA9dD6UF6pnPvq&amp;t=8052s</v>
      </c>
    </row>
    <row r="388" spans="1:30" x14ac:dyDescent="0.4">
      <c r="A388" s="12" t="str">
        <v>ケロッ!とマーチ</v>
      </c>
      <c r="B388" s="12" t="str">
        <v>角田信朗＆いはたじゅり</v>
      </c>
      <c r="C388" s="12" t="str">
        <f t="shared" si="23"/>
        <v>角田信朗＆いはたじゅりケロッ!とマーチ</v>
      </c>
      <c r="AA388" s="14" t="str">
        <f t="shared" si="24"/>
        <v>角田信朗＆いはたじゅり</v>
      </c>
      <c r="AB388" s="14" t="str">
        <f>_xlfn.XLOOKUP(AA388,M_ARTIST!A:A,M_ARTIST!B:B,"★★★",0,1)</f>
        <v>かくだのぶあき＆いはたじゅり</v>
      </c>
      <c r="AC388" s="14" t="str">
        <f t="shared" si="25"/>
        <v>ケロッ!とマーチ</v>
      </c>
      <c r="AD388" s="19" t="str">
        <f>HYPERLINK(_xlfn.XLOOKUP(C388,M_YT_LIVE_TIMESTAMP!AA:AA,M_YT_LIVE_TIMESTAMP!Z:Z,"★",0,-1))</f>
        <v>https://www.youtube.com/live/wY3z5W9B8N0?si=FVqBjyoCdmcOKFxz&amp;t=5226s</v>
      </c>
    </row>
    <row r="389" spans="1:30" x14ac:dyDescent="0.4">
      <c r="A389" s="12" t="str">
        <v>境界の彼方</v>
      </c>
      <c r="B389" s="12" t="str">
        <v>茅原実里</v>
      </c>
      <c r="C389" s="12" t="str">
        <f t="shared" si="23"/>
        <v>茅原実里境界の彼方</v>
      </c>
      <c r="AA389" s="14" t="str">
        <f t="shared" si="24"/>
        <v>茅原実里</v>
      </c>
      <c r="AB389" s="14" t="str">
        <f>_xlfn.XLOOKUP(AA389,M_ARTIST!A:A,M_ARTIST!B:B,"★★★",0,1)</f>
        <v>ちはらみのり</v>
      </c>
      <c r="AC389" s="14" t="str">
        <f t="shared" si="25"/>
        <v>境界の彼方</v>
      </c>
      <c r="AD389" s="19" t="str">
        <f>HYPERLINK(_xlfn.XLOOKUP(C389,M_YT_LIVE_TIMESTAMP!AA:AA,M_YT_LIVE_TIMESTAMP!Z:Z,"★",0,-1))</f>
        <v>https://www.youtube.com/live/wEZHgaS4eCg?si=_Rpt2MlexrsFC7dZ&amp;t=3276s</v>
      </c>
    </row>
    <row r="390" spans="1:30" x14ac:dyDescent="0.4">
      <c r="A390" s="12" t="str">
        <v>ギターと孤独と蒼い惑星</v>
      </c>
      <c r="B390" s="12" t="str">
        <v>結束バンド</v>
      </c>
      <c r="C390" s="12" t="str">
        <f t="shared" si="23"/>
        <v>結束バンドギターと孤独と蒼い惑星</v>
      </c>
      <c r="AA390" s="14" t="str">
        <f t="shared" si="24"/>
        <v>結束バンド</v>
      </c>
      <c r="AB390" s="14" t="str">
        <f>_xlfn.XLOOKUP(AA390,M_ARTIST!A:A,M_ARTIST!B:B,"★★★",0,1)</f>
        <v>けっそくばんど</v>
      </c>
      <c r="AC390" s="14" t="str">
        <f t="shared" si="25"/>
        <v>ギターと孤独と蒼い惑星</v>
      </c>
      <c r="AD390" s="19" t="str">
        <f>HYPERLINK(_xlfn.XLOOKUP(C390,M_YT_LIVE_TIMESTAMP!AA:AA,M_YT_LIVE_TIMESTAMP!Z:Z,"★",0,-1))</f>
        <v>https://www.youtube.com/live/BTi31luRntI?si=HKZA9dD6UF6pnPvq&amp;t=5522s</v>
      </c>
    </row>
    <row r="391" spans="1:30" x14ac:dyDescent="0.4">
      <c r="A391" s="12" t="str">
        <v>フラッシュバッカー</v>
      </c>
      <c r="B391" s="12" t="str">
        <v>結束バンド</v>
      </c>
      <c r="C391" s="12" t="str">
        <f t="shared" si="23"/>
        <v>結束バンドフラッシュバッカー</v>
      </c>
      <c r="AA391" s="14" t="str">
        <f t="shared" si="24"/>
        <v>結束バンド</v>
      </c>
      <c r="AB391" s="14" t="str">
        <f>_xlfn.XLOOKUP(AA391,M_ARTIST!A:A,M_ARTIST!B:B,"★★★",0,1)</f>
        <v>けっそくばんど</v>
      </c>
      <c r="AC391" s="14" t="str">
        <f t="shared" si="25"/>
        <v>フラッシュバッカー</v>
      </c>
      <c r="AD391" s="19" t="str">
        <f>HYPERLINK(_xlfn.XLOOKUP(C391,M_YT_LIVE_TIMESTAMP!AA:AA,M_YT_LIVE_TIMESTAMP!Z:Z,"★",0,-1))</f>
        <v>https://www.youtube.com/live/Z1v3sT_d6uU?si=epz4SGbUtnFLtw2-&amp;t=5887s</v>
      </c>
    </row>
    <row r="392" spans="1:30" x14ac:dyDescent="0.4">
      <c r="A392" s="12" t="str">
        <v>星座になれたら</v>
      </c>
      <c r="B392" s="12" t="str">
        <v>結束バンド</v>
      </c>
      <c r="C392" s="12" t="str">
        <f t="shared" si="23"/>
        <v>結束バンド星座になれたら</v>
      </c>
      <c r="AA392" s="14" t="str">
        <f t="shared" si="24"/>
        <v>結束バンド</v>
      </c>
      <c r="AB392" s="14" t="str">
        <f>_xlfn.XLOOKUP(AA392,M_ARTIST!A:A,M_ARTIST!B:B,"★★★",0,1)</f>
        <v>けっそくばんど</v>
      </c>
      <c r="AC392" s="14" t="str">
        <f t="shared" si="25"/>
        <v>星座になれたら</v>
      </c>
      <c r="AD392" s="19" t="str">
        <f>HYPERLINK(_xlfn.XLOOKUP(C392,M_YT_LIVE_TIMESTAMP!AA:AA,M_YT_LIVE_TIMESTAMP!Z:Z,"★",0,-1))</f>
        <v>https://www.youtube.com/live/nyXzxG79mwQ?si=kGuFyOuc0o-yNPOU&amp;t=1027s</v>
      </c>
    </row>
    <row r="393" spans="1:30" x14ac:dyDescent="0.4">
      <c r="A393" s="12" t="str">
        <v>青春コンプレックス</v>
      </c>
      <c r="B393" s="12" t="str">
        <v>結束バンド</v>
      </c>
      <c r="C393" s="12" t="str">
        <f t="shared" si="23"/>
        <v>結束バンド青春コンプレックス</v>
      </c>
      <c r="AA393" s="14" t="str">
        <f t="shared" si="24"/>
        <v>結束バンド</v>
      </c>
      <c r="AB393" s="14" t="str">
        <f>_xlfn.XLOOKUP(AA393,M_ARTIST!A:A,M_ARTIST!B:B,"★★★",0,1)</f>
        <v>けっそくばんど</v>
      </c>
      <c r="AC393" s="14" t="str">
        <f t="shared" si="25"/>
        <v>青春コンプレックス</v>
      </c>
      <c r="AD393" s="19" t="str">
        <f>HYPERLINK(_xlfn.XLOOKUP(C393,M_YT_LIVE_TIMESTAMP!AA:AA,M_YT_LIVE_TIMESTAMP!Z:Z,"★",0,-1))</f>
        <v>https://www.youtube.com/live/nyXzxG79mwQ?si=kGuFyOuc0o-yNPOU&amp;t=565s</v>
      </c>
    </row>
    <row r="394" spans="1:30" x14ac:dyDescent="0.4">
      <c r="A394" s="12" t="str">
        <v>忘れてやらない</v>
      </c>
      <c r="B394" s="12" t="str">
        <v>結束バンド</v>
      </c>
      <c r="C394" s="12" t="str">
        <f t="shared" si="23"/>
        <v>結束バンド忘れてやらない</v>
      </c>
      <c r="AA394" s="14" t="str">
        <f t="shared" si="24"/>
        <v>結束バンド</v>
      </c>
      <c r="AB394" s="14" t="str">
        <f>_xlfn.XLOOKUP(AA394,M_ARTIST!A:A,M_ARTIST!B:B,"★★★",0,1)</f>
        <v>けっそくばんど</v>
      </c>
      <c r="AC394" s="14" t="str">
        <f t="shared" si="25"/>
        <v>忘れてやらない</v>
      </c>
      <c r="AD394" s="19" t="str">
        <f>HYPERLINK(_xlfn.XLOOKUP(C394,M_YT_LIVE_TIMESTAMP!AA:AA,M_YT_LIVE_TIMESTAMP!Z:Z,"★",0,-1))</f>
        <v>https://www.youtube.com/live/BTi31luRntI?si=HKZA9dD6UF6pnPvq&amp;t=4740s</v>
      </c>
    </row>
    <row r="395" spans="1:30" x14ac:dyDescent="0.4">
      <c r="A395" s="12" t="str">
        <v>ルージュの伝言</v>
      </c>
      <c r="B395" s="12" t="str">
        <v>荒井由実(松任谷由実)</v>
      </c>
      <c r="C395" s="12" t="str">
        <f t="shared" si="23"/>
        <v>荒井由実(松任谷由実)ルージュの伝言</v>
      </c>
      <c r="AA395" s="14" t="str">
        <f t="shared" si="24"/>
        <v>荒井由実(松任谷由実)</v>
      </c>
      <c r="AB395" s="14" t="str">
        <f>_xlfn.XLOOKUP(AA395,M_ARTIST!A:A,M_ARTIST!B:B,"★★★",0,1)</f>
        <v>あらいゆみ(まつとうやゆみ)</v>
      </c>
      <c r="AC395" s="14" t="str">
        <f t="shared" si="25"/>
        <v>ルージュの伝言</v>
      </c>
      <c r="AD395" s="19" t="str">
        <f>HYPERLINK(_xlfn.XLOOKUP(C395,M_YT_LIVE_TIMESTAMP!AA:AA,M_YT_LIVE_TIMESTAMP!Z:Z,"★",0,-1))</f>
        <v>https://www.youtube.com/live/Us_EP0LuOUI?si=QKfLbi9NsZLi9sIi&amp;t=3456s</v>
      </c>
    </row>
    <row r="396" spans="1:30" x14ac:dyDescent="0.4">
      <c r="A396" s="12" t="str">
        <v>残酷な天使のテーゼ</v>
      </c>
      <c r="B396" s="12" t="str">
        <v>高橋洋子</v>
      </c>
      <c r="C396" s="12" t="str">
        <f t="shared" si="23"/>
        <v>高橋洋子残酷な天使のテーゼ</v>
      </c>
      <c r="AA396" s="14" t="str">
        <f t="shared" si="24"/>
        <v>高橋洋子</v>
      </c>
      <c r="AB396" s="14" t="str">
        <f>_xlfn.XLOOKUP(AA396,M_ARTIST!A:A,M_ARTIST!B:B,"★★★",0,1)</f>
        <v>たかはしようこ</v>
      </c>
      <c r="AC396" s="14" t="str">
        <f t="shared" si="25"/>
        <v>残酷な天使のテーゼ</v>
      </c>
      <c r="AD396" s="19" t="str">
        <f>HYPERLINK(_xlfn.XLOOKUP(C396,M_YT_LIVE_TIMESTAMP!AA:AA,M_YT_LIVE_TIMESTAMP!Z:Z,"★",0,-1))</f>
        <v>https://www.youtube.com/live/wEZHgaS4eCg?si=_Rpt2MlexrsFC7dZ&amp;t=5405s</v>
      </c>
    </row>
    <row r="397" spans="1:30" x14ac:dyDescent="0.4">
      <c r="A397" s="12" t="str">
        <v>千本桜</v>
      </c>
      <c r="B397" s="12" t="str">
        <v>黒うさ feat.初音ミク</v>
      </c>
      <c r="C397" s="12" t="str">
        <f t="shared" si="23"/>
        <v>黒うさ feat.初音ミク千本桜</v>
      </c>
      <c r="AA397" s="14" t="str">
        <f t="shared" si="24"/>
        <v>黒うさ feat.初音ミク</v>
      </c>
      <c r="AB397" s="14" t="str">
        <f>_xlfn.XLOOKUP(AA397,M_ARTIST!A:A,M_ARTIST!B:B,"★★★",0,1)</f>
        <v>くろうさ feat.はつねみく</v>
      </c>
      <c r="AC397" s="14" t="str">
        <f t="shared" si="25"/>
        <v>千本桜</v>
      </c>
      <c r="AD397" s="19" t="str">
        <f>HYPERLINK(_xlfn.XLOOKUP(C397,M_YT_LIVE_TIMESTAMP!AA:AA,M_YT_LIVE_TIMESTAMP!Z:Z,"★",0,-1))</f>
        <v>https://www.youtube.com/live/nyXzxG79mwQ?si=kGuFyOuc0o-yNPOU&amp;t=13491s</v>
      </c>
    </row>
    <row r="398" spans="1:30" x14ac:dyDescent="0.4">
      <c r="A398" s="12" t="str">
        <v>ピンクレモネード</v>
      </c>
      <c r="B398" s="12" t="str">
        <v>三月のパンタシア</v>
      </c>
      <c r="C398" s="12" t="str">
        <f t="shared" si="23"/>
        <v>三月のパンタシアピンクレモネード</v>
      </c>
      <c r="AA398" s="14" t="str">
        <f t="shared" si="24"/>
        <v>三月のパンタシア</v>
      </c>
      <c r="AB398" s="14" t="str">
        <f>_xlfn.XLOOKUP(AA398,M_ARTIST!A:A,M_ARTIST!B:B,"★★★",0,1)</f>
        <v>さんがつのぱんたしあ</v>
      </c>
      <c r="AC398" s="14" t="str">
        <f t="shared" si="25"/>
        <v>ピンクレモネード</v>
      </c>
      <c r="AD398" s="19" t="str">
        <f>HYPERLINK(_xlfn.XLOOKUP(C398,M_YT_LIVE_TIMESTAMP!AA:AA,M_YT_LIVE_TIMESTAMP!Z:Z,"★",0,-1))</f>
        <v>https://www.youtube.com/live/w3oM0fDmwz4?si=VVO-ga6uipBLMrpR&amp;t=5970s</v>
      </c>
    </row>
    <row r="399" spans="1:30" x14ac:dyDescent="0.4">
      <c r="A399" s="12" t="str">
        <v>絶え間なく藍色</v>
      </c>
      <c r="B399" s="12" t="str">
        <v>獅子志司 feat.初音ミク</v>
      </c>
      <c r="C399" s="12" t="str">
        <f t="shared" si="23"/>
        <v>獅子志司 feat.初音ミク絶え間なく藍色</v>
      </c>
      <c r="AA399" s="14" t="str">
        <f t="shared" si="24"/>
        <v>獅子志司 feat.初音ミク</v>
      </c>
      <c r="AB399" s="14" t="str">
        <f>_xlfn.XLOOKUP(AA399,M_ARTIST!A:A,M_ARTIST!B:B,"★★★",0,1)</f>
        <v>しししし feat.はつねみく</v>
      </c>
      <c r="AC399" s="14" t="str">
        <f t="shared" si="25"/>
        <v>絶え間なく藍色</v>
      </c>
      <c r="AD399" s="19" t="str">
        <f>HYPERLINK(_xlfn.XLOOKUP(C399,M_YT_LIVE_TIMESTAMP!AA:AA,M_YT_LIVE_TIMESTAMP!Z:Z,"★",0,-1))</f>
        <v>https://www.youtube.com/live/w3oM0fDmwz4?si=VVO-ga6uipBLMrpR&amp;t=5543s</v>
      </c>
    </row>
    <row r="400" spans="1:30" x14ac:dyDescent="0.4">
      <c r="A400" s="12" t="str">
        <v>パペットパーティ</v>
      </c>
      <c r="B400" s="12" t="str">
        <v>紫水キキ</v>
      </c>
      <c r="C400" s="12" t="str">
        <f t="shared" si="23"/>
        <v>紫水キキパペットパーティ</v>
      </c>
      <c r="AA400" s="14" t="str">
        <f t="shared" si="24"/>
        <v>紫水キキ</v>
      </c>
      <c r="AB400" s="14" t="str">
        <f>_xlfn.XLOOKUP(AA400,M_ARTIST!A:A,M_ARTIST!B:B,"★★★",0,1)</f>
        <v>しすいきき</v>
      </c>
      <c r="AC400" s="14" t="str">
        <f t="shared" si="25"/>
        <v>パペットパーティ</v>
      </c>
      <c r="AD400" s="19" t="str">
        <f>HYPERLINK(_xlfn.XLOOKUP(C400,M_YT_LIVE_TIMESTAMP!AA:AA,M_YT_LIVE_TIMESTAMP!Z:Z,"★",0,-1))</f>
        <v>https://www.youtube.com/live/zHPmNlzplRQ?si=hKbKp_wLxXmd13Kq&amp;t=2589s</v>
      </c>
    </row>
    <row r="401" spans="1:30" x14ac:dyDescent="0.4">
      <c r="A401" s="12" t="str">
        <v>ヲズワルド</v>
      </c>
      <c r="B401" s="12" t="str">
        <v>煮ル果実 feat.Flower</v>
      </c>
      <c r="C401" s="12" t="str">
        <f t="shared" si="23"/>
        <v>煮ル果実 feat.Flowerヲズワルド</v>
      </c>
      <c r="AA401" s="14" t="str">
        <f t="shared" si="24"/>
        <v>煮ル果実 feat.Flower</v>
      </c>
      <c r="AB401" s="14" t="str">
        <f>_xlfn.XLOOKUP(AA401,M_ARTIST!A:A,M_ARTIST!B:B,"★★★",0,1)</f>
        <v>★★★</v>
      </c>
      <c r="AC401" s="14" t="str">
        <f t="shared" si="25"/>
        <v>ヲズワルド</v>
      </c>
      <c r="AD401" s="19" t="str">
        <f>HYPERLINK(_xlfn.XLOOKUP(C401,M_YT_LIVE_TIMESTAMP!AA:AA,M_YT_LIVE_TIMESTAMP!Z:Z,"★",0,-1))</f>
        <v>https://www.youtube.com/live/5-PHEYq6a-Y?si=i1qN4inKhZc0prZ-&amp;t=1338s</v>
      </c>
    </row>
    <row r="402" spans="1:30" x14ac:dyDescent="0.4">
      <c r="A402" s="12" t="str">
        <v>ナイトルール</v>
      </c>
      <c r="B402" s="12" t="str">
        <v>煮ル果実 feat.可不</v>
      </c>
      <c r="C402" s="12" t="str">
        <f t="shared" si="23"/>
        <v>煮ル果実 feat.可不ナイトルール</v>
      </c>
      <c r="AA402" s="14" t="str">
        <f t="shared" si="24"/>
        <v>煮ル果実 feat.可不</v>
      </c>
      <c r="AB402" s="14" t="str">
        <f>_xlfn.XLOOKUP(AA402,M_ARTIST!A:A,M_ARTIST!B:B,"★★★",0,1)</f>
        <v>にるかじつ feat.かふ</v>
      </c>
      <c r="AC402" s="14" t="str">
        <f t="shared" si="25"/>
        <v>ナイトルール</v>
      </c>
      <c r="AD402" s="19" t="str">
        <f>HYPERLINK(_xlfn.XLOOKUP(C402,M_YT_LIVE_TIMESTAMP!AA:AA,M_YT_LIVE_TIMESTAMP!Z:Z,"★",0,-1))</f>
        <v>https://www.youtube.com/live/b0qPGU0sZn4?si=C5mabzVl6bhK7mp0&amp;t=5233s</v>
      </c>
    </row>
    <row r="403" spans="1:30" x14ac:dyDescent="0.4">
      <c r="A403" s="12" t="str">
        <v>テルーの唄</v>
      </c>
      <c r="B403" s="12" t="str">
        <v>手嶌葵</v>
      </c>
      <c r="C403" s="12" t="str">
        <f t="shared" ref="C403:C466" si="26">TRIM(B403)&amp;TRIM(A403)</f>
        <v>手嶌葵テルーの唄</v>
      </c>
      <c r="AA403" s="14" t="str">
        <f t="shared" ref="AA403:AA466" si="27">B403</f>
        <v>手嶌葵</v>
      </c>
      <c r="AB403" s="14" t="str">
        <f>_xlfn.XLOOKUP(AA403,M_ARTIST!A:A,M_ARTIST!B:B,"★★★",0,1)</f>
        <v>てしまあおい</v>
      </c>
      <c r="AC403" s="14" t="str">
        <f t="shared" ref="AC403:AC466" si="28">A403</f>
        <v>テルーの唄</v>
      </c>
      <c r="AD403" s="19" t="str">
        <f>HYPERLINK(_xlfn.XLOOKUP(C403,M_YT_LIVE_TIMESTAMP!AA:AA,M_YT_LIVE_TIMESTAMP!Z:Z,"★",0,-1))</f>
        <v>https://www.youtube.com/live/OYaf_O-6WRs?si=20Zo4VVa8PxJbw_X&amp;t=4140s</v>
      </c>
    </row>
    <row r="404" spans="1:30" x14ac:dyDescent="0.4">
      <c r="A404" s="12" t="str">
        <v>君と未来</v>
      </c>
      <c r="B404" s="12" t="str">
        <v>宗谷いちか</v>
      </c>
      <c r="C404" s="12" t="str">
        <f t="shared" si="26"/>
        <v>宗谷いちか君と未来</v>
      </c>
      <c r="AA404" s="14" t="str">
        <f t="shared" si="27"/>
        <v>宗谷いちか</v>
      </c>
      <c r="AB404" s="14" t="str">
        <f>_xlfn.XLOOKUP(AA404,M_ARTIST!A:A,M_ARTIST!B:B,"★★★",0,1)</f>
        <v>そうやいちか</v>
      </c>
      <c r="AC404" s="14" t="str">
        <f t="shared" si="28"/>
        <v>君と未来</v>
      </c>
      <c r="AD404" s="19" t="str">
        <f>HYPERLINK(_xlfn.XLOOKUP(C404,M_YT_LIVE_TIMESTAMP!AA:AA,M_YT_LIVE_TIMESTAMP!Z:Z,"★",0,-1))</f>
        <v>https://www.youtube.com/live/zHPmNlzplRQ?si=hKbKp_wLxXmd13Kq&amp;t=3138s</v>
      </c>
    </row>
    <row r="405" spans="1:30" x14ac:dyDescent="0.4">
      <c r="A405" s="12" t="str">
        <v>Gee</v>
      </c>
      <c r="B405" s="12" t="str">
        <v>少女時代</v>
      </c>
      <c r="C405" s="12" t="str">
        <f t="shared" si="26"/>
        <v>少女時代Gee</v>
      </c>
      <c r="AA405" s="14" t="str">
        <f t="shared" si="27"/>
        <v>少女時代</v>
      </c>
      <c r="AB405" s="14" t="str">
        <f>_xlfn.XLOOKUP(AA405,M_ARTIST!A:A,M_ARTIST!B:B,"★★★",0,1)</f>
        <v>★★★</v>
      </c>
      <c r="AC405" s="14" t="str">
        <f t="shared" si="28"/>
        <v>Gee</v>
      </c>
      <c r="AD405" s="19" t="str">
        <f>HYPERLINK(_xlfn.XLOOKUP(C405,M_YT_LIVE_TIMESTAMP!AA:AA,M_YT_LIVE_TIMESTAMP!Z:Z,"★",0,-1))</f>
        <v>https://www.youtube.com/live/orkAkFl798M?si=7tK-YB5J1dGoAFWq&amp;t=1266s</v>
      </c>
    </row>
    <row r="406" spans="1:30" x14ac:dyDescent="0.4">
      <c r="A406" s="12" t="str">
        <v>赤いスイートピー</v>
      </c>
      <c r="B406" s="12" t="str">
        <v>松田聖子</v>
      </c>
      <c r="C406" s="12" t="str">
        <f t="shared" si="26"/>
        <v>松田聖子赤いスイートピー</v>
      </c>
      <c r="AA406" s="14" t="str">
        <f t="shared" si="27"/>
        <v>松田聖子</v>
      </c>
      <c r="AB406" s="14" t="str">
        <f>_xlfn.XLOOKUP(AA406,M_ARTIST!A:A,M_ARTIST!B:B,"★★★",0,1)</f>
        <v>まつだせいこ</v>
      </c>
      <c r="AC406" s="14" t="str">
        <f t="shared" si="28"/>
        <v>赤いスイートピー</v>
      </c>
      <c r="AD406" s="19" t="str">
        <f>HYPERLINK(_xlfn.XLOOKUP(C406,M_YT_LIVE_TIMESTAMP!AA:AA,M_YT_LIVE_TIMESTAMP!Z:Z,"★",0,-1))</f>
        <v>https://www.youtube.com/live/DX8misWhJuA?si=x9BqkZPlvHen5SCl&amp;t=3556s</v>
      </c>
    </row>
    <row r="407" spans="1:30" x14ac:dyDescent="0.4">
      <c r="A407" s="12" t="str">
        <v>めざせポケモンマスター</v>
      </c>
      <c r="B407" s="12" t="str">
        <v>松本梨香</v>
      </c>
      <c r="C407" s="12" t="str">
        <f t="shared" si="26"/>
        <v>松本梨香めざせポケモンマスター</v>
      </c>
      <c r="AA407" s="14" t="str">
        <f t="shared" si="27"/>
        <v>松本梨香</v>
      </c>
      <c r="AB407" s="14" t="str">
        <f>_xlfn.XLOOKUP(AA407,M_ARTIST!A:A,M_ARTIST!B:B,"★★★",0,1)</f>
        <v>まつもとりか</v>
      </c>
      <c r="AC407" s="14" t="str">
        <f t="shared" si="28"/>
        <v>めざせポケモンマスター</v>
      </c>
      <c r="AD407" s="19" t="str">
        <f>HYPERLINK(_xlfn.XLOOKUP(C407,M_YT_LIVE_TIMESTAMP!AA:AA,M_YT_LIVE_TIMESTAMP!Z:Z,"★",0,-1))</f>
        <v>https://www.youtube.com/live/nyXzxG79mwQ?si=kGuFyOuc0o-yNPOU&amp;t=9000s</v>
      </c>
    </row>
    <row r="408" spans="1:30" x14ac:dyDescent="0.4">
      <c r="A408" s="12" t="str">
        <v>どんぐりころころ</v>
      </c>
      <c r="B408" s="12" t="str">
        <v>森の木児童合唱団</v>
      </c>
      <c r="C408" s="12" t="str">
        <f t="shared" si="26"/>
        <v>森の木児童合唱団どんぐりころころ</v>
      </c>
      <c r="AA408" s="14" t="str">
        <f t="shared" si="27"/>
        <v>森の木児童合唱団</v>
      </c>
      <c r="AB408" s="14" t="str">
        <f>_xlfn.XLOOKUP(AA408,M_ARTIST!A:A,M_ARTIST!B:B,"★★★",0,1)</f>
        <v>★★★</v>
      </c>
      <c r="AC408" s="14" t="str">
        <f t="shared" si="28"/>
        <v>どんぐりころころ</v>
      </c>
      <c r="AD408" s="19" t="str">
        <f>HYPERLINK(_xlfn.XLOOKUP(C408,M_YT_LIVE_TIMESTAMP!AA:AA,M_YT_LIVE_TIMESTAMP!Z:Z,"★",0,-1))</f>
        <v>https://www.youtube.com/live/hkpPXWM6LDY?si=pgl-HW7-u6yZjLAi&amp;t=4517s</v>
      </c>
    </row>
    <row r="409" spans="1:30" x14ac:dyDescent="0.4">
      <c r="A409" s="12" t="str">
        <v>生まれてはじめて</v>
      </c>
      <c r="B409" s="12" t="str">
        <v>神田沙也加&amp;松たか子</v>
      </c>
      <c r="C409" s="12" t="str">
        <f t="shared" si="26"/>
        <v>神田沙也加&amp;松たか子生まれてはじめて</v>
      </c>
      <c r="AA409" s="14" t="str">
        <f t="shared" si="27"/>
        <v>神田沙也加&amp;松たか子</v>
      </c>
      <c r="AB409" s="14" t="str">
        <f>_xlfn.XLOOKUP(AA409,M_ARTIST!A:A,M_ARTIST!B:B,"★★★",0,1)</f>
        <v>かんださやか&amp;まつたかこ</v>
      </c>
      <c r="AC409" s="14" t="str">
        <f t="shared" si="28"/>
        <v>生まれてはじめて</v>
      </c>
      <c r="AD409" s="19" t="str">
        <f>HYPERLINK(_xlfn.XLOOKUP(C409,M_YT_LIVE_TIMESTAMP!AA:AA,M_YT_LIVE_TIMESTAMP!Z:Z,"★",0,-1))</f>
        <v>https://www.youtube.com/live/nyXzxG79mwQ?si=kGuFyOuc0o-yNPOU&amp;t=14425s</v>
      </c>
    </row>
    <row r="410" spans="1:30" x14ac:dyDescent="0.4">
      <c r="A410" s="12" t="str">
        <v>ビビデバ</v>
      </c>
      <c r="B410" s="12" t="str">
        <v>星街すいせい</v>
      </c>
      <c r="C410" s="12" t="str">
        <f t="shared" si="26"/>
        <v>星街すいせいビビデバ</v>
      </c>
      <c r="AA410" s="14" t="str">
        <f t="shared" si="27"/>
        <v>星街すいせい</v>
      </c>
      <c r="AB410" s="14" t="str">
        <f>_xlfn.XLOOKUP(AA410,M_ARTIST!A:A,M_ARTIST!B:B,"★★★",0,1)</f>
        <v>ほしまちすいせい</v>
      </c>
      <c r="AC410" s="14" t="str">
        <f t="shared" si="28"/>
        <v>ビビデバ</v>
      </c>
      <c r="AD410" s="19" t="str">
        <f>HYPERLINK(_xlfn.XLOOKUP(C410,M_YT_LIVE_TIMESTAMP!AA:AA,M_YT_LIVE_TIMESTAMP!Z:Z,"★",0,-1))</f>
        <v>https://www.youtube.com/live/lrLQ6akH23w?si=aC5HLJK6UZYwu-Yn&amp;t=1912s</v>
      </c>
    </row>
    <row r="411" spans="1:30" x14ac:dyDescent="0.4">
      <c r="A411" s="12" t="str">
        <v>会いたくて会いたくて(1chorus)</v>
      </c>
      <c r="B411" s="12" t="str">
        <v>西野カナ</v>
      </c>
      <c r="C411" s="12" t="str">
        <f t="shared" si="26"/>
        <v>西野カナ会いたくて会いたくて(1chorus)</v>
      </c>
      <c r="AA411" s="14" t="str">
        <f t="shared" si="27"/>
        <v>西野カナ</v>
      </c>
      <c r="AB411" s="14" t="str">
        <f>_xlfn.XLOOKUP(AA411,M_ARTIST!A:A,M_ARTIST!B:B,"★★★",0,1)</f>
        <v>にしのかな</v>
      </c>
      <c r="AC411" s="14" t="str">
        <f t="shared" si="28"/>
        <v>会いたくて会いたくて(1chorus)</v>
      </c>
      <c r="AD411" s="19" t="str">
        <f>HYPERLINK(_xlfn.XLOOKUP(C411,M_YT_LIVE_TIMESTAMP!AA:AA,M_YT_LIVE_TIMESTAMP!Z:Z,"★",0,-1))</f>
        <v>https://www.youtube.com/live/DX8misWhJuA?si=x9BqkZPlvHen5SCl&amp;t=2259s</v>
      </c>
    </row>
    <row r="412" spans="1:30" x14ac:dyDescent="0.4">
      <c r="A412" s="12" t="str">
        <v>サイダー</v>
      </c>
      <c r="B412" s="12" t="str">
        <v>赤い公園</v>
      </c>
      <c r="C412" s="12" t="str">
        <f t="shared" si="26"/>
        <v>赤い公園サイダー</v>
      </c>
      <c r="AA412" s="14" t="str">
        <f t="shared" si="27"/>
        <v>赤い公園</v>
      </c>
      <c r="AB412" s="14" t="str">
        <f>_xlfn.XLOOKUP(AA412,M_ARTIST!A:A,M_ARTIST!B:B,"★★★",0,1)</f>
        <v>あかいこうえん</v>
      </c>
      <c r="AC412" s="14" t="str">
        <f t="shared" si="28"/>
        <v>サイダー</v>
      </c>
      <c r="AD412" s="19" t="str">
        <f>HYPERLINK(_xlfn.XLOOKUP(C412,M_YT_LIVE_TIMESTAMP!AA:AA,M_YT_LIVE_TIMESTAMP!Z:Z,"★",0,-1))</f>
        <v>https://www.youtube.com/live/b0qPGU0sZn4?si=C5mabzVl6bhK7mp0&amp;t=4870s</v>
      </c>
    </row>
    <row r="413" spans="1:30" x14ac:dyDescent="0.4">
      <c r="A413" s="12" t="str">
        <v>プラネタリウム</v>
      </c>
      <c r="B413" s="12" t="str">
        <v>大塚愛</v>
      </c>
      <c r="C413" s="12" t="str">
        <f t="shared" si="26"/>
        <v>大塚愛プラネタリウム</v>
      </c>
      <c r="AA413" s="14" t="str">
        <f t="shared" si="27"/>
        <v>大塚愛</v>
      </c>
      <c r="AB413" s="14" t="str">
        <f>_xlfn.XLOOKUP(AA413,M_ARTIST!A:A,M_ARTIST!B:B,"★★★",0,1)</f>
        <v>おおつかあい</v>
      </c>
      <c r="AC413" s="14" t="str">
        <f t="shared" si="28"/>
        <v>プラネタリウム</v>
      </c>
      <c r="AD413" s="19" t="str">
        <f>HYPERLINK(_xlfn.XLOOKUP(C413,M_YT_LIVE_TIMESTAMP!AA:AA,M_YT_LIVE_TIMESTAMP!Z:Z,"★",0,-1))</f>
        <v>https://www.youtube.com/live/6wh0qjbo6K4?si=vntI9mYE52ZplV6U&amp;t=455s</v>
      </c>
    </row>
    <row r="414" spans="1:30" x14ac:dyDescent="0.4">
      <c r="A414" s="12" t="str">
        <v>空色デイズ</v>
      </c>
      <c r="B414" s="12" t="str">
        <v>中川翔子</v>
      </c>
      <c r="C414" s="12" t="str">
        <f t="shared" si="26"/>
        <v>中川翔子空色デイズ</v>
      </c>
      <c r="AA414" s="14" t="str">
        <f t="shared" si="27"/>
        <v>中川翔子</v>
      </c>
      <c r="AB414" s="14" t="str">
        <f>_xlfn.XLOOKUP(AA414,M_ARTIST!A:A,M_ARTIST!B:B,"★★★",0,1)</f>
        <v>なかがわしょうこ</v>
      </c>
      <c r="AC414" s="14" t="str">
        <f t="shared" si="28"/>
        <v>空色デイズ</v>
      </c>
      <c r="AD414" s="19" t="str">
        <f>HYPERLINK(_xlfn.XLOOKUP(C414,M_YT_LIVE_TIMESTAMP!AA:AA,M_YT_LIVE_TIMESTAMP!Z:Z,"★",0,-1))</f>
        <v>https://www.youtube.com/live/JAK2m4FWxF0?si=Xy-B8lpcz7dX_b5n&amp;t=3153s</v>
      </c>
    </row>
    <row r="415" spans="1:30" x14ac:dyDescent="0.4">
      <c r="A415" s="12" t="str">
        <v>心做し</v>
      </c>
      <c r="B415" s="12" t="str">
        <v>蝶々P feat.GUMI</v>
      </c>
      <c r="C415" s="12" t="str">
        <f t="shared" si="26"/>
        <v>蝶々P feat.GUMI心做し</v>
      </c>
      <c r="AA415" s="14" t="str">
        <f t="shared" si="27"/>
        <v>蝶々P feat.GUMI</v>
      </c>
      <c r="AB415" s="14" t="str">
        <f>_xlfn.XLOOKUP(AA415,M_ARTIST!A:A,M_ARTIST!B:B,"★★★",0,1)</f>
        <v>ちょうちょうP feat.GUMI</v>
      </c>
      <c r="AC415" s="14" t="str">
        <f t="shared" si="28"/>
        <v>心做し</v>
      </c>
      <c r="AD415" s="19" t="str">
        <f>HYPERLINK(_xlfn.XLOOKUP(C415,M_YT_LIVE_TIMESTAMP!AA:AA,M_YT_LIVE_TIMESTAMP!Z:Z,"★",0,-1))</f>
        <v>https://www.youtube.com/live/B1g4NIZAKqo?si=v8CWAz6GBo-vVIKK&amp;t=2561s</v>
      </c>
    </row>
    <row r="416" spans="1:30" x14ac:dyDescent="0.4">
      <c r="A416" s="12" t="str">
        <v>え？あぁ、そう。</v>
      </c>
      <c r="B416" s="12" t="str">
        <v>蝶々P feat.初音ミク</v>
      </c>
      <c r="C416" s="12" t="str">
        <f t="shared" si="26"/>
        <v>蝶々P feat.初音ミクえ？あぁ、そう。</v>
      </c>
      <c r="AA416" s="14" t="str">
        <f t="shared" si="27"/>
        <v>蝶々P feat.初音ミク</v>
      </c>
      <c r="AB416" s="14" t="str">
        <f>_xlfn.XLOOKUP(AA416,M_ARTIST!A:A,M_ARTIST!B:B,"★★★",0,1)</f>
        <v>ちょうちょうP feat.はつねみく</v>
      </c>
      <c r="AC416" s="14" t="str">
        <f t="shared" si="28"/>
        <v>え？あぁ、そう。</v>
      </c>
      <c r="AD416" s="19" t="str">
        <f>HYPERLINK(_xlfn.XLOOKUP(C416,M_YT_LIVE_TIMESTAMP!AA:AA,M_YT_LIVE_TIMESTAMP!Z:Z,"★",0,-1))</f>
        <v>https://www.youtube.com/live/Yti72SsHzxs?si=qlI2gfa0I0wWYoH4&amp;t=10011s</v>
      </c>
    </row>
    <row r="417" spans="1:30" x14ac:dyDescent="0.4">
      <c r="A417" s="12" t="str">
        <v>少女A</v>
      </c>
      <c r="B417" s="12" t="str">
        <v>椎名もた feat.初音ミク</v>
      </c>
      <c r="C417" s="12" t="str">
        <f t="shared" si="26"/>
        <v>椎名もた feat.初音ミク少女A</v>
      </c>
      <c r="AA417" s="14" t="str">
        <f t="shared" si="27"/>
        <v>椎名もた feat.初音ミク</v>
      </c>
      <c r="AB417" s="14" t="str">
        <f>_xlfn.XLOOKUP(AA417,M_ARTIST!A:A,M_ARTIST!B:B,"★★★",0,1)</f>
        <v>しいなもた feat.はつねみく</v>
      </c>
      <c r="AC417" s="14" t="str">
        <f t="shared" si="28"/>
        <v>少女A</v>
      </c>
      <c r="AD417" s="19" t="str">
        <f>HYPERLINK(_xlfn.XLOOKUP(C417,M_YT_LIVE_TIMESTAMP!AA:AA,M_YT_LIVE_TIMESTAMP!Z:Z,"★",0,-1))</f>
        <v>https://www.youtube.com/live/OYaf_O-6WRs?si=20Zo4VVa8PxJbw_X&amp;t=787s</v>
      </c>
    </row>
    <row r="418" spans="1:30" x14ac:dyDescent="0.4">
      <c r="A418" s="12" t="str">
        <v>丸の内サディスティック</v>
      </c>
      <c r="B418" s="12" t="str">
        <v>椎名林檎</v>
      </c>
      <c r="C418" s="12" t="str">
        <f t="shared" si="26"/>
        <v>椎名林檎丸の内サディスティック</v>
      </c>
      <c r="AA418" s="14" t="str">
        <f t="shared" si="27"/>
        <v>椎名林檎</v>
      </c>
      <c r="AB418" s="14" t="str">
        <f>_xlfn.XLOOKUP(AA418,M_ARTIST!A:A,M_ARTIST!B:B,"★★★",0,1)</f>
        <v>しいなりんご</v>
      </c>
      <c r="AC418" s="14" t="str">
        <f t="shared" si="28"/>
        <v>丸の内サディスティック</v>
      </c>
      <c r="AD418" s="19" t="str">
        <f>HYPERLINK(_xlfn.XLOOKUP(C418,M_YT_LIVE_TIMESTAMP!AA:AA,M_YT_LIVE_TIMESTAMP!Z:Z,"★",0,-1))</f>
        <v>https://www.youtube.com/live/nyXzxG79mwQ?si=kGuFyOuc0o-yNPOU&amp;t=14800s</v>
      </c>
    </row>
    <row r="419" spans="1:30" x14ac:dyDescent="0.4">
      <c r="A419" s="12" t="str">
        <v>サイノウサンプラー</v>
      </c>
      <c r="B419" s="12" t="str">
        <v>電ポルP feat.初音ミク</v>
      </c>
      <c r="C419" s="12" t="str">
        <f t="shared" si="26"/>
        <v>電ポルP feat.初音ミクサイノウサンプラー</v>
      </c>
      <c r="AA419" s="14" t="str">
        <f t="shared" si="27"/>
        <v>電ポルP feat.初音ミク</v>
      </c>
      <c r="AB419" s="14" t="str">
        <f>_xlfn.XLOOKUP(AA419,M_ARTIST!A:A,M_ARTIST!B:B,"★★★",0,1)</f>
        <v>でんぽるP feat.はつねみく</v>
      </c>
      <c r="AC419" s="14" t="str">
        <f t="shared" si="28"/>
        <v>サイノウサンプラー</v>
      </c>
      <c r="AD419" s="19" t="str">
        <f>HYPERLINK(_xlfn.XLOOKUP(C419,M_YT_LIVE_TIMESTAMP!AA:AA,M_YT_LIVE_TIMESTAMP!Z:Z,"★",0,-1))</f>
        <v>https://www.youtube.com/live/ac4RYGdoGfw?si=XYuojmcqpJZOLb9x&amp;t=2057s</v>
      </c>
    </row>
    <row r="420" spans="1:30" x14ac:dyDescent="0.4">
      <c r="A420" s="12" t="str">
        <v>威風堂々</v>
      </c>
      <c r="B420" s="12" t="str">
        <v>梅とら feat. 巡音ルカ&amp;初音ミク&amp;GUMI&amp;IA&amp;鏡音リン</v>
      </c>
      <c r="C420" s="12" t="str">
        <f t="shared" si="26"/>
        <v>梅とら feat. 巡音ルカ&amp;初音ミク&amp;GUMI&amp;IA&amp;鏡音リン威風堂々</v>
      </c>
      <c r="AA420" s="14" t="str">
        <f t="shared" si="27"/>
        <v>梅とら feat. 巡音ルカ&amp;初音ミク&amp;GUMI&amp;IA&amp;鏡音リン</v>
      </c>
      <c r="AB420" s="14" t="str">
        <f>_xlfn.XLOOKUP(AA420,M_ARTIST!A:A,M_ARTIST!B:B,"★★★",0,1)</f>
        <v>うめとら feat. めぐりねるか&amp;はつねみく&amp;GUMI&amp;IA&amp;かがみねりん</v>
      </c>
      <c r="AC420" s="14" t="str">
        <f t="shared" si="28"/>
        <v>威風堂々</v>
      </c>
      <c r="AD420" s="19" t="str">
        <f>HYPERLINK(_xlfn.XLOOKUP(C420,M_YT_LIVE_TIMESTAMP!AA:AA,M_YT_LIVE_TIMESTAMP!Z:Z,"★",0,-1))</f>
        <v>https://www.youtube.com/live/Yti72SsHzxs?si=qlI2gfa0I0wWYoH4&amp;t=9000s</v>
      </c>
    </row>
    <row r="421" spans="1:30" x14ac:dyDescent="0.4">
      <c r="A421" s="12" t="str">
        <v>疑心暗鬼</v>
      </c>
      <c r="B421" s="12" t="str">
        <v>梅とら feat. 巡音ルカ&amp;初音ミク&amp;GUMI&amp;IA&amp;鏡音リン</v>
      </c>
      <c r="C421" s="12" t="str">
        <f t="shared" si="26"/>
        <v>梅とら feat. 巡音ルカ&amp;初音ミク&amp;GUMI&amp;IA&amp;鏡音リン疑心暗鬼</v>
      </c>
      <c r="AA421" s="14" t="str">
        <f t="shared" si="27"/>
        <v>梅とら feat. 巡音ルカ&amp;初音ミク&amp;GUMI&amp;IA&amp;鏡音リン</v>
      </c>
      <c r="AB421" s="14" t="str">
        <f>_xlfn.XLOOKUP(AA421,M_ARTIST!A:A,M_ARTIST!B:B,"★★★",0,1)</f>
        <v>うめとら feat. めぐりねるか&amp;はつねみく&amp;GUMI&amp;IA&amp;かがみねりん</v>
      </c>
      <c r="AC421" s="14" t="str">
        <f t="shared" si="28"/>
        <v>疑心暗鬼</v>
      </c>
      <c r="AD421" s="19" t="str">
        <f>HYPERLINK(_xlfn.XLOOKUP(C421,M_YT_LIVE_TIMESTAMP!AA:AA,M_YT_LIVE_TIMESTAMP!Z:Z,"★",0,-1))</f>
        <v>https://www.youtube.com/live/Us_EP0LuOUI?si=QKfLbi9NsZLi9sIi&amp;t=4517s</v>
      </c>
    </row>
    <row r="422" spans="1:30" x14ac:dyDescent="0.4">
      <c r="A422" s="12" t="str">
        <v>虎視眈々</v>
      </c>
      <c r="B422" s="12" t="str">
        <v>梅とら feat. 巡音ルカ&amp;初音ミク&amp;GUMI&amp;IA&amp;鏡音リン</v>
      </c>
      <c r="C422" s="12" t="str">
        <f t="shared" si="26"/>
        <v>梅とら feat. 巡音ルカ&amp;初音ミク&amp;GUMI&amp;IA&amp;鏡音リン虎視眈々</v>
      </c>
      <c r="AA422" s="14" t="str">
        <f t="shared" si="27"/>
        <v>梅とら feat. 巡音ルカ&amp;初音ミク&amp;GUMI&amp;IA&amp;鏡音リン</v>
      </c>
      <c r="AB422" s="14" t="str">
        <f>_xlfn.XLOOKUP(AA422,M_ARTIST!A:A,M_ARTIST!B:B,"★★★",0,1)</f>
        <v>うめとら feat. めぐりねるか&amp;はつねみく&amp;GUMI&amp;IA&amp;かがみねりん</v>
      </c>
      <c r="AC422" s="14" t="str">
        <f t="shared" si="28"/>
        <v>虎視眈々</v>
      </c>
      <c r="AD422" s="19" t="str">
        <f>HYPERLINK(_xlfn.XLOOKUP(C422,M_YT_LIVE_TIMESTAMP!AA:AA,M_YT_LIVE_TIMESTAMP!Z:Z,"★",0,-1))</f>
        <v>https://www.youtube.com/live/Yti72SsHzxs?si=qlI2gfa0I0wWYoH4&amp;t=8664s</v>
      </c>
    </row>
    <row r="423" spans="1:30" x14ac:dyDescent="0.4">
      <c r="A423" s="12" t="str">
        <v>カワキヲアメク</v>
      </c>
      <c r="B423" s="12" t="str">
        <v>美波</v>
      </c>
      <c r="C423" s="12" t="str">
        <f t="shared" si="26"/>
        <v>美波カワキヲアメク</v>
      </c>
      <c r="AA423" s="14" t="str">
        <f t="shared" si="27"/>
        <v>美波</v>
      </c>
      <c r="AB423" s="14" t="str">
        <f>_xlfn.XLOOKUP(AA423,M_ARTIST!A:A,M_ARTIST!B:B,"★★★",0,1)</f>
        <v>みなみ</v>
      </c>
      <c r="AC423" s="14" t="str">
        <f t="shared" si="28"/>
        <v>カワキヲアメク</v>
      </c>
      <c r="AD423" s="19" t="str">
        <f>HYPERLINK(_xlfn.XLOOKUP(C423,M_YT_LIVE_TIMESTAMP!AA:AA,M_YT_LIVE_TIMESTAMP!Z:Z,"★",0,-1))</f>
        <v>https://www.youtube.com/live/BTi31luRntI?si=HKZA9dD6UF6pnPvq&amp;t=3905s</v>
      </c>
    </row>
    <row r="424" spans="1:30" x14ac:dyDescent="0.4">
      <c r="A424" s="12" t="str">
        <v>ライラック</v>
      </c>
      <c r="B424" s="12" t="str">
        <v>美波</v>
      </c>
      <c r="C424" s="12" t="str">
        <f t="shared" si="26"/>
        <v>美波ライラック</v>
      </c>
      <c r="AA424" s="14" t="str">
        <f t="shared" si="27"/>
        <v>美波</v>
      </c>
      <c r="AB424" s="14" t="str">
        <f>_xlfn.XLOOKUP(AA424,M_ARTIST!A:A,M_ARTIST!B:B,"★★★",0,1)</f>
        <v>みなみ</v>
      </c>
      <c r="AC424" s="14" t="str">
        <f t="shared" si="28"/>
        <v>ライラック</v>
      </c>
      <c r="AD424" s="19" t="str">
        <f>HYPERLINK(_xlfn.XLOOKUP(C424,M_YT_LIVE_TIMESTAMP!AA:AA,M_YT_LIVE_TIMESTAMP!Z:Z,"★",0,-1))</f>
        <v>https://www.youtube.com/live/OYaf_O-6WRs?si=20Zo4VVa8PxJbw_X&amp;t=3347s</v>
      </c>
    </row>
    <row r="425" spans="1:30" x14ac:dyDescent="0.4">
      <c r="A425" s="12" t="str">
        <v>マーシャルマキシマイザ</v>
      </c>
      <c r="B425" s="12" t="str">
        <v>柊マグネタイト feat.可不</v>
      </c>
      <c r="C425" s="12" t="str">
        <f t="shared" si="26"/>
        <v>柊マグネタイト feat.可不マーシャルマキシマイザ</v>
      </c>
      <c r="AA425" s="14" t="str">
        <f t="shared" si="27"/>
        <v>柊マグネタイト feat.可不</v>
      </c>
      <c r="AB425" s="14" t="str">
        <f>_xlfn.XLOOKUP(AA425,M_ARTIST!A:A,M_ARTIST!B:B,"★★★",0,1)</f>
        <v>ひいらぎまぐねたいと feat.かふ</v>
      </c>
      <c r="AC425" s="14" t="str">
        <f t="shared" si="28"/>
        <v>マーシャルマキシマイザ</v>
      </c>
      <c r="AD425" s="19" t="str">
        <f>HYPERLINK(_xlfn.XLOOKUP(C425,M_YT_LIVE_TIMESTAMP!AA:AA,M_YT_LIVE_TIMESTAMP!Z:Z,"★",0,-1))</f>
        <v>https://www.youtube.com/live/AHfCHGope8I?si=qrXuqYy-tTqldtt4&amp;t=1419s</v>
      </c>
    </row>
    <row r="426" spans="1:30" x14ac:dyDescent="0.4">
      <c r="A426" s="12" t="str">
        <v>POP STAR</v>
      </c>
      <c r="B426" s="12" t="str">
        <v>平井堅</v>
      </c>
      <c r="C426" s="12" t="str">
        <f t="shared" si="26"/>
        <v>平井堅POP STAR</v>
      </c>
      <c r="AA426" s="14" t="str">
        <f t="shared" si="27"/>
        <v>平井堅</v>
      </c>
      <c r="AB426" s="14" t="str">
        <f>_xlfn.XLOOKUP(AA426,M_ARTIST!A:A,M_ARTIST!B:B,"★★★",0,1)</f>
        <v>ひらいけん</v>
      </c>
      <c r="AC426" s="14" t="str">
        <f t="shared" si="28"/>
        <v>POP STAR</v>
      </c>
      <c r="AD426" s="19" t="str">
        <f>HYPERLINK(_xlfn.XLOOKUP(C426,M_YT_LIVE_TIMESTAMP!AA:AA,M_YT_LIVE_TIMESTAMP!Z:Z,"★",0,-1))</f>
        <v>https://www.youtube.com/live/Yti72SsHzxs?si=qlI2gfa0I0wWYoH4&amp;t=8223s</v>
      </c>
    </row>
    <row r="427" spans="1:30" x14ac:dyDescent="0.4">
      <c r="A427" s="12" t="str">
        <v>Lemon</v>
      </c>
      <c r="B427" s="12" t="str">
        <v>米津玄師</v>
      </c>
      <c r="C427" s="12" t="str">
        <f t="shared" si="26"/>
        <v>米津玄師Lemon</v>
      </c>
      <c r="AA427" s="14" t="str">
        <f t="shared" si="27"/>
        <v>米津玄師</v>
      </c>
      <c r="AB427" s="14" t="str">
        <f>_xlfn.XLOOKUP(AA427,M_ARTIST!A:A,M_ARTIST!B:B,"★★★",0,1)</f>
        <v>よねづけんし</v>
      </c>
      <c r="AC427" s="14" t="str">
        <f t="shared" si="28"/>
        <v>Lemon</v>
      </c>
      <c r="AD427" s="19" t="str">
        <f>HYPERLINK(_xlfn.XLOOKUP(C427,M_YT_LIVE_TIMESTAMP!AA:AA,M_YT_LIVE_TIMESTAMP!Z:Z,"★",0,-1))</f>
        <v>https://www.youtube.com/live/B1g4NIZAKqo?si=v8CWAz6GBo-vVIKK&amp;t=208s</v>
      </c>
    </row>
    <row r="428" spans="1:30" x14ac:dyDescent="0.4">
      <c r="A428" s="12" t="str">
        <v>アイネクライネ</v>
      </c>
      <c r="B428" s="12" t="str">
        <v>米津玄師</v>
      </c>
      <c r="C428" s="12" t="str">
        <f t="shared" si="26"/>
        <v>米津玄師アイネクライネ</v>
      </c>
      <c r="AA428" s="14" t="str">
        <f t="shared" si="27"/>
        <v>米津玄師</v>
      </c>
      <c r="AB428" s="14" t="str">
        <f>_xlfn.XLOOKUP(AA428,M_ARTIST!A:A,M_ARTIST!B:B,"★★★",0,1)</f>
        <v>よねづけんし</v>
      </c>
      <c r="AC428" s="14" t="str">
        <f t="shared" si="28"/>
        <v>アイネクライネ</v>
      </c>
      <c r="AD428" s="19" t="str">
        <f>HYPERLINK(_xlfn.XLOOKUP(C428,M_YT_LIVE_TIMESTAMP!AA:AA,M_YT_LIVE_TIMESTAMP!Z:Z,"★",0,-1))</f>
        <v>https://www.youtube.com/live/OYaf_O-6WRs?si=20Zo4VVa8PxJbw_X&amp;t=4922s</v>
      </c>
    </row>
    <row r="429" spans="1:30" x14ac:dyDescent="0.4">
      <c r="A429" s="12" t="str">
        <v>春雷</v>
      </c>
      <c r="B429" s="12" t="str">
        <v>米津玄師</v>
      </c>
      <c r="C429" s="12" t="str">
        <f t="shared" si="26"/>
        <v>米津玄師春雷</v>
      </c>
      <c r="AA429" s="14" t="str">
        <f t="shared" si="27"/>
        <v>米津玄師</v>
      </c>
      <c r="AB429" s="14" t="str">
        <f>_xlfn.XLOOKUP(AA429,M_ARTIST!A:A,M_ARTIST!B:B,"★★★",0,1)</f>
        <v>よねづけんし</v>
      </c>
      <c r="AC429" s="14" t="str">
        <f t="shared" si="28"/>
        <v>春雷</v>
      </c>
      <c r="AD429" s="19" t="str">
        <f>HYPERLINK(_xlfn.XLOOKUP(C429,M_YT_LIVE_TIMESTAMP!AA:AA,M_YT_LIVE_TIMESTAMP!Z:Z,"★",0,-1))</f>
        <v>https://www.youtube.com/live/5-PHEYq6a-Y?si=i1qN4inKhZc0prZ-&amp;t=945s</v>
      </c>
    </row>
    <row r="430" spans="1:30" x14ac:dyDescent="0.4">
      <c r="A430" s="12" t="str">
        <v>忘れじの言の葉</v>
      </c>
      <c r="B430" s="12" t="str">
        <v>未来古代楽団 feat. 安次嶺希和子</v>
      </c>
      <c r="C430" s="12" t="str">
        <f t="shared" si="26"/>
        <v>未来古代楽団 feat. 安次嶺希和子忘れじの言の葉</v>
      </c>
      <c r="AA430" s="14" t="str">
        <f t="shared" si="27"/>
        <v>未来古代楽団 feat. 安次嶺希和子</v>
      </c>
      <c r="AB430" s="14" t="str">
        <f>_xlfn.XLOOKUP(AA430,M_ARTIST!A:A,M_ARTIST!B:B,"★★★",0,1)</f>
        <v>みらいこだいがくだん feat. あしみねきわこ</v>
      </c>
      <c r="AC430" s="14" t="str">
        <f t="shared" si="28"/>
        <v>忘れじの言の葉</v>
      </c>
      <c r="AD430" s="19" t="str">
        <f>HYPERLINK(_xlfn.XLOOKUP(C430,M_YT_LIVE_TIMESTAMP!AA:AA,M_YT_LIVE_TIMESTAMP!Z:Z,"★",0,-1))</f>
        <v>https://www.youtube.com/live/BjWSIm9kSZs?si=1oMuQyZMLWArIABK&amp;t=6974s</v>
      </c>
    </row>
    <row r="431" spans="1:30" x14ac:dyDescent="0.4">
      <c r="A431" s="12" t="str">
        <v>忘れじの言の葉 (short ver)</v>
      </c>
      <c r="B431" s="12" t="str">
        <v>未来古代楽団 feat. 安次嶺希和子</v>
      </c>
      <c r="C431" s="12" t="str">
        <f t="shared" si="26"/>
        <v>未来古代楽団 feat. 安次嶺希和子忘れじの言の葉 (short ver)</v>
      </c>
      <c r="AA431" s="14" t="str">
        <f t="shared" si="27"/>
        <v>未来古代楽団 feat. 安次嶺希和子</v>
      </c>
      <c r="AB431" s="14" t="str">
        <f>_xlfn.XLOOKUP(AA431,M_ARTIST!A:A,M_ARTIST!B:B,"★★★",0,1)</f>
        <v>みらいこだいがくだん feat. あしみねきわこ</v>
      </c>
      <c r="AC431" s="14" t="str">
        <f t="shared" si="28"/>
        <v>忘れじの言の葉 (short ver)</v>
      </c>
      <c r="AD431" s="19" t="str">
        <f>HYPERLINK(_xlfn.XLOOKUP(C431,M_YT_LIVE_TIMESTAMP!AA:AA,M_YT_LIVE_TIMESTAMP!Z:Z,"★",0,-1))</f>
        <v>https://www.youtube.com/live/6wh0qjbo6K4?si=vntI9mYE52ZplV6U&amp;t=5980s</v>
      </c>
    </row>
    <row r="432" spans="1:30" x14ac:dyDescent="0.4">
      <c r="A432" s="12" t="str">
        <v>いつも何度でも</v>
      </c>
      <c r="B432" s="12" t="str">
        <v>木村弓</v>
      </c>
      <c r="C432" s="12" t="str">
        <f t="shared" si="26"/>
        <v>木村弓いつも何度でも</v>
      </c>
      <c r="AA432" s="14" t="str">
        <f t="shared" si="27"/>
        <v>木村弓</v>
      </c>
      <c r="AB432" s="14" t="str">
        <f>_xlfn.XLOOKUP(AA432,M_ARTIST!A:A,M_ARTIST!B:B,"★★★",0,1)</f>
        <v>きむらゆみ</v>
      </c>
      <c r="AC432" s="14" t="str">
        <f t="shared" si="28"/>
        <v>いつも何度でも</v>
      </c>
      <c r="AD432" s="19" t="str">
        <f>HYPERLINK(_xlfn.XLOOKUP(C432,M_YT_LIVE_TIMESTAMP!AA:AA,M_YT_LIVE_TIMESTAMP!Z:Z,"★",0,-1))</f>
        <v>https://www.youtube.com/live/qX9bxWpkH6E?si=OkODsP1XDKgR0qeY&amp;t=5751s</v>
      </c>
    </row>
    <row r="433" spans="1:30" x14ac:dyDescent="0.4">
      <c r="A433" s="12" t="str">
        <v>いのちの名前</v>
      </c>
      <c r="B433" s="12" t="str">
        <v>木村弓</v>
      </c>
      <c r="C433" s="12" t="str">
        <f t="shared" si="26"/>
        <v>木村弓いのちの名前</v>
      </c>
      <c r="AA433" s="14" t="str">
        <f t="shared" si="27"/>
        <v>木村弓</v>
      </c>
      <c r="AB433" s="14" t="str">
        <f>_xlfn.XLOOKUP(AA433,M_ARTIST!A:A,M_ARTIST!B:B,"★★★",0,1)</f>
        <v>きむらゆみ</v>
      </c>
      <c r="AC433" s="14" t="str">
        <f t="shared" si="28"/>
        <v>いのちの名前</v>
      </c>
      <c r="AD433" s="19" t="str">
        <f>HYPERLINK(_xlfn.XLOOKUP(C433,M_YT_LIVE_TIMESTAMP!AA:AA,M_YT_LIVE_TIMESTAMP!Z:Z,"★",0,-1))</f>
        <v>https://www.youtube.com/live/N0Tp3auhZ54?si=TUAMJQ8TqFkAVZ1r&amp;t=6096s</v>
      </c>
    </row>
    <row r="434" spans="1:30" x14ac:dyDescent="0.4">
      <c r="A434" s="12" t="str">
        <v>ドライフラワー</v>
      </c>
      <c r="B434" s="12" t="str">
        <v>優里</v>
      </c>
      <c r="C434" s="12" t="str">
        <f t="shared" si="26"/>
        <v>優里ドライフラワー</v>
      </c>
      <c r="AA434" s="14" t="str">
        <f t="shared" si="27"/>
        <v>優里</v>
      </c>
      <c r="AB434" s="14" t="str">
        <f>_xlfn.XLOOKUP(AA434,M_ARTIST!A:A,M_ARTIST!B:B,"★★★",0,1)</f>
        <v>ゆうり</v>
      </c>
      <c r="AC434" s="14" t="str">
        <f t="shared" si="28"/>
        <v>ドライフラワー</v>
      </c>
      <c r="AD434" s="19" t="str">
        <f>HYPERLINK(_xlfn.XLOOKUP(C434,M_YT_LIVE_TIMESTAMP!AA:AA,M_YT_LIVE_TIMESTAMP!Z:Z,"★",0,-1))</f>
        <v>https://www.youtube.com/live/B1g4NIZAKqo?si=v8CWAz6GBo-vVIKK&amp;t=1142s</v>
      </c>
    </row>
    <row r="435" spans="1:30" x14ac:dyDescent="0.4">
      <c r="A435" s="12" t="str">
        <v>ベテルギウス</v>
      </c>
      <c r="B435" s="12" t="str">
        <v>優里</v>
      </c>
      <c r="C435" s="12" t="str">
        <f t="shared" si="26"/>
        <v>優里ベテルギウス</v>
      </c>
      <c r="AA435" s="14" t="str">
        <f t="shared" si="27"/>
        <v>優里</v>
      </c>
      <c r="AB435" s="14" t="str">
        <f>_xlfn.XLOOKUP(AA435,M_ARTIST!A:A,M_ARTIST!B:B,"★★★",0,1)</f>
        <v>ゆうり</v>
      </c>
      <c r="AC435" s="14" t="str">
        <f t="shared" si="28"/>
        <v>ベテルギウス</v>
      </c>
      <c r="AD435" s="19" t="str">
        <f>HYPERLINK(_xlfn.XLOOKUP(C435,M_YT_LIVE_TIMESTAMP!AA:AA,M_YT_LIVE_TIMESTAMP!Z:Z,"★",0,-1))</f>
        <v>https://www.youtube.com/live/nyXzxG79mwQ?si=kGuFyOuc0o-yNPOU&amp;t=7183s</v>
      </c>
    </row>
    <row r="436" spans="1:30" x14ac:dyDescent="0.4">
      <c r="A436" s="12" t="str">
        <v>From now on</v>
      </c>
      <c r="B436" s="12" t="str">
        <v>幽音しの</v>
      </c>
      <c r="C436" s="12" t="str">
        <f t="shared" si="26"/>
        <v>幽音しのFrom now on</v>
      </c>
      <c r="AA436" s="14" t="str">
        <f t="shared" si="27"/>
        <v>幽音しの</v>
      </c>
      <c r="AB436" s="14" t="str">
        <f>_xlfn.XLOOKUP(AA436,M_ARTIST!A:A,M_ARTIST!B:B,"★★★",0,1)</f>
        <v>かすかねしの</v>
      </c>
      <c r="AC436" s="14" t="str">
        <f t="shared" si="28"/>
        <v>From now on</v>
      </c>
      <c r="AD436" s="19" t="str">
        <f>HYPERLINK(_xlfn.XLOOKUP(C436,M_YT_LIVE_TIMESTAMP!AA:AA,M_YT_LIVE_TIMESTAMP!Z:Z,"★",0,-1))</f>
        <v>https://www.youtube.com/live/keSRwH4Zr7g?si=RPmDxNZjQB1dZWSK&amp;t=3555s</v>
      </c>
    </row>
    <row r="437" spans="1:30" x14ac:dyDescent="0.4">
      <c r="A437" s="12" t="str">
        <v>From now on (1chorus)</v>
      </c>
      <c r="B437" s="12" t="str">
        <v>幽音しの</v>
      </c>
      <c r="C437" s="12" t="str">
        <f t="shared" si="26"/>
        <v>幽音しのFrom now on (1chorus)</v>
      </c>
      <c r="AA437" s="14" t="str">
        <f t="shared" si="27"/>
        <v>幽音しの</v>
      </c>
      <c r="AB437" s="14" t="str">
        <f>_xlfn.XLOOKUP(AA437,M_ARTIST!A:A,M_ARTIST!B:B,"★★★",0,1)</f>
        <v>かすかねしの</v>
      </c>
      <c r="AC437" s="14" t="str">
        <f t="shared" si="28"/>
        <v>From now on (1chorus)</v>
      </c>
      <c r="AD437" s="19" t="str">
        <f>HYPERLINK(_xlfn.XLOOKUP(C437,M_YT_LIVE_TIMESTAMP!AA:AA,M_YT_LIVE_TIMESTAMP!Z:Z,"★",0,-1))</f>
        <v>https://www.youtube.com/live/h9yyUj584EA?si=1RWpj-7KllpU7qa_&amp;t=5213s</v>
      </c>
    </row>
    <row r="438" spans="1:30" x14ac:dyDescent="0.4">
      <c r="A438" s="12" t="str">
        <v>かすかなおと</v>
      </c>
      <c r="B438" s="12" t="str">
        <v>幽音しの</v>
      </c>
      <c r="C438" s="12" t="str">
        <f t="shared" si="26"/>
        <v>幽音しのかすかなおと</v>
      </c>
      <c r="AA438" s="14" t="str">
        <f t="shared" si="27"/>
        <v>幽音しの</v>
      </c>
      <c r="AB438" s="14" t="str">
        <f>_xlfn.XLOOKUP(AA438,M_ARTIST!A:A,M_ARTIST!B:B,"★★★",0,1)</f>
        <v>かすかねしの</v>
      </c>
      <c r="AC438" s="14" t="str">
        <f t="shared" si="28"/>
        <v>かすかなおと</v>
      </c>
      <c r="AD438" s="19" t="str">
        <f>HYPERLINK(_xlfn.XLOOKUP(C438,M_YT_LIVE_TIMESTAMP!AA:AA,M_YT_LIVE_TIMESTAMP!Z:Z,"★",0,-1))</f>
        <v>https://www.youtube.com/live/zHPmNlzplRQ?si=hKbKp_wLxXmd13Kq&amp;t=609s</v>
      </c>
    </row>
    <row r="439" spans="1:30" x14ac:dyDescent="0.4">
      <c r="A439" s="12" t="str">
        <v>エモさはいつもしののそばに</v>
      </c>
      <c r="B439" s="12" t="str">
        <v>幽音しの(即興)</v>
      </c>
      <c r="C439" s="12" t="str">
        <f t="shared" si="26"/>
        <v>幽音しの(即興)エモさはいつもしののそばに</v>
      </c>
      <c r="AA439" s="14" t="str">
        <f t="shared" si="27"/>
        <v>幽音しの(即興)</v>
      </c>
      <c r="AB439" s="14" t="str">
        <f>_xlfn.XLOOKUP(AA439,M_ARTIST!A:A,M_ARTIST!B:B,"★★★",0,1)</f>
        <v>かすかねしの(そっきょう)</v>
      </c>
      <c r="AC439" s="14" t="str">
        <f t="shared" si="28"/>
        <v>エモさはいつもしののそばに</v>
      </c>
      <c r="AD439" s="19" t="str">
        <f>HYPERLINK(_xlfn.XLOOKUP(C439,M_YT_LIVE_TIMESTAMP!AA:AA,M_YT_LIVE_TIMESTAMP!Z:Z,"★",0,-1))</f>
        <v>https://www.youtube.com/live/Z1v3sT_d6uU?si=epz4SGbUtnFLtw2-&amp;t=3130s</v>
      </c>
    </row>
    <row r="440" spans="1:30" x14ac:dyDescent="0.4">
      <c r="A440" s="12" t="str">
        <v>カウントダウン前にバースデーソング作る</v>
      </c>
      <c r="B440" s="12" t="str">
        <v>幽音しの(即興)</v>
      </c>
      <c r="C440" s="12" t="str">
        <f t="shared" si="26"/>
        <v>幽音しの(即興)カウントダウン前にバースデーソング作る</v>
      </c>
      <c r="AA440" s="14" t="str">
        <f t="shared" si="27"/>
        <v>幽音しの(即興)</v>
      </c>
      <c r="AB440" s="14" t="str">
        <f>_xlfn.XLOOKUP(AA440,M_ARTIST!A:A,M_ARTIST!B:B,"★★★",0,1)</f>
        <v>かすかねしの(そっきょう)</v>
      </c>
      <c r="AC440" s="14" t="str">
        <f t="shared" si="28"/>
        <v>カウントダウン前にバースデーソング作る</v>
      </c>
      <c r="AD440" s="19" t="str">
        <f>HYPERLINK(_xlfn.XLOOKUP(C440,M_YT_LIVE_TIMESTAMP!AA:AA,M_YT_LIVE_TIMESTAMP!Z:Z,"★",0,-1))</f>
        <v>https://www.youtube.com/live/qTRoniWqYUs?si=tZabM9W3dUpT3w7w&amp;t=4383s</v>
      </c>
    </row>
    <row r="441" spans="1:30" x14ac:dyDescent="0.4">
      <c r="A441" s="12" t="str">
        <v>キャベツとレタスのうた</v>
      </c>
      <c r="B441" s="12" t="str">
        <v>幽音しの(即興)</v>
      </c>
      <c r="C441" s="12" t="str">
        <f t="shared" si="26"/>
        <v>幽音しの(即興)キャベツとレタスのうた</v>
      </c>
      <c r="AA441" s="14" t="str">
        <f t="shared" si="27"/>
        <v>幽音しの(即興)</v>
      </c>
      <c r="AB441" s="14" t="str">
        <f>_xlfn.XLOOKUP(AA441,M_ARTIST!A:A,M_ARTIST!B:B,"★★★",0,1)</f>
        <v>かすかねしの(そっきょう)</v>
      </c>
      <c r="AC441" s="14" t="str">
        <f t="shared" si="28"/>
        <v>キャベツとレタスのうた</v>
      </c>
      <c r="AD441" s="19" t="str">
        <f>HYPERLINK(_xlfn.XLOOKUP(C441,M_YT_LIVE_TIMESTAMP!AA:AA,M_YT_LIVE_TIMESTAMP!Z:Z,"★",0,-1))</f>
        <v>https://www.youtube.com/live/JdIhEjDJiNU?si=deUnozJNoBNUwf--&amp;t=1191s</v>
      </c>
    </row>
    <row r="442" spans="1:30" x14ac:dyDescent="0.4">
      <c r="A442" s="12" t="str">
        <v>これからもよろしくソング</v>
      </c>
      <c r="B442" s="12" t="str">
        <v>幽音しの(即興)</v>
      </c>
      <c r="C442" s="12" t="str">
        <f t="shared" si="26"/>
        <v>幽音しの(即興)これからもよろしくソング</v>
      </c>
      <c r="AA442" s="14" t="str">
        <f t="shared" si="27"/>
        <v>幽音しの(即興)</v>
      </c>
      <c r="AB442" s="14" t="str">
        <f>_xlfn.XLOOKUP(AA442,M_ARTIST!A:A,M_ARTIST!B:B,"★★★",0,1)</f>
        <v>かすかねしの(そっきょう)</v>
      </c>
      <c r="AC442" s="14" t="str">
        <f t="shared" si="28"/>
        <v>これからもよろしくソング</v>
      </c>
      <c r="AD442" s="19" t="str">
        <f>HYPERLINK(_xlfn.XLOOKUP(C442,M_YT_LIVE_TIMESTAMP!AA:AA,M_YT_LIVE_TIMESTAMP!Z:Z,"★",0,-1))</f>
        <v>https://www.youtube.com/live/9eMVaPOXvzM?si=jhgkuY6UKcne9MmF&amp;t=2955s</v>
      </c>
    </row>
    <row r="443" spans="1:30" x14ac:dyDescent="0.4">
      <c r="A443" s="12" t="str">
        <v>しのが寝る6時</v>
      </c>
      <c r="B443" s="12" t="str">
        <v>幽音しの(即興)</v>
      </c>
      <c r="C443" s="12" t="str">
        <f t="shared" si="26"/>
        <v>幽音しの(即興)しのが寝る6時</v>
      </c>
      <c r="AA443" s="14" t="str">
        <f t="shared" si="27"/>
        <v>幽音しの(即興)</v>
      </c>
      <c r="AB443" s="14" t="str">
        <f>_xlfn.XLOOKUP(AA443,M_ARTIST!A:A,M_ARTIST!B:B,"★★★",0,1)</f>
        <v>かすかねしの(そっきょう)</v>
      </c>
      <c r="AC443" s="14" t="str">
        <f t="shared" si="28"/>
        <v>しのが寝る6時</v>
      </c>
      <c r="AD443" s="19" t="str">
        <f>HYPERLINK(_xlfn.XLOOKUP(C443,M_YT_LIVE_TIMESTAMP!AA:AA,M_YT_LIVE_TIMESTAMP!Z:Z,"★",0,-1))</f>
        <v>https://www.youtube.com/live/rjOy6A4c68o?si=Q07K-470tlYbzNHk&amp;t=3450s</v>
      </c>
    </row>
    <row r="444" spans="1:30" x14ac:dyDescent="0.4">
      <c r="A444" s="12" t="str">
        <v>しのぴ即興ソング</v>
      </c>
      <c r="B444" s="12" t="str">
        <v>幽音しの(即興)</v>
      </c>
      <c r="C444" s="12" t="str">
        <f t="shared" si="26"/>
        <v>幽音しの(即興)しのぴ即興ソング</v>
      </c>
      <c r="AA444" s="14" t="str">
        <f t="shared" si="27"/>
        <v>幽音しの(即興)</v>
      </c>
      <c r="AB444" s="14" t="str">
        <f>_xlfn.XLOOKUP(AA444,M_ARTIST!A:A,M_ARTIST!B:B,"★★★",0,1)</f>
        <v>かすかねしの(そっきょう)</v>
      </c>
      <c r="AC444" s="14" t="str">
        <f t="shared" si="28"/>
        <v>しのぴ即興ソング</v>
      </c>
      <c r="AD444" s="19" t="str">
        <f>HYPERLINK(_xlfn.XLOOKUP(C444,M_YT_LIVE_TIMESTAMP!AA:AA,M_YT_LIVE_TIMESTAMP!Z:Z,"★",0,-1))</f>
        <v>https://www.youtube.com/live/N0Tp3auhZ54?si=TUAMJQ8TqFkAVZ1r&amp;t=6749s</v>
      </c>
    </row>
    <row r="445" spans="1:30" x14ac:dyDescent="0.4">
      <c r="A445" s="12" t="str">
        <v>ちょっと待ってねの歌</v>
      </c>
      <c r="B445" s="12" t="str">
        <v>幽音しの(即興)</v>
      </c>
      <c r="C445" s="12" t="str">
        <f t="shared" si="26"/>
        <v>幽音しの(即興)ちょっと待ってねの歌</v>
      </c>
      <c r="AA445" s="14" t="str">
        <f t="shared" si="27"/>
        <v>幽音しの(即興)</v>
      </c>
      <c r="AB445" s="14" t="str">
        <f>_xlfn.XLOOKUP(AA445,M_ARTIST!A:A,M_ARTIST!B:B,"★★★",0,1)</f>
        <v>かすかねしの(そっきょう)</v>
      </c>
      <c r="AC445" s="14" t="str">
        <f t="shared" si="28"/>
        <v>ちょっと待ってねの歌</v>
      </c>
      <c r="AD445" s="19" t="str">
        <f>HYPERLINK(_xlfn.XLOOKUP(C445,M_YT_LIVE_TIMESTAMP!AA:AA,M_YT_LIVE_TIMESTAMP!Z:Z,"★",0,-1))</f>
        <v>https://www.youtube.com/live/7l8RLTKBC8E?si=4WR3af3ZrVMWAe9X&amp;t=4419s</v>
      </c>
    </row>
    <row r="446" spans="1:30" x14ac:dyDescent="0.4">
      <c r="A446" s="12" t="str">
        <v>チルになりたい</v>
      </c>
      <c r="B446" s="12" t="str">
        <v>幽音しの(即興)</v>
      </c>
      <c r="C446" s="12" t="str">
        <f t="shared" si="26"/>
        <v>幽音しの(即興)チルになりたい</v>
      </c>
      <c r="AA446" s="14" t="str">
        <f t="shared" si="27"/>
        <v>幽音しの(即興)</v>
      </c>
      <c r="AB446" s="14" t="str">
        <f>_xlfn.XLOOKUP(AA446,M_ARTIST!A:A,M_ARTIST!B:B,"★★★",0,1)</f>
        <v>かすかねしの(そっきょう)</v>
      </c>
      <c r="AC446" s="14" t="str">
        <f t="shared" si="28"/>
        <v>チルになりたい</v>
      </c>
      <c r="AD446" s="19" t="str">
        <f>HYPERLINK(_xlfn.XLOOKUP(C446,M_YT_LIVE_TIMESTAMP!AA:AA,M_YT_LIVE_TIMESTAMP!Z:Z,"★",0,-1))</f>
        <v>https://www.youtube.com/live/Us_EP0LuOUI?si=QKfLbi9NsZLi9sIi&amp;t=5930s</v>
      </c>
    </row>
    <row r="447" spans="1:30" x14ac:dyDescent="0.4">
      <c r="A447" s="12" t="str">
        <v>ねむねむの歌</v>
      </c>
      <c r="B447" s="12" t="str">
        <v>幽音しの(即興)</v>
      </c>
      <c r="C447" s="12" t="str">
        <f t="shared" si="26"/>
        <v>幽音しの(即興)ねむねむの歌</v>
      </c>
      <c r="AA447" s="14" t="str">
        <f t="shared" si="27"/>
        <v>幽音しの(即興)</v>
      </c>
      <c r="AB447" s="14" t="str">
        <f>_xlfn.XLOOKUP(AA447,M_ARTIST!A:A,M_ARTIST!B:B,"★★★",0,1)</f>
        <v>かすかねしの(そっきょう)</v>
      </c>
      <c r="AC447" s="14" t="str">
        <f t="shared" si="28"/>
        <v>ねむねむの歌</v>
      </c>
      <c r="AD447" s="19" t="str">
        <f>HYPERLINK(_xlfn.XLOOKUP(C447,M_YT_LIVE_TIMESTAMP!AA:AA,M_YT_LIVE_TIMESTAMP!Z:Z,"★",0,-1))</f>
        <v>https://www.youtube.com/live/7l8RLTKBC8E?si=4WR3af3ZrVMWAe9X&amp;t=4208s</v>
      </c>
    </row>
    <row r="448" spans="1:30" x14ac:dyDescent="0.4">
      <c r="A448" s="12" t="str">
        <v>やめるやめる詐欺</v>
      </c>
      <c r="B448" s="12" t="str">
        <v>幽音しの(即興)</v>
      </c>
      <c r="C448" s="12" t="str">
        <f t="shared" si="26"/>
        <v>幽音しの(即興)やめるやめる詐欺</v>
      </c>
      <c r="AA448" s="14" t="str">
        <f t="shared" si="27"/>
        <v>幽音しの(即興)</v>
      </c>
      <c r="AB448" s="14" t="str">
        <f>_xlfn.XLOOKUP(AA448,M_ARTIST!A:A,M_ARTIST!B:B,"★★★",0,1)</f>
        <v>かすかねしの(そっきょう)</v>
      </c>
      <c r="AC448" s="14" t="str">
        <f t="shared" si="28"/>
        <v>やめるやめる詐欺</v>
      </c>
      <c r="AD448" s="19" t="str">
        <f>HYPERLINK(_xlfn.XLOOKUP(C448,M_YT_LIVE_TIMESTAMP!AA:AA,M_YT_LIVE_TIMESTAMP!Z:Z,"★",0,-1))</f>
        <v>https://www.youtube.com/live/BIOCmyo4mQU?si=mUE7u0kM5d94T-4A&amp;t=3663s</v>
      </c>
    </row>
    <row r="449" spans="1:30" x14ac:dyDescent="0.4">
      <c r="A449" s="12" t="str">
        <v>ワロタ＆明日の宣伝の歌</v>
      </c>
      <c r="B449" s="12" t="str">
        <v>幽音しの(即興)</v>
      </c>
      <c r="C449" s="12" t="str">
        <f t="shared" si="26"/>
        <v>幽音しの(即興)ワロタ＆明日の宣伝の歌</v>
      </c>
      <c r="AA449" s="14" t="str">
        <f t="shared" si="27"/>
        <v>幽音しの(即興)</v>
      </c>
      <c r="AB449" s="14" t="str">
        <f>_xlfn.XLOOKUP(AA449,M_ARTIST!A:A,M_ARTIST!B:B,"★★★",0,1)</f>
        <v>かすかねしの(そっきょう)</v>
      </c>
      <c r="AC449" s="14" t="str">
        <f t="shared" si="28"/>
        <v>ワロタ＆明日の宣伝の歌</v>
      </c>
      <c r="AD449" s="19" t="str">
        <f>HYPERLINK(_xlfn.XLOOKUP(C449,M_YT_LIVE_TIMESTAMP!AA:AA,M_YT_LIVE_TIMESTAMP!Z:Z,"★",0,-1))</f>
        <v>https://www.youtube.com/live/Us_EP0LuOUI?si=QKfLbi9NsZLi9sIi&amp;t=6908s</v>
      </c>
    </row>
    <row r="450" spans="1:30" x14ac:dyDescent="0.4">
      <c r="A450" s="12" t="str">
        <v>鼓膜の歌</v>
      </c>
      <c r="B450" s="12" t="str">
        <v>幽音しの(即興)</v>
      </c>
      <c r="C450" s="12" t="str">
        <f t="shared" si="26"/>
        <v>幽音しの(即興)鼓膜の歌</v>
      </c>
      <c r="AA450" s="14" t="str">
        <f t="shared" si="27"/>
        <v>幽音しの(即興)</v>
      </c>
      <c r="AB450" s="14" t="str">
        <f>_xlfn.XLOOKUP(AA450,M_ARTIST!A:A,M_ARTIST!B:B,"★★★",0,1)</f>
        <v>かすかねしの(そっきょう)</v>
      </c>
      <c r="AC450" s="14" t="str">
        <f t="shared" si="28"/>
        <v>鼓膜の歌</v>
      </c>
      <c r="AD450" s="19" t="str">
        <f>HYPERLINK(_xlfn.XLOOKUP(C450,M_YT_LIVE_TIMESTAMP!AA:AA,M_YT_LIVE_TIMESTAMP!Z:Z,"★",0,-1))</f>
        <v>https://www.youtube.com/live/qX9bxWpkH6E?si=OkODsP1XDKgR0qeY&amp;t=2903s</v>
      </c>
    </row>
    <row r="451" spans="1:30" x14ac:dyDescent="0.4">
      <c r="A451" s="12" t="str">
        <v>今食べたいもの</v>
      </c>
      <c r="B451" s="12" t="str">
        <v>幽音しの(即興)</v>
      </c>
      <c r="C451" s="12" t="str">
        <f t="shared" si="26"/>
        <v>幽音しの(即興)今食べたいもの</v>
      </c>
      <c r="AA451" s="14" t="str">
        <f t="shared" si="27"/>
        <v>幽音しの(即興)</v>
      </c>
      <c r="AB451" s="14" t="str">
        <f>_xlfn.XLOOKUP(AA451,M_ARTIST!A:A,M_ARTIST!B:B,"★★★",0,1)</f>
        <v>かすかねしの(そっきょう)</v>
      </c>
      <c r="AC451" s="14" t="str">
        <f t="shared" si="28"/>
        <v>今食べたいもの</v>
      </c>
      <c r="AD451" s="19" t="str">
        <f>HYPERLINK(_xlfn.XLOOKUP(C451,M_YT_LIVE_TIMESTAMP!AA:AA,M_YT_LIVE_TIMESTAMP!Z:Z,"★",0,-1))</f>
        <v>https://www.youtube.com/live/T2z_BAhLZz0?si=FZhoxASjxucX4Rxr&amp;t=4621s</v>
      </c>
    </row>
    <row r="452" spans="1:30" x14ac:dyDescent="0.4">
      <c r="A452" s="12" t="str">
        <v>初配信兼入浴の歌</v>
      </c>
      <c r="B452" s="12" t="str">
        <v>幽音しの(即興)</v>
      </c>
      <c r="C452" s="12" t="str">
        <f t="shared" si="26"/>
        <v>幽音しの(即興)初配信兼入浴の歌</v>
      </c>
      <c r="AA452" s="14" t="str">
        <f t="shared" si="27"/>
        <v>幽音しの(即興)</v>
      </c>
      <c r="AB452" s="14" t="str">
        <f>_xlfn.XLOOKUP(AA452,M_ARTIST!A:A,M_ARTIST!B:B,"★★★",0,1)</f>
        <v>かすかねしの(そっきょう)</v>
      </c>
      <c r="AC452" s="14" t="str">
        <f t="shared" si="28"/>
        <v>初配信兼入浴の歌</v>
      </c>
      <c r="AD452" s="19" t="str">
        <f>HYPERLINK(_xlfn.XLOOKUP(C452,M_YT_LIVE_TIMESTAMP!AA:AA,M_YT_LIVE_TIMESTAMP!Z:Z,"★",0,-1))</f>
        <v>https://www.youtube.com/live/rPoEadXC5ck?si=PyjsfpuwHgwH2fjV&amp;t=1605s</v>
      </c>
    </row>
    <row r="453" spans="1:30" x14ac:dyDescent="0.4">
      <c r="A453" s="12" t="str">
        <v>即興ソング</v>
      </c>
      <c r="B453" s="12" t="str">
        <v>幽音しの(即興)</v>
      </c>
      <c r="C453" s="12" t="str">
        <f t="shared" si="26"/>
        <v>幽音しの(即興)即興ソング</v>
      </c>
      <c r="AA453" s="14" t="str">
        <f t="shared" si="27"/>
        <v>幽音しの(即興)</v>
      </c>
      <c r="AB453" s="14" t="str">
        <f>_xlfn.XLOOKUP(AA453,M_ARTIST!A:A,M_ARTIST!B:B,"★★★",0,1)</f>
        <v>かすかねしの(そっきょう)</v>
      </c>
      <c r="AC453" s="14" t="str">
        <f t="shared" si="28"/>
        <v>即興ソング</v>
      </c>
      <c r="AD453" s="19" t="str">
        <f>HYPERLINK(_xlfn.XLOOKUP(C453,M_YT_LIVE_TIMESTAMP!AA:AA,M_YT_LIVE_TIMESTAMP!Z:Z,"★",0,-1))</f>
        <v>https://www.youtube.com/live/gPoOwdHJsS0?si=m0w1THhhEjbjOfbt&amp;t=9708s</v>
      </c>
    </row>
    <row r="454" spans="1:30" x14ac:dyDescent="0.4">
      <c r="A454" s="12" t="str">
        <v>多分チル2の歌</v>
      </c>
      <c r="B454" s="12" t="str">
        <v>幽音しの(即興)</v>
      </c>
      <c r="C454" s="12" t="str">
        <f t="shared" si="26"/>
        <v>幽音しの(即興)多分チル2の歌</v>
      </c>
      <c r="AA454" s="14" t="str">
        <f t="shared" si="27"/>
        <v>幽音しの(即興)</v>
      </c>
      <c r="AB454" s="14" t="str">
        <f>_xlfn.XLOOKUP(AA454,M_ARTIST!A:A,M_ARTIST!B:B,"★★★",0,1)</f>
        <v>かすかねしの(そっきょう)</v>
      </c>
      <c r="AC454" s="14" t="str">
        <f t="shared" si="28"/>
        <v>多分チル2の歌</v>
      </c>
      <c r="AD454" s="19" t="str">
        <f>HYPERLINK(_xlfn.XLOOKUP(C454,M_YT_LIVE_TIMESTAMP!AA:AA,M_YT_LIVE_TIMESTAMP!Z:Z,"★",0,-1))</f>
        <v>https://www.youtube.com/live/wEZHgaS4eCg?si=_Rpt2MlexrsFC7dZ&amp;t=5795s</v>
      </c>
    </row>
    <row r="455" spans="1:30" x14ac:dyDescent="0.4">
      <c r="A455" s="12" t="str">
        <v>忘れろの歌</v>
      </c>
      <c r="B455" s="12" t="str">
        <v>幽音しの(即興)</v>
      </c>
      <c r="C455" s="12" t="str">
        <f t="shared" si="26"/>
        <v>幽音しの(即興)忘れろの歌</v>
      </c>
      <c r="AA455" s="14" t="str">
        <f t="shared" si="27"/>
        <v>幽音しの(即興)</v>
      </c>
      <c r="AB455" s="14" t="str">
        <f>_xlfn.XLOOKUP(AA455,M_ARTIST!A:A,M_ARTIST!B:B,"★★★",0,1)</f>
        <v>かすかねしの(そっきょう)</v>
      </c>
      <c r="AC455" s="14" t="str">
        <f t="shared" si="28"/>
        <v>忘れろの歌</v>
      </c>
      <c r="AD455" s="19" t="str">
        <f>HYPERLINK(_xlfn.XLOOKUP(C455,M_YT_LIVE_TIMESTAMP!AA:AA,M_YT_LIVE_TIMESTAMP!Z:Z,"★",0,-1))</f>
        <v>https://www.youtube.com/live/lrLQ6akH23w?si=aC5HLJK6UZYwu-Yn&amp;t=6040s</v>
      </c>
    </row>
    <row r="456" spans="1:30" x14ac:dyDescent="0.4">
      <c r="A456" s="12" t="str">
        <v>quiet room</v>
      </c>
      <c r="B456" s="12" t="str">
        <v>有機酸(神山羊) feat.初音ミク</v>
      </c>
      <c r="C456" s="12" t="str">
        <f t="shared" si="26"/>
        <v>有機酸(神山羊) feat.初音ミクquiet room</v>
      </c>
      <c r="AA456" s="14" t="str">
        <f t="shared" si="27"/>
        <v>有機酸(神山羊) feat.初音ミク</v>
      </c>
      <c r="AB456" s="14" t="str">
        <f>_xlfn.XLOOKUP(AA456,M_ARTIST!A:A,M_ARTIST!B:B,"★★★",0,1)</f>
        <v>ゆうきさん(かみやまよう) feat.はつねみく</v>
      </c>
      <c r="AC456" s="14" t="str">
        <f t="shared" si="28"/>
        <v>quiet room</v>
      </c>
      <c r="AD456" s="19" t="str">
        <f>HYPERLINK(_xlfn.XLOOKUP(C456,M_YT_LIVE_TIMESTAMP!AA:AA,M_YT_LIVE_TIMESTAMP!Z:Z,"★",0,-1))</f>
        <v>https://www.youtube.com/live/B1g4NIZAKqo?si=v8CWAz6GBo-vVIKK&amp;t=4075s</v>
      </c>
    </row>
    <row r="457" spans="1:30" x14ac:dyDescent="0.4">
      <c r="A457" s="12" t="str">
        <v>カトラリー</v>
      </c>
      <c r="B457" s="12" t="str">
        <v>有機酸(神山羊) feat.初音ミク</v>
      </c>
      <c r="C457" s="12" t="str">
        <f t="shared" si="26"/>
        <v>有機酸(神山羊) feat.初音ミクカトラリー</v>
      </c>
      <c r="AA457" s="14" t="str">
        <f t="shared" si="27"/>
        <v>有機酸(神山羊) feat.初音ミク</v>
      </c>
      <c r="AB457" s="14" t="str">
        <f>_xlfn.XLOOKUP(AA457,M_ARTIST!A:A,M_ARTIST!B:B,"★★★",0,1)</f>
        <v>ゆうきさん(かみやまよう) feat.はつねみく</v>
      </c>
      <c r="AC457" s="14" t="str">
        <f t="shared" si="28"/>
        <v>カトラリー</v>
      </c>
      <c r="AD457" s="19" t="str">
        <f>HYPERLINK(_xlfn.XLOOKUP(C457,M_YT_LIVE_TIMESTAMP!AA:AA,M_YT_LIVE_TIMESTAMP!Z:Z,"★",0,-1))</f>
        <v>https://www.youtube.com/live/i7euCqiwzl4?si=Gvd-dBAI4nZ9HDpv&amp;t=3068s</v>
      </c>
    </row>
    <row r="458" spans="1:30" x14ac:dyDescent="0.4">
      <c r="A458" s="12" t="str">
        <v>1999</v>
      </c>
      <c r="B458" s="12" t="str">
        <v>羊文学</v>
      </c>
      <c r="C458" s="12" t="str">
        <f t="shared" si="26"/>
        <v>羊文学1999</v>
      </c>
      <c r="AA458" s="14" t="str">
        <f t="shared" si="27"/>
        <v>羊文学</v>
      </c>
      <c r="AB458" s="14" t="str">
        <f>_xlfn.XLOOKUP(AA458,M_ARTIST!A:A,M_ARTIST!B:B,"★★★",0,1)</f>
        <v>ひつじぶんがく</v>
      </c>
      <c r="AC458" s="14" t="str">
        <f t="shared" si="28"/>
        <v>1999</v>
      </c>
      <c r="AD458" s="19" t="str">
        <f>HYPERLINK(_xlfn.XLOOKUP(C458,M_YT_LIVE_TIMESTAMP!AA:AA,M_YT_LIVE_TIMESTAMP!Z:Z,"★",0,-1))</f>
        <v>https://www.youtube.com/live/rowkHJneOgY?si=dzvDO_qNHD4fLHMQ&amp;t=4791s</v>
      </c>
    </row>
    <row r="459" spans="1:30" x14ac:dyDescent="0.4">
      <c r="A459" s="12" t="str">
        <v>Feel</v>
      </c>
      <c r="B459" s="12" t="str">
        <v>羊文学</v>
      </c>
      <c r="C459" s="12" t="str">
        <f t="shared" si="26"/>
        <v>羊文学Feel</v>
      </c>
      <c r="AA459" s="14" t="str">
        <f t="shared" si="27"/>
        <v>羊文学</v>
      </c>
      <c r="AB459" s="14" t="str">
        <f>_xlfn.XLOOKUP(AA459,M_ARTIST!A:A,M_ARTIST!B:B,"★★★",0,1)</f>
        <v>ひつじぶんがく</v>
      </c>
      <c r="AC459" s="14" t="str">
        <f t="shared" si="28"/>
        <v>Feel</v>
      </c>
      <c r="AD459" s="19" t="str">
        <f>HYPERLINK(_xlfn.XLOOKUP(C459,M_YT_LIVE_TIMESTAMP!AA:AA,M_YT_LIVE_TIMESTAMP!Z:Z,"★",0,-1))</f>
        <v>https://www.youtube.com/live/b0qPGU0sZn4?si=C5mabzVl6bhK7mp0&amp;t=1911s</v>
      </c>
    </row>
    <row r="460" spans="1:30" x14ac:dyDescent="0.4">
      <c r="A460" s="12" t="str">
        <v>Feel(1chorus)</v>
      </c>
      <c r="B460" s="12" t="str">
        <v>羊文学</v>
      </c>
      <c r="C460" s="12" t="str">
        <f t="shared" si="26"/>
        <v>羊文学Feel(1chorus)</v>
      </c>
      <c r="AA460" s="14" t="str">
        <f t="shared" si="27"/>
        <v>羊文学</v>
      </c>
      <c r="AB460" s="14" t="str">
        <f>_xlfn.XLOOKUP(AA460,M_ARTIST!A:A,M_ARTIST!B:B,"★★★",0,1)</f>
        <v>ひつじぶんがく</v>
      </c>
      <c r="AC460" s="14" t="str">
        <f t="shared" si="28"/>
        <v>Feel(1chorus)</v>
      </c>
      <c r="AD460" s="19" t="str">
        <f>HYPERLINK(_xlfn.XLOOKUP(C460,M_YT_LIVE_TIMESTAMP!AA:AA,M_YT_LIVE_TIMESTAMP!Z:Z,"★",0,-1))</f>
        <v>https://www.youtube.com/live/Dm-WC5w7K8Y?si=Pph-3uJ8wVrF5vc0&amp;t=4956s</v>
      </c>
    </row>
    <row r="461" spans="1:30" x14ac:dyDescent="0.4">
      <c r="A461" s="12" t="str">
        <v>more than words</v>
      </c>
      <c r="B461" s="12" t="str">
        <v>羊文学</v>
      </c>
      <c r="C461" s="12" t="str">
        <f t="shared" si="26"/>
        <v>羊文学more than words</v>
      </c>
      <c r="AA461" s="14" t="str">
        <f t="shared" si="27"/>
        <v>羊文学</v>
      </c>
      <c r="AB461" s="14" t="str">
        <f>_xlfn.XLOOKUP(AA461,M_ARTIST!A:A,M_ARTIST!B:B,"★★★",0,1)</f>
        <v>ひつじぶんがく</v>
      </c>
      <c r="AC461" s="14" t="str">
        <f t="shared" si="28"/>
        <v>more than words</v>
      </c>
      <c r="AD461" s="19" t="str">
        <f>HYPERLINK(_xlfn.XLOOKUP(C461,M_YT_LIVE_TIMESTAMP!AA:AA,M_YT_LIVE_TIMESTAMP!Z:Z,"★",0,-1))</f>
        <v>https://www.youtube.com/live/YC2XfDeeAQI?si=BpJIi-KScnRHEoFo&amp;t=2165s</v>
      </c>
    </row>
    <row r="462" spans="1:30" x14ac:dyDescent="0.4">
      <c r="A462" s="12" t="str">
        <v>あいまいでいいよ</v>
      </c>
      <c r="B462" s="12" t="str">
        <v>羊文学</v>
      </c>
      <c r="C462" s="12" t="str">
        <f t="shared" si="26"/>
        <v>羊文学あいまいでいいよ</v>
      </c>
      <c r="AA462" s="14" t="str">
        <f t="shared" si="27"/>
        <v>羊文学</v>
      </c>
      <c r="AB462" s="14" t="str">
        <f>_xlfn.XLOOKUP(AA462,M_ARTIST!A:A,M_ARTIST!B:B,"★★★",0,1)</f>
        <v>ひつじぶんがく</v>
      </c>
      <c r="AC462" s="14" t="str">
        <f t="shared" si="28"/>
        <v>あいまいでいいよ</v>
      </c>
      <c r="AD462" s="19" t="str">
        <f>HYPERLINK(_xlfn.XLOOKUP(C462,M_YT_LIVE_TIMESTAMP!AA:AA,M_YT_LIVE_TIMESTAMP!Z:Z,"★",0,-1))</f>
        <v>https://www.youtube.com/live/Et9I5uqKaRQ?si=4uq-2UkGh47LMNTa&amp;t=2951s</v>
      </c>
    </row>
    <row r="463" spans="1:30" x14ac:dyDescent="0.4">
      <c r="A463" s="12" t="str">
        <v>永遠のブルー</v>
      </c>
      <c r="B463" s="12" t="str">
        <v>羊文学</v>
      </c>
      <c r="C463" s="12" t="str">
        <f t="shared" si="26"/>
        <v>羊文学永遠のブルー</v>
      </c>
      <c r="AA463" s="14" t="str">
        <f t="shared" si="27"/>
        <v>羊文学</v>
      </c>
      <c r="AB463" s="14" t="str">
        <f>_xlfn.XLOOKUP(AA463,M_ARTIST!A:A,M_ARTIST!B:B,"★★★",0,1)</f>
        <v>ひつじぶんがく</v>
      </c>
      <c r="AC463" s="14" t="str">
        <f t="shared" si="28"/>
        <v>永遠のブルー</v>
      </c>
      <c r="AD463" s="19" t="str">
        <f>HYPERLINK(_xlfn.XLOOKUP(C463,M_YT_LIVE_TIMESTAMP!AA:AA,M_YT_LIVE_TIMESTAMP!Z:Z,"★",0,-1))</f>
        <v>https://www.youtube.com/live/b0qPGU0sZn4?si=C5mabzVl6bhK7mp0&amp;t=2634s</v>
      </c>
    </row>
    <row r="464" spans="1:30" x14ac:dyDescent="0.4">
      <c r="A464" s="12" t="str">
        <v>光るとき</v>
      </c>
      <c r="B464" s="12" t="str">
        <v>羊文学</v>
      </c>
      <c r="C464" s="12" t="str">
        <f t="shared" si="26"/>
        <v>羊文学光るとき</v>
      </c>
      <c r="AA464" s="14" t="str">
        <f t="shared" si="27"/>
        <v>羊文学</v>
      </c>
      <c r="AB464" s="14" t="str">
        <f>_xlfn.XLOOKUP(AA464,M_ARTIST!A:A,M_ARTIST!B:B,"★★★",0,1)</f>
        <v>ひつじぶんがく</v>
      </c>
      <c r="AC464" s="14" t="str">
        <f t="shared" si="28"/>
        <v>光るとき</v>
      </c>
      <c r="AD464" s="19" t="str">
        <f>HYPERLINK(_xlfn.XLOOKUP(C464,M_YT_LIVE_TIMESTAMP!AA:AA,M_YT_LIVE_TIMESTAMP!Z:Z,"★",0,-1))</f>
        <v>https://www.youtube.com/live/YC2XfDeeAQI?si=BpJIi-KScnRHEoFo&amp;t=1761s</v>
      </c>
    </row>
    <row r="465" spans="1:30" x14ac:dyDescent="0.4">
      <c r="A465" s="12" t="str">
        <v>恋なんて</v>
      </c>
      <c r="B465" s="12" t="str">
        <v>羊文学</v>
      </c>
      <c r="C465" s="12" t="str">
        <f t="shared" si="26"/>
        <v>羊文学恋なんて</v>
      </c>
      <c r="AA465" s="14" t="str">
        <f t="shared" si="27"/>
        <v>羊文学</v>
      </c>
      <c r="AB465" s="14" t="str">
        <f>_xlfn.XLOOKUP(AA465,M_ARTIST!A:A,M_ARTIST!B:B,"★★★",0,1)</f>
        <v>ひつじぶんがく</v>
      </c>
      <c r="AC465" s="14" t="str">
        <f t="shared" si="28"/>
        <v>恋なんて</v>
      </c>
      <c r="AD465" s="19" t="str">
        <f>HYPERLINK(_xlfn.XLOOKUP(C465,M_YT_LIVE_TIMESTAMP!AA:AA,M_YT_LIVE_TIMESTAMP!Z:Z,"★",0,-1))</f>
        <v>https://www.youtube.com/live/b0qPGU0sZn4?si=C5mabzVl6bhK7mp0&amp;t=2262s</v>
      </c>
    </row>
    <row r="466" spans="1:30" x14ac:dyDescent="0.4">
      <c r="A466" s="12" t="str">
        <v>Love so sweet</v>
      </c>
      <c r="B466" s="12" t="str">
        <v>嵐</v>
      </c>
      <c r="C466" s="12" t="str">
        <f t="shared" si="26"/>
        <v>嵐Love so sweet</v>
      </c>
      <c r="AA466" s="14" t="str">
        <f t="shared" si="27"/>
        <v>嵐</v>
      </c>
      <c r="AB466" s="14" t="str">
        <f>_xlfn.XLOOKUP(AA466,M_ARTIST!A:A,M_ARTIST!B:B,"★★★",0,1)</f>
        <v>あらし</v>
      </c>
      <c r="AC466" s="14" t="str">
        <f t="shared" si="28"/>
        <v>Love so sweet</v>
      </c>
      <c r="AD466" s="19" t="str">
        <f>HYPERLINK(_xlfn.XLOOKUP(C466,M_YT_LIVE_TIMESTAMP!AA:AA,M_YT_LIVE_TIMESTAMP!Z:Z,"★",0,-1))</f>
        <v>https://www.youtube.com/live/Yti72SsHzxs?si=qlI2gfa0I0wWYoH4&amp;t=4966s</v>
      </c>
    </row>
    <row r="467" spans="1:30" x14ac:dyDescent="0.4">
      <c r="A467" s="12" t="str">
        <v>Monster</v>
      </c>
      <c r="B467" s="12" t="str">
        <v>嵐</v>
      </c>
      <c r="C467" s="12" t="str">
        <f t="shared" ref="C467:C530" si="29">TRIM(B467)&amp;TRIM(A467)</f>
        <v>嵐Monster</v>
      </c>
      <c r="AA467" s="14" t="str">
        <f t="shared" ref="AA467:AA530" si="30">B467</f>
        <v>嵐</v>
      </c>
      <c r="AB467" s="14" t="str">
        <f>_xlfn.XLOOKUP(AA467,M_ARTIST!A:A,M_ARTIST!B:B,"★★★",0,1)</f>
        <v>あらし</v>
      </c>
      <c r="AC467" s="14" t="str">
        <f t="shared" ref="AC467:AC530" si="31">A467</f>
        <v>Monster</v>
      </c>
      <c r="AD467" s="19" t="str">
        <f>HYPERLINK(_xlfn.XLOOKUP(C467,M_YT_LIVE_TIMESTAMP!AA:AA,M_YT_LIVE_TIMESTAMP!Z:Z,"★",0,-1))</f>
        <v>https://www.youtube.com/live/Yti72SsHzxs?si=qlI2gfa0I0wWYoH4&amp;t=3995s</v>
      </c>
    </row>
    <row r="468" spans="1:30" x14ac:dyDescent="0.4">
      <c r="A468" s="12" t="str">
        <v>Troublemaker</v>
      </c>
      <c r="B468" s="12" t="str">
        <v>嵐</v>
      </c>
      <c r="C468" s="12" t="str">
        <f t="shared" si="29"/>
        <v>嵐Troublemaker</v>
      </c>
      <c r="AA468" s="14" t="str">
        <f t="shared" si="30"/>
        <v>嵐</v>
      </c>
      <c r="AB468" s="14" t="str">
        <f>_xlfn.XLOOKUP(AA468,M_ARTIST!A:A,M_ARTIST!B:B,"★★★",0,1)</f>
        <v>あらし</v>
      </c>
      <c r="AC468" s="14" t="str">
        <f t="shared" si="31"/>
        <v>Troublemaker</v>
      </c>
      <c r="AD468" s="19" t="str">
        <f>HYPERLINK(_xlfn.XLOOKUP(C468,M_YT_LIVE_TIMESTAMP!AA:AA,M_YT_LIVE_TIMESTAMP!Z:Z,"★",0,-1))</f>
        <v>https://www.youtube.com/live/orkAkFl798M?si=7tK-YB5J1dGoAFWq&amp;t=3456s</v>
      </c>
    </row>
    <row r="469" spans="1:30" x14ac:dyDescent="0.4">
      <c r="A469" s="12" t="str">
        <v>truth</v>
      </c>
      <c r="B469" s="12" t="str">
        <v>嵐</v>
      </c>
      <c r="C469" s="12" t="str">
        <f t="shared" si="29"/>
        <v>嵐truth</v>
      </c>
      <c r="AA469" s="14" t="str">
        <f t="shared" si="30"/>
        <v>嵐</v>
      </c>
      <c r="AB469" s="14" t="str">
        <f>_xlfn.XLOOKUP(AA469,M_ARTIST!A:A,M_ARTIST!B:B,"★★★",0,1)</f>
        <v>あらし</v>
      </c>
      <c r="AC469" s="14" t="str">
        <f t="shared" si="31"/>
        <v>truth</v>
      </c>
      <c r="AD469" s="19" t="str">
        <f>HYPERLINK(_xlfn.XLOOKUP(C469,M_YT_LIVE_TIMESTAMP!AA:AA,M_YT_LIVE_TIMESTAMP!Z:Z,"★",0,-1))</f>
        <v>https://www.youtube.com/live/Yti72SsHzxs?si=qlI2gfa0I0wWYoH4&amp;t=4366s</v>
      </c>
    </row>
    <row r="470" spans="1:30" x14ac:dyDescent="0.4">
      <c r="A470" s="12" t="str">
        <v>サクラ咲ケ</v>
      </c>
      <c r="B470" s="12" t="str">
        <v>嵐</v>
      </c>
      <c r="C470" s="12" t="str">
        <f t="shared" si="29"/>
        <v>嵐サクラ咲ケ</v>
      </c>
      <c r="AA470" s="14" t="str">
        <f t="shared" si="30"/>
        <v>嵐</v>
      </c>
      <c r="AB470" s="14" t="str">
        <f>_xlfn.XLOOKUP(AA470,M_ARTIST!A:A,M_ARTIST!B:B,"★★★",0,1)</f>
        <v>あらし</v>
      </c>
      <c r="AC470" s="14" t="str">
        <f t="shared" si="31"/>
        <v>サクラ咲ケ</v>
      </c>
      <c r="AD470" s="19" t="str">
        <f>HYPERLINK(_xlfn.XLOOKUP(C470,M_YT_LIVE_TIMESTAMP!AA:AA,M_YT_LIVE_TIMESTAMP!Z:Z,"★",0,-1))</f>
        <v>https://www.youtube.com/live/Yti72SsHzxs?si=qlI2gfa0I0wWYoH4&amp;t=3686s</v>
      </c>
    </row>
    <row r="471" spans="1:30" x14ac:dyDescent="0.4">
      <c r="A471" s="12" t="str">
        <v>ラピスラズリ</v>
      </c>
      <c r="B471" s="12" t="str">
        <v>藍井エイル</v>
      </c>
      <c r="C471" s="12" t="str">
        <f t="shared" si="29"/>
        <v>藍井エイルラピスラズリ</v>
      </c>
      <c r="AA471" s="14" t="str">
        <f t="shared" si="30"/>
        <v>藍井エイル</v>
      </c>
      <c r="AB471" s="14" t="str">
        <f>_xlfn.XLOOKUP(AA471,M_ARTIST!A:A,M_ARTIST!B:B,"★★★",0,1)</f>
        <v>あおいえいる</v>
      </c>
      <c r="AC471" s="14" t="str">
        <f t="shared" si="31"/>
        <v>ラピスラズリ</v>
      </c>
      <c r="AD471" s="19" t="str">
        <f>HYPERLINK(_xlfn.XLOOKUP(C471,M_YT_LIVE_TIMESTAMP!AA:AA,M_YT_LIVE_TIMESTAMP!Z:Z,"★",0,-1))</f>
        <v>https://www.youtube.com/live/JAK2m4FWxF0?si=Xy-B8lpcz7dX_b5n&amp;t=6546s</v>
      </c>
    </row>
    <row r="472" spans="1:30" x14ac:dyDescent="0.4">
      <c r="A472" s="12" t="str">
        <v>ペテン師が笑う頃に</v>
      </c>
      <c r="B472" s="12" t="str">
        <v>梨本P feat.初音ミク</v>
      </c>
      <c r="C472" s="12" t="str">
        <f t="shared" si="29"/>
        <v>梨本P feat.初音ミクペテン師が笑う頃に</v>
      </c>
      <c r="AA472" s="14" t="str">
        <f t="shared" si="30"/>
        <v>梨本P feat.初音ミク</v>
      </c>
      <c r="AB472" s="14" t="str">
        <f>_xlfn.XLOOKUP(AA472,M_ARTIST!A:A,M_ARTIST!B:B,"★★★",0,1)</f>
        <v>なしもとP feat.はつねみく</v>
      </c>
      <c r="AC472" s="14" t="str">
        <f t="shared" si="31"/>
        <v>ペテン師が笑う頃に</v>
      </c>
      <c r="AD472" s="19" t="str">
        <f>HYPERLINK(_xlfn.XLOOKUP(C472,M_YT_LIVE_TIMESTAMP!AA:AA,M_YT_LIVE_TIMESTAMP!Z:Z,"★",0,-1))</f>
        <v>https://www.youtube.com/live/bXG5ottJZas?si=VsjzjU8RreUrJGd3&amp;t=5190s</v>
      </c>
    </row>
    <row r="473" spans="1:30" x14ac:dyDescent="0.4">
      <c r="A473" s="12" t="str">
        <v>心の話</v>
      </c>
      <c r="B473" s="12" t="str">
        <v>涼海ネモ</v>
      </c>
      <c r="C473" s="12" t="str">
        <f t="shared" si="29"/>
        <v>涼海ネモ心の話</v>
      </c>
      <c r="AA473" s="14" t="str">
        <f t="shared" si="30"/>
        <v>涼海ネモ</v>
      </c>
      <c r="AB473" s="14" t="str">
        <f>_xlfn.XLOOKUP(AA473,M_ARTIST!A:A,M_ARTIST!B:B,"★★★",0,1)</f>
        <v>すずみねも</v>
      </c>
      <c r="AC473" s="14" t="str">
        <f t="shared" si="31"/>
        <v>心の話</v>
      </c>
      <c r="AD473" s="19" t="str">
        <f>HYPERLINK(_xlfn.XLOOKUP(C473,M_YT_LIVE_TIMESTAMP!AA:AA,M_YT_LIVE_TIMESTAMP!Z:Z,"★",0,-1))</f>
        <v>https://www.youtube.com/live/zHPmNlzplRQ?si=hKbKp_wLxXmd13Kq&amp;t=1277s</v>
      </c>
    </row>
    <row r="474" spans="1:30" x14ac:dyDescent="0.4">
      <c r="A474" s="12" t="str">
        <v>God knows…</v>
      </c>
      <c r="B474" s="12" t="str">
        <v>涼宮ハルヒ(CV.平野綾)</v>
      </c>
      <c r="C474" s="12" t="str">
        <f t="shared" si="29"/>
        <v>涼宮ハルヒ(CV.平野綾)God knows…</v>
      </c>
      <c r="AA474" s="14" t="str">
        <f t="shared" si="30"/>
        <v>涼宮ハルヒ(CV.平野綾)</v>
      </c>
      <c r="AB474" s="14" t="str">
        <f>_xlfn.XLOOKUP(AA474,M_ARTIST!A:A,M_ARTIST!B:B,"★★★",0,1)</f>
        <v>すずみやはるひ(CV.ひらのあや)</v>
      </c>
      <c r="AC474" s="14" t="str">
        <f t="shared" si="31"/>
        <v>God knows…</v>
      </c>
      <c r="AD474" s="19" t="str">
        <f>HYPERLINK(_xlfn.XLOOKUP(C474,M_YT_LIVE_TIMESTAMP!AA:AA,M_YT_LIVE_TIMESTAMP!Z:Z,"★",0,-1))</f>
        <v>https://www.youtube.com/live/nyXzxG79mwQ?si=kGuFyOuc0o-yNPOU&amp;t=9418s</v>
      </c>
    </row>
    <row r="475" spans="1:30" x14ac:dyDescent="0.4">
      <c r="A475" s="12" t="str">
        <v>ハレ晴レユカイ(1phrase)</v>
      </c>
      <c r="B475" s="12" t="str">
        <v>涼宮ハルヒ(CV.平野綾)&amp;長門有希(CV.茅原実里)&amp;朝比奈みくる(CV.後藤邑子)</v>
      </c>
      <c r="C475" s="12" t="str">
        <f t="shared" si="29"/>
        <v>涼宮ハルヒ(CV.平野綾)&amp;長門有希(CV.茅原実里)&amp;朝比奈みくる(CV.後藤邑子)ハレ晴レユカイ(1phrase)</v>
      </c>
      <c r="AA475" s="14" t="str">
        <f t="shared" si="30"/>
        <v>涼宮ハルヒ(CV.平野綾)&amp;長門有希(CV.茅原実里)&amp;朝比奈みくる(CV.後藤邑子)</v>
      </c>
      <c r="AB475" s="14" t="str">
        <f>_xlfn.XLOOKUP(AA475,M_ARTIST!A:A,M_ARTIST!B:B,"★★★",0,1)</f>
        <v>すずみやはるひ(CV.ひらのあや)&amp;ながとゆき(CV.ちはらみのり)&amp;あさひなみくる(CV.ごとうゆうこ)</v>
      </c>
      <c r="AC475" s="14" t="str">
        <f t="shared" si="31"/>
        <v>ハレ晴レユカイ(1phrase)</v>
      </c>
      <c r="AD475" s="19" t="str">
        <f>HYPERLINK(_xlfn.XLOOKUP(C475,M_YT_LIVE_TIMESTAMP!AA:AA,M_YT_LIVE_TIMESTAMP!Z:Z,"★",0,-1))</f>
        <v>https://www.youtube.com/live/8yfLYQayxQg?si=O0Q0AXQXC39nd7WJ&amp;t=8467s</v>
      </c>
    </row>
    <row r="476" spans="1:30" x14ac:dyDescent="0.4">
      <c r="A476" s="12" t="str">
        <v>Mela!</v>
      </c>
      <c r="B476" s="12" t="str">
        <v>緑黄色社会</v>
      </c>
      <c r="C476" s="12" t="str">
        <f t="shared" si="29"/>
        <v>緑黄色社会Mela!</v>
      </c>
      <c r="AA476" s="14" t="str">
        <f t="shared" si="30"/>
        <v>緑黄色社会</v>
      </c>
      <c r="AB476" s="14" t="str">
        <f>_xlfn.XLOOKUP(AA476,M_ARTIST!A:A,M_ARTIST!B:B,"★★★",0,1)</f>
        <v>りょくおうしょくしゃかい</v>
      </c>
      <c r="AC476" s="14" t="str">
        <f t="shared" si="31"/>
        <v>Mela!</v>
      </c>
      <c r="AD476" s="19" t="str">
        <f>HYPERLINK(_xlfn.XLOOKUP(C476,M_YT_LIVE_TIMESTAMP!AA:AA,M_YT_LIVE_TIMESTAMP!Z:Z,"★",0,-1))</f>
        <v>https://www.youtube.com/live/bXG5ottJZas?si=VsjzjU8RreUrJGd3&amp;t=1275s</v>
      </c>
    </row>
    <row r="477" spans="1:30" x14ac:dyDescent="0.4">
      <c r="A477" s="12" t="str">
        <v>sabotage</v>
      </c>
      <c r="B477" s="12" t="str">
        <v>緑黄色社会</v>
      </c>
      <c r="C477" s="12" t="str">
        <f t="shared" si="29"/>
        <v>緑黄色社会sabotage</v>
      </c>
      <c r="AA477" s="14" t="str">
        <f t="shared" si="30"/>
        <v>緑黄色社会</v>
      </c>
      <c r="AB477" s="14" t="str">
        <f>_xlfn.XLOOKUP(AA477,M_ARTIST!A:A,M_ARTIST!B:B,"★★★",0,1)</f>
        <v>りょくおうしょくしゃかい</v>
      </c>
      <c r="AC477" s="14" t="str">
        <f t="shared" si="31"/>
        <v>sabotage</v>
      </c>
      <c r="AD477" s="19" t="str">
        <f>HYPERLINK(_xlfn.XLOOKUP(C477,M_YT_LIVE_TIMESTAMP!AA:AA,M_YT_LIVE_TIMESTAMP!Z:Z,"★",0,-1))</f>
        <v>https://www.youtube.com/live/0d6TiZm7xWc?si=rSfrknMqNQFcz5xw&amp;t=2532s</v>
      </c>
    </row>
    <row r="478" spans="1:30" x14ac:dyDescent="0.4">
      <c r="A478" s="12" t="str">
        <v>This game</v>
      </c>
      <c r="B478" s="12" t="str">
        <v>鈴木このみ</v>
      </c>
      <c r="C478" s="12" t="str">
        <f t="shared" si="29"/>
        <v>鈴木このみThis game</v>
      </c>
      <c r="AA478" s="14" t="str">
        <f t="shared" si="30"/>
        <v>鈴木このみ</v>
      </c>
      <c r="AB478" s="14" t="str">
        <f>_xlfn.XLOOKUP(AA478,M_ARTIST!A:A,M_ARTIST!B:B,"★★★",0,1)</f>
        <v>すずきこのみ</v>
      </c>
      <c r="AC478" s="14" t="str">
        <f t="shared" si="31"/>
        <v>This game</v>
      </c>
      <c r="AD478" s="19" t="str">
        <f>HYPERLINK(_xlfn.XLOOKUP(C478,M_YT_LIVE_TIMESTAMP!AA:AA,M_YT_LIVE_TIMESTAMP!Z:Z,"★",0,-1))</f>
        <v>https://www.youtube.com/live/wY3z5W9B8N0?si=FVqBjyoCdmcOKFxz&amp;t=3830s</v>
      </c>
    </row>
    <row r="479" spans="1:30" x14ac:dyDescent="0.4">
      <c r="A479" s="12" t="str">
        <v>Butter-Fly</v>
      </c>
      <c r="B479" s="12" t="str">
        <v>和田光司</v>
      </c>
      <c r="C479" s="12" t="str">
        <f t="shared" si="29"/>
        <v>和田光司Butter-Fly</v>
      </c>
      <c r="AA479" s="14" t="str">
        <f t="shared" si="30"/>
        <v>和田光司</v>
      </c>
      <c r="AB479" s="14" t="str">
        <f>_xlfn.XLOOKUP(AA479,M_ARTIST!A:A,M_ARTIST!B:B,"★★★",0,1)</f>
        <v>わだこうじ</v>
      </c>
      <c r="AC479" s="14" t="str">
        <f t="shared" si="31"/>
        <v>Butter-Fly</v>
      </c>
      <c r="AD479" s="19" t="str">
        <f>HYPERLINK(_xlfn.XLOOKUP(C479,M_YT_LIVE_TIMESTAMP!AA:AA,M_YT_LIVE_TIMESTAMP!Z:Z,"★",0,-1))</f>
        <v>https://www.youtube.com/live/Yti72SsHzxs?si=qlI2gfa0I0wWYoH4&amp;t=3347s</v>
      </c>
    </row>
    <row r="480" spans="1:30" x14ac:dyDescent="0.4">
      <c r="A480" s="12" t="str">
        <v>Butter-Fly(1phrase)</v>
      </c>
      <c r="B480" s="12" t="str">
        <v>和田光司</v>
      </c>
      <c r="C480" s="12" t="str">
        <f t="shared" si="29"/>
        <v>和田光司Butter-Fly(1phrase)</v>
      </c>
      <c r="AA480" s="14" t="str">
        <f t="shared" si="30"/>
        <v>和田光司</v>
      </c>
      <c r="AB480" s="14" t="str">
        <f>_xlfn.XLOOKUP(AA480,M_ARTIST!A:A,M_ARTIST!B:B,"★★★",0,1)</f>
        <v>わだこうじ</v>
      </c>
      <c r="AC480" s="14" t="str">
        <f t="shared" si="31"/>
        <v>Butter-Fly(1phrase)</v>
      </c>
      <c r="AD480" s="19" t="str">
        <f>HYPERLINK(_xlfn.XLOOKUP(C480,M_YT_LIVE_TIMESTAMP!AA:AA,M_YT_LIVE_TIMESTAMP!Z:Z,"★",0,-1))</f>
        <v>https://www.youtube.com/live/8yfLYQayxQg?si=O0Q0AXQXC39nd7WJ&amp;t=7822s</v>
      </c>
    </row>
    <row r="481" spans="1:30" x14ac:dyDescent="0.4">
      <c r="A481" s="12" t="str">
        <v>Sincerely</v>
      </c>
      <c r="B481" s="12" t="b">
        <v>1</v>
      </c>
      <c r="C481" s="12" t="str">
        <f t="shared" si="29"/>
        <v>TRUESincerely</v>
      </c>
      <c r="AA481" s="14" t="b">
        <f t="shared" si="30"/>
        <v>1</v>
      </c>
      <c r="AB481" s="14" t="b">
        <f>_xlfn.XLOOKUP(AA481,M_ARTIST!A:A,M_ARTIST!B:B,"★★★",0,1)</f>
        <v>1</v>
      </c>
      <c r="AC481" s="14" t="str">
        <f t="shared" si="31"/>
        <v>Sincerely</v>
      </c>
      <c r="AD481" s="19" t="str">
        <f>HYPERLINK(_xlfn.XLOOKUP(C481,M_YT_LIVE_TIMESTAMP!AA:AA,M_YT_LIVE_TIMESTAMP!Z:Z,"★",0,-1))</f>
        <v>https://www.youtube.com/live/r7Bwk1jHwnc?si=YSwS6uQI_0X3Y91g&amp;t=5425s</v>
      </c>
    </row>
    <row r="482" spans="1:30" x14ac:dyDescent="0.4">
      <c r="C482" s="12" t="str">
        <f t="shared" si="29"/>
        <v/>
      </c>
      <c r="AA482" s="14">
        <f t="shared" si="30"/>
        <v>0</v>
      </c>
      <c r="AB482" s="14" t="str">
        <f>_xlfn.XLOOKUP(AA482,M_ARTIST!A:A,M_ARTIST!B:B,"★★★",0,1)</f>
        <v>★★★</v>
      </c>
      <c r="AC482" s="14">
        <f t="shared" si="31"/>
        <v>0</v>
      </c>
      <c r="AD482" s="19" t="e">
        <f>HYPERLINK(_xlfn.XLOOKUP(C482,M_YT_LIVE_TIMESTAMP!AA:AA,M_YT_LIVE_TIMESTAMP!Z:Z,"★",0,-1))</f>
        <v>#VALUE!</v>
      </c>
    </row>
    <row r="483" spans="1:30" x14ac:dyDescent="0.4">
      <c r="C483" s="12" t="str">
        <f t="shared" si="29"/>
        <v/>
      </c>
      <c r="AA483" s="14">
        <f t="shared" si="30"/>
        <v>0</v>
      </c>
      <c r="AB483" s="14" t="str">
        <f>_xlfn.XLOOKUP(AA483,M_ARTIST!A:A,M_ARTIST!B:B,"★★★",0,1)</f>
        <v>★★★</v>
      </c>
      <c r="AC483" s="14">
        <f t="shared" si="31"/>
        <v>0</v>
      </c>
      <c r="AD483" s="19" t="e">
        <f>HYPERLINK(_xlfn.XLOOKUP(C483,M_YT_LIVE_TIMESTAMP!AA:AA,M_YT_LIVE_TIMESTAMP!Z:Z,"★",0,-1))</f>
        <v>#VALUE!</v>
      </c>
    </row>
    <row r="484" spans="1:30" x14ac:dyDescent="0.4">
      <c r="C484" s="12" t="str">
        <f t="shared" si="29"/>
        <v/>
      </c>
      <c r="AA484" s="14">
        <f t="shared" si="30"/>
        <v>0</v>
      </c>
      <c r="AB484" s="14" t="str">
        <f>_xlfn.XLOOKUP(AA484,M_ARTIST!A:A,M_ARTIST!B:B,"★★★",0,1)</f>
        <v>★★★</v>
      </c>
      <c r="AC484" s="14">
        <f t="shared" si="31"/>
        <v>0</v>
      </c>
      <c r="AD484" s="19" t="e">
        <f>HYPERLINK(_xlfn.XLOOKUP(C484,M_YT_LIVE_TIMESTAMP!AA:AA,M_YT_LIVE_TIMESTAMP!Z:Z,"★",0,-1))</f>
        <v>#VALUE!</v>
      </c>
    </row>
    <row r="485" spans="1:30" x14ac:dyDescent="0.4">
      <c r="C485" s="12" t="str">
        <f t="shared" si="29"/>
        <v/>
      </c>
      <c r="AA485" s="14">
        <f t="shared" si="30"/>
        <v>0</v>
      </c>
      <c r="AB485" s="14" t="str">
        <f>_xlfn.XLOOKUP(AA485,M_ARTIST!A:A,M_ARTIST!B:B,"★★★",0,1)</f>
        <v>★★★</v>
      </c>
      <c r="AC485" s="14">
        <f t="shared" si="31"/>
        <v>0</v>
      </c>
      <c r="AD485" s="19" t="e">
        <f>HYPERLINK(_xlfn.XLOOKUP(C485,M_YT_LIVE_TIMESTAMP!AA:AA,M_YT_LIVE_TIMESTAMP!Z:Z,"★",0,-1))</f>
        <v>#VALUE!</v>
      </c>
    </row>
    <row r="486" spans="1:30" x14ac:dyDescent="0.4">
      <c r="C486" s="12" t="str">
        <f t="shared" si="29"/>
        <v/>
      </c>
      <c r="AA486" s="14">
        <f t="shared" si="30"/>
        <v>0</v>
      </c>
      <c r="AB486" s="14" t="str">
        <f>_xlfn.XLOOKUP(AA486,M_ARTIST!A:A,M_ARTIST!B:B,"★★★",0,1)</f>
        <v>★★★</v>
      </c>
      <c r="AC486" s="14">
        <f t="shared" si="31"/>
        <v>0</v>
      </c>
      <c r="AD486" s="19" t="e">
        <f>HYPERLINK(_xlfn.XLOOKUP(C486,M_YT_LIVE_TIMESTAMP!AA:AA,M_YT_LIVE_TIMESTAMP!Z:Z,"★",0,-1))</f>
        <v>#VALUE!</v>
      </c>
    </row>
    <row r="487" spans="1:30" x14ac:dyDescent="0.4">
      <c r="C487" s="12" t="str">
        <f t="shared" si="29"/>
        <v/>
      </c>
      <c r="AA487" s="14">
        <f t="shared" si="30"/>
        <v>0</v>
      </c>
      <c r="AB487" s="14" t="str">
        <f>_xlfn.XLOOKUP(AA487,M_ARTIST!A:A,M_ARTIST!B:B,"★★★",0,1)</f>
        <v>★★★</v>
      </c>
      <c r="AC487" s="14">
        <f t="shared" si="31"/>
        <v>0</v>
      </c>
      <c r="AD487" s="19" t="e">
        <f>HYPERLINK(_xlfn.XLOOKUP(C487,M_YT_LIVE_TIMESTAMP!AA:AA,M_YT_LIVE_TIMESTAMP!Z:Z,"★",0,-1))</f>
        <v>#VALUE!</v>
      </c>
    </row>
    <row r="488" spans="1:30" x14ac:dyDescent="0.4">
      <c r="C488" s="12" t="str">
        <f t="shared" si="29"/>
        <v/>
      </c>
      <c r="AA488" s="14">
        <f t="shared" si="30"/>
        <v>0</v>
      </c>
      <c r="AB488" s="14" t="str">
        <f>_xlfn.XLOOKUP(AA488,M_ARTIST!A:A,M_ARTIST!B:B,"★★★",0,1)</f>
        <v>★★★</v>
      </c>
      <c r="AC488" s="14">
        <f t="shared" si="31"/>
        <v>0</v>
      </c>
      <c r="AD488" s="19" t="e">
        <f>HYPERLINK(_xlfn.XLOOKUP(C488,M_YT_LIVE_TIMESTAMP!AA:AA,M_YT_LIVE_TIMESTAMP!Z:Z,"★",0,-1))</f>
        <v>#VALUE!</v>
      </c>
    </row>
    <row r="489" spans="1:30" x14ac:dyDescent="0.4">
      <c r="C489" s="12" t="str">
        <f t="shared" si="29"/>
        <v/>
      </c>
      <c r="AA489" s="14">
        <f t="shared" si="30"/>
        <v>0</v>
      </c>
      <c r="AB489" s="14" t="str">
        <f>_xlfn.XLOOKUP(AA489,M_ARTIST!A:A,M_ARTIST!B:B,"★★★",0,1)</f>
        <v>★★★</v>
      </c>
      <c r="AC489" s="14">
        <f t="shared" si="31"/>
        <v>0</v>
      </c>
      <c r="AD489" s="19" t="e">
        <f>HYPERLINK(_xlfn.XLOOKUP(C489,M_YT_LIVE_TIMESTAMP!AA:AA,M_YT_LIVE_TIMESTAMP!Z:Z,"★",0,-1))</f>
        <v>#VALUE!</v>
      </c>
    </row>
    <row r="490" spans="1:30" x14ac:dyDescent="0.4">
      <c r="C490" s="12" t="str">
        <f t="shared" si="29"/>
        <v/>
      </c>
      <c r="AA490" s="14">
        <f t="shared" si="30"/>
        <v>0</v>
      </c>
      <c r="AB490" s="14" t="str">
        <f>_xlfn.XLOOKUP(AA490,M_ARTIST!A:A,M_ARTIST!B:B,"★★★",0,1)</f>
        <v>★★★</v>
      </c>
      <c r="AC490" s="14">
        <f t="shared" si="31"/>
        <v>0</v>
      </c>
      <c r="AD490" s="19" t="e">
        <f>HYPERLINK(_xlfn.XLOOKUP(C490,M_YT_LIVE_TIMESTAMP!AA:AA,M_YT_LIVE_TIMESTAMP!Z:Z,"★",0,-1))</f>
        <v>#VALUE!</v>
      </c>
    </row>
    <row r="491" spans="1:30" x14ac:dyDescent="0.4">
      <c r="C491" s="12" t="str">
        <f t="shared" si="29"/>
        <v/>
      </c>
      <c r="AA491" s="14">
        <f t="shared" si="30"/>
        <v>0</v>
      </c>
      <c r="AB491" s="14" t="str">
        <f>_xlfn.XLOOKUP(AA491,M_ARTIST!A:A,M_ARTIST!B:B,"★★★",0,1)</f>
        <v>★★★</v>
      </c>
      <c r="AC491" s="14">
        <f t="shared" si="31"/>
        <v>0</v>
      </c>
      <c r="AD491" s="19" t="e">
        <f>HYPERLINK(_xlfn.XLOOKUP(C491,M_YT_LIVE_TIMESTAMP!AA:AA,M_YT_LIVE_TIMESTAMP!Z:Z,"★",0,-1))</f>
        <v>#VALUE!</v>
      </c>
    </row>
    <row r="492" spans="1:30" x14ac:dyDescent="0.4">
      <c r="C492" s="12" t="str">
        <f t="shared" si="29"/>
        <v/>
      </c>
      <c r="AA492" s="14">
        <f t="shared" si="30"/>
        <v>0</v>
      </c>
      <c r="AB492" s="14" t="str">
        <f>_xlfn.XLOOKUP(AA492,M_ARTIST!A:A,M_ARTIST!B:B,"★★★",0,1)</f>
        <v>★★★</v>
      </c>
      <c r="AC492" s="14">
        <f t="shared" si="31"/>
        <v>0</v>
      </c>
      <c r="AD492" s="19" t="e">
        <f>HYPERLINK(_xlfn.XLOOKUP(C492,M_YT_LIVE_TIMESTAMP!AA:AA,M_YT_LIVE_TIMESTAMP!Z:Z,"★",0,-1))</f>
        <v>#VALUE!</v>
      </c>
    </row>
    <row r="493" spans="1:30" x14ac:dyDescent="0.4">
      <c r="C493" s="12" t="str">
        <f t="shared" si="29"/>
        <v/>
      </c>
      <c r="AA493" s="14">
        <f t="shared" si="30"/>
        <v>0</v>
      </c>
      <c r="AB493" s="14" t="str">
        <f>_xlfn.XLOOKUP(AA493,M_ARTIST!A:A,M_ARTIST!B:B,"★★★",0,1)</f>
        <v>★★★</v>
      </c>
      <c r="AC493" s="14">
        <f t="shared" si="31"/>
        <v>0</v>
      </c>
      <c r="AD493" s="19" t="e">
        <f>HYPERLINK(_xlfn.XLOOKUP(C493,M_YT_LIVE_TIMESTAMP!AA:AA,M_YT_LIVE_TIMESTAMP!Z:Z,"★",0,-1))</f>
        <v>#VALUE!</v>
      </c>
    </row>
    <row r="494" spans="1:30" x14ac:dyDescent="0.4">
      <c r="C494" s="12" t="str">
        <f t="shared" si="29"/>
        <v/>
      </c>
      <c r="AA494" s="14">
        <f t="shared" si="30"/>
        <v>0</v>
      </c>
      <c r="AB494" s="14" t="str">
        <f>_xlfn.XLOOKUP(AA494,M_ARTIST!A:A,M_ARTIST!B:B,"★★★",0,1)</f>
        <v>★★★</v>
      </c>
      <c r="AC494" s="14">
        <f t="shared" si="31"/>
        <v>0</v>
      </c>
      <c r="AD494" s="19" t="e">
        <f>HYPERLINK(_xlfn.XLOOKUP(C494,M_YT_LIVE_TIMESTAMP!AA:AA,M_YT_LIVE_TIMESTAMP!Z:Z,"★",0,-1))</f>
        <v>#VALUE!</v>
      </c>
    </row>
    <row r="495" spans="1:30" x14ac:dyDescent="0.4">
      <c r="C495" s="12" t="str">
        <f t="shared" si="29"/>
        <v/>
      </c>
      <c r="AA495" s="14">
        <f t="shared" si="30"/>
        <v>0</v>
      </c>
      <c r="AB495" s="14" t="str">
        <f>_xlfn.XLOOKUP(AA495,M_ARTIST!A:A,M_ARTIST!B:B,"★★★",0,1)</f>
        <v>★★★</v>
      </c>
      <c r="AC495" s="14">
        <f t="shared" si="31"/>
        <v>0</v>
      </c>
      <c r="AD495" s="19" t="e">
        <f>HYPERLINK(_xlfn.XLOOKUP(C495,M_YT_LIVE_TIMESTAMP!AA:AA,M_YT_LIVE_TIMESTAMP!Z:Z,"★",0,-1))</f>
        <v>#VALUE!</v>
      </c>
    </row>
    <row r="496" spans="1:30" x14ac:dyDescent="0.4">
      <c r="C496" s="12" t="str">
        <f t="shared" si="29"/>
        <v/>
      </c>
      <c r="AA496" s="14">
        <f t="shared" si="30"/>
        <v>0</v>
      </c>
      <c r="AB496" s="14" t="str">
        <f>_xlfn.XLOOKUP(AA496,M_ARTIST!A:A,M_ARTIST!B:B,"★★★",0,1)</f>
        <v>★★★</v>
      </c>
      <c r="AC496" s="14">
        <f t="shared" si="31"/>
        <v>0</v>
      </c>
      <c r="AD496" s="19" t="e">
        <f>HYPERLINK(_xlfn.XLOOKUP(C496,M_YT_LIVE_TIMESTAMP!AA:AA,M_YT_LIVE_TIMESTAMP!Z:Z,"★",0,-1))</f>
        <v>#VALUE!</v>
      </c>
    </row>
    <row r="497" spans="3:30" x14ac:dyDescent="0.4">
      <c r="C497" s="12" t="str">
        <f t="shared" si="29"/>
        <v/>
      </c>
      <c r="AA497" s="14">
        <f t="shared" si="30"/>
        <v>0</v>
      </c>
      <c r="AB497" s="14" t="str">
        <f>_xlfn.XLOOKUP(AA497,M_ARTIST!A:A,M_ARTIST!B:B,"★★★",0,1)</f>
        <v>★★★</v>
      </c>
      <c r="AC497" s="14">
        <f t="shared" si="31"/>
        <v>0</v>
      </c>
      <c r="AD497" s="19" t="e">
        <f>HYPERLINK(_xlfn.XLOOKUP(C497,M_YT_LIVE_TIMESTAMP!AA:AA,M_YT_LIVE_TIMESTAMP!Z:Z,"★",0,-1))</f>
        <v>#VALUE!</v>
      </c>
    </row>
    <row r="498" spans="3:30" x14ac:dyDescent="0.4">
      <c r="C498" s="12" t="str">
        <f t="shared" si="29"/>
        <v/>
      </c>
      <c r="AA498" s="14">
        <f t="shared" si="30"/>
        <v>0</v>
      </c>
      <c r="AB498" s="14" t="str">
        <f>_xlfn.XLOOKUP(AA498,M_ARTIST!A:A,M_ARTIST!B:B,"★★★",0,1)</f>
        <v>★★★</v>
      </c>
      <c r="AC498" s="14">
        <f t="shared" si="31"/>
        <v>0</v>
      </c>
      <c r="AD498" s="19" t="e">
        <f>HYPERLINK(_xlfn.XLOOKUP(C498,M_YT_LIVE_TIMESTAMP!AA:AA,M_YT_LIVE_TIMESTAMP!Z:Z,"★",0,-1))</f>
        <v>#VALUE!</v>
      </c>
    </row>
    <row r="499" spans="3:30" x14ac:dyDescent="0.4">
      <c r="C499" s="12" t="str">
        <f t="shared" si="29"/>
        <v/>
      </c>
      <c r="AA499" s="14">
        <f t="shared" si="30"/>
        <v>0</v>
      </c>
      <c r="AB499" s="14" t="str">
        <f>_xlfn.XLOOKUP(AA499,M_ARTIST!A:A,M_ARTIST!B:B,"★★★",0,1)</f>
        <v>★★★</v>
      </c>
      <c r="AC499" s="14">
        <f t="shared" si="31"/>
        <v>0</v>
      </c>
      <c r="AD499" s="19" t="e">
        <f>HYPERLINK(_xlfn.XLOOKUP(C499,M_YT_LIVE_TIMESTAMP!AA:AA,M_YT_LIVE_TIMESTAMP!Z:Z,"★",0,-1))</f>
        <v>#VALUE!</v>
      </c>
    </row>
    <row r="500" spans="3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3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3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3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3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3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3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3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3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3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3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3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3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169" zoomScaleNormal="100" workbookViewId="0">
      <selection activeCell="A202" sqref="A202:B20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1233</v>
      </c>
    </row>
    <row r="2" spans="1:2" x14ac:dyDescent="0.4">
      <c r="A2" s="1" t="s">
        <v>771</v>
      </c>
      <c r="B2" s="1" t="s">
        <v>1371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1775</v>
      </c>
      <c r="B4" s="1" t="s">
        <v>1236</v>
      </c>
    </row>
    <row r="5" spans="1:2" x14ac:dyDescent="0.4">
      <c r="A5" s="1" t="s">
        <v>180</v>
      </c>
      <c r="B5" s="1" t="s">
        <v>1237</v>
      </c>
    </row>
    <row r="6" spans="1:2" x14ac:dyDescent="0.4">
      <c r="A6" s="1" t="s">
        <v>1231</v>
      </c>
      <c r="B6" s="1" t="s">
        <v>1238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1189</v>
      </c>
      <c r="B10" s="1" t="s">
        <v>1189</v>
      </c>
    </row>
    <row r="11" spans="1:2" x14ac:dyDescent="0.4">
      <c r="A11" s="1" t="s">
        <v>1185</v>
      </c>
      <c r="B11" s="1" t="s">
        <v>1185</v>
      </c>
    </row>
    <row r="12" spans="1:2" x14ac:dyDescent="0.4">
      <c r="A12" s="1" t="s">
        <v>1144</v>
      </c>
      <c r="B12" s="1" t="s">
        <v>1144</v>
      </c>
    </row>
    <row r="13" spans="1:2" x14ac:dyDescent="0.4">
      <c r="A13" s="1" t="s">
        <v>1037</v>
      </c>
      <c r="B13" s="1" t="s">
        <v>1239</v>
      </c>
    </row>
    <row r="14" spans="1:2" x14ac:dyDescent="0.4">
      <c r="A14" s="1" t="s">
        <v>1083</v>
      </c>
      <c r="B14" s="1" t="s">
        <v>1240</v>
      </c>
    </row>
    <row r="15" spans="1:2" x14ac:dyDescent="0.4">
      <c r="A15" s="1" t="s">
        <v>1191</v>
      </c>
      <c r="B15" s="1" t="s">
        <v>1191</v>
      </c>
    </row>
    <row r="16" spans="1:2" x14ac:dyDescent="0.4">
      <c r="A16" s="1" t="s">
        <v>1027</v>
      </c>
      <c r="B16" s="1" t="s">
        <v>1027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1127</v>
      </c>
      <c r="B18" s="1" t="s">
        <v>1127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1241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1242</v>
      </c>
    </row>
    <row r="23" spans="1:2" x14ac:dyDescent="0.4">
      <c r="A23" s="1" t="s">
        <v>156</v>
      </c>
      <c r="B23" s="1" t="s">
        <v>1243</v>
      </c>
    </row>
    <row r="24" spans="1:2" x14ac:dyDescent="0.4">
      <c r="A24" s="1" t="s">
        <v>112</v>
      </c>
      <c r="B24" s="1" t="s">
        <v>1244</v>
      </c>
    </row>
    <row r="25" spans="1:2" x14ac:dyDescent="0.4">
      <c r="A25" s="1" t="s">
        <v>98</v>
      </c>
      <c r="B25" s="1" t="s">
        <v>1245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1246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1104</v>
      </c>
      <c r="B30" s="1" t="s">
        <v>1104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1247</v>
      </c>
    </row>
    <row r="35" spans="1:2" x14ac:dyDescent="0.4">
      <c r="A35" s="1" t="s">
        <v>708</v>
      </c>
      <c r="B35" s="1" t="s">
        <v>1248</v>
      </c>
    </row>
    <row r="36" spans="1:2" x14ac:dyDescent="0.4">
      <c r="A36" s="1" t="s">
        <v>817</v>
      </c>
      <c r="B36" s="1" t="s">
        <v>1249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1021</v>
      </c>
      <c r="B39" s="1" t="s">
        <v>1021</v>
      </c>
    </row>
    <row r="40" spans="1:2" x14ac:dyDescent="0.4">
      <c r="A40" s="1" t="s">
        <v>981</v>
      </c>
      <c r="B40" s="1" t="s">
        <v>1250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1251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1252</v>
      </c>
    </row>
    <row r="45" spans="1:2" x14ac:dyDescent="0.4">
      <c r="A45" s="1" t="s">
        <v>992</v>
      </c>
      <c r="B45" s="1" t="s">
        <v>992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1234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1253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1254</v>
      </c>
    </row>
    <row r="54" spans="1:2" x14ac:dyDescent="0.4">
      <c r="A54" s="1" t="s">
        <v>449</v>
      </c>
      <c r="B54" s="1" t="s">
        <v>1255</v>
      </c>
    </row>
    <row r="55" spans="1:2" x14ac:dyDescent="0.4">
      <c r="A55" s="1" t="s">
        <v>260</v>
      </c>
      <c r="B55" s="1" t="s">
        <v>1256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1257</v>
      </c>
    </row>
    <row r="59" spans="1:2" x14ac:dyDescent="0.4">
      <c r="A59" s="1" t="s">
        <v>118</v>
      </c>
      <c r="B59" s="1" t="s">
        <v>1258</v>
      </c>
    </row>
    <row r="60" spans="1:2" x14ac:dyDescent="0.4">
      <c r="A60" s="1" t="s">
        <v>530</v>
      </c>
      <c r="B60" s="1" t="s">
        <v>1259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1161</v>
      </c>
      <c r="B62" s="1" t="s">
        <v>1260</v>
      </c>
    </row>
    <row r="63" spans="1:2" x14ac:dyDescent="0.4">
      <c r="A63" s="1" t="s">
        <v>65</v>
      </c>
      <c r="B63" s="1" t="s">
        <v>1261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1262</v>
      </c>
    </row>
    <row r="68" spans="1:2" x14ac:dyDescent="0.4">
      <c r="A68" s="1" t="s">
        <v>225</v>
      </c>
      <c r="B68" s="1" t="s">
        <v>1263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967</v>
      </c>
      <c r="B75" s="1" t="s">
        <v>967</v>
      </c>
    </row>
    <row r="76" spans="1:2" x14ac:dyDescent="0.4">
      <c r="A76" s="1" t="s">
        <v>341</v>
      </c>
      <c r="B76" s="1" t="s">
        <v>1264</v>
      </c>
    </row>
    <row r="77" spans="1:2" x14ac:dyDescent="0.4">
      <c r="A77" s="1" t="s">
        <v>1132</v>
      </c>
      <c r="B77" s="1" t="s">
        <v>1132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1265</v>
      </c>
    </row>
    <row r="84" spans="1:2" x14ac:dyDescent="0.4">
      <c r="A84" s="1" t="s">
        <v>1135</v>
      </c>
      <c r="B84" s="1" t="s">
        <v>1135</v>
      </c>
    </row>
    <row r="85" spans="1:2" x14ac:dyDescent="0.4">
      <c r="A85" s="1" t="s">
        <v>670</v>
      </c>
      <c r="B85" s="1" t="s">
        <v>1266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1267</v>
      </c>
    </row>
    <row r="90" spans="1:2" x14ac:dyDescent="0.4">
      <c r="A90" s="1" t="s">
        <v>807</v>
      </c>
      <c r="B90" s="1" t="s">
        <v>1268</v>
      </c>
    </row>
    <row r="91" spans="1:2" x14ac:dyDescent="0.4">
      <c r="A91" s="1" t="s">
        <v>1101</v>
      </c>
      <c r="B91" s="1" t="s">
        <v>1269</v>
      </c>
    </row>
    <row r="92" spans="1:2" x14ac:dyDescent="0.4">
      <c r="A92" s="1" t="s">
        <v>183</v>
      </c>
      <c r="B92" s="1" t="s">
        <v>1270</v>
      </c>
    </row>
    <row r="93" spans="1:2" x14ac:dyDescent="0.4">
      <c r="A93" s="1" t="s">
        <v>881</v>
      </c>
      <c r="B93" s="1" t="s">
        <v>1271</v>
      </c>
    </row>
    <row r="94" spans="1:2" x14ac:dyDescent="0.4">
      <c r="A94" s="1" t="s">
        <v>153</v>
      </c>
      <c r="B94" s="1" t="s">
        <v>1272</v>
      </c>
    </row>
    <row r="95" spans="1:2" x14ac:dyDescent="0.4">
      <c r="A95" s="1" t="s">
        <v>1194</v>
      </c>
      <c r="B95" s="1" t="s">
        <v>1273</v>
      </c>
    </row>
    <row r="96" spans="1:2" x14ac:dyDescent="0.4">
      <c r="A96" s="1" t="s">
        <v>455</v>
      </c>
      <c r="B96" s="1" t="s">
        <v>1274</v>
      </c>
    </row>
    <row r="97" spans="1:2" x14ac:dyDescent="0.4">
      <c r="A97" s="1" t="s">
        <v>338</v>
      </c>
      <c r="B97" s="1" t="s">
        <v>1275</v>
      </c>
    </row>
    <row r="98" spans="1:2" x14ac:dyDescent="0.4">
      <c r="A98" s="1" t="s">
        <v>975</v>
      </c>
      <c r="B98" s="1" t="s">
        <v>1276</v>
      </c>
    </row>
    <row r="99" spans="1:2" x14ac:dyDescent="0.4">
      <c r="A99" s="1" t="s">
        <v>1232</v>
      </c>
      <c r="B99" s="1" t="s">
        <v>1277</v>
      </c>
    </row>
    <row r="100" spans="1:2" x14ac:dyDescent="0.4">
      <c r="A100" s="1" t="s">
        <v>650</v>
      </c>
      <c r="B100" s="1" t="s">
        <v>1278</v>
      </c>
    </row>
    <row r="101" spans="1:2" x14ac:dyDescent="0.4">
      <c r="A101" s="1" t="s">
        <v>747</v>
      </c>
      <c r="B101" s="1" t="s">
        <v>1279</v>
      </c>
    </row>
    <row r="102" spans="1:2" x14ac:dyDescent="0.4">
      <c r="A102" s="1" t="s">
        <v>978</v>
      </c>
      <c r="B102" s="1" t="s">
        <v>1280</v>
      </c>
    </row>
    <row r="103" spans="1:2" x14ac:dyDescent="0.4">
      <c r="A103" s="1" t="s">
        <v>115</v>
      </c>
      <c r="B103" s="1" t="s">
        <v>1281</v>
      </c>
    </row>
    <row r="104" spans="1:2" x14ac:dyDescent="0.4">
      <c r="A104" s="1" t="s">
        <v>147</v>
      </c>
      <c r="B104" s="1" t="s">
        <v>1282</v>
      </c>
    </row>
    <row r="105" spans="1:2" x14ac:dyDescent="0.4">
      <c r="A105" s="1" t="s">
        <v>960</v>
      </c>
      <c r="B105" s="1" t="s">
        <v>1283</v>
      </c>
    </row>
    <row r="106" spans="1:2" x14ac:dyDescent="0.4">
      <c r="A106" s="1" t="s">
        <v>81</v>
      </c>
      <c r="B106" s="1" t="s">
        <v>1284</v>
      </c>
    </row>
    <row r="107" spans="1:2" x14ac:dyDescent="0.4">
      <c r="A107" s="1" t="s">
        <v>662</v>
      </c>
      <c r="B107" s="1" t="s">
        <v>1285</v>
      </c>
    </row>
    <row r="108" spans="1:2" x14ac:dyDescent="0.4">
      <c r="A108" s="1" t="s">
        <v>321</v>
      </c>
      <c r="B108" s="1" t="s">
        <v>1286</v>
      </c>
    </row>
    <row r="109" spans="1:2" x14ac:dyDescent="0.4">
      <c r="A109" s="1" t="s">
        <v>847</v>
      </c>
      <c r="B109" s="1" t="s">
        <v>1287</v>
      </c>
    </row>
    <row r="110" spans="1:2" x14ac:dyDescent="0.4">
      <c r="A110" s="1" t="s">
        <v>366</v>
      </c>
      <c r="B110" s="1" t="s">
        <v>1288</v>
      </c>
    </row>
    <row r="111" spans="1:2" x14ac:dyDescent="0.4">
      <c r="A111" s="1" t="s">
        <v>986</v>
      </c>
      <c r="B111" s="1" t="s">
        <v>1289</v>
      </c>
    </row>
    <row r="112" spans="1:2" x14ac:dyDescent="0.4">
      <c r="A112" s="1" t="s">
        <v>75</v>
      </c>
      <c r="B112" s="1" t="s">
        <v>1290</v>
      </c>
    </row>
    <row r="113" spans="1:2" x14ac:dyDescent="0.4">
      <c r="A113" s="1" t="s">
        <v>228</v>
      </c>
      <c r="B113" s="1" t="s">
        <v>1290</v>
      </c>
    </row>
    <row r="114" spans="1:2" x14ac:dyDescent="0.4">
      <c r="A114" s="1" t="s">
        <v>867</v>
      </c>
      <c r="B114" s="1" t="s">
        <v>1291</v>
      </c>
    </row>
    <row r="115" spans="1:2" x14ac:dyDescent="0.4">
      <c r="A115" s="1" t="s">
        <v>673</v>
      </c>
      <c r="B115" s="1" t="s">
        <v>1292</v>
      </c>
    </row>
    <row r="116" spans="1:2" x14ac:dyDescent="0.4">
      <c r="A116" s="1" t="s">
        <v>768</v>
      </c>
      <c r="B116" s="1" t="s">
        <v>1293</v>
      </c>
    </row>
    <row r="117" spans="1:2" x14ac:dyDescent="0.4">
      <c r="A117" s="1" t="s">
        <v>78</v>
      </c>
      <c r="B117" s="1" t="s">
        <v>1294</v>
      </c>
    </row>
    <row r="118" spans="1:2" x14ac:dyDescent="0.4">
      <c r="A118" s="1" t="s">
        <v>1180</v>
      </c>
      <c r="B118" s="1" t="s">
        <v>1295</v>
      </c>
    </row>
    <row r="119" spans="1:2" x14ac:dyDescent="0.4">
      <c r="A119" s="1" t="s">
        <v>424</v>
      </c>
      <c r="B119" s="1" t="s">
        <v>1296</v>
      </c>
    </row>
    <row r="120" spans="1:2" x14ac:dyDescent="0.4">
      <c r="A120" s="1" t="s">
        <v>573</v>
      </c>
      <c r="B120" s="1" t="s">
        <v>1297</v>
      </c>
    </row>
    <row r="121" spans="1:2" x14ac:dyDescent="0.4">
      <c r="A121" s="1" t="s">
        <v>942</v>
      </c>
      <c r="B121" s="1" t="s">
        <v>942</v>
      </c>
    </row>
    <row r="122" spans="1:2" x14ac:dyDescent="0.4">
      <c r="A122" s="1" t="s">
        <v>385</v>
      </c>
      <c r="B122" s="1" t="s">
        <v>1298</v>
      </c>
    </row>
    <row r="123" spans="1:2" x14ac:dyDescent="0.4">
      <c r="A123" s="1" t="s">
        <v>257</v>
      </c>
      <c r="B123" s="1" t="s">
        <v>1299</v>
      </c>
    </row>
    <row r="124" spans="1:2" x14ac:dyDescent="0.4">
      <c r="A124" s="1" t="s">
        <v>1176</v>
      </c>
      <c r="B124" s="1" t="s">
        <v>1300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1301</v>
      </c>
    </row>
    <row r="127" spans="1:2" x14ac:dyDescent="0.4">
      <c r="A127" s="1" t="s">
        <v>971</v>
      </c>
      <c r="B127" s="1" t="s">
        <v>1302</v>
      </c>
    </row>
    <row r="128" spans="1:2" x14ac:dyDescent="0.4">
      <c r="A128" s="1" t="s">
        <v>1141</v>
      </c>
      <c r="B128" s="1" t="s">
        <v>1303</v>
      </c>
    </row>
    <row r="129" spans="1:2" x14ac:dyDescent="0.4">
      <c r="A129" s="1" t="s">
        <v>107</v>
      </c>
      <c r="B129" s="1" t="s">
        <v>1304</v>
      </c>
    </row>
    <row r="130" spans="1:2" x14ac:dyDescent="0.4">
      <c r="A130" s="1" t="s">
        <v>527</v>
      </c>
      <c r="B130" s="1" t="s">
        <v>1305</v>
      </c>
    </row>
    <row r="131" spans="1:2" x14ac:dyDescent="0.4">
      <c r="A131" s="1" t="s">
        <v>460</v>
      </c>
      <c r="B131" s="1" t="s">
        <v>1306</v>
      </c>
    </row>
    <row r="132" spans="1:2" x14ac:dyDescent="0.4">
      <c r="A132" s="1" t="s">
        <v>267</v>
      </c>
      <c r="B132" s="1" t="s">
        <v>1307</v>
      </c>
    </row>
    <row r="133" spans="1:2" x14ac:dyDescent="0.4">
      <c r="A133" s="1" t="s">
        <v>934</v>
      </c>
      <c r="B133" s="1" t="s">
        <v>1308</v>
      </c>
    </row>
    <row r="134" spans="1:2" x14ac:dyDescent="0.4">
      <c r="A134" s="1" t="s">
        <v>1182</v>
      </c>
      <c r="B134" s="1" t="s">
        <v>1309</v>
      </c>
    </row>
    <row r="135" spans="1:2" x14ac:dyDescent="0.4">
      <c r="A135" s="1" t="s">
        <v>1178</v>
      </c>
      <c r="B135" s="1" t="s">
        <v>1310</v>
      </c>
    </row>
    <row r="136" spans="1:2" x14ac:dyDescent="0.4">
      <c r="A136" s="1" t="s">
        <v>138</v>
      </c>
      <c r="B136" s="1" t="s">
        <v>1311</v>
      </c>
    </row>
    <row r="137" spans="1:2" x14ac:dyDescent="0.4">
      <c r="A137" s="1" t="s">
        <v>892</v>
      </c>
      <c r="B137" s="1" t="s">
        <v>1312</v>
      </c>
    </row>
    <row r="138" spans="1:2" x14ac:dyDescent="0.4">
      <c r="A138" s="1" t="s">
        <v>144</v>
      </c>
      <c r="B138" s="1" t="s">
        <v>1313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1314</v>
      </c>
    </row>
    <row r="141" spans="1:2" x14ac:dyDescent="0.4">
      <c r="A141" s="1" t="s">
        <v>150</v>
      </c>
      <c r="B141" s="1" t="s">
        <v>1315</v>
      </c>
    </row>
    <row r="142" spans="1:2" x14ac:dyDescent="0.4">
      <c r="A142" s="1" t="s">
        <v>1047</v>
      </c>
      <c r="B142" s="1" t="s">
        <v>1316</v>
      </c>
    </row>
    <row r="143" spans="1:2" x14ac:dyDescent="0.4">
      <c r="A143" s="1" t="s">
        <v>44</v>
      </c>
      <c r="B143" s="1" t="s">
        <v>1317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1318</v>
      </c>
    </row>
    <row r="146" spans="1:2" x14ac:dyDescent="0.4">
      <c r="A146" s="1" t="s">
        <v>736</v>
      </c>
      <c r="B146" s="1" t="s">
        <v>1319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1320</v>
      </c>
    </row>
    <row r="149" spans="1:2" x14ac:dyDescent="0.4">
      <c r="A149" s="1" t="s">
        <v>1117</v>
      </c>
      <c r="B149" s="1" t="s">
        <v>1321</v>
      </c>
    </row>
    <row r="150" spans="1:2" x14ac:dyDescent="0.4">
      <c r="A150" s="1" t="s">
        <v>327</v>
      </c>
      <c r="B150" s="1" t="s">
        <v>1322</v>
      </c>
    </row>
    <row r="151" spans="1:2" x14ac:dyDescent="0.4">
      <c r="A151" s="1" t="s">
        <v>414</v>
      </c>
      <c r="B151" s="1" t="s">
        <v>1323</v>
      </c>
    </row>
    <row r="152" spans="1:2" x14ac:dyDescent="0.4">
      <c r="A152" s="1" t="s">
        <v>270</v>
      </c>
      <c r="B152" s="1" t="s">
        <v>1324</v>
      </c>
    </row>
    <row r="153" spans="1:2" x14ac:dyDescent="0.4">
      <c r="A153" s="1" t="s">
        <v>713</v>
      </c>
      <c r="B153" s="1" t="s">
        <v>1325</v>
      </c>
    </row>
    <row r="154" spans="1:2" x14ac:dyDescent="0.4">
      <c r="A154" s="1" t="s">
        <v>577</v>
      </c>
      <c r="B154" s="1" t="s">
        <v>1326</v>
      </c>
    </row>
    <row r="155" spans="1:2" x14ac:dyDescent="0.4">
      <c r="A155" s="1" t="s">
        <v>870</v>
      </c>
      <c r="B155" s="1" t="s">
        <v>1327</v>
      </c>
    </row>
    <row r="156" spans="1:2" x14ac:dyDescent="0.4">
      <c r="A156" s="1" t="s">
        <v>295</v>
      </c>
      <c r="B156" s="1" t="s">
        <v>1328</v>
      </c>
    </row>
    <row r="157" spans="1:2" x14ac:dyDescent="0.4">
      <c r="A157" s="1" t="s">
        <v>292</v>
      </c>
      <c r="B157" s="1" t="s">
        <v>1329</v>
      </c>
    </row>
    <row r="158" spans="1:2" x14ac:dyDescent="0.4">
      <c r="A158" s="1" t="s">
        <v>1018</v>
      </c>
      <c r="B158" s="1" t="s">
        <v>1330</v>
      </c>
    </row>
    <row r="159" spans="1:2" x14ac:dyDescent="0.4">
      <c r="A159" s="1" t="s">
        <v>782</v>
      </c>
      <c r="B159" s="1" t="s">
        <v>1331</v>
      </c>
    </row>
    <row r="160" spans="1:2" x14ac:dyDescent="0.4">
      <c r="A160" s="1" t="s">
        <v>603</v>
      </c>
      <c r="B160" s="1" t="s">
        <v>1332</v>
      </c>
    </row>
    <row r="161" spans="1:2" x14ac:dyDescent="0.4">
      <c r="A161" s="1" t="s">
        <v>192</v>
      </c>
      <c r="B161" s="1" t="s">
        <v>1333</v>
      </c>
    </row>
    <row r="162" spans="1:2" x14ac:dyDescent="0.4">
      <c r="A162" s="1" t="s">
        <v>475</v>
      </c>
      <c r="B162" s="1" t="s">
        <v>1334</v>
      </c>
    </row>
    <row r="163" spans="1:2" x14ac:dyDescent="0.4">
      <c r="A163" s="1" t="s">
        <v>614</v>
      </c>
      <c r="B163" s="1" t="s">
        <v>1335</v>
      </c>
    </row>
    <row r="164" spans="1:2" x14ac:dyDescent="0.4">
      <c r="A164" s="1" t="s">
        <v>531</v>
      </c>
      <c r="B164" s="1" t="s">
        <v>1336</v>
      </c>
    </row>
    <row r="165" spans="1:2" x14ac:dyDescent="0.4">
      <c r="A165" s="1" t="s">
        <v>104</v>
      </c>
      <c r="B165" s="1" t="s">
        <v>1337</v>
      </c>
    </row>
    <row r="166" spans="1:2" x14ac:dyDescent="0.4">
      <c r="A166" s="1" t="s">
        <v>936</v>
      </c>
      <c r="B166" s="1" t="s">
        <v>1338</v>
      </c>
    </row>
    <row r="167" spans="1:2" x14ac:dyDescent="0.4">
      <c r="A167" s="1" t="s">
        <v>478</v>
      </c>
      <c r="B167" s="1" t="s">
        <v>1339</v>
      </c>
    </row>
    <row r="168" spans="1:2" x14ac:dyDescent="0.4">
      <c r="A168" s="1" t="s">
        <v>698</v>
      </c>
      <c r="B168" s="1" t="s">
        <v>1340</v>
      </c>
    </row>
    <row r="169" spans="1:2" x14ac:dyDescent="0.4">
      <c r="A169" s="1" t="s">
        <v>939</v>
      </c>
      <c r="B169" s="1" t="s">
        <v>1341</v>
      </c>
    </row>
    <row r="170" spans="1:2" x14ac:dyDescent="0.4">
      <c r="A170" s="1" t="s">
        <v>873</v>
      </c>
      <c r="B170" s="1" t="s">
        <v>1342</v>
      </c>
    </row>
    <row r="171" spans="1:2" x14ac:dyDescent="0.4">
      <c r="A171" s="1" t="s">
        <v>404</v>
      </c>
      <c r="B171" s="1" t="s">
        <v>1343</v>
      </c>
    </row>
    <row r="172" spans="1:2" x14ac:dyDescent="0.4">
      <c r="A172" s="1" t="s">
        <v>254</v>
      </c>
      <c r="B172" s="1" t="s">
        <v>1344</v>
      </c>
    </row>
    <row r="173" spans="1:2" x14ac:dyDescent="0.4">
      <c r="A173" s="1" t="s">
        <v>861</v>
      </c>
      <c r="B173" s="1" t="s">
        <v>1345</v>
      </c>
    </row>
    <row r="174" spans="1:2" x14ac:dyDescent="0.4">
      <c r="A174" s="1" t="s">
        <v>914</v>
      </c>
      <c r="B174" s="1" t="s">
        <v>1346</v>
      </c>
    </row>
    <row r="175" spans="1:2" x14ac:dyDescent="0.4">
      <c r="A175" s="1" t="s">
        <v>692</v>
      </c>
      <c r="B175" s="1" t="s">
        <v>1347</v>
      </c>
    </row>
    <row r="176" spans="1:2" x14ac:dyDescent="0.4">
      <c r="A176" s="1" t="s">
        <v>606</v>
      </c>
      <c r="B176" s="1" t="s">
        <v>1348</v>
      </c>
    </row>
    <row r="177" spans="1:2" x14ac:dyDescent="0.4">
      <c r="A177" s="1" t="s">
        <v>544</v>
      </c>
      <c r="B177" s="1" t="s">
        <v>1349</v>
      </c>
    </row>
    <row r="178" spans="1:2" x14ac:dyDescent="0.4">
      <c r="A178" s="1" t="s">
        <v>441</v>
      </c>
      <c r="B178" s="1" t="s">
        <v>1350</v>
      </c>
    </row>
    <row r="179" spans="1:2" x14ac:dyDescent="0.4">
      <c r="A179" s="1" t="s">
        <v>88</v>
      </c>
      <c r="B179" s="1" t="s">
        <v>1351</v>
      </c>
    </row>
    <row r="180" spans="1:2" x14ac:dyDescent="0.4">
      <c r="A180" s="1" t="s">
        <v>248</v>
      </c>
      <c r="B180" s="1" t="s">
        <v>1352</v>
      </c>
    </row>
    <row r="181" spans="1:2" x14ac:dyDescent="0.4">
      <c r="A181" s="1" t="s">
        <v>876</v>
      </c>
      <c r="B181" s="1" t="s">
        <v>1353</v>
      </c>
    </row>
    <row r="182" spans="1:2" x14ac:dyDescent="0.4">
      <c r="A182" s="1" t="s">
        <v>547</v>
      </c>
      <c r="B182" s="1" t="s">
        <v>1354</v>
      </c>
    </row>
    <row r="183" spans="1:2" x14ac:dyDescent="0.4">
      <c r="A183" s="1" t="s">
        <v>721</v>
      </c>
      <c r="B183" s="1" t="s">
        <v>1355</v>
      </c>
    </row>
    <row r="184" spans="1:2" x14ac:dyDescent="0.4">
      <c r="A184" s="1" t="s">
        <v>84</v>
      </c>
      <c r="B184" s="1" t="s">
        <v>1356</v>
      </c>
    </row>
    <row r="185" spans="1:2" x14ac:dyDescent="0.4">
      <c r="A185" s="1" t="s">
        <v>72</v>
      </c>
      <c r="B185" s="1" t="s">
        <v>1357</v>
      </c>
    </row>
    <row r="186" spans="1:2" x14ac:dyDescent="0.4">
      <c r="A186" s="1" t="s">
        <v>924</v>
      </c>
      <c r="B186" s="1" t="s">
        <v>1358</v>
      </c>
    </row>
    <row r="187" spans="1:2" x14ac:dyDescent="0.4">
      <c r="A187" s="1" t="s">
        <v>279</v>
      </c>
      <c r="B187" s="1" t="s">
        <v>1359</v>
      </c>
    </row>
    <row r="188" spans="1:2" x14ac:dyDescent="0.4">
      <c r="A188" s="1" t="s">
        <v>596</v>
      </c>
      <c r="B188" s="1" t="s">
        <v>1360</v>
      </c>
    </row>
    <row r="189" spans="1:2" x14ac:dyDescent="0.4">
      <c r="A189" s="1" t="s">
        <v>57</v>
      </c>
      <c r="B189" s="1" t="s">
        <v>1361</v>
      </c>
    </row>
    <row r="190" spans="1:2" x14ac:dyDescent="0.4">
      <c r="A190" s="1" t="s">
        <v>1138</v>
      </c>
      <c r="B190" s="1" t="s">
        <v>1362</v>
      </c>
    </row>
    <row r="191" spans="1:2" x14ac:dyDescent="0.4">
      <c r="A191" s="1" t="s">
        <v>989</v>
      </c>
      <c r="B191" s="1" t="s">
        <v>1363</v>
      </c>
    </row>
    <row r="192" spans="1:2" x14ac:dyDescent="0.4">
      <c r="A192" s="1" t="s">
        <v>931</v>
      </c>
      <c r="B192" s="1" t="s">
        <v>1364</v>
      </c>
    </row>
    <row r="193" spans="1:2" x14ac:dyDescent="0.4">
      <c r="A193" s="1" t="s">
        <v>1124</v>
      </c>
      <c r="B193" s="1" t="s">
        <v>1365</v>
      </c>
    </row>
    <row r="194" spans="1:2" x14ac:dyDescent="0.4">
      <c r="A194" s="1" t="s">
        <v>336</v>
      </c>
      <c r="B194" s="1" t="s">
        <v>1366</v>
      </c>
    </row>
    <row r="195" spans="1:2" x14ac:dyDescent="0.4">
      <c r="A195" s="1" t="s">
        <v>333</v>
      </c>
      <c r="B195" s="1" t="s">
        <v>1367</v>
      </c>
    </row>
    <row r="196" spans="1:2" x14ac:dyDescent="0.4">
      <c r="A196" s="1" t="s">
        <v>200</v>
      </c>
      <c r="B196" s="1" t="s">
        <v>1368</v>
      </c>
    </row>
    <row r="197" spans="1:2" x14ac:dyDescent="0.4">
      <c r="A197" s="1" t="s">
        <v>774</v>
      </c>
      <c r="B197" s="1" t="s">
        <v>1369</v>
      </c>
    </row>
    <row r="198" spans="1:2" x14ac:dyDescent="0.4">
      <c r="A198" s="1" t="s">
        <v>330</v>
      </c>
      <c r="B198" s="1" t="s">
        <v>1370</v>
      </c>
    </row>
    <row r="199" spans="1:2" x14ac:dyDescent="0.4">
      <c r="A199" s="1" t="s">
        <v>1419</v>
      </c>
      <c r="B199" s="1" t="s">
        <v>1420</v>
      </c>
    </row>
    <row r="200" spans="1:2" x14ac:dyDescent="0.4">
      <c r="A200" s="1" t="s">
        <v>1421</v>
      </c>
      <c r="B200" s="1" t="s">
        <v>1421</v>
      </c>
    </row>
    <row r="201" spans="1:2" x14ac:dyDescent="0.4">
      <c r="A201" s="1" t="s">
        <v>1401</v>
      </c>
      <c r="B201" s="1" t="s">
        <v>1422</v>
      </c>
    </row>
    <row r="202" spans="1:2" x14ac:dyDescent="0.4">
      <c r="A202" s="1" t="s">
        <v>1477</v>
      </c>
      <c r="B202" s="1" t="s">
        <v>1495</v>
      </c>
    </row>
    <row r="203" spans="1:2" x14ac:dyDescent="0.4">
      <c r="A203" s="1" t="s">
        <v>1482</v>
      </c>
      <c r="B203" s="1" t="s">
        <v>1491</v>
      </c>
    </row>
    <row r="204" spans="1:2" x14ac:dyDescent="0.4">
      <c r="A204" s="1" t="s">
        <v>1474</v>
      </c>
      <c r="B204" s="1" t="s">
        <v>1474</v>
      </c>
    </row>
    <row r="205" spans="1:2" x14ac:dyDescent="0.4">
      <c r="A205" s="1" t="s">
        <v>1455</v>
      </c>
      <c r="B205" s="1" t="s">
        <v>1492</v>
      </c>
    </row>
    <row r="206" spans="1:2" x14ac:dyDescent="0.4">
      <c r="A206" s="1" t="s">
        <v>1485</v>
      </c>
      <c r="B206" s="1" t="s">
        <v>1493</v>
      </c>
    </row>
    <row r="207" spans="1:2" x14ac:dyDescent="0.4">
      <c r="A207" s="1" t="s">
        <v>1451</v>
      </c>
      <c r="B207" s="1" t="s">
        <v>1494</v>
      </c>
    </row>
    <row r="208" spans="1:2" x14ac:dyDescent="0.4">
      <c r="A208" s="1" t="s">
        <v>1436</v>
      </c>
      <c r="B208" s="1" t="s">
        <v>1538</v>
      </c>
    </row>
    <row r="209" spans="1:2" x14ac:dyDescent="0.4">
      <c r="A209" s="1" t="s">
        <v>1524</v>
      </c>
      <c r="B209" s="1" t="s">
        <v>1524</v>
      </c>
    </row>
    <row r="210" spans="1:2" x14ac:dyDescent="0.4">
      <c r="A210" s="1" t="s">
        <v>1521</v>
      </c>
      <c r="B210" s="1" t="s">
        <v>1537</v>
      </c>
    </row>
    <row r="211" spans="1:2" x14ac:dyDescent="0.4">
      <c r="A211" s="1" t="s">
        <v>1517</v>
      </c>
      <c r="B211" s="1" t="s">
        <v>1517</v>
      </c>
    </row>
    <row r="212" spans="1:2" x14ac:dyDescent="0.4">
      <c r="A212" s="1" t="s">
        <v>1527</v>
      </c>
      <c r="B212" s="1" t="s">
        <v>1539</v>
      </c>
    </row>
    <row r="213" spans="1:2" x14ac:dyDescent="0.4">
      <c r="A213" s="1" t="s">
        <v>1703</v>
      </c>
      <c r="B213" s="1" t="s">
        <v>1703</v>
      </c>
    </row>
    <row r="214" spans="1:2" x14ac:dyDescent="0.4">
      <c r="A214" s="1" t="s">
        <v>1609</v>
      </c>
      <c r="B214" s="1" t="s">
        <v>1609</v>
      </c>
    </row>
    <row r="215" spans="1:2" x14ac:dyDescent="0.4">
      <c r="A215" s="1" t="s">
        <v>1718</v>
      </c>
      <c r="B215" s="1" t="s">
        <v>1718</v>
      </c>
    </row>
    <row r="216" spans="1:2" x14ac:dyDescent="0.4">
      <c r="A216" s="1" t="s">
        <v>1621</v>
      </c>
      <c r="B216" s="1" t="s">
        <v>1621</v>
      </c>
    </row>
    <row r="217" spans="1:2" x14ac:dyDescent="0.4">
      <c r="A217" s="1" t="s">
        <v>1651</v>
      </c>
      <c r="B217" s="1" t="s">
        <v>1651</v>
      </c>
    </row>
    <row r="218" spans="1:2" x14ac:dyDescent="0.4">
      <c r="A218" s="1" t="s">
        <v>1735</v>
      </c>
      <c r="B218" s="1" t="s">
        <v>1735</v>
      </c>
    </row>
    <row r="219" spans="1:2" x14ac:dyDescent="0.4">
      <c r="A219" s="1" t="s">
        <v>1715</v>
      </c>
      <c r="B219" s="1" t="s">
        <v>1715</v>
      </c>
    </row>
    <row r="220" spans="1:2" x14ac:dyDescent="0.4">
      <c r="A220" s="1" t="s">
        <v>1572</v>
      </c>
      <c r="B220" s="1" t="s">
        <v>1572</v>
      </c>
    </row>
    <row r="221" spans="1:2" x14ac:dyDescent="0.4">
      <c r="A221" s="1" t="s">
        <v>1686</v>
      </c>
      <c r="B221" s="1" t="s">
        <v>1686</v>
      </c>
    </row>
    <row r="222" spans="1:2" x14ac:dyDescent="0.4">
      <c r="A222" s="1" t="s">
        <v>1738</v>
      </c>
      <c r="B222" s="1" t="s">
        <v>1738</v>
      </c>
    </row>
    <row r="223" spans="1:2" x14ac:dyDescent="0.4">
      <c r="A223" s="1" t="s">
        <v>1746</v>
      </c>
      <c r="B223" s="1" t="s">
        <v>1746</v>
      </c>
    </row>
    <row r="224" spans="1:2" x14ac:dyDescent="0.4">
      <c r="A224" s="1" t="s">
        <v>1690</v>
      </c>
      <c r="B224" s="1" t="s">
        <v>1690</v>
      </c>
    </row>
    <row r="225" spans="1:2" x14ac:dyDescent="0.4">
      <c r="A225" s="1" t="s">
        <v>1693</v>
      </c>
      <c r="B225" s="1" t="s">
        <v>1693</v>
      </c>
    </row>
    <row r="226" spans="1:2" x14ac:dyDescent="0.4">
      <c r="A226" s="1" t="s">
        <v>1659</v>
      </c>
      <c r="B226" s="1" t="s">
        <v>1659</v>
      </c>
    </row>
    <row r="227" spans="1:2" x14ac:dyDescent="0.4">
      <c r="A227" s="1" t="s">
        <v>1675</v>
      </c>
      <c r="B227" s="1" t="s">
        <v>1675</v>
      </c>
    </row>
    <row r="228" spans="1:2" x14ac:dyDescent="0.4">
      <c r="A228" s="1" t="s">
        <v>1669</v>
      </c>
      <c r="B228" s="1" t="s">
        <v>1669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1615</v>
      </c>
      <c r="B230" s="1" t="s">
        <v>1777</v>
      </c>
    </row>
    <row r="231" spans="1:2" x14ac:dyDescent="0.4">
      <c r="A231" s="1" t="s">
        <v>1569</v>
      </c>
      <c r="B231" s="1" t="s">
        <v>1778</v>
      </c>
    </row>
    <row r="232" spans="1:2" x14ac:dyDescent="0.4">
      <c r="A232" s="1" t="s">
        <v>1664</v>
      </c>
      <c r="B232" s="1" t="s">
        <v>1779</v>
      </c>
    </row>
    <row r="233" spans="1:2" x14ac:dyDescent="0.4">
      <c r="A233" s="1" t="s">
        <v>1774</v>
      </c>
      <c r="B233" s="1" t="s">
        <v>1780</v>
      </c>
    </row>
    <row r="234" spans="1:2" x14ac:dyDescent="0.4">
      <c r="A234" s="1" t="s">
        <v>1764</v>
      </c>
      <c r="B234" s="1" t="s">
        <v>1764</v>
      </c>
    </row>
    <row r="235" spans="1:2" x14ac:dyDescent="0.4">
      <c r="A235" s="1" t="s">
        <v>1625</v>
      </c>
      <c r="B235" s="1" t="s">
        <v>1781</v>
      </c>
    </row>
    <row r="236" spans="1:2" x14ac:dyDescent="0.4">
      <c r="A236" s="1" t="s">
        <v>1575</v>
      </c>
      <c r="B236" s="1" t="s">
        <v>1782</v>
      </c>
    </row>
    <row r="237" spans="1:2" x14ac:dyDescent="0.4">
      <c r="A237" s="1" t="s">
        <v>1753</v>
      </c>
      <c r="B237" s="1" t="s">
        <v>1753</v>
      </c>
    </row>
    <row r="238" spans="1:2" x14ac:dyDescent="0.4">
      <c r="A238" s="1" t="s">
        <v>1741</v>
      </c>
      <c r="B238" s="1" t="s">
        <v>1783</v>
      </c>
    </row>
    <row r="239" spans="1:2" x14ac:dyDescent="0.4">
      <c r="A239" s="1" t="s">
        <v>1696</v>
      </c>
      <c r="B239" s="1" t="s">
        <v>1784</v>
      </c>
    </row>
    <row r="240" spans="1:2" x14ac:dyDescent="0.4">
      <c r="A240" s="1" t="s">
        <v>1756</v>
      </c>
      <c r="B240" s="1" t="s">
        <v>1785</v>
      </c>
    </row>
    <row r="241" spans="1:2" x14ac:dyDescent="0.4">
      <c r="A241" s="1" t="s">
        <v>1596</v>
      </c>
      <c r="B241" s="1" t="s">
        <v>1786</v>
      </c>
    </row>
    <row r="242" spans="1:2" x14ac:dyDescent="0.4">
      <c r="A242" s="1" t="s">
        <v>1726</v>
      </c>
      <c r="B242" s="1" t="s">
        <v>1787</v>
      </c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2025-11-25T14:13:21Z</dcterms:modified>
</cp:coreProperties>
</file>