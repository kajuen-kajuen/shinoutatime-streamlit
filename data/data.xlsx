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427AF10E-49CF-41E7-BD69-B4CCAC2AD7E4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M_YT_LIVE!$A$1:$D$1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AA952" i="3"/>
  <c r="A953" i="3"/>
  <c r="G953" i="3"/>
  <c r="W953" i="3"/>
  <c r="X953" i="3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AA958" i="3"/>
  <c r="A959" i="3"/>
  <c r="G959" i="3"/>
  <c r="W959" i="3"/>
  <c r="X959" i="3"/>
  <c r="AA959" i="3"/>
  <c r="A960" i="3"/>
  <c r="G960" i="3"/>
  <c r="W960" i="3"/>
  <c r="X960" i="3"/>
  <c r="AA960" i="3"/>
  <c r="A961" i="3"/>
  <c r="G961" i="3"/>
  <c r="W961" i="3"/>
  <c r="X961" i="3"/>
  <c r="AA961" i="3"/>
  <c r="A962" i="3"/>
  <c r="G962" i="3"/>
  <c r="W962" i="3"/>
  <c r="X962" i="3"/>
  <c r="AA962" i="3"/>
  <c r="A963" i="3"/>
  <c r="G963" i="3"/>
  <c r="W963" i="3"/>
  <c r="X963" i="3"/>
  <c r="AA963" i="3"/>
  <c r="A964" i="3"/>
  <c r="G964" i="3"/>
  <c r="W964" i="3"/>
  <c r="X964" i="3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AA969" i="3"/>
  <c r="A970" i="3"/>
  <c r="G970" i="3"/>
  <c r="W970" i="3"/>
  <c r="X970" i="3"/>
  <c r="AA970" i="3"/>
  <c r="A971" i="3"/>
  <c r="G971" i="3"/>
  <c r="W971" i="3"/>
  <c r="X971" i="3"/>
  <c r="AA971" i="3"/>
  <c r="A972" i="3"/>
  <c r="G972" i="3"/>
  <c r="W972" i="3"/>
  <c r="X972" i="3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AA979" i="3"/>
  <c r="A980" i="3"/>
  <c r="G980" i="3"/>
  <c r="W980" i="3"/>
  <c r="X980" i="3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AA1059" i="3"/>
  <c r="A1060" i="3"/>
  <c r="G1060" i="3"/>
  <c r="W1060" i="3"/>
  <c r="X1060" i="3"/>
  <c r="Z1060" i="3" s="1"/>
  <c r="AA1060" i="3"/>
  <c r="A1061" i="3"/>
  <c r="G1061" i="3"/>
  <c r="W1061" i="3"/>
  <c r="X1061" i="3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 s="1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 s="1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1069" i="3" l="1"/>
  <c r="Z1075" i="3"/>
  <c r="Z1061" i="3"/>
  <c r="Z1059" i="3"/>
  <c r="Z1032" i="3"/>
  <c r="Z1028" i="3"/>
  <c r="Z1020" i="3"/>
  <c r="Z1012" i="3"/>
  <c r="Z996" i="3"/>
  <c r="Z988" i="3"/>
  <c r="Z985" i="3"/>
  <c r="Z980" i="3"/>
  <c r="Z972" i="3"/>
  <c r="Z979" i="3"/>
  <c r="Z971" i="3"/>
  <c r="Z1184" i="3"/>
  <c r="Z964" i="3"/>
  <c r="Z963" i="3"/>
  <c r="Z969" i="3"/>
  <c r="Z960" i="3"/>
  <c r="Z952" i="3"/>
  <c r="Z958" i="3"/>
  <c r="Z961" i="3"/>
  <c r="Z953" i="3"/>
  <c r="Z945" i="3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Z899" i="3"/>
  <c r="Z891" i="3"/>
  <c r="Z881" i="3"/>
  <c r="Z882" i="3"/>
  <c r="Z1174" i="3"/>
  <c r="Z1178" i="3"/>
  <c r="Z874" i="3"/>
  <c r="Z866" i="3"/>
  <c r="Z875" i="3"/>
  <c r="Z867" i="3"/>
  <c r="Z873" i="3"/>
  <c r="Z865" i="3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Z552" i="3"/>
  <c r="Z649" i="3"/>
  <c r="Z625" i="3"/>
  <c r="Z617" i="3"/>
  <c r="Z601" i="3"/>
  <c r="Z893" i="3"/>
  <c r="Z885" i="3"/>
  <c r="Z877" i="3"/>
  <c r="Z869" i="3"/>
  <c r="Z861" i="3"/>
  <c r="Z842" i="3"/>
  <c r="Z852" i="3"/>
  <c r="Z844" i="3"/>
  <c r="Z853" i="3"/>
  <c r="Z845" i="3"/>
  <c r="Z846" i="3"/>
  <c r="Z837" i="3"/>
  <c r="Z829" i="3"/>
  <c r="Z838" i="3"/>
  <c r="Z830" i="3"/>
  <c r="Z836" i="3"/>
  <c r="Z821" i="3"/>
  <c r="Z822" i="3"/>
  <c r="Z828" i="3"/>
  <c r="Z820" i="3"/>
  <c r="Z812" i="3"/>
  <c r="Z804" i="3"/>
  <c r="Z813" i="3"/>
  <c r="Z805" i="3"/>
  <c r="Z797" i="3"/>
  <c r="Z814" i="3"/>
  <c r="Z806" i="3"/>
  <c r="Z798" i="3"/>
  <c r="Z790" i="3"/>
  <c r="Z796" i="3"/>
  <c r="Z782" i="3"/>
  <c r="Z788" i="3"/>
  <c r="Z786" i="3"/>
  <c r="Z789" i="3"/>
  <c r="Z781" i="3"/>
  <c r="Z774" i="3"/>
  <c r="Z780" i="3"/>
  <c r="Z772" i="3"/>
  <c r="Z778" i="3"/>
  <c r="Z770" i="3"/>
  <c r="Z773" i="3"/>
  <c r="Z764" i="3"/>
  <c r="Z756" i="3"/>
  <c r="Z765" i="3"/>
  <c r="Z757" i="3"/>
  <c r="Z766" i="3"/>
  <c r="Z758" i="3"/>
  <c r="Z750" i="3"/>
  <c r="Z742" i="3"/>
  <c r="Z748" i="3"/>
  <c r="Z740" i="3"/>
  <c r="Z746" i="3"/>
  <c r="Z738" i="3"/>
  <c r="Z749" i="3"/>
  <c r="Z741" i="3"/>
  <c r="Z729" i="3"/>
  <c r="Z727" i="3"/>
  <c r="Z733" i="3"/>
  <c r="Z725" i="3"/>
  <c r="Z728" i="3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Z697" i="3"/>
  <c r="Z689" i="3"/>
  <c r="Z681" i="3"/>
  <c r="Z673" i="3"/>
  <c r="Z665" i="3"/>
  <c r="Z657" i="3"/>
  <c r="Z654" i="3"/>
  <c r="Z646" i="3"/>
  <c r="Z643" i="3"/>
  <c r="Z652" i="3"/>
  <c r="Z641" i="3"/>
  <c r="Z698" i="3"/>
  <c r="Z690" i="3"/>
  <c r="Z682" i="3"/>
  <c r="Z674" i="3"/>
  <c r="Z666" i="3"/>
  <c r="Z658" i="3"/>
  <c r="Z655" i="3"/>
  <c r="Z647" i="3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Z635" i="3"/>
  <c r="Z633" i="3"/>
  <c r="Z636" i="3"/>
  <c r="Z634" i="3"/>
  <c r="Z637" i="3"/>
  <c r="Z629" i="3"/>
  <c r="Z632" i="3"/>
  <c r="Z627" i="3"/>
  <c r="Z619" i="3"/>
  <c r="Z628" i="3"/>
  <c r="Z620" i="3"/>
  <c r="Z623" i="3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Z562" i="3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Z385" i="3"/>
  <c r="Z381" i="3"/>
  <c r="Z377" i="3"/>
  <c r="Z373" i="3"/>
  <c r="Z536" i="3"/>
  <c r="Z520" i="3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<sst xmlns="http://schemas.openxmlformats.org/spreadsheetml/2006/main" count="4144" uniqueCount="2328">
  <si>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</si>
  <si>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</si>
  <si>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</si>
  <si>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</si>
  <si>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</si>
  <si>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</si>
  <si>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</si>
  <si>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</si>
  <si>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</si>
  <si>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</si>
  <si>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</si>
  <si>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</si>
  <si>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</si>
  <si>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</si>
  <si>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</si>
  <si>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</si>
  <si>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</si>
  <si>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</si>
  <si>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</si>
  <si>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</si>
  <si>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</si>
  <si>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</si>
  <si>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</si>
  <si>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</si>
  <si>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</si>
  <si>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</si>
  <si>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</si>
  <si>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</si>
  <si>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</si>
  <si>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</si>
  <si>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</si>
  <si>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</si>
  <si>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</si>
  <si>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</si>
  <si>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</si>
  <si>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</si>
  <si>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</si>
  <si>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</si>
  <si>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</si>
  <si>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</si>
  <si>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</si>
  <si>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</si>
  <si>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</si>
  <si>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</si>
  <si>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</si>
  <si>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</si>
  <si>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</si>
  <si>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</si>
  <si>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</si>
  <si>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</si>
  <si>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</si>
  <si>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</si>
  <si>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</si>
  <si>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</si>
  <si>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</si>
  <si>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</si>
  <si>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</si>
  <si>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</si>
  <si>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</si>
  <si>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</si>
  <si>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</si>
  <si>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</si>
  <si>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</si>
  <si>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</si>
  <si>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</si>
  <si>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</si>
  <si>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</si>
  <si>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</si>
  <si>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</si>
  <si>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</si>
  <si>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</si>
  <si>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</si>
  <si>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</si>
  <si>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</si>
  <si>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</si>
  <si>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</si>
  <si>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</si>
  <si>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</si>
  <si>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</si>
  <si>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</si>
  <si>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</si>
  <si>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</si>
  <si>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</si>
  <si>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</si>
  <si>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</si>
  <si>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</si>
  <si>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</si>
  <si>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</si>
  <si>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</si>
  <si>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</si>
  <si>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</si>
  <si>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</si>
  <si>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</si>
  <si>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</si>
  <si>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</si>
  <si>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</si>
  <si>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</si>
  <si>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</si>
  <si>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</si>
  <si>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</si>
  <si>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</si>
  <si>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</si>
  <si>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</si>
  <si>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</si>
  <si>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</si>
  <si>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</si>
  <si>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</si>
  <si>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</si>
  <si>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</si>
  <si>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</si>
  <si>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</si>
  <si>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</si>
  <si>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</si>
  <si>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</si>
  <si>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</si>
  <si>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</si>
  <si>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</si>
  <si>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</si>
  <si>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</si>
  <si>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</si>
  <si>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</si>
  <si>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</si>
  <si>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</si>
  <si>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</si>
  <si>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</si>
  <si>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</si>
  <si>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</si>
  <si>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</si>
  <si>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</si>
  <si>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</si>
  <si>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</si>
  <si>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</si>
  <si>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</si>
  <si>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</si>
  <si>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</si>
  <si>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</si>
  <si>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</si>
  <si>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</si>
  <si>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</si>
  <si>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</si>
  <si>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</si>
  <si>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</si>
  <si>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</si>
  <si>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</si>
  <si>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</si>
  <si>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</si>
  <si>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</si>
  <si>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</si>
  <si>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</si>
  <si>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</si>
  <si>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</si>
  <si>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</si>
  <si>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</si>
  <si>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</si>
  <si>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</si>
  <si>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</si>
  <si>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</si>
  <si>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</si>
  <si>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</si>
  <si>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</si>
  <si>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</si>
  <si>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</si>
  <si>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</si>
  <si>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</si>
  <si>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</si>
  <si>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</si>
  <si>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</si>
  <si>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</si>
  <si>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</si>
  <si>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</si>
  <si>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</si>
  <si>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</si>
  <si>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</si>
  <si>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</si>
  <si>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</si>
  <si>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</si>
  <si>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</si>
  <si>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</si>
  <si>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</si>
  <si>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</si>
  <si>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</si>
  <si>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</si>
  <si>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</si>
  <si>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</si>
  <si>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</si>
  <si>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</si>
  <si>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</si>
  <si>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</si>
  <si>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</si>
  <si>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</si>
  <si>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</si>
  <si>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</si>
  <si>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</si>
  <si>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</si>
  <si>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</si>
  <si>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</si>
  <si>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</si>
  <si>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</si>
  <si>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</si>
  <si>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</si>
  <si>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</si>
  <si>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</si>
  <si>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</si>
  <si>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</si>
  <si>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</si>
  <si>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</si>
  <si>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</si>
  <si>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</si>
  <si>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</si>
  <si>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</si>
  <si>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</si>
  <si>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</si>
  <si>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</si>
  <si>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</si>
  <si>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</si>
  <si>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</si>
  <si>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</si>
  <si>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</si>
  <si>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</si>
  <si>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</si>
  <si>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</si>
  <si>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</si>
  <si>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</si>
  <si>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</si>
  <si>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</si>
  <si>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</si>
  <si>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</si>
  <si>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</si>
  <si>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</si>
  <si>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</si>
  <si>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</si>
  <si>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</si>
  <si>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</si>
  <si>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</si>
  <si>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</si>
  <si>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</si>
  <si>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</si>
  <si>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</si>
  <si>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</si>
  <si>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</si>
  <si>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</si>
  <si>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</si>
  <si>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</si>
  <si>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</si>
  <si>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</si>
  <si>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</si>
  <si>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</si>
  <si>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</si>
  <si>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</si>
  <si>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</si>
  <si>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</si>
  <si>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</si>
  <si>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</si>
  <si>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</si>
  <si>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</si>
  <si>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</si>
  <si>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</si>
  <si>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</si>
  <si>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</si>
  <si>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</si>
  <si>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</si>
  <si>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</si>
  <si>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</si>
  <si>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</si>
  <si>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</si>
  <si>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</si>
  <si>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</si>
  <si>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</si>
  <si>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</si>
  <si>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</si>
  <si>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</si>
  <si>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</si>
  <si>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</si>
  <si>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</si>
  <si>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</si>
  <si>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</si>
  <si>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</si>
  <si>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</si>
  <si>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</si>
  <si>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</si>
  <si>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</si>
  <si>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</si>
  <si>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</si>
  <si>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</si>
  <si>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</si>
  <si>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</si>
  <si>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</si>
  <si>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</si>
  <si>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</si>
  <si>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</si>
  <si>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</si>
  <si>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</si>
  <si>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</si>
  <si>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</si>
  <si>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</si>
  <si>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</si>
  <si>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</si>
  <si>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</si>
  <si>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</si>
  <si>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</si>
  <si>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</si>
  <si>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</si>
  <si>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</si>
  <si>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</si>
  <si>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</si>
  <si>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</si>
  <si>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</si>
  <si>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</si>
  <si>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</si>
  <si>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</si>
  <si>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</si>
  <si>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</si>
  <si>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</si>
  <si>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</si>
  <si>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</si>
  <si>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</si>
  <si>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</si>
  <si>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</si>
  <si>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</si>
  <si>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</si>
  <si>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</si>
  <si>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</si>
  <si>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</si>
  <si>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</si>
  <si>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</si>
  <si>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</si>
  <si>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</si>
  <si>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</si>
  <si>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</si>
  <si>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</si>
  <si>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</si>
  <si>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</si>
  <si>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</si>
  <si>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</si>
  <si>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</si>
  <si>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</si>
  <si>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</si>
  <si>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</si>
  <si>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</si>
  <si>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</si>
  <si>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</si>
  <si>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</si>
  <si>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</si>
  <si>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</si>
  <si>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</si>
  <si>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</si>
  <si>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</si>
  <si>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</si>
  <si>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</si>
  <si>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</si>
  <si>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</si>
  <si>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</si>
  <si>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</si>
  <si>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</si>
  <si>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</si>
  <si>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</si>
  <si>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</si>
  <si>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</si>
  <si>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</si>
  <si>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</si>
  <si>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</si>
  <si>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</si>
  <si>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</si>
  <si>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</si>
  <si>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</si>
  <si>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</si>
  <si>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</si>
  <si>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</si>
  <si>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</si>
  <si>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</si>
  <si>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</si>
  <si>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</si>
  <si>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</si>
  <si>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</si>
  <si>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</si>
  <si>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</si>
  <si>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</si>
  <si>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</si>
  <si>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</si>
  <si>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</si>
  <si>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</si>
  <si>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</si>
  <si>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</si>
  <si>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</si>
  <si>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</si>
  <si>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</si>
  <si>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</si>
  <si>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</si>
  <si>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</si>
  <si>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</si>
  <si>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</si>
  <si>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</si>
  <si>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</si>
  <si>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</si>
  <si>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</si>
  <si>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</si>
  <si>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</si>
  <si>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</si>
  <si>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</si>
  <si>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</si>
  <si>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</si>
  <si>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</si>
  <si>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</si>
  <si>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</si>
  <si>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</si>
  <si>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</si>
  <si>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</si>
  <si>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</si>
  <si>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</si>
  <si>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</si>
  <si>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</si>
  <si>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</si>
  <si>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</si>
  <si>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</si>
  <si>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</si>
  <si>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</si>
  <si>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</si>
  <si>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</si>
  <si>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</si>
  <si>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</si>
  <si>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</si>
  <si>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</si>
  <si>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</si>
  <si>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</si>
  <si>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</si>
  <si>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</si>
  <si>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</si>
  <si>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</si>
  <si>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</si>
  <si>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</si>
  <si>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</si>
  <si>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</si>
  <si>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</si>
  <si>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</si>
  <si>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</si>
  <si>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</si>
  <si>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</si>
  <si>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</si>
  <si>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</si>
  <si>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</si>
  <si>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</si>
  <si>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</si>
  <si>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</si>
  <si>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</si>
  <si>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</si>
  <si>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</si>
  <si>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</si>
  <si>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</si>
  <si>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</si>
  <si>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</si>
  <si>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</si>
  <si>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</si>
  <si>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</si>
  <si>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</si>
  <si>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</si>
  <si>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</si>
  <si>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</si>
  <si>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</si>
  <si>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</si>
  <si>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</si>
  <si>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</si>
  <si>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</si>
  <si>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</si>
  <si>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</si>
  <si>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</si>
  <si>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</si>
  <si>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</si>
  <si>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</si>
  <si>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</si>
  <si>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</si>
  <si>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</si>
  <si>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</si>
  <si>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</si>
  <si>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</si>
  <si>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</si>
  <si>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</si>
  <si>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</si>
  <si>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</si>
  <si>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</si>
  <si>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</si>
  <si>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</si>
  <si>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</si>
  <si>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</si>
  <si>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</si>
  <si>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</si>
  <si>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</si>
  <si>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</si>
  <si>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</si>
  <si>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</si>
  <si>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</si>
  <si>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</si>
  <si>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</si>
  <si>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</si>
  <si>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</si>
  <si>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</si>
  <si>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</si>
  <si>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</si>
  <si>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</si>
  <si>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</si>
  <si>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</si>
  <si>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</si>
  <si>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</si>
  <si>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</si>
  <si>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</si>
  <si>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</si>
  <si>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</si>
  <si>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</si>
  <si>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</si>
  <si>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</si>
  <si>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</si>
  <si>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</si>
  <si>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</si>
  <si>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</si>
  <si>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</si>
  <si>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</si>
  <si>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</si>
  <si>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</si>
  <si>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</si>
  <si>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</si>
  <si>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</si>
  <si>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</si>
  <si>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</si>
  <si>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</si>
  <si>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</si>
  <si>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</si>
  <si>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</si>
  <si>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</si>
  <si>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</si>
  <si>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</si>
  <si>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</si>
  <si>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</si>
  <si>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</si>
  <si>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</si>
  <si>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</si>
  <si>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</si>
  <si>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</si>
  <si>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</si>
  <si>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</si>
  <si>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</si>
  <si>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</si>
  <si>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</si>
  <si>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</si>
  <si>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</si>
  <si>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</si>
  <si>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</si>
  <si>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</si>
  <si>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</si>
  <si>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</si>
  <si>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</si>
  <si>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</si>
  <si>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</si>
  <si>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</si>
  <si>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</si>
  <si>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</si>
  <si>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</si>
  <si>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</si>
  <si>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</si>
  <si>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</si>
  <si>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</si>
  <si>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</si>
  <si>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</si>
  <si>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</si>
  <si>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</si>
  <si>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</si>
  <si>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</si>
  <si>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</si>
  <si>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</si>
  <si>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</si>
  <si>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</si>
  <si>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</si>
  <si>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</si>
  <si>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</si>
  <si>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</si>
  <si>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</si>
  <si>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</si>
  <si>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</si>
  <si>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</si>
  <si>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</si>
  <si>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</si>
  <si>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</si>
  <si>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</si>
  <si>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</si>
  <si>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</si>
  <si>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</si>
  <si>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</si>
  <si>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</si>
  <si>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</si>
  <si>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</si>
  <si>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</si>
  <si>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</si>
  <si>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</si>
  <si>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</si>
  <si>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</si>
  <si>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</si>
  <si>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</si>
  <si>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</si>
  <si>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</si>
  <si>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</si>
  <si>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</si>
  <si>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</si>
  <si>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</si>
  <si>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</si>
  <si>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</si>
  <si>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</si>
  <si>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</si>
  <si>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</si>
  <si>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</si>
  <si>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</si>
  <si>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</si>
  <si>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</si>
  <si>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</si>
  <si>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</si>
  <si>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</si>
  <si>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</si>
  <si>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</si>
  <si>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</si>
  <si>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</si>
  <si>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</si>
  <si>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</si>
  <si>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</si>
  <si>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</si>
  <si>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</si>
  <si>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</si>
  <si>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</si>
  <si>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</si>
  <si>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</si>
  <si>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</si>
  <si>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</si>
  <si>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</si>
  <si>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</si>
  <si>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</si>
  <si>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</si>
  <si>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</si>
  <si>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</si>
  <si>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</si>
  <si>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</si>
  <si>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</si>
  <si>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</si>
  <si>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</si>
  <si>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</si>
  <si>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</si>
  <si>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</si>
  <si>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</si>
  <si>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</si>
  <si>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</si>
  <si>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</si>
  <si>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</si>
  <si>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</si>
  <si>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</si>
  <si>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</si>
  <si>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</si>
  <si>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</si>
  <si>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</si>
  <si>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</si>
  <si>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</si>
  <si>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</si>
  <si>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</si>
  <si>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</si>
  <si>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</si>
  <si>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</si>
  <si>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</si>
  <si>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</si>
  <si>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</si>
  <si>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</si>
  <si>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</si>
  <si>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</si>
  <si>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</si>
  <si>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</si>
  <si>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</si>
  <si>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</si>
  <si>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</si>
  <si>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</si>
  <si>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</si>
  <si>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</si>
  <si>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</si>
  <si>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</si>
  <si>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</si>
  <si>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</si>
  <si>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</si>
  <si>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</si>
  <si>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</si>
  <si>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</si>
  <si>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</si>
  <si>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</si>
  <si>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</si>
  <si>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</si>
  <si>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</si>
  <si>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</si>
  <si>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</si>
  <si>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</si>
  <si>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</si>
  <si>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</si>
  <si>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</si>
  <si>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</si>
  <si>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</si>
  <si>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</si>
  <si>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</si>
  <si>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</si>
  <si>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</si>
  <si>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</si>
  <si>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</si>
  <si>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</si>
  <si>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</si>
  <si>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</si>
  <si>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</si>
  <si>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</si>
  <si>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</si>
  <si>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</si>
  <si>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</si>
  <si>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</si>
  <si>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</si>
  <si>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</si>
  <si>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</si>
  <si>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</si>
  <si>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</si>
  <si>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</si>
  <si>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</si>
  <si>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</si>
  <si>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</si>
  <si>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</si>
  <si>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</si>
  <si>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</si>
  <si>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</si>
  <si>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</si>
  <si>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</si>
  <si>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</si>
  <si>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</si>
  <si>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</si>
  <si>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</si>
  <si>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</si>
  <si>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</si>
  <si>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</si>
  <si>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</si>
  <si>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</si>
  <si>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</si>
  <si>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</si>
  <si>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</si>
  <si>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</si>
  <si>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</si>
  <si>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</si>
  <si>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</si>
  <si>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</si>
  <si>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</si>
  <si>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</si>
  <si>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</si>
  <si>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</si>
  <si>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</si>
  <si>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</si>
  <si>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</si>
  <si>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</si>
  <si>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</si>
  <si>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</si>
  <si>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</si>
  <si>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</si>
  <si>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</si>
  <si>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</si>
  <si>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</si>
  <si>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</si>
  <si>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</si>
  <si>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</si>
  <si>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</si>
  <si>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</si>
  <si>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</si>
  <si>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</si>
  <si>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</si>
  <si>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</si>
  <si>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</si>
  <si>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</si>
  <si>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</si>
  <si>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</si>
  <si>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</si>
  <si>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</si>
  <si>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</si>
  <si>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</si>
  <si>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</si>
  <si>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</si>
  <si>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</si>
  <si>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</si>
  <si>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</si>
  <si>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</si>
  <si>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</si>
  <si>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</si>
  <si>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</si>
  <si>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</si>
  <si>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</si>
  <si>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</si>
  <si>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</si>
  <si>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</si>
  <si>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</si>
  <si>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</si>
  <si>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</si>
  <si>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</si>
  <si>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</si>
  <si>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</si>
  <si>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</si>
  <si>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</si>
  <si>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</si>
  <si>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</si>
  <si>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</si>
  <si>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</si>
  <si>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</si>
  <si>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</si>
  <si>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</si>
  <si>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</si>
  <si>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</si>
  <si>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</si>
  <si>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</si>
  <si>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</si>
  <si>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</si>
  <si>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</si>
  <si>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</si>
  <si>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</si>
  <si>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</si>
  <si>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</si>
  <si>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</si>
  <si>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</si>
  <si>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</si>
  <si>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</si>
  <si>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</si>
  <si>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</si>
  <si>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</si>
  <si>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</si>
  <si>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</si>
  <si>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</si>
  <si>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</si>
  <si>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</si>
  <si>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</si>
  <si>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</si>
  <si>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</si>
  <si>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</si>
  <si>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</si>
  <si>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</si>
  <si>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</si>
  <si>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</si>
  <si>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</si>
  <si>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</si>
  <si>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</si>
  <si>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</si>
  <si>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</si>
  <si>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</si>
  <si>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</si>
  <si>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</si>
  <si>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</si>
  <si>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</si>
  <si>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</si>
  <si>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</si>
  <si>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</si>
  <si>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</si>
  <si>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</si>
  <si>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</si>
  <si>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</si>
  <si>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</si>
  <si>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</si>
  <si>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</si>
  <si>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</si>
  <si>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</si>
  <si>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</si>
  <si>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</si>
  <si>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</si>
  <si>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</si>
  <si>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</si>
  <si>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</si>
  <si>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</si>
  <si>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</si>
  <si>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</si>
  <si>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</si>
  <si>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</si>
  <si>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</si>
  <si>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</si>
  <si>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</si>
  <si>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</si>
  <si>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</si>
  <si>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</si>
  <si>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</si>
  <si>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</si>
  <si>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</si>
  <si>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</si>
  <si>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</si>
  <si>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</si>
  <si>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</si>
  <si>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</si>
  <si>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</si>
  <si>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</si>
  <si>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</si>
  <si>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</si>
  <si>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</si>
  <si>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</si>
  <si>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</si>
  <si>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</si>
  <si>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</si>
  <si>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</si>
  <si>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</si>
  <si>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</si>
  <si>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</si>
  <si>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</si>
  <si>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</si>
  <si>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</si>
  <si>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</si>
  <si>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</si>
  <si>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</si>
  <si>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</si>
  <si>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</si>
  <si>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</si>
  <si>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</si>
  <si>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</si>
  <si>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</si>
  <si>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</si>
  <si>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</si>
  <si>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</si>
  <si>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</si>
  <si>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</si>
  <si>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</si>
  <si>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</si>
  <si>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</si>
  <si>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</si>
  <si>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</si>
  <si>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</si>
  <si>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</si>
  <si>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</si>
  <si>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</si>
  <si>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</si>
  <si>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</si>
  <si>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</si>
  <si>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</si>
  <si>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</si>
  <si>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</si>
  <si>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</si>
  <si>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</si>
  <si>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</si>
  <si>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</si>
  <si>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</si>
  <si>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</si>
  <si>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</si>
  <si>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</si>
  <si>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</si>
  <si>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</si>
  <si>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</si>
  <si>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</si>
  <si>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</si>
  <si>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</si>
  <si>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</si>
  <si>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</si>
  <si>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</si>
  <si>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</si>
  <si>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</si>
  <si>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</si>
  <si>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</si>
  <si>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</si>
  <si>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</si>
  <si>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</si>
  <si>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</si>
  <si>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</si>
  <si>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</si>
  <si>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</si>
  <si>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</si>
  <si>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</si>
  <si>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</si>
  <si>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</si>
  <si>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</si>
  <si>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</si>
  <si>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</si>
  <si>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</si>
  <si>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</si>
  <si>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</si>
  <si>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</si>
  <si>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</si>
  <si>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</si>
  <si>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</si>
  <si>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</si>
  <si>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</si>
  <si>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</si>
  <si>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</si>
  <si>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</si>
  <si>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</si>
  <si>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</si>
  <si>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</si>
  <si>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</si>
  <si>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</si>
  <si>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</si>
  <si>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</si>
  <si>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</si>
  <si>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</si>
  <si>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</si>
  <si>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</si>
  <si>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</si>
  <si>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</si>
  <si>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</si>
  <si>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</si>
  <si>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</si>
  <si>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</si>
  <si>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</si>
  <si>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</si>
  <si>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</si>
  <si>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</si>
  <si>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</si>
  <si>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</si>
  <si>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</si>
  <si>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</si>
  <si>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</si>
  <si>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</si>
  <si>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</si>
  <si>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</si>
  <si>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</si>
  <si>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</si>
  <si>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</si>
  <si>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</si>
  <si>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</si>
  <si>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</si>
  <si>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</si>
  <si>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</si>
  <si>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</si>
  <si>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</si>
  <si>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</si>
  <si>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</si>
  <si>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</si>
  <si>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</si>
  <si>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</si>
  <si>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</si>
  <si>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</si>
  <si>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</si>
  <si>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</si>
  <si>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</si>
  <si>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</si>
  <si>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</si>
  <si>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</si>
  <si>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</si>
  <si>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</si>
  <si>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</si>
  <si>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</si>
  <si>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</si>
  <si>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</si>
  <si>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</si>
  <si>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</si>
  <si>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</si>
  <si>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</si>
  <si>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</si>
  <si>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</si>
  <si>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</si>
  <si>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</si>
  <si>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</si>
  <si>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</si>
  <si>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</si>
  <si>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</si>
  <si>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</si>
  <si>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</si>
  <si>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</si>
  <si>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</si>
  <si>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</si>
  <si>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</si>
  <si>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</si>
  <si>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</si>
  <si>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</si>
  <si>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</si>
  <si>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</si>
  <si>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</si>
  <si>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</si>
  <si>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</si>
  <si>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</si>
  <si>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</si>
  <si>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</si>
  <si>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</si>
  <si>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</si>
  <si>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</si>
  <si>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</si>
  <si>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</si>
  <si>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</si>
  <si>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</si>
  <si>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</si>
  <si>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</si>
  <si>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</si>
  <si>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</si>
  <si>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</si>
  <si>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</si>
  <si>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</si>
  <si>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</si>
  <si>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</si>
  <si>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</si>
  <si>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</si>
  <si>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</si>
  <si>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</si>
  <si>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</si>
  <si>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</si>
  <si>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</si>
  <si>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</si>
  <si>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</si>
  <si>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</si>
  <si>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</si>
  <si>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</si>
  <si>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</si>
  <si>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</si>
  <si>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</si>
  <si>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</si>
  <si>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</si>
  <si>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</si>
  <si>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</si>
  <si>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</si>
  <si>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</si>
  <si>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</si>
  <si>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</si>
  <si>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</si>
  <si>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</si>
  <si>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</si>
  <si>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</si>
  <si>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</si>
  <si>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</si>
  <si>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</si>
  <si>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</si>
  <si>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</si>
  <si>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</si>
  <si>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</si>
  <si>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</si>
  <si>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</si>
  <si>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</si>
  <si>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</si>
  <si>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</si>
  <si>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</si>
  <si>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</si>
  <si>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</si>
  <si>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</si>
  <si>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</si>
  <si>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</si>
  <si>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</si>
  <si>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</si>
  <si>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</si>
  <si>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</si>
  <si>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</si>
  <si>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</si>
  <si>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</si>
  <si>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</si>
  <si>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</si>
  <si>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</si>
  <si>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</si>
  <si>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</si>
  <si>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</si>
  <si>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</si>
  <si>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</si>
  <si>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</si>
  <si>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</si>
  <si>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</si>
  <si>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</si>
  <si>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</si>
  <si>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</si>
  <si>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</si>
  <si>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</si>
  <si>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</si>
  <si>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</si>
  <si>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</si>
  <si>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</si>
  <si>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</si>
  <si>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</si>
  <si>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</si>
  <si>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</si>
  <si>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</si>
  <si>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</si>
  <si>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</si>
  <si>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</si>
  <si>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</si>
  <si>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</si>
  <si>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</si>
  <si>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</si>
  <si>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</si>
  <si>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</si>
  <si>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</si>
  <si>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</si>
  <si>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</si>
  <si>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</si>
  <si>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</si>
  <si>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</si>
  <si>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</si>
  <si>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</si>
  <si>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</si>
  <si>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</si>
  <si>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</si>
  <si>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</si>
  <si>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</si>
  <si>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</si>
  <si>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</si>
  <si>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</si>
  <si>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</si>
  <si>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</si>
  <si>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</si>
  <si>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</si>
  <si>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</si>
  <si>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</si>
  <si>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</si>
  <si>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</si>
  <si>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</si>
  <si>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</si>
  <si>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</si>
  <si>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</si>
  <si>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</si>
  <si>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</si>
  <si>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</si>
  <si>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</si>
  <si>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</si>
  <si>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</si>
  <si>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</si>
  <si>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</si>
  <si>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</si>
  <si>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</si>
  <si>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</si>
  <si>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</si>
  <si>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</si>
  <si>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</si>
  <si>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</si>
  <si>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</si>
  <si>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</si>
  <si>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</si>
  <si>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</si>
  <si>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</si>
  <si>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</si>
  <si>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</si>
  <si>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</si>
  <si>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</si>
  <si>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</si>
  <si>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</si>
  <si>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</si>
  <si>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</si>
  <si>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</si>
  <si>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</si>
  <si>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</si>
  <si>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</si>
  <si>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</si>
  <si>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</si>
  <si>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</si>
  <si>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</si>
  <si>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</si>
  <si>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</si>
  <si>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</si>
  <si>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</si>
  <si>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</si>
  <si>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</si>
  <si>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</si>
  <si>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</si>
  <si>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</si>
  <si>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</si>
  <si>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</si>
  <si>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</si>
  <si>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</si>
  <si>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</si>
  <si>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</si>
  <si>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</si>
  <si>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</si>
  <si>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</si>
  <si>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</si>
  <si>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</si>
  <si>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</si>
  <si>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</si>
  <si>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</si>
  <si>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</si>
  <si>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</si>
  <si>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</si>
  <si>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</si>
  <si>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</si>
  <si>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</si>
  <si>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</si>
  <si>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</si>
  <si>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</si>
  <si>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</si>
  <si>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</si>
  <si>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</si>
  <si>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</si>
  <si>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</si>
  <si>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</si>
  <si>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</si>
  <si>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</si>
  <si>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</si>
  <si>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</si>
  <si>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</si>
  <si>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</si>
  <si>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</si>
  <si>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</si>
  <si>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</si>
  <si>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</si>
  <si>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</si>
  <si>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</si>
  <si>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</si>
  <si>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</si>
  <si>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</si>
  <si>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</si>
  <si>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</si>
  <si>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</si>
  <si>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</si>
  <si>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</si>
  <si>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</si>
  <si>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</si>
  <si>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</si>
  <si>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</si>
  <si>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</si>
  <si>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</si>
  <si>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</si>
  <si>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</si>
  <si>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</si>
  <si>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</si>
  <si>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</si>
  <si>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</si>
  <si>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</si>
  <si>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</si>
  <si>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</si>
  <si>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</si>
  <si>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</si>
  <si>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</si>
  <si>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</si>
  <si>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</si>
  <si>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</si>
  <si>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</si>
  <si>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</si>
  <si>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</si>
  <si>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</si>
  <si>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</si>
  <si>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</si>
  <si>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</si>
  <si>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</si>
  <si>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</si>
  <si>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</si>
  <si>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</si>
  <si>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</si>
  <si>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</si>
  <si>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</si>
  <si>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</si>
  <si>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</si>
  <si>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</si>
  <si>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</si>
  <si>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</si>
  <si>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</si>
  <si>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</si>
  <si>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</si>
  <si>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</si>
  <si>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</si>
  <si>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</si>
  <si>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</si>
  <si>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</si>
  <si>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</si>
  <si>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</si>
  <si>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</si>
  <si>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</si>
  <si>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</si>
  <si>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</si>
  <si>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</si>
  <si>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</si>
  <si>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</si>
  <si>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</si>
  <si>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</si>
  <si>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</si>
  <si>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</si>
  <si>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</si>
  <si>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</si>
  <si>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</si>
  <si>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</si>
  <si>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</si>
  <si>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</si>
  <si>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</si>
  <si>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</si>
  <si>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</si>
  <si>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</si>
  <si>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</si>
  <si>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</si>
  <si>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</si>
  <si>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</si>
  <si>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</si>
  <si>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</si>
  <si>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</si>
  <si>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</si>
  <si>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</si>
  <si>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</si>
  <si>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</si>
  <si>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</si>
  <si>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</si>
  <si>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</si>
  <si>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</si>
  <si>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</si>
  <si>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</si>
  <si>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</si>
  <si>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</si>
  <si>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</si>
  <si>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</si>
  <si>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</si>
  <si>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</si>
  <si>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</si>
  <si>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</si>
  <si>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</si>
  <si>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</si>
  <si>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</si>
  <si>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</si>
  <si>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</si>
  <si>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</si>
  <si>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</si>
  <si>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</si>
  <si>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</si>
  <si>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</si>
  <si>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</si>
  <si>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</si>
  <si>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</si>
  <si>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</si>
  <si>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</si>
  <si>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</si>
  <si>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</si>
  <si>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</si>
  <si>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</si>
  <si>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</si>
  <si>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</si>
  <si>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</si>
  <si>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</si>
  <si>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</si>
  <si>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</si>
  <si>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</si>
  <si>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</si>
  <si>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</si>
  <si>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</si>
  <si>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</si>
  <si>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</si>
  <si>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</si>
  <si>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</si>
  <si>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</si>
  <si>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</si>
  <si>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</si>
  <si>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</si>
  <si>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</si>
  <si>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</si>
  <si>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</si>
  <si>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</si>
  <si>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</si>
  <si>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</si>
  <si>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</si>
  <si>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</si>
  <si>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</si>
  <si>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</si>
  <si>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</si>
  <si>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</si>
  <si>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</si>
  <si>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</si>
  <si>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</si>
  <si>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</si>
  <si>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</si>
  <si>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</si>
  <si>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</si>
  <si>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</si>
  <si>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</si>
  <si>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</si>
  <si>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</si>
  <si>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</si>
  <si>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</si>
  <si>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</si>
  <si>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</si>
  <si>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</si>
  <si>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</si>
  <si>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</si>
  <si>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</si>
  <si>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</si>
  <si>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</si>
  <si>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</si>
  <si>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</si>
  <si>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</si>
  <si>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</si>
  <si>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</si>
  <si>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</si>
  <si>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</si>
  <si>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</si>
  <si>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</si>
  <si>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</si>
  <si>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</si>
  <si>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</si>
  <si>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</si>
  <si>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</si>
  <si>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</si>
  <si>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</si>
  <si>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</si>
  <si>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</si>
  <si>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</si>
  <si>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</si>
  <si>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</si>
  <si>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</si>
  <si>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</si>
  <si>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</si>
  <si>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</si>
  <si>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</si>
  <si>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</si>
  <si>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</si>
  <si>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</si>
  <si>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</si>
  <si>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</si>
  <si>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</si>
  <si>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</si>
  <si>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</si>
  <si>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</si>
  <si>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</si>
  <si>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</si>
  <si>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</si>
  <si>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</si>
  <si>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</si>
  <si>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</si>
  <si>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</si>
  <si>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</si>
  <si>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</si>
  <si>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</si>
  <si>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</si>
  <si>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</si>
  <si>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</si>
  <si>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</si>
  <si>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</si>
  <si>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</si>
  <si>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</si>
  <si>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</si>
  <si>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</si>
  <si>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</si>
  <si>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</si>
  <si>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</si>
  <si>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</si>
  <si>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</si>
  <si>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</si>
  <si>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</si>
  <si>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</si>
  <si>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</si>
  <si>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</si>
  <si>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</si>
  <si>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</si>
  <si>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</si>
  <si>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</si>
  <si>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</si>
  <si>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</si>
  <si>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</si>
  <si>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</si>
  <si>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</si>
  <si>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</si>
  <si>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</si>
  <si>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</si>
  <si>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</si>
  <si>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</si>
  <si>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</si>
  <si>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</si>
  <si>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</si>
  <si>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</si>
  <si>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</si>
  <si>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</si>
  <si>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</si>
  <si>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</si>
  <si>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</si>
  <si>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</si>
  <si>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</si>
  <si>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</si>
  <si>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</si>
  <si>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</si>
  <si>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</si>
  <si>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</si>
  <si>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</si>
  <si>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</si>
  <si>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</si>
  <si>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</si>
  <si>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</si>
  <si>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</si>
  <si>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</si>
  <si>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</si>
  <si>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</si>
  <si>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</si>
  <si>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</si>
  <si>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</si>
  <si>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</si>
  <si>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</si>
  <si>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</si>
  <si>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</si>
  <si>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</si>
  <si>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</si>
  <si>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</si>
  <si>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</si>
  <si>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</si>
  <si>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</si>
  <si>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</si>
  <si>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</si>
  <si>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</si>
  <si>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</si>
  <si>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</si>
  <si>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</si>
  <si>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</si>
  <si>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</si>
  <si>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</si>
  <si>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</si>
  <si>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</si>
  <si>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</si>
  <si>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</si>
  <si>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</si>
  <si>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</si>
  <si>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</si>
  <si>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</si>
  <si>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</si>
  <si>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</si>
  <si>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</si>
  <si>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</si>
  <si>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</si>
  <si>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</si>
  <si>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</si>
  <si>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</si>
  <si>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</si>
  <si>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</si>
  <si>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</si>
  <si>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</si>
  <si>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</si>
  <si>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</si>
  <si>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</si>
  <si>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</si>
  <si>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</si>
  <si>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</si>
  <si>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</si>
  <si>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</si>
  <si>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</si>
  <si>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</si>
  <si>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</si>
  <si>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</si>
  <si>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</si>
  <si>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</si>
  <si>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</si>
  <si>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</si>
  <si>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</si>
  <si>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</si>
  <si>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</si>
  <si>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</si>
  <si>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</si>
  <si>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</si>
  <si>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</si>
  <si>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</si>
  <si>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</si>
  <si>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</si>
  <si>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</si>
  <si>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</si>
  <si>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</si>
  <si>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</si>
  <si>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</si>
  <si>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</si>
  <si>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</si>
  <si>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</si>
  <si>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</si>
  <si>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</si>
  <si>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</si>
  <si>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</si>
  <si>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</si>
  <si>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</si>
  <si>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</si>
  <si>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</si>
  <si>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</si>
  <si>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</si>
  <si>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</si>
  <si>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</si>
  <si>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</si>
  <si>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</si>
  <si>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</si>
  <si>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</si>
  <si>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</si>
  <si>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</si>
  <si>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</si>
  <si>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</si>
  <si>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</si>
  <si>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</si>
  <si>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</si>
  <si>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</si>
  <si>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</si>
  <si>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</si>
  <si>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</si>
  <si>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</si>
  <si>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</si>
  <si>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</si>
  <si>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</si>
  <si>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</si>
  <si>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</si>
  <si>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</si>
  <si>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</si>
  <si>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</si>
  <si>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</si>
  <si>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</si>
  <si>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</si>
  <si>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</si>
  <si>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</si>
  <si>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</si>
  <si>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</si>
  <si>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</si>
  <si>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</si>
  <si>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</si>
  <si>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</si>
  <si>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</si>
  <si>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</si>
  <si>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</si>
  <si>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</si>
  <si>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</si>
  <si>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</si>
  <si>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</si>
  <si>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</si>
  <si>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</si>
  <si>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</si>
  <si>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</si>
  <si>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</si>
  <si>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</si>
  <si>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</si>
  <si>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</si>
  <si>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</si>
  <si>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</si>
  <si>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</si>
  <si>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</si>
  <si>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</si>
  <si>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</si>
  <si>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</si>
  <si>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</si>
  <si>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</si>
  <si>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</si>
  <si>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</si>
  <si>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</si>
  <si>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</si>
  <si>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</si>
  <si>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</si>
  <si>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</si>
  <si>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</si>
  <si>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</si>
  <si>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</si>
  <si>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</si>
  <si>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</si>
  <si>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</si>
  <si>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</si>
  <si>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</si>
  <si>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</si>
  <si>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</si>
  <si>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</si>
  <si>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</si>
  <si>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</si>
  <si>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</si>
  <si>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</si>
  <si>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</si>
  <si>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</si>
  <si>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</si>
  <si>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</si>
  <si>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</si>
  <si>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</si>
  <si>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</si>
  <si>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</si>
  <si>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</si>
  <si>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</si>
  <si>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</si>
  <si>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</si>
  <si>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</si>
  <si>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</si>
  <si>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</si>
  <si>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</si>
  <si>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</si>
  <si>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</si>
  <si>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</si>
  <si>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</si>
  <si>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</si>
  <si>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</si>
  <si>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</si>
  <si>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</si>
  <si>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</si>
  <si>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</si>
  <si>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</si>
  <si>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</si>
  <si>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</si>
  <si>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</si>
  <si>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</si>
  <si>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</si>
  <si>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</si>
  <si>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</si>
  <si>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</si>
  <si>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</si>
  <si>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</si>
  <si>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</si>
  <si>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</si>
  <si>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</si>
  <si>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</si>
  <si>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</si>
  <si>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</si>
  <si>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</si>
  <si>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</si>
  <si>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</si>
  <si>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</si>
  <si>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</si>
  <si>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</si>
  <si>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</si>
  <si>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</si>
  <si>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</si>
  <si>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</si>
  <si>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</si>
  <si>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</si>
  <si>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</si>
  <si>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</si>
  <si>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</si>
  <si>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</si>
  <si>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</si>
  <si>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</si>
  <si>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</si>
  <si>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</si>
  <si>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</si>
  <si>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</si>
  <si>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</si>
  <si>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</si>
  <si>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</si>
  <si>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</si>
  <si>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</si>
  <si>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</si>
  <si>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</si>
  <si>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</si>
  <si>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</si>
  <si>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</si>
  <si>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</si>
  <si>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</si>
  <si>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</si>
  <si>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</si>
  <si>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</si>
  <si>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</si>
  <si>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</si>
  <si>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</si>
  <si>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</si>
  <si>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</si>
  <si>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</si>
  <si>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</si>
  <si>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</si>
  <si>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</si>
  <si>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</si>
  <si>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</si>
  <si>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</si>
  <si>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</si>
  <si>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</si>
  <si>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</si>
  <si>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</si>
  <si>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</si>
  <si>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</si>
  <si>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</si>
  <si>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</si>
  <si>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</si>
  <si>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</si>
  <si>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</si>
  <si>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</si>
  <si>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</si>
  <si>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</si>
  <si>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</si>
  <si>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</si>
  <si>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</si>
  <si>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</si>
  <si>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</si>
  <si>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</si>
  <si>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</si>
  <si>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</si>
  <si>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</si>
  <si>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</si>
  <si>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</si>
  <si>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</si>
  <si>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</si>
  <si>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</si>
  <si>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</si>
  <si>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</si>
  <si>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</si>
  <si>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</si>
  <si>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</si>
  <si>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</si>
  <si>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</si>
  <si>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</si>
  <si>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</si>
  <si>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</si>
  <si>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</si>
  <si>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</si>
  <si>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</si>
  <si>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</si>
  <si>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</si>
  <si>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</si>
  <si>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</si>
  <si>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</si>
  <si>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</si>
  <si>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</si>
  <si>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</si>
  <si>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</si>
  <si>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</si>
  <si>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</si>
  <si>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</si>
  <si>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</si>
  <si>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</si>
  <si>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</si>
  <si>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</si>
  <si>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</si>
  <si>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</si>
  <si>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</si>
  <si>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</si>
  <si>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</si>
  <si>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</si>
  <si>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</si>
  <si>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</si>
  <si>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</si>
  <si>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</si>
  <si>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</si>
  <si>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</si>
  <si>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</si>
  <si>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</si>
  <si>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</si>
  <si>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</si>
  <si>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</si>
  <si>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</si>
  <si>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</si>
  <si>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</si>
  <si>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</si>
  <si>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</si>
  <si>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</si>
  <si>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</si>
  <si>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</si>
  <si>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</si>
  <si>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</si>
  <si>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</si>
  <si>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</si>
  <si>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</si>
  <si>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</si>
  <si>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</si>
  <si>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</si>
  <si>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</si>
  <si>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</si>
  <si>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</si>
  <si>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</si>
  <si>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</si>
  <si>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</si>
  <si>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</si>
  <si>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</si>
  <si>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</si>
  <si>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</si>
  <si>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</si>
  <si>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</si>
  <si>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</si>
  <si>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</si>
  <si>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</si>
  <si>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</si>
  <si>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</si>
  <si>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</si>
  <si>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</si>
  <si>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</si>
  <si>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</si>
  <si>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</si>
  <si>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</si>
  <si>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</si>
  <si>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</si>
  <si>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</si>
  <si>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</si>
  <si>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</si>
  <si>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</si>
  <si>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</si>
  <si>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</si>
  <si>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</si>
  <si>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</si>
  <si>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</si>
  <si>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</si>
  <si>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</si>
  <si>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</si>
  <si>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</si>
  <si>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</si>
  <si>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</si>
  <si>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</si>
  <si>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</si>
  <si>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</si>
  <si>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</si>
  <si>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</si>
  <si>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</si>
  <si>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</si>
  <si>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</si>
  <si>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</si>
  <si>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</si>
  <si>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</si>
  <si>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</si>
  <si>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</si>
  <si>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</si>
  <si>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</si>
  <si>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</si>
  <si>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</si>
  <si>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</si>
  <si>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</si>
  <si>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</si>
  <si>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</si>
  <si>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</si>
  <si>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</si>
  <si>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</si>
  <si>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</si>
  <si>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</si>
  <si>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</si>
  <si>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</si>
  <si>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</si>
  <si>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</si>
  <si>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</si>
  <si>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</si>
  <si>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</si>
  <si>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</si>
  <si>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</si>
  <si>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</si>
  <si>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</si>
  <si>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</si>
  <si>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</si>
  <si>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</si>
  <si>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</si>
  <si>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</si>
  <si>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</si>
  <si>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</si>
  <si>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</si>
  <si>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</si>
  <si>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</si>
  <si>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</si>
  <si>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</si>
  <si>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</si>
  <si>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</si>
  <si>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</si>
  <si>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</si>
  <si>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</si>
  <si>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</si>
  <si>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</si>
  <si>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</si>
  <si>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</si>
  <si>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</si>
  <si>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</si>
  <si>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</si>
  <si>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</si>
  <si>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</si>
  <si>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</si>
  <si>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</si>
  <si>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</si>
  <si>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</si>
  <si>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</si>
  <si>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</si>
  <si>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</si>
  <si>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</si>
  <si>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</si>
  <si>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</si>
  <si>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</si>
  <si>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</si>
  <si>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</si>
  <si>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</si>
  <si>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</si>
  <si>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</si>
  <si>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</si>
  <si>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</si>
  <si>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</si>
  <si>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</si>
  <si>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</si>
  <si>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</si>
  <si>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</si>
  <si>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</si>
  <si>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</si>
  <si>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</si>
  <si>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</si>
  <si>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</si>
  <si>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</si>
  <si>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</si>
  <si>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</si>
  <si>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</si>
  <si>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</si>
  <si>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</si>
  <si>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</si>
  <si>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</si>
  <si>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</si>
  <si>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</si>
  <si>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</si>
  <si>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</si>
  <si>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</si>
  <si>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</si>
  <si>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</si>
  <si>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</si>
  <si>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</si>
  <si>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</si>
  <si>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</si>
  <si>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</si>
  <si>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</si>
  <si>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</si>
  <si>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</si>
  <si>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</si>
  <si>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</si>
  <si>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</si>
  <si>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</si>
  <si>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</si>
  <si>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</si>
  <si>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</si>
  <si>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</si>
  <si>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</si>
  <si>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</si>
  <si>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</si>
  <si>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</si>
  <si>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</si>
  <si>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</si>
  <si>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</si>
  <si>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</si>
  <si>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</si>
  <si>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</si>
  <si>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</si>
  <si>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</si>
  <si>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</si>
  <si>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</si>
  <si>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</si>
  <si>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</si>
  <si>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</si>
  <si>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</si>
  <si>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</si>
  <si>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</si>
  <si>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</si>
  <si>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</si>
  <si>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</si>
  <si>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</si>
  <si>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</si>
  <si>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</si>
  <si>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</si>
  <si>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</si>
  <si>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</si>
  <si>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</si>
  <si>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</si>
  <si>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</si>
  <si>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</si>
  <si>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</si>
  <si>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</si>
  <si>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</si>
  <si>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</si>
  <si>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</si>
  <si>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</si>
  <si>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</si>
  <si>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</si>
  <si>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</si>
  <si>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</si>
  <si>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</si>
  <si>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</si>
  <si>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</si>
  <si>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</si>
  <si>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</si>
  <si>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</si>
  <si>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</si>
  <si>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</si>
  <si>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</si>
  <si>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</si>
  <si>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</si>
  <si>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</si>
  <si>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</si>
  <si>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</si>
  <si>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</si>
  <si>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</si>
  <si>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</si>
  <si>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</si>
  <si>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</si>
  <si>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</si>
  <si>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</si>
  <si>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</si>
  <si>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</si>
  <si>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</si>
  <si>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</si>
  <si>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</si>
  <si>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</si>
  <si>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</si>
  <si>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</si>
  <si>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</si>
  <si>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</si>
  <si>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</si>
  <si>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</si>
  <si>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</si>
  <si>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</si>
  <si>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</si>
  <si>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</si>
  <si>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</si>
  <si>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</si>
  <si>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</si>
  <si>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</si>
  <si>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</si>
  <si>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</si>
  <si>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</si>
  <si>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</si>
  <si>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</si>
  <si>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</si>
  <si>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</si>
  <si>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</si>
  <si>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</si>
  <si>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</si>
  <si>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</si>
  <si>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</si>
  <si>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</si>
  <si>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</si>
  <si>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</si>
  <si>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</si>
  <si>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</si>
  <si>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</si>
  <si>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</si>
  <si>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</si>
  <si>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</si>
  <si>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</si>
  <si>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</si>
  <si>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</si>
  <si>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</si>
  <si>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</si>
  <si>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</si>
  <si>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</si>
  <si>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</si>
  <si>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</si>
  <si>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</si>
  <si>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</si>
  <si>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</si>
  <si>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</si>
  <si>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</si>
  <si>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</si>
  <si>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</si>
  <si>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</si>
  <si>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</si>
  <si>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</si>
  <si>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</si>
  <si>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</si>
  <si>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</si>
  <si>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</si>
  <si>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</si>
  <si>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</si>
  <si>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</si>
  <si>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</si>
  <si>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</si>
  <si>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</si>
  <si>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</si>
  <si>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</si>
  <si>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</si>
  <si>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</si>
  <si>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</si>
  <si>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</si>
  <si>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</si>
  <si>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</si>
  <si>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</si>
  <si>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</si>
  <si>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</si>
  <si>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</si>
  <si>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</si>
  <si>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</si>
  <si>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</si>
  <si>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</si>
  <si>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</si>
  <si>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</si>
  <si>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</si>
  <si>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</si>
  <si>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</si>
  <si>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</si>
  <si>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</si>
  <si>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</si>
  <si>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</si>
  <si>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</si>
  <si>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</si>
  <si>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</si>
  <si>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</si>
  <si>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</si>
  <si>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</si>
  <si>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</si>
  <si>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</si>
  <si>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</si>
  <si>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</si>
  <si>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</si>
  <si>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</si>
  <si>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</si>
  <si>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</si>
  <si>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</si>
  <si>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</si>
  <si>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</si>
  <si>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</si>
  <si>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</si>
  <si>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</si>
  <si>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</si>
  <si>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</si>
  <si>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</si>
  <si>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</si>
  <si>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</si>
  <si>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</si>
  <si>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</si>
  <si>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</si>
  <si>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</si>
  <si>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</si>
  <si>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</si>
  <si>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</si>
  <si>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</si>
  <si>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</si>
  <si>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</si>
  <si>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</si>
  <si>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</si>
  <si>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</si>
  <si>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</si>
  <si>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</si>
  <si>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</si>
  <si>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</si>
  <si>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</si>
  <si>
    <t>【#弾き語り】ギターの音でゆったり流れる時間を　【幽音しの:ななしいんく】　#shorts #karaoke #歌枠</t>
    <phoneticPr fontId="2"/>
  </si>
  <si>
    <t>https://www.youtube.com/live/xp0K3WVssKY?si=LZW-N2O4nOZbWeQk</t>
    <phoneticPr fontId="2"/>
  </si>
  <si>
    <t>0:05:07</t>
  </si>
  <si>
    <t>クリスマスソング</t>
  </si>
  <si>
    <t>Back number</t>
  </si>
  <si>
    <t>0:12:25</t>
  </si>
  <si>
    <t>あわてんぼうのサンタクロース</t>
  </si>
  <si>
    <t>田中星児etc…</t>
  </si>
  <si>
    <t>ジングルベル</t>
  </si>
  <si>
    <t>James Lord Pierpont</t>
  </si>
  <si>
    <t>0:23:40</t>
  </si>
  <si>
    <t>0:30:17</t>
  </si>
  <si>
    <t>0:36:51</t>
  </si>
  <si>
    <t>0:43:45</t>
  </si>
  <si>
    <t>0:50:59</t>
  </si>
  <si>
    <t>ひまわりの約束</t>
  </si>
  <si>
    <t>秦基博</t>
  </si>
  <si>
    <t>0:58:46</t>
  </si>
  <si>
    <t>1:08:15</t>
  </si>
  <si>
    <t>1:14:13</t>
  </si>
  <si>
    <t>1:21:24</t>
  </si>
  <si>
    <t>1:29:53</t>
  </si>
  <si>
    <t>1:38:12</t>
  </si>
  <si>
    <t>シェリル・ノームstarring May'n</t>
  </si>
  <si>
    <t>1:47:07</t>
  </si>
  <si>
    <t>1999</t>
    <phoneticPr fontId="2"/>
  </si>
  <si>
    <t>【雑談】アイススプーンを使ってアイスを食べ雑談！【幽音しの:ななしいんく】　 #vtuber</t>
    <phoneticPr fontId="2"/>
  </si>
  <si>
    <t>https://www.youtube.com/live/kH-eTHQ4Mg0?si=ApJmJgE98kh-4EZM</t>
    <phoneticPr fontId="2"/>
  </si>
  <si>
    <t>【#弾き語り】RADWIMPSさんを歌う日！！【幽音しの:ななしいんく】 #karaoke #歌枠</t>
    <phoneticPr fontId="2"/>
  </si>
  <si>
    <t>正解</t>
  </si>
  <si>
    <t>そっけない</t>
  </si>
  <si>
    <t>0:32:52</t>
  </si>
  <si>
    <t>おしゃかしゃま</t>
  </si>
  <si>
    <t>0:47:50</t>
  </si>
  <si>
    <t>0:52:49</t>
  </si>
  <si>
    <t>1:00:48</t>
  </si>
  <si>
    <t>https://www.youtube.com/live/OColkUKqs90?si=u_QJLT5Paxmg4Fbl</t>
    <phoneticPr fontId="2"/>
  </si>
  <si>
    <t>【クリスマスイブ大掃除】この部屋、綺麗にな～れ！【幽音しの:ななしいんく】 #vtuber</t>
    <phoneticPr fontId="2"/>
  </si>
  <si>
    <t>https://www.youtube.com/live/KH_X8cFDpAo?si=iylDtsVTLki_7_CH</t>
    <phoneticPr fontId="2"/>
  </si>
  <si>
    <t>【運動記録】クリスマスは体を鍛えよ！リングフィットアドベンチャー#９【幽音しの:ななしいんく】 #vtuber</t>
    <phoneticPr fontId="2"/>
  </si>
  <si>
    <t>https://www.youtube.com/live/gdwrzSCbprY?si=ldNO_U0XnD_debJP</t>
    <phoneticPr fontId="2"/>
  </si>
  <si>
    <t>【#弾き語り】深夜定期！弾き語りの夜を～クリスマスだね！【幽音しの:ななしいんく】 #karaoke #歌枠</t>
    <phoneticPr fontId="2"/>
  </si>
  <si>
    <t>https://www.youtube.com/live/MRm5RirWRTc?si=-La1GXnNoxw2IMQH</t>
    <phoneticPr fontId="2"/>
  </si>
  <si>
    <t>0:04:59</t>
  </si>
  <si>
    <t>サンタが街にやってくる</t>
  </si>
  <si>
    <t>神戸孝夫(日本)</t>
  </si>
  <si>
    <t>0:28:36</t>
  </si>
  <si>
    <t>0:36:41</t>
  </si>
  <si>
    <t>0:45:22</t>
  </si>
  <si>
    <t>いかないで</t>
  </si>
  <si>
    <t>想太 feat.歌愛ユキ</t>
  </si>
  <si>
    <t>0:51:33</t>
  </si>
  <si>
    <t>0:56:08</t>
  </si>
  <si>
    <t>お正月</t>
  </si>
  <si>
    <t>瀧廉太郎</t>
  </si>
  <si>
    <t>1:03:25</t>
  </si>
  <si>
    <t>赤鼻のトナカイ</t>
  </si>
  <si>
    <t>Rudolph the Red-Nosed Reindeer</t>
  </si>
  <si>
    <t>1:21:54</t>
  </si>
  <si>
    <t>1:30:11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</si>
</sst>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1" fillId="3" borderId="2" xfId="0" applyNumberFormat="1" applyFont="1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38" Type="http://schemas.openxmlformats.org/officeDocument/2006/relationships/hyperlink" Target="https://www.youtube.com/live/KH_X8cFDpAo?si=iylDtsVTLki_7_CH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28" Type="http://schemas.openxmlformats.org/officeDocument/2006/relationships/hyperlink" Target="https://www.youtube.com/live/q-NGMbZYKXs?si=PW1tXGBm0QqXgfQn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134" Type="http://schemas.openxmlformats.org/officeDocument/2006/relationships/hyperlink" Target="https://www.youtube.com/live/0AqoHfYD46E?si=mWOedgt9iLzf5zoc" TargetMode="External"/><Relationship Id="rId139" Type="http://schemas.openxmlformats.org/officeDocument/2006/relationships/hyperlink" Target="https://www.youtube.com/live/gdwrzSCbprY?si=ldNO_U0XnD_debJP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40" Type="http://schemas.openxmlformats.org/officeDocument/2006/relationships/hyperlink" Target="https://www.youtube.com/live/MRm5RirWRTc?si=-La1GXnNoxw2IMQH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hyperlink" Target="https://www.youtube.com/live/xp0K3WVssKY?si=LZW-N2O4nOZbWeQk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141" Type="http://schemas.openxmlformats.org/officeDocument/2006/relationships/printerSettings" Target="../printerSettings/printerSettings1.bin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136" Type="http://schemas.openxmlformats.org/officeDocument/2006/relationships/hyperlink" Target="https://www.youtube.com/live/kH-eTHQ4Mg0?si=ApJmJgE98kh-4EZM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137" Type="http://schemas.openxmlformats.org/officeDocument/2006/relationships/hyperlink" Target="https://www.youtube.com/live/OColkUKqs90?si=u_QJLT5Paxmg4Fbl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Relationship Id="rId16" Type="http://schemas.openxmlformats.org/officeDocument/2006/relationships/hyperlink" Target="https://www.youtube.com/live/8yfLYQayxQg?si=O0Q0AXQXC39nd7WJ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tabSelected="1" zoomScaleNormal="100" workbookViewId="0">
      <pane xSplit="1" ySplit="1" topLeftCell="B124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5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5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25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51" si="2">ROW()-1</f>
        <v>130</v>
      </c>
      <c r="B131" s="15">
        <v>46004</v>
      </c>
      <c r="C131" s="25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25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5">
        <v>46010</v>
      </c>
      <c r="C136" s="25" t="s">
        <v>2268</v>
      </c>
      <c r="D136" s="19" t="s">
        <v>2269</v>
      </c>
      <c r="F136" s="1" t="s">
        <v>628</v>
      </c>
    </row>
    <row r="137" spans="1:6" x14ac:dyDescent="0.4">
      <c r="A137" s="14">
        <f t="shared" si="2"/>
        <v>136</v>
      </c>
      <c r="B137" s="15">
        <v>46011</v>
      </c>
      <c r="C137" s="25" t="s">
        <v>2294</v>
      </c>
      <c r="D137" s="19" t="s">
        <v>2295</v>
      </c>
      <c r="F137" s="1" t="s">
        <v>627</v>
      </c>
    </row>
    <row r="138" spans="1:6" x14ac:dyDescent="0.4">
      <c r="A138" s="14">
        <f t="shared" si="2"/>
        <v>137</v>
      </c>
      <c r="B138" s="15">
        <v>46012</v>
      </c>
      <c r="C138" s="25" t="s">
        <v>2296</v>
      </c>
      <c r="D138" s="19" t="s">
        <v>2304</v>
      </c>
      <c r="F138" s="1" t="s">
        <v>628</v>
      </c>
    </row>
    <row r="139" spans="1:6" x14ac:dyDescent="0.4">
      <c r="A139" s="14">
        <f t="shared" si="2"/>
        <v>138</v>
      </c>
      <c r="B139" s="28">
        <v>46015</v>
      </c>
      <c r="C139" s="25" t="s">
        <v>2305</v>
      </c>
      <c r="D139" s="19" t="s">
        <v>2306</v>
      </c>
      <c r="F139" s="1" t="s">
        <v>627</v>
      </c>
    </row>
    <row r="140" spans="1:6" x14ac:dyDescent="0.4">
      <c r="A140" s="14">
        <f t="shared" si="2"/>
        <v>139</v>
      </c>
      <c r="B140" s="15">
        <v>46016</v>
      </c>
      <c r="C140" s="25" t="s">
        <v>2307</v>
      </c>
      <c r="D140" s="19" t="s">
        <v>2308</v>
      </c>
      <c r="F140" s="1" t="s">
        <v>627</v>
      </c>
    </row>
    <row r="141" spans="1:6" x14ac:dyDescent="0.4">
      <c r="A141" s="14">
        <f t="shared" si="2"/>
        <v>140</v>
      </c>
      <c r="B141" s="15">
        <v>46016</v>
      </c>
      <c r="C141" s="25" t="s">
        <v>2309</v>
      </c>
      <c r="D141" s="19" t="s">
        <v>2310</v>
      </c>
      <c r="F141" s="1" t="s">
        <v>628</v>
      </c>
    </row>
    <row r="142" spans="1:6" x14ac:dyDescent="0.4">
      <c r="A142" s="14">
        <f t="shared" si="2"/>
        <v>141</v>
      </c>
      <c r="B142" s="14"/>
      <c r="C142" s="25"/>
      <c r="D142" s="14"/>
    </row>
    <row r="143" spans="1:6" x14ac:dyDescent="0.4">
      <c r="A143" s="14">
        <f t="shared" si="2"/>
        <v>142</v>
      </c>
      <c r="B143" s="14"/>
      <c r="C143" s="25"/>
      <c r="D143" s="14"/>
    </row>
    <row r="144" spans="1:6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  <hyperlink ref="D136" r:id="rId135" xr:uid="{DB36148C-062F-4AC6-BB22-9DBE20B3D3D6}"/>
    <hyperlink ref="D137" r:id="rId136" xr:uid="{4E1FACE8-0F8D-41BA-B6EC-389E9428D438}"/>
    <hyperlink ref="D138" r:id="rId137" xr:uid="{DFA34231-673B-41A8-BDC9-BFA127E5BDA9}"/>
    <hyperlink ref="D139" r:id="rId138" xr:uid="{63396F28-74D3-49F2-9191-5589251D5332}"/>
    <hyperlink ref="D140" r:id="rId139" xr:uid="{8479B9C0-30FE-496D-B5B4-61B7DF381061}"/>
    <hyperlink ref="D141" r:id="rId140" xr:uid="{76462A95-D2B1-4F0C-BEE6-C8CEEFE204AC}"/>
  </hyperlinks>
  <pageMargins left="0.7" right="0.7" top="0.75" bottom="0.75" header="0.3" footer="0.3"/>
  <pageSetup paperSize="9" orientation="portrait" r:id="rId1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Normal="100" workbookViewId="0">
      <pane xSplit="1" ySplit="1" topLeftCell="B1057" activePane="bottomRight" state="frozen"/>
      <selection pane="topRight" activeCell="B1" sqref="B1"/>
      <selection pane="bottomLeft" activeCell="A2" sqref="A2"/>
      <selection pane="bottomRight" activeCell="B1076" sqref="B1076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>
        <v>135</v>
      </c>
      <c r="C1044" s="21" t="s">
        <v>2270</v>
      </c>
      <c r="D1044" s="14" t="s">
        <v>2271</v>
      </c>
      <c r="E1044" s="14" t="s">
        <v>2272</v>
      </c>
      <c r="G1044" s="1" t="str">
        <f>_xlfn.XLOOKUP(B1044,M_YT_LIVE!A:A,M_YT_LIVE!F:F,"ERROR",0,1)</f>
        <v>弾き語り</v>
      </c>
      <c r="W1044" s="13">
        <f t="shared" si="50"/>
        <v>307</v>
      </c>
      <c r="X1044" s="12" t="str">
        <f>_xlfn.XLOOKUP($B1044,M_YT_LIVE!$A:$A,M_YT_LIVE!$D:$D)</f>
        <v>https://www.youtube.com/live/xp0K3WVssKY?si=LZW-N2O4nOZbWeQk</v>
      </c>
      <c r="Z1044" s="16" t="str">
        <f>HYPERLINK($X1044&amp;SUBSTITUTE(マスタ!$C$3,"XXXXX",$W1044))</f>
        <v>https://www.youtube.com/live/xp0K3WVssKY?si=LZW-N2O4nOZbWeQk&amp;t=307s</v>
      </c>
      <c r="AA1044" s="12" t="str">
        <f t="shared" si="51"/>
        <v>Back numberクリスマスソング</v>
      </c>
    </row>
    <row r="1045" spans="1:27" x14ac:dyDescent="0.4">
      <c r="A1045" s="14">
        <f t="shared" si="52"/>
        <v>1044</v>
      </c>
      <c r="B1045" s="14">
        <v>135</v>
      </c>
      <c r="C1045" s="21" t="s">
        <v>2273</v>
      </c>
      <c r="D1045" s="14" t="s">
        <v>2274</v>
      </c>
      <c r="E1045" s="14" t="s">
        <v>2275</v>
      </c>
      <c r="G1045" s="1" t="str">
        <f>_xlfn.XLOOKUP(B1045,M_YT_LIVE!A:A,M_YT_LIVE!F:F,"ERROR",0,1)</f>
        <v>弾き語り</v>
      </c>
      <c r="W1045" s="13">
        <f t="shared" si="50"/>
        <v>745</v>
      </c>
      <c r="X1045" s="12" t="str">
        <f>_xlfn.XLOOKUP($B1045,M_YT_LIVE!$A:$A,M_YT_LIVE!$D:$D)</f>
        <v>https://www.youtube.com/live/xp0K3WVssKY?si=LZW-N2O4nOZbWeQk</v>
      </c>
      <c r="Z1045" s="16" t="str">
        <f>HYPERLINK($X1045&amp;SUBSTITUTE(マスタ!$C$3,"XXXXX",$W1045))</f>
        <v>https://www.youtube.com/live/xp0K3WVssKY?si=LZW-N2O4nOZbWeQk&amp;t=745s</v>
      </c>
      <c r="AA1045" s="12" t="str">
        <f t="shared" si="51"/>
        <v>田中星児etc…あわてんぼうのサンタクロース</v>
      </c>
    </row>
    <row r="1046" spans="1:27" x14ac:dyDescent="0.4">
      <c r="A1046" s="14">
        <f t="shared" si="52"/>
        <v>1045</v>
      </c>
      <c r="B1046" s="14">
        <v>135</v>
      </c>
      <c r="C1046" s="21" t="s">
        <v>1442</v>
      </c>
      <c r="D1046" s="14" t="s">
        <v>2276</v>
      </c>
      <c r="E1046" s="14" t="s">
        <v>2277</v>
      </c>
      <c r="G1046" s="1" t="str">
        <f>_xlfn.XLOOKUP(B1046,M_YT_LIVE!A:A,M_YT_LIVE!F:F,"ERROR",0,1)</f>
        <v>弾き語り</v>
      </c>
      <c r="W1046" s="13">
        <f t="shared" si="50"/>
        <v>1212</v>
      </c>
      <c r="X1046" s="12" t="str">
        <f>_xlfn.XLOOKUP($B1046,M_YT_LIVE!$A:$A,M_YT_LIVE!$D:$D)</f>
        <v>https://www.youtube.com/live/xp0K3WVssKY?si=LZW-N2O4nOZbWeQk</v>
      </c>
      <c r="Z1046" s="16" t="str">
        <f>HYPERLINK($X1046&amp;SUBSTITUTE(マスタ!$C$3,"XXXXX",$W1046))</f>
        <v>https://www.youtube.com/live/xp0K3WVssKY?si=LZW-N2O4nOZbWeQk&amp;t=1212s</v>
      </c>
      <c r="AA1046" s="12" t="str">
        <f t="shared" si="51"/>
        <v>James Lord Pierpontジングルベル</v>
      </c>
    </row>
    <row r="1047" spans="1:27" x14ac:dyDescent="0.4">
      <c r="A1047" s="14">
        <f t="shared" si="52"/>
        <v>1046</v>
      </c>
      <c r="B1047" s="14">
        <v>135</v>
      </c>
      <c r="C1047" s="21" t="s">
        <v>2278</v>
      </c>
      <c r="D1047" s="23" t="s">
        <v>2293</v>
      </c>
      <c r="E1047" s="14" t="s">
        <v>57</v>
      </c>
      <c r="G1047" s="1" t="str">
        <f>_xlfn.XLOOKUP(B1047,M_YT_LIVE!A:A,M_YT_LIVE!F:F,"ERROR",0,1)</f>
        <v>弾き語り</v>
      </c>
      <c r="W1047" s="13">
        <f t="shared" si="50"/>
        <v>1420</v>
      </c>
      <c r="X1047" s="12" t="str">
        <f>_xlfn.XLOOKUP($B1047,M_YT_LIVE!$A:$A,M_YT_LIVE!$D:$D)</f>
        <v>https://www.youtube.com/live/xp0K3WVssKY?si=LZW-N2O4nOZbWeQk</v>
      </c>
      <c r="Z1047" s="16" t="str">
        <f>HYPERLINK($X1047&amp;SUBSTITUTE(マスタ!$C$3,"XXXXX",$W1047))</f>
        <v>https://www.youtube.com/live/xp0K3WVssKY?si=LZW-N2O4nOZbWeQk&amp;t=1420s</v>
      </c>
      <c r="AA1047" s="12" t="str">
        <f t="shared" si="51"/>
        <v>羊文学1999</v>
      </c>
    </row>
    <row r="1048" spans="1:27" x14ac:dyDescent="0.4">
      <c r="A1048" s="14">
        <f t="shared" si="52"/>
        <v>1047</v>
      </c>
      <c r="B1048" s="14">
        <v>135</v>
      </c>
      <c r="C1048" s="21" t="s">
        <v>2279</v>
      </c>
      <c r="D1048" s="14" t="s">
        <v>39</v>
      </c>
      <c r="E1048" s="14" t="s">
        <v>276</v>
      </c>
      <c r="G1048" s="1" t="str">
        <f>_xlfn.XLOOKUP(B1048,M_YT_LIVE!A:A,M_YT_LIVE!F:F,"ERROR",0,1)</f>
        <v>弾き語り</v>
      </c>
      <c r="W1048" s="13">
        <f t="shared" si="50"/>
        <v>1817</v>
      </c>
      <c r="X1048" s="12" t="str">
        <f>_xlfn.XLOOKUP($B1048,M_YT_LIVE!$A:$A,M_YT_LIVE!$D:$D)</f>
        <v>https://www.youtube.com/live/xp0K3WVssKY?si=LZW-N2O4nOZbWeQk</v>
      </c>
      <c r="Z1048" s="16" t="str">
        <f>HYPERLINK($X1048&amp;SUBSTITUTE(マスタ!$C$3,"XXXXX",$W1048))</f>
        <v>https://www.youtube.com/live/xp0K3WVssKY?si=LZW-N2O4nOZbWeQk&amp;t=1817s</v>
      </c>
      <c r="AA1048" s="12" t="str">
        <f t="shared" si="51"/>
        <v>YUICHE.R.RY</v>
      </c>
    </row>
    <row r="1049" spans="1:27" x14ac:dyDescent="0.4">
      <c r="A1049" s="14">
        <f t="shared" si="52"/>
        <v>1048</v>
      </c>
      <c r="B1049" s="14">
        <v>135</v>
      </c>
      <c r="C1049" s="21" t="s">
        <v>2280</v>
      </c>
      <c r="D1049" s="14" t="s">
        <v>61</v>
      </c>
      <c r="E1049" s="14" t="s">
        <v>276</v>
      </c>
      <c r="G1049" s="1" t="str">
        <f>_xlfn.XLOOKUP(B1049,M_YT_LIVE!A:A,M_YT_LIVE!F:F,"ERROR",0,1)</f>
        <v>弾き語り</v>
      </c>
      <c r="W1049" s="13">
        <f t="shared" si="50"/>
        <v>2211</v>
      </c>
      <c r="X1049" s="12" t="str">
        <f>_xlfn.XLOOKUP($B1049,M_YT_LIVE!$A:$A,M_YT_LIVE!$D:$D)</f>
        <v>https://www.youtube.com/live/xp0K3WVssKY?si=LZW-N2O4nOZbWeQk</v>
      </c>
      <c r="Z1049" s="16" t="str">
        <f>HYPERLINK($X1049&amp;SUBSTITUTE(マスタ!$C$3,"XXXXX",$W1049))</f>
        <v>https://www.youtube.com/live/xp0K3WVssKY?si=LZW-N2O4nOZbWeQk&amp;t=2211s</v>
      </c>
      <c r="AA1049" s="12" t="str">
        <f t="shared" si="51"/>
        <v>YUILaugh away</v>
      </c>
    </row>
    <row r="1050" spans="1:27" x14ac:dyDescent="0.4">
      <c r="A1050" s="14">
        <f t="shared" si="52"/>
        <v>1049</v>
      </c>
      <c r="B1050" s="14">
        <v>135</v>
      </c>
      <c r="C1050" s="21" t="s">
        <v>2281</v>
      </c>
      <c r="D1050" s="14" t="s">
        <v>185</v>
      </c>
      <c r="E1050" s="14" t="s">
        <v>186</v>
      </c>
      <c r="G1050" s="1" t="str">
        <f>_xlfn.XLOOKUP(B1050,M_YT_LIVE!A:A,M_YT_LIVE!F:F,"ERROR",0,1)</f>
        <v>弾き語り</v>
      </c>
      <c r="W1050" s="13">
        <f t="shared" si="50"/>
        <v>2625</v>
      </c>
      <c r="X1050" s="12" t="str">
        <f>_xlfn.XLOOKUP($B1050,M_YT_LIVE!$A:$A,M_YT_LIVE!$D:$D)</f>
        <v>https://www.youtube.com/live/xp0K3WVssKY?si=LZW-N2O4nOZbWeQk</v>
      </c>
      <c r="Z1050" s="16" t="str">
        <f>HYPERLINK($X1050&amp;SUBSTITUTE(マスタ!$C$3,"XXXXX",$W1050))</f>
        <v>https://www.youtube.com/live/xp0K3WVssKY?si=LZW-N2O4nOZbWeQk&amp;t=2625s</v>
      </c>
      <c r="AA1050" s="12" t="str">
        <f t="shared" si="51"/>
        <v>YUI for 雨音薫Good-bye days</v>
      </c>
    </row>
    <row r="1051" spans="1:27" x14ac:dyDescent="0.4">
      <c r="A1051" s="14">
        <f t="shared" si="52"/>
        <v>1050</v>
      </c>
      <c r="B1051" s="14">
        <v>135</v>
      </c>
      <c r="C1051" s="21" t="s">
        <v>2282</v>
      </c>
      <c r="D1051" s="14" t="s">
        <v>2283</v>
      </c>
      <c r="E1051" s="14" t="s">
        <v>2284</v>
      </c>
      <c r="G1051" s="1" t="str">
        <f>_xlfn.XLOOKUP(B1051,M_YT_LIVE!A:A,M_YT_LIVE!F:F,"ERROR",0,1)</f>
        <v>弾き語り</v>
      </c>
      <c r="W1051" s="13">
        <f t="shared" si="50"/>
        <v>3059</v>
      </c>
      <c r="X1051" s="12" t="str">
        <f>_xlfn.XLOOKUP($B1051,M_YT_LIVE!$A:$A,M_YT_LIVE!$D:$D)</f>
        <v>https://www.youtube.com/live/xp0K3WVssKY?si=LZW-N2O4nOZbWeQk</v>
      </c>
      <c r="Z1051" s="16" t="str">
        <f>HYPERLINK($X1051&amp;SUBSTITUTE(マスタ!$C$3,"XXXXX",$W1051))</f>
        <v>https://www.youtube.com/live/xp0K3WVssKY?si=LZW-N2O4nOZbWeQk&amp;t=3059s</v>
      </c>
      <c r="AA1051" s="12" t="str">
        <f t="shared" si="51"/>
        <v>秦基博ひまわりの約束</v>
      </c>
    </row>
    <row r="1052" spans="1:27" x14ac:dyDescent="0.4">
      <c r="A1052" s="14">
        <f t="shared" si="52"/>
        <v>1051</v>
      </c>
      <c r="B1052" s="14">
        <v>135</v>
      </c>
      <c r="C1052" s="21" t="s">
        <v>2285</v>
      </c>
      <c r="D1052" s="14" t="s">
        <v>1650</v>
      </c>
      <c r="E1052" s="14" t="s">
        <v>260</v>
      </c>
      <c r="G1052" s="1" t="str">
        <f>_xlfn.XLOOKUP(B1052,M_YT_LIVE!A:A,M_YT_LIVE!F:F,"ERROR",0,1)</f>
        <v>弾き語り</v>
      </c>
      <c r="W1052" s="13">
        <f t="shared" si="50"/>
        <v>3526</v>
      </c>
      <c r="X1052" s="12" t="str">
        <f>_xlfn.XLOOKUP($B1052,M_YT_LIVE!$A:$A,M_YT_LIVE!$D:$D)</f>
        <v>https://www.youtube.com/live/xp0K3WVssKY?si=LZW-N2O4nOZbWeQk</v>
      </c>
      <c r="Z1052" s="16" t="str">
        <f>HYPERLINK($X1052&amp;SUBSTITUTE(マスタ!$C$3,"XXXXX",$W1052))</f>
        <v>https://www.youtube.com/live/xp0K3WVssKY?si=LZW-N2O4nOZbWeQk&amp;t=3526s</v>
      </c>
      <c r="AA1052" s="12" t="str">
        <f t="shared" si="51"/>
        <v>Official髭男dismPretender</v>
      </c>
    </row>
    <row r="1053" spans="1:27" x14ac:dyDescent="0.4">
      <c r="A1053" s="14">
        <f t="shared" si="52"/>
        <v>1052</v>
      </c>
      <c r="B1053" s="14">
        <v>135</v>
      </c>
      <c r="C1053" s="21" t="s">
        <v>2286</v>
      </c>
      <c r="D1053" s="14" t="s">
        <v>1185</v>
      </c>
      <c r="E1053" s="14" t="s">
        <v>742</v>
      </c>
      <c r="G1053" s="1" t="str">
        <f>_xlfn.XLOOKUP(B1053,M_YT_LIVE!A:A,M_YT_LIVE!F:F,"ERROR",0,1)</f>
        <v>弾き語り</v>
      </c>
      <c r="W1053" s="13">
        <f t="shared" si="50"/>
        <v>4095</v>
      </c>
      <c r="X1053" s="12" t="str">
        <f>_xlfn.XLOOKUP($B1053,M_YT_LIVE!$A:$A,M_YT_LIVE!$D:$D)</f>
        <v>https://www.youtube.com/live/xp0K3WVssKY?si=LZW-N2O4nOZbWeQk</v>
      </c>
      <c r="Z1053" s="16" t="str">
        <f>HYPERLINK($X1053&amp;SUBSTITUTE(マスタ!$C$3,"XXXXX",$W1053))</f>
        <v>https://www.youtube.com/live/xp0K3WVssKY?si=LZW-N2O4nOZbWeQk&amp;t=4095s</v>
      </c>
      <c r="AA1053" s="12" t="str">
        <f t="shared" si="51"/>
        <v>KANA-BOONシルエット</v>
      </c>
    </row>
    <row r="1054" spans="1:27" x14ac:dyDescent="0.4">
      <c r="A1054" s="14">
        <f t="shared" si="52"/>
        <v>1053</v>
      </c>
      <c r="B1054" s="14">
        <v>135</v>
      </c>
      <c r="C1054" s="21" t="s">
        <v>2287</v>
      </c>
      <c r="D1054" s="14" t="s">
        <v>851</v>
      </c>
      <c r="E1054" s="14" t="s">
        <v>847</v>
      </c>
      <c r="G1054" s="1" t="str">
        <f>_xlfn.XLOOKUP(B1054,M_YT_LIVE!A:A,M_YT_LIVE!F:F,"ERROR",0,1)</f>
        <v>弾き語り</v>
      </c>
      <c r="W1054" s="13">
        <f t="shared" si="50"/>
        <v>4453</v>
      </c>
      <c r="X1054" s="12" t="str">
        <f>_xlfn.XLOOKUP($B1054,M_YT_LIVE!$A:$A,M_YT_LIVE!$D:$D)</f>
        <v>https://www.youtube.com/live/xp0K3WVssKY?si=LZW-N2O4nOZbWeQk</v>
      </c>
      <c r="Z1054" s="16" t="str">
        <f>HYPERLINK($X1054&amp;SUBSTITUTE(マスタ!$C$3,"XXXXX",$W1054))</f>
        <v>https://www.youtube.com/live/xp0K3WVssKY?si=LZW-N2O4nOZbWeQk&amp;t=4453s</v>
      </c>
      <c r="AA1054" s="12" t="str">
        <f t="shared" si="51"/>
        <v>スキマスイッチ奏</v>
      </c>
    </row>
    <row r="1055" spans="1:27" x14ac:dyDescent="0.4">
      <c r="A1055" s="14">
        <f t="shared" si="52"/>
        <v>1054</v>
      </c>
      <c r="B1055" s="14">
        <v>135</v>
      </c>
      <c r="C1055" s="21" t="s">
        <v>2288</v>
      </c>
      <c r="D1055" s="14" t="s">
        <v>849</v>
      </c>
      <c r="E1055" s="14" t="s">
        <v>847</v>
      </c>
      <c r="G1055" s="1" t="str">
        <f>_xlfn.XLOOKUP(B1055,M_YT_LIVE!A:A,M_YT_LIVE!F:F,"ERROR",0,1)</f>
        <v>弾き語り</v>
      </c>
      <c r="W1055" s="13">
        <f t="shared" si="50"/>
        <v>4884</v>
      </c>
      <c r="X1055" s="12" t="str">
        <f>_xlfn.XLOOKUP($B1055,M_YT_LIVE!$A:$A,M_YT_LIVE!$D:$D)</f>
        <v>https://www.youtube.com/live/xp0K3WVssKY?si=LZW-N2O4nOZbWeQk</v>
      </c>
      <c r="Z1055" s="16" t="str">
        <f>HYPERLINK($X1055&amp;SUBSTITUTE(マスタ!$C$3,"XXXXX",$W1055))</f>
        <v>https://www.youtube.com/live/xp0K3WVssKY?si=LZW-N2O4nOZbWeQk&amp;t=4884s</v>
      </c>
      <c r="AA1055" s="12" t="str">
        <f t="shared" si="51"/>
        <v>スキマスイッチ全力少年</v>
      </c>
    </row>
    <row r="1056" spans="1:27" x14ac:dyDescent="0.4">
      <c r="A1056" s="14">
        <f t="shared" si="52"/>
        <v>1055</v>
      </c>
      <c r="B1056" s="14">
        <v>135</v>
      </c>
      <c r="C1056" s="21" t="s">
        <v>2289</v>
      </c>
      <c r="D1056" s="14" t="s">
        <v>2143</v>
      </c>
      <c r="E1056" s="14" t="s">
        <v>847</v>
      </c>
      <c r="G1056" s="1" t="str">
        <f>_xlfn.XLOOKUP(B1056,M_YT_LIVE!A:A,M_YT_LIVE!F:F,"ERROR",0,1)</f>
        <v>弾き語り</v>
      </c>
      <c r="W1056" s="13">
        <f t="shared" si="50"/>
        <v>5393</v>
      </c>
      <c r="X1056" s="12" t="str">
        <f>_xlfn.XLOOKUP($B1056,M_YT_LIVE!$A:$A,M_YT_LIVE!$D:$D)</f>
        <v>https://www.youtube.com/live/xp0K3WVssKY?si=LZW-N2O4nOZbWeQk</v>
      </c>
      <c r="Z1056" s="16" t="str">
        <f>HYPERLINK($X1056&amp;SUBSTITUTE(マスタ!$C$3,"XXXXX",$W1056))</f>
        <v>https://www.youtube.com/live/xp0K3WVssKY?si=LZW-N2O4nOZbWeQk&amp;t=5393s</v>
      </c>
      <c r="AA1056" s="12" t="str">
        <f t="shared" si="51"/>
        <v>スキマスイッチアイスクリーム シンドローム</v>
      </c>
    </row>
    <row r="1057" spans="1:27" x14ac:dyDescent="0.4">
      <c r="A1057" s="14">
        <f t="shared" si="52"/>
        <v>1056</v>
      </c>
      <c r="B1057" s="14">
        <v>135</v>
      </c>
      <c r="C1057" s="21" t="s">
        <v>2290</v>
      </c>
      <c r="D1057" s="14" t="s">
        <v>622</v>
      </c>
      <c r="E1057" s="14" t="s">
        <v>2291</v>
      </c>
      <c r="G1057" s="1" t="str">
        <f>_xlfn.XLOOKUP(B1057,M_YT_LIVE!A:A,M_YT_LIVE!F:F,"ERROR",0,1)</f>
        <v>弾き語り</v>
      </c>
      <c r="W1057" s="13">
        <f t="shared" si="50"/>
        <v>5892</v>
      </c>
      <c r="X1057" s="12" t="str">
        <f>_xlfn.XLOOKUP($B1057,M_YT_LIVE!$A:$A,M_YT_LIVE!$D:$D)</f>
        <v>https://www.youtube.com/live/xp0K3WVssKY?si=LZW-N2O4nOZbWeQk</v>
      </c>
      <c r="Z1057" s="16" t="str">
        <f>HYPERLINK($X1057&amp;SUBSTITUTE(マスタ!$C$3,"XXXXX",$W1057))</f>
        <v>https://www.youtube.com/live/xp0K3WVssKY?si=LZW-N2O4nOZbWeQk&amp;t=5892s</v>
      </c>
      <c r="AA1057" s="12" t="str">
        <f t="shared" si="51"/>
        <v>シェリル・ノームstarring May'nダイアモンドクレバス</v>
      </c>
    </row>
    <row r="1058" spans="1:27" x14ac:dyDescent="0.4">
      <c r="A1058" s="14">
        <f t="shared" si="52"/>
        <v>1057</v>
      </c>
      <c r="B1058" s="14">
        <v>135</v>
      </c>
      <c r="C1058" s="21" t="s">
        <v>2292</v>
      </c>
      <c r="D1058" s="14" t="s">
        <v>1483</v>
      </c>
      <c r="E1058" s="14" t="s">
        <v>924</v>
      </c>
      <c r="G1058" s="1" t="str">
        <f>_xlfn.XLOOKUP(B1058,M_YT_LIVE!A:A,M_YT_LIVE!F:F,"ERROR",0,1)</f>
        <v>弾き語り</v>
      </c>
      <c r="W1058" s="13">
        <f t="shared" si="50"/>
        <v>6427</v>
      </c>
      <c r="X1058" s="12" t="str">
        <f>_xlfn.XLOOKUP($B1058,M_YT_LIVE!$A:$A,M_YT_LIVE!$D:$D)</f>
        <v>https://www.youtube.com/live/xp0K3WVssKY?si=LZW-N2O4nOZbWeQk</v>
      </c>
      <c r="Z1058" s="16" t="str">
        <f>HYPERLINK($X1058&amp;SUBSTITUTE(マスタ!$C$3,"XXXXX",$W1058))</f>
        <v>https://www.youtube.com/live/xp0K3WVssKY?si=LZW-N2O4nOZbWeQk&amp;t=6427s</v>
      </c>
      <c r="AA1058" s="12" t="str">
        <f t="shared" si="51"/>
        <v>幽音しのFrom now on</v>
      </c>
    </row>
    <row r="1059" spans="1:27" x14ac:dyDescent="0.4">
      <c r="A1059" s="14">
        <f t="shared" si="52"/>
        <v>1058</v>
      </c>
      <c r="B1059" s="14">
        <v>137</v>
      </c>
      <c r="C1059" s="21" t="s">
        <v>1588</v>
      </c>
      <c r="D1059" s="14" t="s">
        <v>2297</v>
      </c>
      <c r="E1059" s="14" t="s">
        <v>716</v>
      </c>
      <c r="G1059" s="1" t="str">
        <f>_xlfn.XLOOKUP(B1059,M_YT_LIVE!A:A,M_YT_LIVE!F:F,"ERROR",0,1)</f>
        <v>弾き語り</v>
      </c>
      <c r="W1059" s="13">
        <f t="shared" si="50"/>
        <v>367</v>
      </c>
      <c r="X1059" s="12" t="str">
        <f>_xlfn.XLOOKUP($B1059,M_YT_LIVE!$A:$A,M_YT_LIVE!$D:$D)</f>
        <v>https://www.youtube.com/live/OColkUKqs90?si=u_QJLT5Paxmg4Fbl</v>
      </c>
      <c r="Z1059" s="16" t="str">
        <f>HYPERLINK($X1059&amp;SUBSTITUTE(マスタ!$C$3,"XXXXX",$W1059))</f>
        <v>https://www.youtube.com/live/OColkUKqs90?si=u_QJLT5Paxmg4Fbl&amp;t=367s</v>
      </c>
      <c r="AA1059" s="12" t="str">
        <f t="shared" si="51"/>
        <v>RADWIMPS正解</v>
      </c>
    </row>
    <row r="1060" spans="1:27" x14ac:dyDescent="0.4">
      <c r="A1060" s="14">
        <f t="shared" si="52"/>
        <v>1059</v>
      </c>
      <c r="B1060" s="14">
        <v>137</v>
      </c>
      <c r="C1060" s="21" t="s">
        <v>1149</v>
      </c>
      <c r="D1060" s="14" t="s">
        <v>2298</v>
      </c>
      <c r="E1060" s="14" t="s">
        <v>716</v>
      </c>
      <c r="G1060" s="1" t="str">
        <f>_xlfn.XLOOKUP(B1060,M_YT_LIVE!A:A,M_YT_LIVE!F:F,"ERROR",0,1)</f>
        <v>弾き語り</v>
      </c>
      <c r="W1060" s="13">
        <f t="shared" si="50"/>
        <v>1240</v>
      </c>
      <c r="X1060" s="12" t="str">
        <f>_xlfn.XLOOKUP($B1060,M_YT_LIVE!$A:$A,M_YT_LIVE!$D:$D)</f>
        <v>https://www.youtube.com/live/OColkUKqs90?si=u_QJLT5Paxmg4Fbl</v>
      </c>
      <c r="Z1060" s="16" t="str">
        <f>HYPERLINK($X1060&amp;SUBSTITUTE(マスタ!$C$3,"XXXXX",$W1060))</f>
        <v>https://www.youtube.com/live/OColkUKqs90?si=u_QJLT5Paxmg4Fbl&amp;t=1240s</v>
      </c>
      <c r="AA1060" s="12" t="str">
        <f t="shared" si="51"/>
        <v>RADWIMPSそっけない</v>
      </c>
    </row>
    <row r="1061" spans="1:27" x14ac:dyDescent="0.4">
      <c r="A1061" s="14">
        <f t="shared" si="52"/>
        <v>1060</v>
      </c>
      <c r="B1061" s="14">
        <v>137</v>
      </c>
      <c r="C1061" s="21" t="s">
        <v>2299</v>
      </c>
      <c r="D1061" s="14" t="s">
        <v>2300</v>
      </c>
      <c r="E1061" s="14" t="s">
        <v>716</v>
      </c>
      <c r="G1061" s="1" t="str">
        <f>_xlfn.XLOOKUP(B1061,M_YT_LIVE!A:A,M_YT_LIVE!F:F,"ERROR",0,1)</f>
        <v>弾き語り</v>
      </c>
      <c r="W1061" s="13">
        <f t="shared" si="50"/>
        <v>1972</v>
      </c>
      <c r="X1061" s="12" t="str">
        <f>_xlfn.XLOOKUP($B1061,M_YT_LIVE!$A:$A,M_YT_LIVE!$D:$D)</f>
        <v>https://www.youtube.com/live/OColkUKqs90?si=u_QJLT5Paxmg4Fbl</v>
      </c>
      <c r="Z1061" s="16" t="str">
        <f>HYPERLINK($X1061&amp;SUBSTITUTE(マスタ!$C$3,"XXXXX",$W1061))</f>
        <v>https://www.youtube.com/live/OColkUKqs90?si=u_QJLT5Paxmg4Fbl&amp;t=1972s</v>
      </c>
      <c r="AA1061" s="12" t="str">
        <f t="shared" si="51"/>
        <v>RADWIMPSおしゃかしゃま</v>
      </c>
    </row>
    <row r="1062" spans="1:27" x14ac:dyDescent="0.4">
      <c r="A1062" s="14">
        <f t="shared" si="52"/>
        <v>1061</v>
      </c>
      <c r="B1062" s="14">
        <v>137</v>
      </c>
      <c r="C1062" s="21" t="s">
        <v>2301</v>
      </c>
      <c r="D1062" s="14" t="s">
        <v>1454</v>
      </c>
      <c r="E1062" s="14" t="s">
        <v>716</v>
      </c>
      <c r="G1062" s="1" t="str">
        <f>_xlfn.XLOOKUP(B1062,M_YT_LIVE!A:A,M_YT_LIVE!F:F,"ERROR",0,1)</f>
        <v>弾き語り</v>
      </c>
      <c r="W1062" s="13">
        <f t="shared" si="50"/>
        <v>2870</v>
      </c>
      <c r="X1062" s="12" t="str">
        <f>_xlfn.XLOOKUP($B1062,M_YT_LIVE!$A:$A,M_YT_LIVE!$D:$D)</f>
        <v>https://www.youtube.com/live/OColkUKqs90?si=u_QJLT5Paxmg4Fbl</v>
      </c>
      <c r="Z1062" s="16" t="str">
        <f>HYPERLINK($X1062&amp;SUBSTITUTE(マスタ!$C$3,"XXXXX",$W1062))</f>
        <v>https://www.youtube.com/live/OColkUKqs90?si=u_QJLT5Paxmg4Fbl&amp;t=2870s</v>
      </c>
      <c r="AA1062" s="12" t="str">
        <f t="shared" si="51"/>
        <v>RADWIMPS夢灯篭</v>
      </c>
    </row>
    <row r="1063" spans="1:27" x14ac:dyDescent="0.4">
      <c r="A1063" s="14">
        <f t="shared" si="52"/>
        <v>1062</v>
      </c>
      <c r="B1063" s="14">
        <v>137</v>
      </c>
      <c r="C1063" s="21" t="s">
        <v>2302</v>
      </c>
      <c r="D1063" s="14" t="s">
        <v>1194</v>
      </c>
      <c r="E1063" s="14" t="s">
        <v>716</v>
      </c>
      <c r="G1063" s="1" t="str">
        <f>_xlfn.XLOOKUP(B1063,M_YT_LIVE!A:A,M_YT_LIVE!F:F,"ERROR",0,1)</f>
        <v>弾き語り</v>
      </c>
      <c r="W1063" s="13">
        <f t="shared" si="50"/>
        <v>3169</v>
      </c>
      <c r="X1063" s="12" t="str">
        <f>_xlfn.XLOOKUP($B1063,M_YT_LIVE!$A:$A,M_YT_LIVE!$D:$D)</f>
        <v>https://www.youtube.com/live/OColkUKqs90?si=u_QJLT5Paxmg4Fbl</v>
      </c>
      <c r="Z1063" s="16" t="str">
        <f>HYPERLINK($X1063&amp;SUBSTITUTE(マスタ!$C$3,"XXXXX",$W1063))</f>
        <v>https://www.youtube.com/live/OColkUKqs90?si=u_QJLT5Paxmg4Fbl&amp;t=3169s</v>
      </c>
      <c r="AA1063" s="12" t="str">
        <f t="shared" si="51"/>
        <v>RADWIMPS前前前世</v>
      </c>
    </row>
    <row r="1064" spans="1:27" x14ac:dyDescent="0.4">
      <c r="A1064" s="14">
        <f t="shared" si="52"/>
        <v>1063</v>
      </c>
      <c r="B1064" s="14">
        <v>137</v>
      </c>
      <c r="C1064" s="21" t="s">
        <v>2303</v>
      </c>
      <c r="D1064" s="14" t="s">
        <v>1557</v>
      </c>
      <c r="E1064" s="14" t="s">
        <v>716</v>
      </c>
      <c r="G1064" s="1" t="str">
        <f>_xlfn.XLOOKUP(B1064,M_YT_LIVE!A:A,M_YT_LIVE!F:F,"ERROR",0,1)</f>
        <v>弾き語り</v>
      </c>
      <c r="W1064" s="13">
        <f t="shared" si="50"/>
        <v>3648</v>
      </c>
      <c r="X1064" s="12" t="str">
        <f>_xlfn.XLOOKUP($B1064,M_YT_LIVE!$A:$A,M_YT_LIVE!$D:$D)</f>
        <v>https://www.youtube.com/live/OColkUKqs90?si=u_QJLT5Paxmg4Fbl</v>
      </c>
      <c r="Z1064" s="16" t="str">
        <f>HYPERLINK($X1064&amp;SUBSTITUTE(マスタ!$C$3,"XXXXX",$W1064))</f>
        <v>https://www.youtube.com/live/OColkUKqs90?si=u_QJLT5Paxmg4Fbl&amp;t=3648s</v>
      </c>
      <c r="AA1064" s="12" t="str">
        <f t="shared" si="51"/>
        <v>RADWIMPSスパークル</v>
      </c>
    </row>
    <row r="1065" spans="1:27" x14ac:dyDescent="0.4">
      <c r="A1065" s="14">
        <f t="shared" si="52"/>
        <v>1064</v>
      </c>
      <c r="B1065" s="14">
        <v>137</v>
      </c>
      <c r="C1065" s="21" t="s">
        <v>833</v>
      </c>
      <c r="D1065" s="14" t="s">
        <v>715</v>
      </c>
      <c r="E1065" s="14" t="s">
        <v>716</v>
      </c>
      <c r="G1065" s="1" t="str">
        <f>_xlfn.XLOOKUP(B1065,M_YT_LIVE!A:A,M_YT_LIVE!F:F,"ERROR",0,1)</f>
        <v>弾き語り</v>
      </c>
      <c r="W1065" s="13">
        <f t="shared" si="50"/>
        <v>4245</v>
      </c>
      <c r="X1065" s="12" t="str">
        <f>_xlfn.XLOOKUP($B1065,M_YT_LIVE!$A:$A,M_YT_LIVE!$D:$D)</f>
        <v>https://www.youtube.com/live/OColkUKqs90?si=u_QJLT5Paxmg4Fbl</v>
      </c>
      <c r="Z1065" s="16" t="str">
        <f>HYPERLINK($X1065&amp;SUBSTITUTE(マスタ!$C$3,"XXXXX",$W1065))</f>
        <v>https://www.youtube.com/live/OColkUKqs90?si=u_QJLT5Paxmg4Fbl&amp;t=4245s</v>
      </c>
      <c r="AA1065" s="12" t="str">
        <f t="shared" si="51"/>
        <v>RADWIMPSなんでもないや</v>
      </c>
    </row>
    <row r="1066" spans="1:27" x14ac:dyDescent="0.4">
      <c r="A1066" s="14">
        <f t="shared" si="52"/>
        <v>1065</v>
      </c>
      <c r="B1066" s="14">
        <v>140</v>
      </c>
      <c r="C1066" s="21" t="s">
        <v>2311</v>
      </c>
      <c r="D1066" s="14" t="s">
        <v>2312</v>
      </c>
      <c r="E1066" s="14" t="s">
        <v>2313</v>
      </c>
      <c r="G1066" s="1" t="str">
        <f>_xlfn.XLOOKUP(B1066,M_YT_LIVE!A:A,M_YT_LIVE!F:F,"ERROR",0,1)</f>
        <v>弾き語り</v>
      </c>
      <c r="W1066" s="13">
        <f t="shared" si="50"/>
        <v>299</v>
      </c>
      <c r="X1066" s="12" t="str">
        <f>_xlfn.XLOOKUP($B1066,M_YT_LIVE!$A:$A,M_YT_LIVE!$D:$D)</f>
        <v>https://www.youtube.com/live/MRm5RirWRTc?si=-La1GXnNoxw2IMQH</v>
      </c>
      <c r="Z1066" s="16" t="str">
        <f>HYPERLINK($X1066&amp;SUBSTITUTE(マスタ!$C$3,"XXXXX",$W1066))</f>
        <v>https://www.youtube.com/live/MRm5RirWRTc?si=-La1GXnNoxw2IMQH&amp;t=299s</v>
      </c>
      <c r="AA1066" s="12" t="str">
        <f t="shared" si="51"/>
        <v>神戸孝夫(日本)サンタが街にやってくる</v>
      </c>
    </row>
    <row r="1067" spans="1:27" x14ac:dyDescent="0.4">
      <c r="A1067" s="14">
        <f t="shared" si="52"/>
        <v>1066</v>
      </c>
      <c r="B1067" s="14">
        <v>140</v>
      </c>
      <c r="C1067" s="21" t="s">
        <v>405</v>
      </c>
      <c r="D1067" s="14" t="s">
        <v>2188</v>
      </c>
      <c r="E1067" s="14" t="s">
        <v>2189</v>
      </c>
      <c r="G1067" s="1" t="str">
        <f>_xlfn.XLOOKUP(B1067,M_YT_LIVE!A:A,M_YT_LIVE!F:F,"ERROR",0,1)</f>
        <v>弾き語り</v>
      </c>
      <c r="W1067" s="13">
        <f t="shared" si="50"/>
        <v>677.00000000000011</v>
      </c>
      <c r="X1067" s="12" t="str">
        <f>_xlfn.XLOOKUP($B1067,M_YT_LIVE!$A:$A,M_YT_LIVE!$D:$D)</f>
        <v>https://www.youtube.com/live/MRm5RirWRTc?si=-La1GXnNoxw2IMQH</v>
      </c>
      <c r="Z1067" s="16" t="str">
        <f>HYPERLINK($X1067&amp;SUBSTITUTE(マスタ!$C$3,"XXXXX",$W1067))</f>
        <v>https://www.youtube.com/live/MRm5RirWRTc?si=-La1GXnNoxw2IMQH&amp;t=677s</v>
      </c>
      <c r="AA1067" s="12" t="str">
        <f t="shared" si="51"/>
        <v>コレサワたばこ</v>
      </c>
    </row>
    <row r="1068" spans="1:27" x14ac:dyDescent="0.4">
      <c r="A1068" s="14">
        <f t="shared" si="52"/>
        <v>1067</v>
      </c>
      <c r="B1068" s="14">
        <v>140</v>
      </c>
      <c r="C1068" s="21" t="s">
        <v>2314</v>
      </c>
      <c r="D1068" s="14" t="s">
        <v>29</v>
      </c>
      <c r="E1068" s="14" t="s">
        <v>183</v>
      </c>
      <c r="G1068" s="1" t="str">
        <f>_xlfn.XLOOKUP(B1068,M_YT_LIVE!A:A,M_YT_LIVE!F:F,"ERROR",0,1)</f>
        <v>弾き語り</v>
      </c>
      <c r="W1068" s="13">
        <f t="shared" si="50"/>
        <v>1716</v>
      </c>
      <c r="X1068" s="12" t="str">
        <f>_xlfn.XLOOKUP($B1068,M_YT_LIVE!$A:$A,M_YT_LIVE!$D:$D)</f>
        <v>https://www.youtube.com/live/MRm5RirWRTc?si=-La1GXnNoxw2IMQH</v>
      </c>
      <c r="Z1068" s="16" t="str">
        <f>HYPERLINK($X1068&amp;SUBSTITUTE(マスタ!$C$3,"XXXXX",$W1068))</f>
        <v>https://www.youtube.com/live/MRm5RirWRTc?si=-La1GXnNoxw2IMQH&amp;t=1716s</v>
      </c>
      <c r="AA1068" s="12" t="str">
        <f t="shared" si="51"/>
        <v>クリープハイプ憂、燦々</v>
      </c>
    </row>
    <row r="1069" spans="1:27" x14ac:dyDescent="0.4">
      <c r="A1069" s="14">
        <f t="shared" si="52"/>
        <v>1068</v>
      </c>
      <c r="B1069" s="14">
        <v>140</v>
      </c>
      <c r="C1069" s="21" t="s">
        <v>2315</v>
      </c>
      <c r="D1069" s="14" t="s">
        <v>1672</v>
      </c>
      <c r="E1069" s="14" t="s">
        <v>790</v>
      </c>
      <c r="G1069" s="1" t="str">
        <f>_xlfn.XLOOKUP(B1069,M_YT_LIVE!A:A,M_YT_LIVE!F:F,"ERROR",0,1)</f>
        <v>弾き語り</v>
      </c>
      <c r="W1069" s="13">
        <f t="shared" si="50"/>
        <v>2201</v>
      </c>
      <c r="X1069" s="12" t="str">
        <f>_xlfn.XLOOKUP($B1069,M_YT_LIVE!$A:$A,M_YT_LIVE!$D:$D)</f>
        <v>https://www.youtube.com/live/MRm5RirWRTc?si=-La1GXnNoxw2IMQH</v>
      </c>
      <c r="Z1069" s="16" t="str">
        <f>HYPERLINK($X1069&amp;SUBSTITUTE(マスタ!$C$3,"XXXXX",$W1069))</f>
        <v>https://www.youtube.com/live/MRm5RirWRTc?si=-La1GXnNoxw2IMQH&amp;t=2201s</v>
      </c>
      <c r="AA1069" s="12" t="str">
        <f t="shared" si="51"/>
        <v>CHiCO with HoneyWorks世界は恋に落ちている</v>
      </c>
    </row>
    <row r="1070" spans="1:27" x14ac:dyDescent="0.4">
      <c r="A1070" s="14">
        <f t="shared" si="52"/>
        <v>1069</v>
      </c>
      <c r="B1070" s="14">
        <v>140</v>
      </c>
      <c r="C1070" s="21" t="s">
        <v>2316</v>
      </c>
      <c r="D1070" s="14" t="s">
        <v>2317</v>
      </c>
      <c r="E1070" s="14" t="s">
        <v>2318</v>
      </c>
      <c r="G1070" s="1" t="str">
        <f>_xlfn.XLOOKUP(B1070,M_YT_LIVE!A:A,M_YT_LIVE!F:F,"ERROR",0,1)</f>
        <v>弾き語り</v>
      </c>
      <c r="W1070" s="13">
        <f t="shared" si="50"/>
        <v>2722.0000000000005</v>
      </c>
      <c r="X1070" s="12" t="str">
        <f>_xlfn.XLOOKUP($B1070,M_YT_LIVE!$A:$A,M_YT_LIVE!$D:$D)</f>
        <v>https://www.youtube.com/live/MRm5RirWRTc?si=-La1GXnNoxw2IMQH</v>
      </c>
      <c r="Z1070" s="16" t="str">
        <f>HYPERLINK($X1070&amp;SUBSTITUTE(マスタ!$C$3,"XXXXX",$W1070))</f>
        <v>https://www.youtube.com/live/MRm5RirWRTc?si=-La1GXnNoxw2IMQH&amp;t=2722s</v>
      </c>
      <c r="AA1070" s="12" t="str">
        <f t="shared" si="51"/>
        <v>想太 feat.歌愛ユキいかないで</v>
      </c>
    </row>
    <row r="1071" spans="1:27" x14ac:dyDescent="0.4">
      <c r="A1071" s="14">
        <f t="shared" si="52"/>
        <v>1070</v>
      </c>
      <c r="B1071" s="14">
        <v>140</v>
      </c>
      <c r="C1071" s="21" t="s">
        <v>2319</v>
      </c>
      <c r="D1071" s="14" t="s">
        <v>2276</v>
      </c>
      <c r="E1071" s="14" t="s">
        <v>2277</v>
      </c>
      <c r="G1071" s="1" t="str">
        <f>_xlfn.XLOOKUP(B1071,M_YT_LIVE!A:A,M_YT_LIVE!F:F,"ERROR",0,1)</f>
        <v>弾き語り</v>
      </c>
      <c r="W1071" s="13">
        <f t="shared" si="50"/>
        <v>3093.0000000000005</v>
      </c>
      <c r="X1071" s="12" t="str">
        <f>_xlfn.XLOOKUP($B1071,M_YT_LIVE!$A:$A,M_YT_LIVE!$D:$D)</f>
        <v>https://www.youtube.com/live/MRm5RirWRTc?si=-La1GXnNoxw2IMQH</v>
      </c>
      <c r="Z1071" s="16" t="str">
        <f>HYPERLINK($X1071&amp;SUBSTITUTE(マスタ!$C$3,"XXXXX",$W1071))</f>
        <v>https://www.youtube.com/live/MRm5RirWRTc?si=-La1GXnNoxw2IMQH&amp;t=3093s</v>
      </c>
      <c r="AA1071" s="12" t="str">
        <f t="shared" si="51"/>
        <v>James Lord Pierpontジングルベル</v>
      </c>
    </row>
    <row r="1072" spans="1:27" x14ac:dyDescent="0.4">
      <c r="A1072" s="14">
        <f t="shared" si="52"/>
        <v>1071</v>
      </c>
      <c r="B1072" s="14">
        <v>140</v>
      </c>
      <c r="C1072" s="21" t="s">
        <v>2320</v>
      </c>
      <c r="D1072" s="14" t="s">
        <v>2321</v>
      </c>
      <c r="E1072" s="14" t="s">
        <v>2322</v>
      </c>
      <c r="G1072" s="1" t="str">
        <f>_xlfn.XLOOKUP(B1072,M_YT_LIVE!A:A,M_YT_LIVE!F:F,"ERROR",0,1)</f>
        <v>弾き語り</v>
      </c>
      <c r="W1072" s="13">
        <f t="shared" si="50"/>
        <v>3367.9999999999995</v>
      </c>
      <c r="X1072" s="12" t="str">
        <f>_xlfn.XLOOKUP($B1072,M_YT_LIVE!$A:$A,M_YT_LIVE!$D:$D)</f>
        <v>https://www.youtube.com/live/MRm5RirWRTc?si=-La1GXnNoxw2IMQH</v>
      </c>
      <c r="Z1072" s="16" t="str">
        <f>HYPERLINK($X1072&amp;SUBSTITUTE(マスタ!$C$3,"XXXXX",$W1072))</f>
        <v>https://www.youtube.com/live/MRm5RirWRTc?si=-La1GXnNoxw2IMQH&amp;t=3368s</v>
      </c>
      <c r="AA1072" s="12" t="str">
        <f t="shared" si="51"/>
        <v>瀧廉太郎お正月</v>
      </c>
    </row>
    <row r="1073" spans="1:27" x14ac:dyDescent="0.4">
      <c r="A1073" s="14">
        <f t="shared" si="52"/>
        <v>1072</v>
      </c>
      <c r="B1073" s="14">
        <v>140</v>
      </c>
      <c r="C1073" s="21" t="s">
        <v>2323</v>
      </c>
      <c r="D1073" s="14" t="s">
        <v>2324</v>
      </c>
      <c r="E1073" s="14" t="s">
        <v>2325</v>
      </c>
      <c r="G1073" s="1" t="str">
        <f>_xlfn.XLOOKUP(B1073,M_YT_LIVE!A:A,M_YT_LIVE!F:F,"ERROR",0,1)</f>
        <v>弾き語り</v>
      </c>
      <c r="W1073" s="13">
        <f t="shared" si="50"/>
        <v>3805</v>
      </c>
      <c r="X1073" s="12" t="str">
        <f>_xlfn.XLOOKUP($B1073,M_YT_LIVE!$A:$A,M_YT_LIVE!$D:$D)</f>
        <v>https://www.youtube.com/live/MRm5RirWRTc?si=-La1GXnNoxw2IMQH</v>
      </c>
      <c r="Z1073" s="16" t="str">
        <f>HYPERLINK($X1073&amp;SUBSTITUTE(マスタ!$C$3,"XXXXX",$W1073))</f>
        <v>https://www.youtube.com/live/MRm5RirWRTc?si=-La1GXnNoxw2IMQH&amp;t=3805s</v>
      </c>
      <c r="AA1073" s="12" t="str">
        <f t="shared" si="51"/>
        <v>Rudolph the Red-Nosed Reindeer赤鼻のトナカイ</v>
      </c>
    </row>
    <row r="1074" spans="1:27" x14ac:dyDescent="0.4">
      <c r="A1074" s="14">
        <f t="shared" si="52"/>
        <v>1073</v>
      </c>
      <c r="B1074" s="14">
        <v>140</v>
      </c>
      <c r="C1074" s="21" t="s">
        <v>2326</v>
      </c>
      <c r="D1074" s="14" t="s">
        <v>326</v>
      </c>
      <c r="E1074" s="14" t="s">
        <v>327</v>
      </c>
      <c r="G1074" s="1" t="str">
        <f>_xlfn.XLOOKUP(B1074,M_YT_LIVE!A:A,M_YT_LIVE!F:F,"ERROR",0,1)</f>
        <v>弾き語り</v>
      </c>
      <c r="W1074" s="13">
        <f t="shared" si="50"/>
        <v>4914</v>
      </c>
      <c r="X1074" s="12" t="str">
        <f>_xlfn.XLOOKUP($B1074,M_YT_LIVE!$A:$A,M_YT_LIVE!$D:$D)</f>
        <v>https://www.youtube.com/live/MRm5RirWRTc?si=-La1GXnNoxw2IMQH</v>
      </c>
      <c r="Z1074" s="16" t="str">
        <f>HYPERLINK($X1074&amp;SUBSTITUTE(マスタ!$C$3,"XXXXX",$W1074))</f>
        <v>https://www.youtube.com/live/MRm5RirWRTc?si=-La1GXnNoxw2IMQH&amp;t=4914s</v>
      </c>
      <c r="AA1074" s="12" t="str">
        <f t="shared" si="51"/>
        <v>レミオロメン粉雪</v>
      </c>
    </row>
    <row r="1075" spans="1:27" x14ac:dyDescent="0.4">
      <c r="A1075" s="14">
        <f t="shared" si="52"/>
        <v>1074</v>
      </c>
      <c r="B1075" s="14">
        <v>140</v>
      </c>
      <c r="C1075" s="21" t="s">
        <v>2327</v>
      </c>
      <c r="D1075" s="14" t="s">
        <v>2321</v>
      </c>
      <c r="E1075" s="14" t="s">
        <v>2322</v>
      </c>
      <c r="G1075" s="1" t="str">
        <f>_xlfn.XLOOKUP(B1075,M_YT_LIVE!A:A,M_YT_LIVE!F:F,"ERROR",0,1)</f>
        <v>弾き語り</v>
      </c>
      <c r="W1075" s="13">
        <f t="shared" si="50"/>
        <v>5411</v>
      </c>
      <c r="X1075" s="12" t="str">
        <f>_xlfn.XLOOKUP($B1075,M_YT_LIVE!$A:$A,M_YT_LIVE!$D:$D)</f>
        <v>https://www.youtube.com/live/MRm5RirWRTc?si=-La1GXnNoxw2IMQH</v>
      </c>
      <c r="Z1075" s="16" t="str">
        <f>HYPERLINK($X1075&amp;SUBSTITUTE(マスタ!$C$3,"XXXXX",$W1075))</f>
        <v>https://www.youtube.com/live/MRm5RirWRTc?si=-La1GXnNoxw2IMQH&amp;t=5411s</v>
      </c>
      <c r="AA1075" s="12" t="str">
        <f t="shared" si="51"/>
        <v>瀧廉太郎お正月</v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2026-01-11T14:37:28Z</dcterms:modified>
</cp:coreProperties>
</file>