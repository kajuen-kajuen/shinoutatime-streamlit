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BC6F0CCD-BD13-4331-8F5F-2397D19BC435}" xr6:coauthVersionLast="47" xr6:coauthVersionMax="47" xr10:uidLastSave="{00000000-0000-0000-0000-000000000000}"/>
  <bookViews>
    <workbookView xWindow="-120" yWindow="-120" windowWidth="29040" windowHeight="15720" xr2:uid="{3A3198A5-688A-495F-A904-EF8FE4BE0835}"/>
  </bookViews>
  <sheets>
    <sheet name="M_YT_LIVE" sheetId="1" r:id="rId1"/>
    <sheet name="M_YT_LIVE_TIMESTAMP" sheetId="3" r:id="rId2"/>
    <sheet name="###" sheetId="2" r:id="rId3"/>
    <sheet name="M_ARTIST" sheetId="6" r:id="rId4"/>
    <sheet name="マスタ" sheetId="4" r:id="rId5"/>
  </sheets>
  <definedNames>
    <definedName name="_xlnm._FilterDatabase" localSheetId="0" hidden="1">M_YT_LIVE!$A$1:$F$161</definedName>
    <definedName name="_xlnm._FilterDatabase" localSheetId="1" hidden="1">M_YT_LIVE_TIMESTAMP!$A$1:$E$1201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2" i="1" l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159" i="1"/>
  <c r="A160" i="1"/>
  <c r="A161" i="1"/>
  <c r="A152" i="1"/>
  <c r="A153" i="1"/>
  <c r="A154" i="1"/>
  <c r="A155" i="1"/>
  <c r="A156" i="1"/>
  <c r="A157" i="1"/>
  <c r="A158" i="1"/>
  <c r="A1192" i="3"/>
  <c r="W1192" i="3"/>
  <c r="AA1192" i="3"/>
  <c r="A1193" i="3"/>
  <c r="W1193" i="3"/>
  <c r="AA1193" i="3"/>
  <c r="A1194" i="3"/>
  <c r="W1194" i="3"/>
  <c r="AA1194" i="3"/>
  <c r="A1195" i="3"/>
  <c r="W1195" i="3"/>
  <c r="AA1195" i="3"/>
  <c r="A1196" i="3"/>
  <c r="W1196" i="3"/>
  <c r="AA1196" i="3"/>
  <c r="A1197" i="3"/>
  <c r="W1197" i="3"/>
  <c r="AA1197" i="3"/>
  <c r="A1198" i="3"/>
  <c r="W1198" i="3"/>
  <c r="AA1198" i="3"/>
  <c r="A1199" i="3"/>
  <c r="W1199" i="3"/>
  <c r="AA1199" i="3"/>
  <c r="A1200" i="3"/>
  <c r="W1200" i="3"/>
  <c r="AA1200" i="3"/>
  <c r="A1201" i="3"/>
  <c r="W1201" i="3"/>
  <c r="AA1201" i="3"/>
  <c r="A1173" i="3"/>
  <c r="W1173" i="3"/>
  <c r="AA1173" i="3"/>
  <c r="A1174" i="3"/>
  <c r="W1174" i="3"/>
  <c r="AA1174" i="3"/>
  <c r="A1175" i="3"/>
  <c r="W1175" i="3"/>
  <c r="AA1175" i="3"/>
  <c r="A1176" i="3"/>
  <c r="W1176" i="3"/>
  <c r="AA1176" i="3"/>
  <c r="A1177" i="3"/>
  <c r="W1177" i="3"/>
  <c r="AA1177" i="3"/>
  <c r="A1178" i="3"/>
  <c r="W1178" i="3"/>
  <c r="AA1178" i="3"/>
  <c r="A1179" i="3"/>
  <c r="W1179" i="3"/>
  <c r="AA1179" i="3"/>
  <c r="A1180" i="3"/>
  <c r="W1180" i="3"/>
  <c r="AA1180" i="3"/>
  <c r="A1181" i="3"/>
  <c r="W1181" i="3"/>
  <c r="AA1181" i="3"/>
  <c r="A1182" i="3"/>
  <c r="W1182" i="3"/>
  <c r="AA1182" i="3"/>
  <c r="A1183" i="3"/>
  <c r="W1183" i="3"/>
  <c r="AA1183" i="3"/>
  <c r="A1184" i="3"/>
  <c r="W1184" i="3"/>
  <c r="AA1184" i="3"/>
  <c r="A1185" i="3"/>
  <c r="W1185" i="3"/>
  <c r="AA1185" i="3"/>
  <c r="A1186" i="3"/>
  <c r="W1186" i="3"/>
  <c r="AA1186" i="3"/>
  <c r="A1187" i="3"/>
  <c r="W1187" i="3"/>
  <c r="AA1187" i="3"/>
  <c r="A1188" i="3"/>
  <c r="W1188" i="3"/>
  <c r="AA1188" i="3"/>
  <c r="A1189" i="3"/>
  <c r="W1189" i="3"/>
  <c r="AA1189" i="3"/>
  <c r="A1190" i="3"/>
  <c r="W1190" i="3"/>
  <c r="AA1190" i="3"/>
  <c r="A1191" i="3"/>
  <c r="W1191" i="3"/>
  <c r="AA1191" i="3"/>
  <c r="A901" i="3"/>
  <c r="W901" i="3"/>
  <c r="AA901" i="3"/>
  <c r="A902" i="3"/>
  <c r="W902" i="3"/>
  <c r="AA902" i="3"/>
  <c r="A903" i="3"/>
  <c r="W903" i="3"/>
  <c r="AA903" i="3"/>
  <c r="A904" i="3"/>
  <c r="W904" i="3"/>
  <c r="AA904" i="3"/>
  <c r="A905" i="3"/>
  <c r="W905" i="3"/>
  <c r="AA905" i="3"/>
  <c r="A906" i="3"/>
  <c r="W906" i="3"/>
  <c r="AA906" i="3"/>
  <c r="A907" i="3"/>
  <c r="W907" i="3"/>
  <c r="AA907" i="3"/>
  <c r="A908" i="3"/>
  <c r="W908" i="3"/>
  <c r="AA908" i="3"/>
  <c r="A909" i="3"/>
  <c r="W909" i="3"/>
  <c r="AA909" i="3"/>
  <c r="A910" i="3"/>
  <c r="W910" i="3"/>
  <c r="AA910" i="3"/>
  <c r="A911" i="3"/>
  <c r="W911" i="3"/>
  <c r="AA911" i="3"/>
  <c r="A912" i="3"/>
  <c r="W912" i="3"/>
  <c r="AA912" i="3"/>
  <c r="A913" i="3"/>
  <c r="W913" i="3"/>
  <c r="AA913" i="3"/>
  <c r="A914" i="3"/>
  <c r="W914" i="3"/>
  <c r="AA914" i="3"/>
  <c r="A915" i="3"/>
  <c r="W915" i="3"/>
  <c r="AA915" i="3"/>
  <c r="A916" i="3"/>
  <c r="W916" i="3"/>
  <c r="AA916" i="3"/>
  <c r="A917" i="3"/>
  <c r="W917" i="3"/>
  <c r="AA917" i="3"/>
  <c r="A918" i="3"/>
  <c r="W918" i="3"/>
  <c r="AA918" i="3"/>
  <c r="A919" i="3"/>
  <c r="W919" i="3"/>
  <c r="AA919" i="3"/>
  <c r="A920" i="3"/>
  <c r="W920" i="3"/>
  <c r="AA920" i="3"/>
  <c r="A921" i="3"/>
  <c r="W921" i="3"/>
  <c r="AA921" i="3"/>
  <c r="A922" i="3"/>
  <c r="W922" i="3"/>
  <c r="AA922" i="3"/>
  <c r="A923" i="3"/>
  <c r="W923" i="3"/>
  <c r="AA923" i="3"/>
  <c r="A924" i="3"/>
  <c r="W924" i="3"/>
  <c r="AA924" i="3"/>
  <c r="A925" i="3"/>
  <c r="W925" i="3"/>
  <c r="AA925" i="3"/>
  <c r="A926" i="3"/>
  <c r="W926" i="3"/>
  <c r="AA926" i="3"/>
  <c r="A927" i="3"/>
  <c r="W927" i="3"/>
  <c r="AA927" i="3"/>
  <c r="A928" i="3"/>
  <c r="W928" i="3"/>
  <c r="AA928" i="3"/>
  <c r="A929" i="3"/>
  <c r="W929" i="3"/>
  <c r="AA929" i="3"/>
  <c r="A930" i="3"/>
  <c r="W930" i="3"/>
  <c r="AA930" i="3"/>
  <c r="A931" i="3"/>
  <c r="W931" i="3"/>
  <c r="AA931" i="3"/>
  <c r="A932" i="3"/>
  <c r="W932" i="3"/>
  <c r="AA932" i="3"/>
  <c r="A933" i="3"/>
  <c r="W933" i="3"/>
  <c r="AA933" i="3"/>
  <c r="A934" i="3"/>
  <c r="W934" i="3"/>
  <c r="AA934" i="3"/>
  <c r="A935" i="3"/>
  <c r="W935" i="3"/>
  <c r="AA935" i="3"/>
  <c r="A936" i="3"/>
  <c r="W936" i="3"/>
  <c r="AA936" i="3"/>
  <c r="A937" i="3"/>
  <c r="W937" i="3"/>
  <c r="AA937" i="3"/>
  <c r="A938" i="3"/>
  <c r="W938" i="3"/>
  <c r="AA938" i="3"/>
  <c r="A939" i="3"/>
  <c r="W939" i="3"/>
  <c r="AA939" i="3"/>
  <c r="A940" i="3"/>
  <c r="W940" i="3"/>
  <c r="AA940" i="3"/>
  <c r="A941" i="3"/>
  <c r="W941" i="3"/>
  <c r="AA941" i="3"/>
  <c r="A942" i="3"/>
  <c r="W942" i="3"/>
  <c r="AA942" i="3"/>
  <c r="A943" i="3"/>
  <c r="W943" i="3"/>
  <c r="AA943" i="3"/>
  <c r="A944" i="3"/>
  <c r="W944" i="3"/>
  <c r="AA944" i="3"/>
  <c r="A945" i="3"/>
  <c r="W945" i="3"/>
  <c r="AA945" i="3"/>
  <c r="A946" i="3"/>
  <c r="W946" i="3"/>
  <c r="AA946" i="3"/>
  <c r="A947" i="3"/>
  <c r="W947" i="3"/>
  <c r="AA947" i="3"/>
  <c r="A948" i="3"/>
  <c r="W948" i="3"/>
  <c r="AA948" i="3"/>
  <c r="A949" i="3"/>
  <c r="W949" i="3"/>
  <c r="AA949" i="3"/>
  <c r="A950" i="3"/>
  <c r="W950" i="3"/>
  <c r="AA950" i="3"/>
  <c r="A951" i="3"/>
  <c r="W951" i="3"/>
  <c r="AA951" i="3"/>
  <c r="A952" i="3"/>
  <c r="W952" i="3"/>
  <c r="AA952" i="3"/>
  <c r="A953" i="3"/>
  <c r="W953" i="3"/>
  <c r="AA953" i="3"/>
  <c r="A954" i="3"/>
  <c r="W954" i="3"/>
  <c r="AA954" i="3"/>
  <c r="A955" i="3"/>
  <c r="W955" i="3"/>
  <c r="AA955" i="3"/>
  <c r="A956" i="3"/>
  <c r="W956" i="3"/>
  <c r="AA956" i="3"/>
  <c r="A957" i="3"/>
  <c r="W957" i="3"/>
  <c r="AA957" i="3"/>
  <c r="A958" i="3"/>
  <c r="W958" i="3"/>
  <c r="AA958" i="3"/>
  <c r="A959" i="3"/>
  <c r="W959" i="3"/>
  <c r="AA959" i="3"/>
  <c r="A960" i="3"/>
  <c r="W960" i="3"/>
  <c r="AA960" i="3"/>
  <c r="A961" i="3"/>
  <c r="W961" i="3"/>
  <c r="AA961" i="3"/>
  <c r="A962" i="3"/>
  <c r="W962" i="3"/>
  <c r="AA962" i="3"/>
  <c r="A963" i="3"/>
  <c r="W963" i="3"/>
  <c r="AA963" i="3"/>
  <c r="A964" i="3"/>
  <c r="W964" i="3"/>
  <c r="AA964" i="3"/>
  <c r="A965" i="3"/>
  <c r="W965" i="3"/>
  <c r="AA965" i="3"/>
  <c r="A966" i="3"/>
  <c r="W966" i="3"/>
  <c r="AA966" i="3"/>
  <c r="A967" i="3"/>
  <c r="W967" i="3"/>
  <c r="AA967" i="3"/>
  <c r="A968" i="3"/>
  <c r="W968" i="3"/>
  <c r="AA968" i="3"/>
  <c r="A969" i="3"/>
  <c r="W969" i="3"/>
  <c r="AA969" i="3"/>
  <c r="A970" i="3"/>
  <c r="W970" i="3"/>
  <c r="AA970" i="3"/>
  <c r="A971" i="3"/>
  <c r="W971" i="3"/>
  <c r="AA971" i="3"/>
  <c r="A972" i="3"/>
  <c r="W972" i="3"/>
  <c r="AA972" i="3"/>
  <c r="A973" i="3"/>
  <c r="W973" i="3"/>
  <c r="AA973" i="3"/>
  <c r="A974" i="3"/>
  <c r="W974" i="3"/>
  <c r="AA974" i="3"/>
  <c r="A975" i="3"/>
  <c r="W975" i="3"/>
  <c r="AA975" i="3"/>
  <c r="A976" i="3"/>
  <c r="W976" i="3"/>
  <c r="AA976" i="3"/>
  <c r="A977" i="3"/>
  <c r="W977" i="3"/>
  <c r="AA977" i="3"/>
  <c r="A978" i="3"/>
  <c r="W978" i="3"/>
  <c r="AA978" i="3"/>
  <c r="A979" i="3"/>
  <c r="W979" i="3"/>
  <c r="AA979" i="3"/>
  <c r="A980" i="3"/>
  <c r="W980" i="3"/>
  <c r="AA980" i="3"/>
  <c r="A981" i="3"/>
  <c r="W981" i="3"/>
  <c r="AA981" i="3"/>
  <c r="A982" i="3"/>
  <c r="W982" i="3"/>
  <c r="AA982" i="3"/>
  <c r="A983" i="3"/>
  <c r="W983" i="3"/>
  <c r="AA983" i="3"/>
  <c r="A984" i="3"/>
  <c r="W984" i="3"/>
  <c r="AA984" i="3"/>
  <c r="A985" i="3"/>
  <c r="W985" i="3"/>
  <c r="AA985" i="3"/>
  <c r="A986" i="3"/>
  <c r="W986" i="3"/>
  <c r="AA986" i="3"/>
  <c r="A987" i="3"/>
  <c r="W987" i="3"/>
  <c r="AA987" i="3"/>
  <c r="A988" i="3"/>
  <c r="W988" i="3"/>
  <c r="AA988" i="3"/>
  <c r="A989" i="3"/>
  <c r="W989" i="3"/>
  <c r="AA989" i="3"/>
  <c r="A990" i="3"/>
  <c r="W990" i="3"/>
  <c r="AA990" i="3"/>
  <c r="A991" i="3"/>
  <c r="W991" i="3"/>
  <c r="AA991" i="3"/>
  <c r="A992" i="3"/>
  <c r="W992" i="3"/>
  <c r="AA992" i="3"/>
  <c r="A993" i="3"/>
  <c r="W993" i="3"/>
  <c r="AA993" i="3"/>
  <c r="A994" i="3"/>
  <c r="W994" i="3"/>
  <c r="AA994" i="3"/>
  <c r="A995" i="3"/>
  <c r="W995" i="3"/>
  <c r="AA995" i="3"/>
  <c r="A996" i="3"/>
  <c r="W996" i="3"/>
  <c r="AA996" i="3"/>
  <c r="A997" i="3"/>
  <c r="W997" i="3"/>
  <c r="AA997" i="3"/>
  <c r="A998" i="3"/>
  <c r="W998" i="3"/>
  <c r="AA998" i="3"/>
  <c r="A999" i="3"/>
  <c r="W999" i="3"/>
  <c r="AA999" i="3"/>
  <c r="A1000" i="3"/>
  <c r="W1000" i="3"/>
  <c r="AA1000" i="3"/>
  <c r="A1001" i="3"/>
  <c r="W1001" i="3"/>
  <c r="AA1001" i="3"/>
  <c r="A1002" i="3"/>
  <c r="W1002" i="3"/>
  <c r="AA1002" i="3"/>
  <c r="A1003" i="3"/>
  <c r="W1003" i="3"/>
  <c r="AA1003" i="3"/>
  <c r="A1004" i="3"/>
  <c r="W1004" i="3"/>
  <c r="AA1004" i="3"/>
  <c r="A1005" i="3"/>
  <c r="W1005" i="3"/>
  <c r="AA1005" i="3"/>
  <c r="A1006" i="3"/>
  <c r="W1006" i="3"/>
  <c r="AA1006" i="3"/>
  <c r="A1007" i="3"/>
  <c r="W1007" i="3"/>
  <c r="AA1007" i="3"/>
  <c r="A1008" i="3"/>
  <c r="W1008" i="3"/>
  <c r="AA1008" i="3"/>
  <c r="A1009" i="3"/>
  <c r="W1009" i="3"/>
  <c r="AA1009" i="3"/>
  <c r="A1010" i="3"/>
  <c r="W1010" i="3"/>
  <c r="AA1010" i="3"/>
  <c r="A1011" i="3"/>
  <c r="W1011" i="3"/>
  <c r="AA1011" i="3"/>
  <c r="A1012" i="3"/>
  <c r="W1012" i="3"/>
  <c r="AA1012" i="3"/>
  <c r="A1013" i="3"/>
  <c r="W1013" i="3"/>
  <c r="AA1013" i="3"/>
  <c r="A1014" i="3"/>
  <c r="W1014" i="3"/>
  <c r="AA1014" i="3"/>
  <c r="A1015" i="3"/>
  <c r="W1015" i="3"/>
  <c r="AA1015" i="3"/>
  <c r="A1016" i="3"/>
  <c r="W1016" i="3"/>
  <c r="AA1016" i="3"/>
  <c r="A1017" i="3"/>
  <c r="W1017" i="3"/>
  <c r="AA1017" i="3"/>
  <c r="A1018" i="3"/>
  <c r="W1018" i="3"/>
  <c r="AA1018" i="3"/>
  <c r="A1019" i="3"/>
  <c r="W1019" i="3"/>
  <c r="AA1019" i="3"/>
  <c r="A1020" i="3"/>
  <c r="W1020" i="3"/>
  <c r="AA1020" i="3"/>
  <c r="A1021" i="3"/>
  <c r="W1021" i="3"/>
  <c r="AA1021" i="3"/>
  <c r="A1022" i="3"/>
  <c r="W1022" i="3"/>
  <c r="AA1022" i="3"/>
  <c r="A1023" i="3"/>
  <c r="W1023" i="3"/>
  <c r="AA1023" i="3"/>
  <c r="A1024" i="3"/>
  <c r="W1024" i="3"/>
  <c r="AA1024" i="3"/>
  <c r="A1025" i="3"/>
  <c r="W1025" i="3"/>
  <c r="AA1025" i="3"/>
  <c r="A1026" i="3"/>
  <c r="W1026" i="3"/>
  <c r="AA1026" i="3"/>
  <c r="A1027" i="3"/>
  <c r="W1027" i="3"/>
  <c r="AA1027" i="3"/>
  <c r="A1028" i="3"/>
  <c r="W1028" i="3"/>
  <c r="AA1028" i="3"/>
  <c r="A1029" i="3"/>
  <c r="W1029" i="3"/>
  <c r="AA1029" i="3"/>
  <c r="A1030" i="3"/>
  <c r="W1030" i="3"/>
  <c r="AA1030" i="3"/>
  <c r="A1031" i="3"/>
  <c r="W1031" i="3"/>
  <c r="AA1031" i="3"/>
  <c r="A1032" i="3"/>
  <c r="W1032" i="3"/>
  <c r="AA1032" i="3"/>
  <c r="A1033" i="3"/>
  <c r="W1033" i="3"/>
  <c r="AA1033" i="3"/>
  <c r="A1034" i="3"/>
  <c r="W1034" i="3"/>
  <c r="AA1034" i="3"/>
  <c r="A1035" i="3"/>
  <c r="W1035" i="3"/>
  <c r="AA1035" i="3"/>
  <c r="A1036" i="3"/>
  <c r="W1036" i="3"/>
  <c r="AA1036" i="3"/>
  <c r="A1037" i="3"/>
  <c r="W1037" i="3"/>
  <c r="AA1037" i="3"/>
  <c r="A1038" i="3"/>
  <c r="W1038" i="3"/>
  <c r="AA1038" i="3"/>
  <c r="A1039" i="3"/>
  <c r="W1039" i="3"/>
  <c r="AA1039" i="3"/>
  <c r="A1040" i="3"/>
  <c r="W1040" i="3"/>
  <c r="AA1040" i="3"/>
  <c r="A1041" i="3"/>
  <c r="W1041" i="3"/>
  <c r="AA1041" i="3"/>
  <c r="A1042" i="3"/>
  <c r="W1042" i="3"/>
  <c r="AA1042" i="3"/>
  <c r="A1043" i="3"/>
  <c r="W1043" i="3"/>
  <c r="AA1043" i="3"/>
  <c r="A1044" i="3"/>
  <c r="W1044" i="3"/>
  <c r="AA1044" i="3"/>
  <c r="A1045" i="3"/>
  <c r="W1045" i="3"/>
  <c r="AA1045" i="3"/>
  <c r="A1046" i="3"/>
  <c r="W1046" i="3"/>
  <c r="AA1046" i="3"/>
  <c r="A1047" i="3"/>
  <c r="W1047" i="3"/>
  <c r="AA1047" i="3"/>
  <c r="A1048" i="3"/>
  <c r="W1048" i="3"/>
  <c r="AA1048" i="3"/>
  <c r="A1049" i="3"/>
  <c r="W1049" i="3"/>
  <c r="AA1049" i="3"/>
  <c r="A1050" i="3"/>
  <c r="W1050" i="3"/>
  <c r="AA1050" i="3"/>
  <c r="A1051" i="3"/>
  <c r="W1051" i="3"/>
  <c r="AA1051" i="3"/>
  <c r="A1052" i="3"/>
  <c r="W1052" i="3"/>
  <c r="AA1052" i="3"/>
  <c r="A1053" i="3"/>
  <c r="W1053" i="3"/>
  <c r="AA1053" i="3"/>
  <c r="A1054" i="3"/>
  <c r="W1054" i="3"/>
  <c r="AA1054" i="3"/>
  <c r="A1055" i="3"/>
  <c r="W1055" i="3"/>
  <c r="AA1055" i="3"/>
  <c r="A1056" i="3"/>
  <c r="W1056" i="3"/>
  <c r="AA1056" i="3"/>
  <c r="A1057" i="3"/>
  <c r="W1057" i="3"/>
  <c r="AA1057" i="3"/>
  <c r="A1058" i="3"/>
  <c r="W1058" i="3"/>
  <c r="AA1058" i="3"/>
  <c r="A1059" i="3"/>
  <c r="W1059" i="3"/>
  <c r="AA1059" i="3"/>
  <c r="A1060" i="3"/>
  <c r="W1060" i="3"/>
  <c r="AA1060" i="3"/>
  <c r="A1061" i="3"/>
  <c r="W1061" i="3"/>
  <c r="AA1061" i="3"/>
  <c r="A1062" i="3"/>
  <c r="W1062" i="3"/>
  <c r="AA1062" i="3"/>
  <c r="A1063" i="3"/>
  <c r="W1063" i="3"/>
  <c r="AA1063" i="3"/>
  <c r="A1064" i="3"/>
  <c r="W1064" i="3"/>
  <c r="AA1064" i="3"/>
  <c r="A1065" i="3"/>
  <c r="W1065" i="3"/>
  <c r="AA1065" i="3"/>
  <c r="A1066" i="3"/>
  <c r="W1066" i="3"/>
  <c r="AA1066" i="3"/>
  <c r="A1067" i="3"/>
  <c r="W1067" i="3"/>
  <c r="AA1067" i="3"/>
  <c r="A1068" i="3"/>
  <c r="W1068" i="3"/>
  <c r="AA1068" i="3"/>
  <c r="A1069" i="3"/>
  <c r="W1069" i="3"/>
  <c r="AA1069" i="3"/>
  <c r="A1070" i="3"/>
  <c r="W1070" i="3"/>
  <c r="AA1070" i="3"/>
  <c r="A1071" i="3"/>
  <c r="W1071" i="3"/>
  <c r="AA1071" i="3"/>
  <c r="A1072" i="3"/>
  <c r="W1072" i="3"/>
  <c r="AA1072" i="3"/>
  <c r="A1073" i="3"/>
  <c r="W1073" i="3"/>
  <c r="AA1073" i="3"/>
  <c r="A1074" i="3"/>
  <c r="W1074" i="3"/>
  <c r="AA1074" i="3"/>
  <c r="A1075" i="3"/>
  <c r="W1075" i="3"/>
  <c r="AA1075" i="3"/>
  <c r="A1076" i="3"/>
  <c r="W1076" i="3"/>
  <c r="AA1076" i="3"/>
  <c r="A1077" i="3"/>
  <c r="W1077" i="3"/>
  <c r="AA1077" i="3"/>
  <c r="A1078" i="3"/>
  <c r="W1078" i="3"/>
  <c r="AA1078" i="3"/>
  <c r="A1079" i="3"/>
  <c r="W1079" i="3"/>
  <c r="AA1079" i="3"/>
  <c r="A1080" i="3"/>
  <c r="W1080" i="3"/>
  <c r="AA1080" i="3"/>
  <c r="A1081" i="3"/>
  <c r="W1081" i="3"/>
  <c r="AA1081" i="3"/>
  <c r="A1082" i="3"/>
  <c r="W1082" i="3"/>
  <c r="AA1082" i="3"/>
  <c r="A1083" i="3"/>
  <c r="W1083" i="3"/>
  <c r="AA1083" i="3"/>
  <c r="A1084" i="3"/>
  <c r="W1084" i="3"/>
  <c r="AA1084" i="3"/>
  <c r="A1085" i="3"/>
  <c r="W1085" i="3"/>
  <c r="AA1085" i="3"/>
  <c r="A1086" i="3"/>
  <c r="W1086" i="3"/>
  <c r="AA1086" i="3"/>
  <c r="A1087" i="3"/>
  <c r="W1087" i="3"/>
  <c r="AA1087" i="3"/>
  <c r="A1088" i="3"/>
  <c r="W1088" i="3"/>
  <c r="AA1088" i="3"/>
  <c r="A1089" i="3"/>
  <c r="W1089" i="3"/>
  <c r="AA1089" i="3"/>
  <c r="A1090" i="3"/>
  <c r="W1090" i="3"/>
  <c r="AA1090" i="3"/>
  <c r="A1091" i="3"/>
  <c r="W1091" i="3"/>
  <c r="AA1091" i="3"/>
  <c r="A1092" i="3"/>
  <c r="W1092" i="3"/>
  <c r="AA1092" i="3"/>
  <c r="A1093" i="3"/>
  <c r="W1093" i="3"/>
  <c r="AA1093" i="3"/>
  <c r="A1094" i="3"/>
  <c r="W1094" i="3"/>
  <c r="AA1094" i="3"/>
  <c r="A1095" i="3"/>
  <c r="W1095" i="3"/>
  <c r="AA1095" i="3"/>
  <c r="A1096" i="3"/>
  <c r="W1096" i="3"/>
  <c r="AA1096" i="3"/>
  <c r="A1097" i="3"/>
  <c r="W1097" i="3"/>
  <c r="AA1097" i="3"/>
  <c r="A1098" i="3"/>
  <c r="W1098" i="3"/>
  <c r="AA1098" i="3"/>
  <c r="A1099" i="3"/>
  <c r="W1099" i="3"/>
  <c r="AA1099" i="3"/>
  <c r="A1100" i="3"/>
  <c r="W1100" i="3"/>
  <c r="AA1100" i="3"/>
  <c r="A1101" i="3"/>
  <c r="W1101" i="3"/>
  <c r="AA1101" i="3"/>
  <c r="A1102" i="3"/>
  <c r="W1102" i="3"/>
  <c r="AA1102" i="3"/>
  <c r="A1103" i="3"/>
  <c r="W1103" i="3"/>
  <c r="AA1103" i="3"/>
  <c r="A1104" i="3"/>
  <c r="W1104" i="3"/>
  <c r="AA1104" i="3"/>
  <c r="A1105" i="3"/>
  <c r="W1105" i="3"/>
  <c r="AA1105" i="3"/>
  <c r="A1106" i="3"/>
  <c r="W1106" i="3"/>
  <c r="AA1106" i="3"/>
  <c r="A1107" i="3"/>
  <c r="W1107" i="3"/>
  <c r="AA1107" i="3"/>
  <c r="A1108" i="3"/>
  <c r="W1108" i="3"/>
  <c r="AA1108" i="3"/>
  <c r="A1109" i="3"/>
  <c r="W1109" i="3"/>
  <c r="AA1109" i="3"/>
  <c r="A1110" i="3"/>
  <c r="W1110" i="3"/>
  <c r="AA1110" i="3"/>
  <c r="A1111" i="3"/>
  <c r="W1111" i="3"/>
  <c r="AA1111" i="3"/>
  <c r="A1112" i="3"/>
  <c r="W1112" i="3"/>
  <c r="AA1112" i="3"/>
  <c r="A1113" i="3"/>
  <c r="W1113" i="3"/>
  <c r="AA1113" i="3"/>
  <c r="A1114" i="3"/>
  <c r="W1114" i="3"/>
  <c r="AA1114" i="3"/>
  <c r="A1115" i="3"/>
  <c r="W1115" i="3"/>
  <c r="AA1115" i="3"/>
  <c r="A1116" i="3"/>
  <c r="W1116" i="3"/>
  <c r="AA1116" i="3"/>
  <c r="A1117" i="3"/>
  <c r="W1117" i="3"/>
  <c r="AA1117" i="3"/>
  <c r="A1118" i="3"/>
  <c r="W1118" i="3"/>
  <c r="AA1118" i="3"/>
  <c r="A1119" i="3"/>
  <c r="W1119" i="3"/>
  <c r="AA1119" i="3"/>
  <c r="A1120" i="3"/>
  <c r="W1120" i="3"/>
  <c r="AA1120" i="3"/>
  <c r="A1121" i="3"/>
  <c r="W1121" i="3"/>
  <c r="AA1121" i="3"/>
  <c r="A1122" i="3"/>
  <c r="W1122" i="3"/>
  <c r="AA1122" i="3"/>
  <c r="A1123" i="3"/>
  <c r="W1123" i="3"/>
  <c r="AA1123" i="3"/>
  <c r="A1124" i="3"/>
  <c r="W1124" i="3"/>
  <c r="AA1124" i="3"/>
  <c r="A1125" i="3"/>
  <c r="W1125" i="3"/>
  <c r="AA1125" i="3"/>
  <c r="A1126" i="3"/>
  <c r="W1126" i="3"/>
  <c r="AA1126" i="3"/>
  <c r="A1127" i="3"/>
  <c r="W1127" i="3"/>
  <c r="AA1127" i="3"/>
  <c r="A1128" i="3"/>
  <c r="W1128" i="3"/>
  <c r="AA1128" i="3"/>
  <c r="A1129" i="3"/>
  <c r="W1129" i="3"/>
  <c r="AA1129" i="3"/>
  <c r="A1130" i="3"/>
  <c r="W1130" i="3"/>
  <c r="AA1130" i="3"/>
  <c r="A1131" i="3"/>
  <c r="W1131" i="3"/>
  <c r="AA1131" i="3"/>
  <c r="A1132" i="3"/>
  <c r="W1132" i="3"/>
  <c r="AA1132" i="3"/>
  <c r="A1133" i="3"/>
  <c r="W1133" i="3"/>
  <c r="AA1133" i="3"/>
  <c r="A1134" i="3"/>
  <c r="W1134" i="3"/>
  <c r="AA1134" i="3"/>
  <c r="A1135" i="3"/>
  <c r="W1135" i="3"/>
  <c r="AA1135" i="3"/>
  <c r="A1136" i="3"/>
  <c r="W1136" i="3"/>
  <c r="AA1136" i="3"/>
  <c r="A1137" i="3"/>
  <c r="W1137" i="3"/>
  <c r="AA1137" i="3"/>
  <c r="A1138" i="3"/>
  <c r="W1138" i="3"/>
  <c r="AA1138" i="3"/>
  <c r="A1139" i="3"/>
  <c r="W1139" i="3"/>
  <c r="AA1139" i="3"/>
  <c r="A1140" i="3"/>
  <c r="W1140" i="3"/>
  <c r="AA1140" i="3"/>
  <c r="A1141" i="3"/>
  <c r="W1141" i="3"/>
  <c r="AA1141" i="3"/>
  <c r="A1142" i="3"/>
  <c r="W1142" i="3"/>
  <c r="AA1142" i="3"/>
  <c r="A1143" i="3"/>
  <c r="W1143" i="3"/>
  <c r="AA1143" i="3"/>
  <c r="A1144" i="3"/>
  <c r="W1144" i="3"/>
  <c r="AA1144" i="3"/>
  <c r="A1145" i="3"/>
  <c r="W1145" i="3"/>
  <c r="AA1145" i="3"/>
  <c r="A1146" i="3"/>
  <c r="W1146" i="3"/>
  <c r="AA1146" i="3"/>
  <c r="A1147" i="3"/>
  <c r="W1147" i="3"/>
  <c r="AA1147" i="3"/>
  <c r="A1148" i="3"/>
  <c r="W1148" i="3"/>
  <c r="AA1148" i="3"/>
  <c r="A1149" i="3"/>
  <c r="W1149" i="3"/>
  <c r="AA1149" i="3"/>
  <c r="A1150" i="3"/>
  <c r="W1150" i="3"/>
  <c r="AA1150" i="3"/>
  <c r="A1151" i="3"/>
  <c r="W1151" i="3"/>
  <c r="AA1151" i="3"/>
  <c r="A1152" i="3"/>
  <c r="W1152" i="3"/>
  <c r="AA1152" i="3"/>
  <c r="A1153" i="3"/>
  <c r="W1153" i="3"/>
  <c r="AA1153" i="3"/>
  <c r="A1154" i="3"/>
  <c r="W1154" i="3"/>
  <c r="AA1154" i="3"/>
  <c r="A1155" i="3"/>
  <c r="W1155" i="3"/>
  <c r="AA1155" i="3"/>
  <c r="A1156" i="3"/>
  <c r="W1156" i="3"/>
  <c r="AA1156" i="3"/>
  <c r="A1157" i="3"/>
  <c r="W1157" i="3"/>
  <c r="AA1157" i="3"/>
  <c r="A1158" i="3"/>
  <c r="W1158" i="3"/>
  <c r="AA1158" i="3"/>
  <c r="A1159" i="3"/>
  <c r="W1159" i="3"/>
  <c r="AA1159" i="3"/>
  <c r="A1160" i="3"/>
  <c r="W1160" i="3"/>
  <c r="AA1160" i="3"/>
  <c r="A1161" i="3"/>
  <c r="W1161" i="3"/>
  <c r="AA1161" i="3"/>
  <c r="A1162" i="3"/>
  <c r="W1162" i="3"/>
  <c r="AA1162" i="3"/>
  <c r="A1163" i="3"/>
  <c r="W1163" i="3"/>
  <c r="AA1163" i="3"/>
  <c r="A1164" i="3"/>
  <c r="W1164" i="3"/>
  <c r="AA1164" i="3"/>
  <c r="A1165" i="3"/>
  <c r="W1165" i="3"/>
  <c r="AA1165" i="3"/>
  <c r="A1166" i="3"/>
  <c r="W1166" i="3"/>
  <c r="AA1166" i="3"/>
  <c r="A1167" i="3"/>
  <c r="W1167" i="3"/>
  <c r="AA1167" i="3"/>
  <c r="A1168" i="3"/>
  <c r="W1168" i="3"/>
  <c r="AA1168" i="3"/>
  <c r="A1169" i="3"/>
  <c r="W1169" i="3"/>
  <c r="AA1169" i="3"/>
  <c r="A1170" i="3"/>
  <c r="W1170" i="3"/>
  <c r="AA1170" i="3"/>
  <c r="A1171" i="3"/>
  <c r="W1171" i="3"/>
  <c r="AA1171" i="3"/>
  <c r="A1172" i="3"/>
  <c r="W1172" i="3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6" i="1"/>
  <c r="A145" i="1"/>
  <c r="A147" i="1"/>
  <c r="A148" i="1"/>
  <c r="A149" i="1"/>
  <c r="A150" i="1"/>
  <c r="A701" i="3"/>
  <c r="W701" i="3"/>
  <c r="AA701" i="3"/>
  <c r="A702" i="3"/>
  <c r="W702" i="3"/>
  <c r="AA702" i="3"/>
  <c r="A703" i="3"/>
  <c r="W703" i="3"/>
  <c r="AA703" i="3"/>
  <c r="A704" i="3"/>
  <c r="W704" i="3"/>
  <c r="AA704" i="3"/>
  <c r="A705" i="3"/>
  <c r="W705" i="3"/>
  <c r="AA705" i="3"/>
  <c r="A706" i="3"/>
  <c r="W706" i="3"/>
  <c r="AA706" i="3"/>
  <c r="A707" i="3"/>
  <c r="W707" i="3"/>
  <c r="AA707" i="3"/>
  <c r="A708" i="3"/>
  <c r="W708" i="3"/>
  <c r="AA708" i="3"/>
  <c r="A709" i="3"/>
  <c r="W709" i="3"/>
  <c r="AA709" i="3"/>
  <c r="A710" i="3"/>
  <c r="W710" i="3"/>
  <c r="AA710" i="3"/>
  <c r="A711" i="3"/>
  <c r="W711" i="3"/>
  <c r="AA711" i="3"/>
  <c r="A712" i="3"/>
  <c r="W712" i="3"/>
  <c r="AA712" i="3"/>
  <c r="A713" i="3"/>
  <c r="W713" i="3"/>
  <c r="AA713" i="3"/>
  <c r="A714" i="3"/>
  <c r="W714" i="3"/>
  <c r="AA714" i="3"/>
  <c r="A715" i="3"/>
  <c r="W715" i="3"/>
  <c r="AA715" i="3"/>
  <c r="A716" i="3"/>
  <c r="W716" i="3"/>
  <c r="AA716" i="3"/>
  <c r="A717" i="3"/>
  <c r="W717" i="3"/>
  <c r="AA717" i="3"/>
  <c r="A718" i="3"/>
  <c r="W718" i="3"/>
  <c r="AA718" i="3"/>
  <c r="A719" i="3"/>
  <c r="W719" i="3"/>
  <c r="AA719" i="3"/>
  <c r="A720" i="3"/>
  <c r="W720" i="3"/>
  <c r="AA720" i="3"/>
  <c r="A721" i="3"/>
  <c r="W721" i="3"/>
  <c r="AA721" i="3"/>
  <c r="A722" i="3"/>
  <c r="W722" i="3"/>
  <c r="AA722" i="3"/>
  <c r="A723" i="3"/>
  <c r="W723" i="3"/>
  <c r="AA723" i="3"/>
  <c r="A724" i="3"/>
  <c r="W724" i="3"/>
  <c r="AA724" i="3"/>
  <c r="A725" i="3"/>
  <c r="W725" i="3"/>
  <c r="AA725" i="3"/>
  <c r="A726" i="3"/>
  <c r="W726" i="3"/>
  <c r="AA726" i="3"/>
  <c r="A727" i="3"/>
  <c r="W727" i="3"/>
  <c r="AA727" i="3"/>
  <c r="A728" i="3"/>
  <c r="W728" i="3"/>
  <c r="AA728" i="3"/>
  <c r="A729" i="3"/>
  <c r="W729" i="3"/>
  <c r="AA729" i="3"/>
  <c r="A730" i="3"/>
  <c r="W730" i="3"/>
  <c r="AA730" i="3"/>
  <c r="A731" i="3"/>
  <c r="W731" i="3"/>
  <c r="AA731" i="3"/>
  <c r="A732" i="3"/>
  <c r="W732" i="3"/>
  <c r="AA732" i="3"/>
  <c r="A733" i="3"/>
  <c r="W733" i="3"/>
  <c r="AA733" i="3"/>
  <c r="A734" i="3"/>
  <c r="W734" i="3"/>
  <c r="AA734" i="3"/>
  <c r="A735" i="3"/>
  <c r="W735" i="3"/>
  <c r="AA735" i="3"/>
  <c r="A736" i="3"/>
  <c r="W736" i="3"/>
  <c r="AA736" i="3"/>
  <c r="A737" i="3"/>
  <c r="W737" i="3"/>
  <c r="AA737" i="3"/>
  <c r="A738" i="3"/>
  <c r="W738" i="3"/>
  <c r="AA738" i="3"/>
  <c r="A739" i="3"/>
  <c r="W739" i="3"/>
  <c r="AA739" i="3"/>
  <c r="A740" i="3"/>
  <c r="W740" i="3"/>
  <c r="AA740" i="3"/>
  <c r="A741" i="3"/>
  <c r="W741" i="3"/>
  <c r="AA741" i="3"/>
  <c r="A742" i="3"/>
  <c r="W742" i="3"/>
  <c r="AA742" i="3"/>
  <c r="A743" i="3"/>
  <c r="W743" i="3"/>
  <c r="AA743" i="3"/>
  <c r="A744" i="3"/>
  <c r="W744" i="3"/>
  <c r="AA744" i="3"/>
  <c r="A745" i="3"/>
  <c r="W745" i="3"/>
  <c r="AA745" i="3"/>
  <c r="A746" i="3"/>
  <c r="W746" i="3"/>
  <c r="AA746" i="3"/>
  <c r="A747" i="3"/>
  <c r="W747" i="3"/>
  <c r="AA747" i="3"/>
  <c r="A748" i="3"/>
  <c r="W748" i="3"/>
  <c r="AA748" i="3"/>
  <c r="A749" i="3"/>
  <c r="W749" i="3"/>
  <c r="AA749" i="3"/>
  <c r="A750" i="3"/>
  <c r="W750" i="3"/>
  <c r="AA750" i="3"/>
  <c r="A751" i="3"/>
  <c r="W751" i="3"/>
  <c r="AA751" i="3"/>
  <c r="A752" i="3"/>
  <c r="W752" i="3"/>
  <c r="AA752" i="3"/>
  <c r="A753" i="3"/>
  <c r="W753" i="3"/>
  <c r="AA753" i="3"/>
  <c r="A754" i="3"/>
  <c r="W754" i="3"/>
  <c r="AA754" i="3"/>
  <c r="A755" i="3"/>
  <c r="W755" i="3"/>
  <c r="AA755" i="3"/>
  <c r="A756" i="3"/>
  <c r="W756" i="3"/>
  <c r="AA756" i="3"/>
  <c r="A757" i="3"/>
  <c r="W757" i="3"/>
  <c r="AA757" i="3"/>
  <c r="A758" i="3"/>
  <c r="W758" i="3"/>
  <c r="AA758" i="3"/>
  <c r="A759" i="3"/>
  <c r="W759" i="3"/>
  <c r="AA759" i="3"/>
  <c r="A760" i="3"/>
  <c r="W760" i="3"/>
  <c r="AA760" i="3"/>
  <c r="A761" i="3"/>
  <c r="W761" i="3"/>
  <c r="AA761" i="3"/>
  <c r="A762" i="3"/>
  <c r="W762" i="3"/>
  <c r="AA762" i="3"/>
  <c r="A763" i="3"/>
  <c r="W763" i="3"/>
  <c r="AA763" i="3"/>
  <c r="A764" i="3"/>
  <c r="W764" i="3"/>
  <c r="AA764" i="3"/>
  <c r="A765" i="3"/>
  <c r="W765" i="3"/>
  <c r="AA765" i="3"/>
  <c r="A766" i="3"/>
  <c r="W766" i="3"/>
  <c r="AA766" i="3"/>
  <c r="A767" i="3"/>
  <c r="W767" i="3"/>
  <c r="AA767" i="3"/>
  <c r="A768" i="3"/>
  <c r="W768" i="3"/>
  <c r="AA768" i="3"/>
  <c r="A769" i="3"/>
  <c r="W769" i="3"/>
  <c r="AA769" i="3"/>
  <c r="A770" i="3"/>
  <c r="W770" i="3"/>
  <c r="AA770" i="3"/>
  <c r="A771" i="3"/>
  <c r="W771" i="3"/>
  <c r="AA771" i="3"/>
  <c r="A772" i="3"/>
  <c r="W772" i="3"/>
  <c r="AA772" i="3"/>
  <c r="A773" i="3"/>
  <c r="W773" i="3"/>
  <c r="AA773" i="3"/>
  <c r="A774" i="3"/>
  <c r="W774" i="3"/>
  <c r="AA774" i="3"/>
  <c r="A775" i="3"/>
  <c r="W775" i="3"/>
  <c r="AA775" i="3"/>
  <c r="A776" i="3"/>
  <c r="W776" i="3"/>
  <c r="AA776" i="3"/>
  <c r="A777" i="3"/>
  <c r="W777" i="3"/>
  <c r="AA777" i="3"/>
  <c r="A778" i="3"/>
  <c r="W778" i="3"/>
  <c r="AA778" i="3"/>
  <c r="A779" i="3"/>
  <c r="W779" i="3"/>
  <c r="AA779" i="3"/>
  <c r="A780" i="3"/>
  <c r="W780" i="3"/>
  <c r="AA780" i="3"/>
  <c r="A781" i="3"/>
  <c r="W781" i="3"/>
  <c r="AA781" i="3"/>
  <c r="A782" i="3"/>
  <c r="W782" i="3"/>
  <c r="AA782" i="3"/>
  <c r="A783" i="3"/>
  <c r="W783" i="3"/>
  <c r="AA783" i="3"/>
  <c r="A784" i="3"/>
  <c r="W784" i="3"/>
  <c r="AA784" i="3"/>
  <c r="A785" i="3"/>
  <c r="W785" i="3"/>
  <c r="AA785" i="3"/>
  <c r="A786" i="3"/>
  <c r="W786" i="3"/>
  <c r="AA786" i="3"/>
  <c r="A787" i="3"/>
  <c r="W787" i="3"/>
  <c r="AA787" i="3"/>
  <c r="A788" i="3"/>
  <c r="W788" i="3"/>
  <c r="AA788" i="3"/>
  <c r="A789" i="3"/>
  <c r="W789" i="3"/>
  <c r="AA789" i="3"/>
  <c r="A790" i="3"/>
  <c r="W790" i="3"/>
  <c r="AA790" i="3"/>
  <c r="A791" i="3"/>
  <c r="W791" i="3"/>
  <c r="AA791" i="3"/>
  <c r="A792" i="3"/>
  <c r="W792" i="3"/>
  <c r="AA792" i="3"/>
  <c r="A793" i="3"/>
  <c r="W793" i="3"/>
  <c r="AA793" i="3"/>
  <c r="A794" i="3"/>
  <c r="W794" i="3"/>
  <c r="AA794" i="3"/>
  <c r="A795" i="3"/>
  <c r="W795" i="3"/>
  <c r="AA795" i="3"/>
  <c r="A796" i="3"/>
  <c r="W796" i="3"/>
  <c r="AA796" i="3"/>
  <c r="A797" i="3"/>
  <c r="W797" i="3"/>
  <c r="AA797" i="3"/>
  <c r="A798" i="3"/>
  <c r="W798" i="3"/>
  <c r="AA798" i="3"/>
  <c r="A799" i="3"/>
  <c r="W799" i="3"/>
  <c r="AA799" i="3"/>
  <c r="A800" i="3"/>
  <c r="W800" i="3"/>
  <c r="AA800" i="3"/>
  <c r="A801" i="3"/>
  <c r="W801" i="3"/>
  <c r="AA801" i="3"/>
  <c r="A802" i="3"/>
  <c r="W802" i="3"/>
  <c r="AA802" i="3"/>
  <c r="A803" i="3"/>
  <c r="W803" i="3"/>
  <c r="AA803" i="3"/>
  <c r="A804" i="3"/>
  <c r="W804" i="3"/>
  <c r="AA804" i="3"/>
  <c r="A805" i="3"/>
  <c r="W805" i="3"/>
  <c r="AA805" i="3"/>
  <c r="A806" i="3"/>
  <c r="W806" i="3"/>
  <c r="AA806" i="3"/>
  <c r="A807" i="3"/>
  <c r="W807" i="3"/>
  <c r="AA807" i="3"/>
  <c r="A808" i="3"/>
  <c r="W808" i="3"/>
  <c r="AA808" i="3"/>
  <c r="A809" i="3"/>
  <c r="W809" i="3"/>
  <c r="AA809" i="3"/>
  <c r="A810" i="3"/>
  <c r="W810" i="3"/>
  <c r="AA810" i="3"/>
  <c r="A811" i="3"/>
  <c r="W811" i="3"/>
  <c r="AA811" i="3"/>
  <c r="A812" i="3"/>
  <c r="W812" i="3"/>
  <c r="AA812" i="3"/>
  <c r="A813" i="3"/>
  <c r="W813" i="3"/>
  <c r="AA813" i="3"/>
  <c r="A814" i="3"/>
  <c r="W814" i="3"/>
  <c r="AA814" i="3"/>
  <c r="A815" i="3"/>
  <c r="W815" i="3"/>
  <c r="AA815" i="3"/>
  <c r="A816" i="3"/>
  <c r="W816" i="3"/>
  <c r="AA816" i="3"/>
  <c r="A817" i="3"/>
  <c r="W817" i="3"/>
  <c r="AA817" i="3"/>
  <c r="A818" i="3"/>
  <c r="W818" i="3"/>
  <c r="AA818" i="3"/>
  <c r="A819" i="3"/>
  <c r="W819" i="3"/>
  <c r="AA819" i="3"/>
  <c r="A820" i="3"/>
  <c r="W820" i="3"/>
  <c r="AA820" i="3"/>
  <c r="A821" i="3"/>
  <c r="W821" i="3"/>
  <c r="AA821" i="3"/>
  <c r="A822" i="3"/>
  <c r="W822" i="3"/>
  <c r="AA822" i="3"/>
  <c r="A823" i="3"/>
  <c r="W823" i="3"/>
  <c r="AA823" i="3"/>
  <c r="A824" i="3"/>
  <c r="W824" i="3"/>
  <c r="AA824" i="3"/>
  <c r="A825" i="3"/>
  <c r="W825" i="3"/>
  <c r="AA825" i="3"/>
  <c r="A826" i="3"/>
  <c r="W826" i="3"/>
  <c r="AA826" i="3"/>
  <c r="A827" i="3"/>
  <c r="W827" i="3"/>
  <c r="AA827" i="3"/>
  <c r="A828" i="3"/>
  <c r="W828" i="3"/>
  <c r="AA828" i="3"/>
  <c r="A829" i="3"/>
  <c r="W829" i="3"/>
  <c r="AA829" i="3"/>
  <c r="A830" i="3"/>
  <c r="W830" i="3"/>
  <c r="AA830" i="3"/>
  <c r="A831" i="3"/>
  <c r="W831" i="3"/>
  <c r="AA831" i="3"/>
  <c r="A832" i="3"/>
  <c r="W832" i="3"/>
  <c r="AA832" i="3"/>
  <c r="A833" i="3"/>
  <c r="W833" i="3"/>
  <c r="AA833" i="3"/>
  <c r="A834" i="3"/>
  <c r="W834" i="3"/>
  <c r="AA834" i="3"/>
  <c r="A835" i="3"/>
  <c r="W835" i="3"/>
  <c r="AA835" i="3"/>
  <c r="A836" i="3"/>
  <c r="W836" i="3"/>
  <c r="AA836" i="3"/>
  <c r="A837" i="3"/>
  <c r="W837" i="3"/>
  <c r="AA837" i="3"/>
  <c r="A838" i="3"/>
  <c r="W838" i="3"/>
  <c r="AA838" i="3"/>
  <c r="A839" i="3"/>
  <c r="W839" i="3"/>
  <c r="AA839" i="3"/>
  <c r="A840" i="3"/>
  <c r="W840" i="3"/>
  <c r="AA840" i="3"/>
  <c r="A841" i="3"/>
  <c r="W841" i="3"/>
  <c r="AA841" i="3"/>
  <c r="A842" i="3"/>
  <c r="W842" i="3"/>
  <c r="AA842" i="3"/>
  <c r="A843" i="3"/>
  <c r="W843" i="3"/>
  <c r="AA843" i="3"/>
  <c r="A844" i="3"/>
  <c r="W844" i="3"/>
  <c r="AA844" i="3"/>
  <c r="A845" i="3"/>
  <c r="W845" i="3"/>
  <c r="AA845" i="3"/>
  <c r="A846" i="3"/>
  <c r="W846" i="3"/>
  <c r="AA846" i="3"/>
  <c r="A847" i="3"/>
  <c r="W847" i="3"/>
  <c r="AA847" i="3"/>
  <c r="A848" i="3"/>
  <c r="W848" i="3"/>
  <c r="AA848" i="3"/>
  <c r="A849" i="3"/>
  <c r="W849" i="3"/>
  <c r="AA849" i="3"/>
  <c r="A850" i="3"/>
  <c r="W850" i="3"/>
  <c r="AA850" i="3"/>
  <c r="A851" i="3"/>
  <c r="W851" i="3"/>
  <c r="AA851" i="3"/>
  <c r="A852" i="3"/>
  <c r="W852" i="3"/>
  <c r="AA852" i="3"/>
  <c r="A853" i="3"/>
  <c r="W853" i="3"/>
  <c r="AA853" i="3"/>
  <c r="A854" i="3"/>
  <c r="W854" i="3"/>
  <c r="AA854" i="3"/>
  <c r="A855" i="3"/>
  <c r="W855" i="3"/>
  <c r="AA855" i="3"/>
  <c r="A856" i="3"/>
  <c r="W856" i="3"/>
  <c r="AA856" i="3"/>
  <c r="A857" i="3"/>
  <c r="W857" i="3"/>
  <c r="AA857" i="3"/>
  <c r="A858" i="3"/>
  <c r="W858" i="3"/>
  <c r="AA858" i="3"/>
  <c r="A859" i="3"/>
  <c r="W859" i="3"/>
  <c r="AA859" i="3"/>
  <c r="A860" i="3"/>
  <c r="W860" i="3"/>
  <c r="AA860" i="3"/>
  <c r="A861" i="3"/>
  <c r="W861" i="3"/>
  <c r="AA861" i="3"/>
  <c r="A862" i="3"/>
  <c r="W862" i="3"/>
  <c r="AA862" i="3"/>
  <c r="A863" i="3"/>
  <c r="W863" i="3"/>
  <c r="AA863" i="3"/>
  <c r="A864" i="3"/>
  <c r="W864" i="3"/>
  <c r="AA864" i="3"/>
  <c r="A865" i="3"/>
  <c r="W865" i="3"/>
  <c r="AA865" i="3"/>
  <c r="A866" i="3"/>
  <c r="W866" i="3"/>
  <c r="AA866" i="3"/>
  <c r="A867" i="3"/>
  <c r="W867" i="3"/>
  <c r="AA867" i="3"/>
  <c r="A868" i="3"/>
  <c r="W868" i="3"/>
  <c r="AA868" i="3"/>
  <c r="A869" i="3"/>
  <c r="W869" i="3"/>
  <c r="AA869" i="3"/>
  <c r="A870" i="3"/>
  <c r="W870" i="3"/>
  <c r="AA870" i="3"/>
  <c r="A871" i="3"/>
  <c r="W871" i="3"/>
  <c r="AA871" i="3"/>
  <c r="A872" i="3"/>
  <c r="W872" i="3"/>
  <c r="AA872" i="3"/>
  <c r="A873" i="3"/>
  <c r="W873" i="3"/>
  <c r="AA873" i="3"/>
  <c r="A874" i="3"/>
  <c r="W874" i="3"/>
  <c r="AA874" i="3"/>
  <c r="A875" i="3"/>
  <c r="W875" i="3"/>
  <c r="AA875" i="3"/>
  <c r="A876" i="3"/>
  <c r="W876" i="3"/>
  <c r="AA876" i="3"/>
  <c r="A877" i="3"/>
  <c r="W877" i="3"/>
  <c r="AA877" i="3"/>
  <c r="A878" i="3"/>
  <c r="W878" i="3"/>
  <c r="AA878" i="3"/>
  <c r="A879" i="3"/>
  <c r="W879" i="3"/>
  <c r="AA879" i="3"/>
  <c r="A880" i="3"/>
  <c r="W880" i="3"/>
  <c r="AA880" i="3"/>
  <c r="A881" i="3"/>
  <c r="W881" i="3"/>
  <c r="AA881" i="3"/>
  <c r="A882" i="3"/>
  <c r="W882" i="3"/>
  <c r="AA882" i="3"/>
  <c r="A883" i="3"/>
  <c r="W883" i="3"/>
  <c r="AA883" i="3"/>
  <c r="A884" i="3"/>
  <c r="W884" i="3"/>
  <c r="AA884" i="3"/>
  <c r="A885" i="3"/>
  <c r="W885" i="3"/>
  <c r="AA885" i="3"/>
  <c r="A886" i="3"/>
  <c r="W886" i="3"/>
  <c r="AA886" i="3"/>
  <c r="A887" i="3"/>
  <c r="W887" i="3"/>
  <c r="AA887" i="3"/>
  <c r="A888" i="3"/>
  <c r="W888" i="3"/>
  <c r="AA888" i="3"/>
  <c r="A889" i="3"/>
  <c r="W889" i="3"/>
  <c r="AA889" i="3"/>
  <c r="A890" i="3"/>
  <c r="W890" i="3"/>
  <c r="AA890" i="3"/>
  <c r="A891" i="3"/>
  <c r="W891" i="3"/>
  <c r="AA891" i="3"/>
  <c r="A892" i="3"/>
  <c r="W892" i="3"/>
  <c r="AA892" i="3"/>
  <c r="A893" i="3"/>
  <c r="W893" i="3"/>
  <c r="AA893" i="3"/>
  <c r="A894" i="3"/>
  <c r="W894" i="3"/>
  <c r="AA894" i="3"/>
  <c r="A895" i="3"/>
  <c r="W895" i="3"/>
  <c r="AA895" i="3"/>
  <c r="A896" i="3"/>
  <c r="W896" i="3"/>
  <c r="AA896" i="3"/>
  <c r="A897" i="3"/>
  <c r="W897" i="3"/>
  <c r="AA897" i="3"/>
  <c r="A898" i="3"/>
  <c r="W898" i="3"/>
  <c r="AA898" i="3"/>
  <c r="A899" i="3"/>
  <c r="W899" i="3"/>
  <c r="AA899" i="3"/>
  <c r="A900" i="3"/>
  <c r="W900" i="3"/>
  <c r="AA900" i="3"/>
  <c r="A593" i="3"/>
  <c r="W593" i="3"/>
  <c r="AA593" i="3"/>
  <c r="A594" i="3"/>
  <c r="W594" i="3"/>
  <c r="AA594" i="3"/>
  <c r="A595" i="3"/>
  <c r="W595" i="3"/>
  <c r="AA595" i="3"/>
  <c r="A596" i="3"/>
  <c r="W596" i="3"/>
  <c r="AA596" i="3"/>
  <c r="A597" i="3"/>
  <c r="W597" i="3"/>
  <c r="AA597" i="3"/>
  <c r="A598" i="3"/>
  <c r="W598" i="3"/>
  <c r="AA598" i="3"/>
  <c r="A599" i="3"/>
  <c r="W599" i="3"/>
  <c r="AA599" i="3"/>
  <c r="A600" i="3"/>
  <c r="W600" i="3"/>
  <c r="AA600" i="3"/>
  <c r="A601" i="3"/>
  <c r="W601" i="3"/>
  <c r="AA601" i="3"/>
  <c r="A602" i="3"/>
  <c r="W602" i="3"/>
  <c r="AA602" i="3"/>
  <c r="A603" i="3"/>
  <c r="W603" i="3"/>
  <c r="AA603" i="3"/>
  <c r="A604" i="3"/>
  <c r="W604" i="3"/>
  <c r="AA604" i="3"/>
  <c r="A605" i="3"/>
  <c r="W605" i="3"/>
  <c r="AA605" i="3"/>
  <c r="A606" i="3"/>
  <c r="W606" i="3"/>
  <c r="AA606" i="3"/>
  <c r="A607" i="3"/>
  <c r="W607" i="3"/>
  <c r="AA607" i="3"/>
  <c r="A608" i="3"/>
  <c r="W608" i="3"/>
  <c r="AA608" i="3"/>
  <c r="A609" i="3"/>
  <c r="W609" i="3"/>
  <c r="AA609" i="3"/>
  <c r="A610" i="3"/>
  <c r="W610" i="3"/>
  <c r="AA610" i="3"/>
  <c r="A611" i="3"/>
  <c r="W611" i="3"/>
  <c r="AA611" i="3"/>
  <c r="A612" i="3"/>
  <c r="W612" i="3"/>
  <c r="AA612" i="3"/>
  <c r="A613" i="3"/>
  <c r="W613" i="3"/>
  <c r="AA613" i="3"/>
  <c r="A614" i="3"/>
  <c r="W614" i="3"/>
  <c r="AA614" i="3"/>
  <c r="A615" i="3"/>
  <c r="W615" i="3"/>
  <c r="AA615" i="3"/>
  <c r="A616" i="3"/>
  <c r="W616" i="3"/>
  <c r="AA616" i="3"/>
  <c r="A617" i="3"/>
  <c r="W617" i="3"/>
  <c r="AA617" i="3"/>
  <c r="A618" i="3"/>
  <c r="W618" i="3"/>
  <c r="AA618" i="3"/>
  <c r="A619" i="3"/>
  <c r="W619" i="3"/>
  <c r="AA619" i="3"/>
  <c r="A620" i="3"/>
  <c r="W620" i="3"/>
  <c r="AA620" i="3"/>
  <c r="A621" i="3"/>
  <c r="W621" i="3"/>
  <c r="AA621" i="3"/>
  <c r="A622" i="3"/>
  <c r="W622" i="3"/>
  <c r="AA622" i="3"/>
  <c r="A623" i="3"/>
  <c r="W623" i="3"/>
  <c r="AA623" i="3"/>
  <c r="A624" i="3"/>
  <c r="W624" i="3"/>
  <c r="AA624" i="3"/>
  <c r="A625" i="3"/>
  <c r="W625" i="3"/>
  <c r="AA625" i="3"/>
  <c r="A626" i="3"/>
  <c r="W626" i="3"/>
  <c r="AA626" i="3"/>
  <c r="A627" i="3"/>
  <c r="W627" i="3"/>
  <c r="AA627" i="3"/>
  <c r="A628" i="3"/>
  <c r="W628" i="3"/>
  <c r="AA628" i="3"/>
  <c r="A629" i="3"/>
  <c r="W629" i="3"/>
  <c r="AA629" i="3"/>
  <c r="A630" i="3"/>
  <c r="W630" i="3"/>
  <c r="AA630" i="3"/>
  <c r="A631" i="3"/>
  <c r="W631" i="3"/>
  <c r="AA631" i="3"/>
  <c r="A632" i="3"/>
  <c r="W632" i="3"/>
  <c r="AA632" i="3"/>
  <c r="A633" i="3"/>
  <c r="W633" i="3"/>
  <c r="AA633" i="3"/>
  <c r="A634" i="3"/>
  <c r="W634" i="3"/>
  <c r="AA634" i="3"/>
  <c r="A635" i="3"/>
  <c r="W635" i="3"/>
  <c r="AA635" i="3"/>
  <c r="A636" i="3"/>
  <c r="W636" i="3"/>
  <c r="AA636" i="3"/>
  <c r="A637" i="3"/>
  <c r="W637" i="3"/>
  <c r="AA637" i="3"/>
  <c r="A638" i="3"/>
  <c r="W638" i="3"/>
  <c r="AA638" i="3"/>
  <c r="A639" i="3"/>
  <c r="W639" i="3"/>
  <c r="AA639" i="3"/>
  <c r="A640" i="3"/>
  <c r="W640" i="3"/>
  <c r="AA640" i="3"/>
  <c r="A641" i="3"/>
  <c r="W641" i="3"/>
  <c r="AA641" i="3"/>
  <c r="A642" i="3"/>
  <c r="W642" i="3"/>
  <c r="AA642" i="3"/>
  <c r="A643" i="3"/>
  <c r="W643" i="3"/>
  <c r="AA643" i="3"/>
  <c r="A644" i="3"/>
  <c r="W644" i="3"/>
  <c r="AA644" i="3"/>
  <c r="A645" i="3"/>
  <c r="W645" i="3"/>
  <c r="AA645" i="3"/>
  <c r="A646" i="3"/>
  <c r="W646" i="3"/>
  <c r="AA646" i="3"/>
  <c r="A647" i="3"/>
  <c r="W647" i="3"/>
  <c r="AA647" i="3"/>
  <c r="A648" i="3"/>
  <c r="W648" i="3"/>
  <c r="AA648" i="3"/>
  <c r="A649" i="3"/>
  <c r="W649" i="3"/>
  <c r="AA649" i="3"/>
  <c r="A650" i="3"/>
  <c r="W650" i="3"/>
  <c r="AA650" i="3"/>
  <c r="A651" i="3"/>
  <c r="W651" i="3"/>
  <c r="AA651" i="3"/>
  <c r="A652" i="3"/>
  <c r="W652" i="3"/>
  <c r="AA652" i="3"/>
  <c r="A653" i="3"/>
  <c r="W653" i="3"/>
  <c r="AA653" i="3"/>
  <c r="A654" i="3"/>
  <c r="W654" i="3"/>
  <c r="AA654" i="3"/>
  <c r="A655" i="3"/>
  <c r="W655" i="3"/>
  <c r="AA655" i="3"/>
  <c r="A656" i="3"/>
  <c r="W656" i="3"/>
  <c r="AA656" i="3"/>
  <c r="A657" i="3"/>
  <c r="W657" i="3"/>
  <c r="AA657" i="3"/>
  <c r="A658" i="3"/>
  <c r="W658" i="3"/>
  <c r="AA658" i="3"/>
  <c r="A659" i="3"/>
  <c r="W659" i="3"/>
  <c r="AA659" i="3"/>
  <c r="A660" i="3"/>
  <c r="W660" i="3"/>
  <c r="AA660" i="3"/>
  <c r="A661" i="3"/>
  <c r="W661" i="3"/>
  <c r="AA661" i="3"/>
  <c r="A662" i="3"/>
  <c r="W662" i="3"/>
  <c r="AA662" i="3"/>
  <c r="A663" i="3"/>
  <c r="W663" i="3"/>
  <c r="AA663" i="3"/>
  <c r="A664" i="3"/>
  <c r="W664" i="3"/>
  <c r="AA664" i="3"/>
  <c r="A665" i="3"/>
  <c r="W665" i="3"/>
  <c r="AA665" i="3"/>
  <c r="A666" i="3"/>
  <c r="W666" i="3"/>
  <c r="AA666" i="3"/>
  <c r="A667" i="3"/>
  <c r="W667" i="3"/>
  <c r="AA667" i="3"/>
  <c r="A668" i="3"/>
  <c r="W668" i="3"/>
  <c r="AA668" i="3"/>
  <c r="A669" i="3"/>
  <c r="W669" i="3"/>
  <c r="AA669" i="3"/>
  <c r="A670" i="3"/>
  <c r="W670" i="3"/>
  <c r="AA670" i="3"/>
  <c r="A671" i="3"/>
  <c r="W671" i="3"/>
  <c r="AA671" i="3"/>
  <c r="A672" i="3"/>
  <c r="W672" i="3"/>
  <c r="AA672" i="3"/>
  <c r="A673" i="3"/>
  <c r="W673" i="3"/>
  <c r="AA673" i="3"/>
  <c r="A674" i="3"/>
  <c r="W674" i="3"/>
  <c r="AA674" i="3"/>
  <c r="A675" i="3"/>
  <c r="W675" i="3"/>
  <c r="AA675" i="3"/>
  <c r="A676" i="3"/>
  <c r="W676" i="3"/>
  <c r="AA676" i="3"/>
  <c r="A677" i="3"/>
  <c r="W677" i="3"/>
  <c r="AA677" i="3"/>
  <c r="A678" i="3"/>
  <c r="W678" i="3"/>
  <c r="AA678" i="3"/>
  <c r="A679" i="3"/>
  <c r="W679" i="3"/>
  <c r="AA679" i="3"/>
  <c r="A680" i="3"/>
  <c r="W680" i="3"/>
  <c r="AA680" i="3"/>
  <c r="A681" i="3"/>
  <c r="W681" i="3"/>
  <c r="AA681" i="3"/>
  <c r="A682" i="3"/>
  <c r="W682" i="3"/>
  <c r="AA682" i="3"/>
  <c r="A683" i="3"/>
  <c r="W683" i="3"/>
  <c r="AA683" i="3"/>
  <c r="A684" i="3"/>
  <c r="W684" i="3"/>
  <c r="AA684" i="3"/>
  <c r="A685" i="3"/>
  <c r="W685" i="3"/>
  <c r="AA685" i="3"/>
  <c r="A686" i="3"/>
  <c r="W686" i="3"/>
  <c r="AA686" i="3"/>
  <c r="A687" i="3"/>
  <c r="W687" i="3"/>
  <c r="AA687" i="3"/>
  <c r="A688" i="3"/>
  <c r="W688" i="3"/>
  <c r="AA688" i="3"/>
  <c r="A689" i="3"/>
  <c r="W689" i="3"/>
  <c r="AA689" i="3"/>
  <c r="A690" i="3"/>
  <c r="W690" i="3"/>
  <c r="AA690" i="3"/>
  <c r="A691" i="3"/>
  <c r="W691" i="3"/>
  <c r="AA691" i="3"/>
  <c r="A692" i="3"/>
  <c r="W692" i="3"/>
  <c r="AA692" i="3"/>
  <c r="A693" i="3"/>
  <c r="W693" i="3"/>
  <c r="AA693" i="3"/>
  <c r="A694" i="3"/>
  <c r="W694" i="3"/>
  <c r="AA694" i="3"/>
  <c r="A695" i="3"/>
  <c r="W695" i="3"/>
  <c r="AA695" i="3"/>
  <c r="A696" i="3"/>
  <c r="W696" i="3"/>
  <c r="AA696" i="3"/>
  <c r="A697" i="3"/>
  <c r="W697" i="3"/>
  <c r="AA697" i="3"/>
  <c r="A698" i="3"/>
  <c r="W698" i="3"/>
  <c r="AA698" i="3"/>
  <c r="A699" i="3"/>
  <c r="W699" i="3"/>
  <c r="AA699" i="3"/>
  <c r="A700" i="3"/>
  <c r="W700" i="3"/>
  <c r="AA700" i="3"/>
  <c r="A103" i="1"/>
  <c r="A104" i="1"/>
  <c r="A105" i="1"/>
  <c r="A106" i="1"/>
  <c r="A107" i="1"/>
  <c r="A108" i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A91" i="1"/>
  <c r="A84" i="1"/>
  <c r="A85" i="1"/>
  <c r="A86" i="1"/>
  <c r="A87" i="1"/>
  <c r="A88" i="1"/>
  <c r="A89" i="1"/>
  <c r="A81" i="1"/>
  <c r="A82" i="1"/>
  <c r="A83" i="1"/>
  <c r="A551" i="3"/>
  <c r="W551" i="3"/>
  <c r="AA551" i="3"/>
  <c r="A552" i="3"/>
  <c r="W552" i="3"/>
  <c r="AA552" i="3"/>
  <c r="A553" i="3"/>
  <c r="W553" i="3"/>
  <c r="AA553" i="3"/>
  <c r="A554" i="3"/>
  <c r="W554" i="3"/>
  <c r="AA554" i="3"/>
  <c r="A555" i="3"/>
  <c r="W555" i="3"/>
  <c r="AA555" i="3"/>
  <c r="A556" i="3"/>
  <c r="W556" i="3"/>
  <c r="AA556" i="3"/>
  <c r="A557" i="3"/>
  <c r="W557" i="3"/>
  <c r="AA557" i="3"/>
  <c r="A558" i="3"/>
  <c r="W558" i="3"/>
  <c r="AA558" i="3"/>
  <c r="A559" i="3"/>
  <c r="W559" i="3"/>
  <c r="AA559" i="3"/>
  <c r="A560" i="3"/>
  <c r="W560" i="3"/>
  <c r="AA560" i="3"/>
  <c r="A561" i="3"/>
  <c r="W561" i="3"/>
  <c r="AA561" i="3"/>
  <c r="A562" i="3"/>
  <c r="W562" i="3"/>
  <c r="AA562" i="3"/>
  <c r="A563" i="3"/>
  <c r="W563" i="3"/>
  <c r="AA563" i="3"/>
  <c r="A564" i="3"/>
  <c r="W564" i="3"/>
  <c r="AA564" i="3"/>
  <c r="A565" i="3"/>
  <c r="W565" i="3"/>
  <c r="AA565" i="3"/>
  <c r="A566" i="3"/>
  <c r="W566" i="3"/>
  <c r="AA566" i="3"/>
  <c r="A567" i="3"/>
  <c r="W567" i="3"/>
  <c r="AA567" i="3"/>
  <c r="A568" i="3"/>
  <c r="W568" i="3"/>
  <c r="AA568" i="3"/>
  <c r="A569" i="3"/>
  <c r="W569" i="3"/>
  <c r="AA569" i="3"/>
  <c r="A570" i="3"/>
  <c r="W570" i="3"/>
  <c r="AA570" i="3"/>
  <c r="A571" i="3"/>
  <c r="W571" i="3"/>
  <c r="AA571" i="3"/>
  <c r="A572" i="3"/>
  <c r="W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W501" i="3"/>
  <c r="A502" i="3"/>
  <c r="W502" i="3"/>
  <c r="A503" i="3"/>
  <c r="W503" i="3"/>
  <c r="A504" i="3"/>
  <c r="W504" i="3"/>
  <c r="A505" i="3"/>
  <c r="W505" i="3"/>
  <c r="A506" i="3"/>
  <c r="W506" i="3"/>
  <c r="A507" i="3"/>
  <c r="W507" i="3"/>
  <c r="A508" i="3"/>
  <c r="W508" i="3"/>
  <c r="A509" i="3"/>
  <c r="W509" i="3"/>
  <c r="A510" i="3"/>
  <c r="W510" i="3"/>
  <c r="A511" i="3"/>
  <c r="W511" i="3"/>
  <c r="A512" i="3"/>
  <c r="W512" i="3"/>
  <c r="A513" i="3"/>
  <c r="W513" i="3"/>
  <c r="A514" i="3"/>
  <c r="W514" i="3"/>
  <c r="A515" i="3"/>
  <c r="W515" i="3"/>
  <c r="A516" i="3"/>
  <c r="W516" i="3"/>
  <c r="A517" i="3"/>
  <c r="W517" i="3"/>
  <c r="A518" i="3"/>
  <c r="W518" i="3"/>
  <c r="A519" i="3"/>
  <c r="W519" i="3"/>
  <c r="A520" i="3"/>
  <c r="W520" i="3"/>
  <c r="A521" i="3"/>
  <c r="W521" i="3"/>
  <c r="A522" i="3"/>
  <c r="W522" i="3"/>
  <c r="A523" i="3"/>
  <c r="W523" i="3"/>
  <c r="A524" i="3"/>
  <c r="W524" i="3"/>
  <c r="A525" i="3"/>
  <c r="W525" i="3"/>
  <c r="A526" i="3"/>
  <c r="W526" i="3"/>
  <c r="A527" i="3"/>
  <c r="W527" i="3"/>
  <c r="A528" i="3"/>
  <c r="W528" i="3"/>
  <c r="A529" i="3"/>
  <c r="W529" i="3"/>
  <c r="A530" i="3"/>
  <c r="W530" i="3"/>
  <c r="A531" i="3"/>
  <c r="W531" i="3"/>
  <c r="A532" i="3"/>
  <c r="W532" i="3"/>
  <c r="A533" i="3"/>
  <c r="W533" i="3"/>
  <c r="A534" i="3"/>
  <c r="W534" i="3"/>
  <c r="A535" i="3"/>
  <c r="W535" i="3"/>
  <c r="A536" i="3"/>
  <c r="W536" i="3"/>
  <c r="A537" i="3"/>
  <c r="W537" i="3"/>
  <c r="A538" i="3"/>
  <c r="W538" i="3"/>
  <c r="A539" i="3"/>
  <c r="W539" i="3"/>
  <c r="A540" i="3"/>
  <c r="W540" i="3"/>
  <c r="A541" i="3"/>
  <c r="W541" i="3"/>
  <c r="A542" i="3"/>
  <c r="W542" i="3"/>
  <c r="A543" i="3"/>
  <c r="W543" i="3"/>
  <c r="A544" i="3"/>
  <c r="W544" i="3"/>
  <c r="A545" i="3"/>
  <c r="W545" i="3"/>
  <c r="A546" i="3"/>
  <c r="W546" i="3"/>
  <c r="A547" i="3"/>
  <c r="W547" i="3"/>
  <c r="A548" i="3"/>
  <c r="W548" i="3"/>
  <c r="A549" i="3"/>
  <c r="W549" i="3"/>
  <c r="A550" i="3"/>
  <c r="W550" i="3"/>
  <c r="A72" i="1"/>
  <c r="A73" i="1"/>
  <c r="A74" i="1"/>
  <c r="A75" i="1"/>
  <c r="A76" i="1"/>
  <c r="A77" i="1"/>
  <c r="A78" i="1"/>
  <c r="A79" i="1"/>
  <c r="A80" i="1"/>
  <c r="A474" i="3"/>
  <c r="W474" i="3"/>
  <c r="A475" i="3"/>
  <c r="W475" i="3"/>
  <c r="A476" i="3"/>
  <c r="W476" i="3"/>
  <c r="A477" i="3"/>
  <c r="W477" i="3"/>
  <c r="A478" i="3"/>
  <c r="W478" i="3"/>
  <c r="A479" i="3"/>
  <c r="W479" i="3"/>
  <c r="A480" i="3"/>
  <c r="W480" i="3"/>
  <c r="A481" i="3"/>
  <c r="W481" i="3"/>
  <c r="A482" i="3"/>
  <c r="W482" i="3"/>
  <c r="A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A493" i="3"/>
  <c r="W493" i="3"/>
  <c r="A494" i="3"/>
  <c r="W494" i="3"/>
  <c r="A495" i="3"/>
  <c r="W495" i="3"/>
  <c r="A496" i="3"/>
  <c r="W496" i="3"/>
  <c r="A497" i="3"/>
  <c r="W497" i="3"/>
  <c r="A498" i="3"/>
  <c r="W498" i="3"/>
  <c r="A499" i="3"/>
  <c r="W499" i="3"/>
  <c r="A500" i="3"/>
  <c r="W500" i="3"/>
  <c r="A463" i="3"/>
  <c r="W463" i="3"/>
  <c r="A464" i="3"/>
  <c r="W464" i="3"/>
  <c r="A465" i="3"/>
  <c r="W465" i="3"/>
  <c r="A466" i="3"/>
  <c r="W466" i="3"/>
  <c r="A467" i="3"/>
  <c r="W467" i="3"/>
  <c r="A468" i="3"/>
  <c r="W468" i="3"/>
  <c r="A469" i="3"/>
  <c r="W469" i="3"/>
  <c r="A470" i="3"/>
  <c r="W470" i="3"/>
  <c r="A471" i="3"/>
  <c r="W471" i="3"/>
  <c r="A472" i="3"/>
  <c r="W472" i="3"/>
  <c r="A473" i="3"/>
  <c r="W473" i="3"/>
  <c r="A71" i="1"/>
  <c r="A454" i="3"/>
  <c r="W454" i="3"/>
  <c r="A455" i="3"/>
  <c r="W455" i="3"/>
  <c r="A456" i="3"/>
  <c r="W456" i="3"/>
  <c r="A457" i="3"/>
  <c r="W457" i="3"/>
  <c r="A458" i="3"/>
  <c r="W458" i="3"/>
  <c r="A459" i="3"/>
  <c r="W459" i="3"/>
  <c r="A460" i="3"/>
  <c r="W460" i="3"/>
  <c r="A461" i="3"/>
  <c r="W461" i="3"/>
  <c r="A462" i="3"/>
  <c r="W462" i="3"/>
  <c r="A63" i="1"/>
  <c r="A64" i="1"/>
  <c r="A65" i="1"/>
  <c r="A66" i="1"/>
  <c r="A67" i="1"/>
  <c r="A68" i="1"/>
  <c r="A69" i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W447" i="3"/>
  <c r="A448" i="3"/>
  <c r="W448" i="3"/>
  <c r="A449" i="3"/>
  <c r="W449" i="3"/>
  <c r="A450" i="3"/>
  <c r="W450" i="3"/>
  <c r="A451" i="3"/>
  <c r="W451" i="3"/>
  <c r="A452" i="3"/>
  <c r="W452" i="3"/>
  <c r="A453" i="3"/>
  <c r="W453" i="3"/>
  <c r="A414" i="3"/>
  <c r="W414" i="3"/>
  <c r="A415" i="3"/>
  <c r="W415" i="3"/>
  <c r="A416" i="3"/>
  <c r="W416" i="3"/>
  <c r="A417" i="3"/>
  <c r="W417" i="3"/>
  <c r="A418" i="3"/>
  <c r="W418" i="3"/>
  <c r="A419" i="3"/>
  <c r="W419" i="3"/>
  <c r="A420" i="3"/>
  <c r="W420" i="3"/>
  <c r="A421" i="3"/>
  <c r="W421" i="3"/>
  <c r="A422" i="3"/>
  <c r="W422" i="3"/>
  <c r="A423" i="3"/>
  <c r="W423" i="3"/>
  <c r="A424" i="3"/>
  <c r="W424" i="3"/>
  <c r="A425" i="3"/>
  <c r="W425" i="3"/>
  <c r="A426" i="3"/>
  <c r="W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A435" i="3"/>
  <c r="W435" i="3"/>
  <c r="A436" i="3"/>
  <c r="W436" i="3"/>
  <c r="A437" i="3"/>
  <c r="W437" i="3"/>
  <c r="A438" i="3"/>
  <c r="W438" i="3"/>
  <c r="A439" i="3"/>
  <c r="W439" i="3"/>
  <c r="A56" i="1"/>
  <c r="A57" i="1"/>
  <c r="A58" i="1"/>
  <c r="A59" i="1"/>
  <c r="A60" i="1"/>
  <c r="A61" i="1"/>
  <c r="A62" i="1"/>
  <c r="A55" i="1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X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54" i="1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A53" i="1"/>
  <c r="W362" i="3"/>
  <c r="W363" i="3"/>
  <c r="W364" i="3"/>
  <c r="W365" i="3"/>
  <c r="W366" i="3"/>
  <c r="W367" i="3"/>
  <c r="W368" i="3"/>
  <c r="W369" i="3"/>
  <c r="A52" i="1"/>
  <c r="A51" i="1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A47" i="1"/>
  <c r="A46" i="1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A45" i="1"/>
  <c r="A44" i="1"/>
  <c r="W306" i="3"/>
  <c r="W307" i="3"/>
  <c r="W308" i="3"/>
  <c r="W309" i="3"/>
  <c r="A43" i="1"/>
  <c r="A42" i="1"/>
  <c r="A41" i="1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X304" i="3"/>
  <c r="W305" i="3"/>
  <c r="A39" i="1"/>
  <c r="A40" i="1"/>
  <c r="A38" i="1"/>
  <c r="A37" i="1"/>
  <c r="A36" i="1"/>
  <c r="A35" i="1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1" i="1"/>
  <c r="G3" i="3"/>
  <c r="G4" i="3"/>
  <c r="G5" i="3"/>
  <c r="G18" i="3"/>
  <c r="G19" i="3"/>
  <c r="G2" i="3"/>
  <c r="A225" i="3"/>
  <c r="W225" i="3"/>
  <c r="A226" i="3"/>
  <c r="W226" i="3"/>
  <c r="A227" i="3"/>
  <c r="W227" i="3"/>
  <c r="A228" i="3"/>
  <c r="W228" i="3"/>
  <c r="A229" i="3"/>
  <c r="W229" i="3"/>
  <c r="X229" i="3"/>
  <c r="A230" i="3"/>
  <c r="W230" i="3"/>
  <c r="A231" i="3"/>
  <c r="W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A193" i="3"/>
  <c r="W193" i="3"/>
  <c r="A194" i="3"/>
  <c r="W194" i="3"/>
  <c r="A195" i="3"/>
  <c r="W195" i="3"/>
  <c r="A196" i="3"/>
  <c r="W196" i="3"/>
  <c r="A197" i="3"/>
  <c r="W197" i="3"/>
  <c r="A198" i="3"/>
  <c r="W198" i="3"/>
  <c r="A199" i="3"/>
  <c r="W199" i="3"/>
  <c r="A200" i="3"/>
  <c r="W200" i="3"/>
  <c r="A201" i="3"/>
  <c r="W201" i="3"/>
  <c r="A202" i="3"/>
  <c r="W202" i="3"/>
  <c r="A203" i="3"/>
  <c r="W203" i="3"/>
  <c r="A181" i="3"/>
  <c r="W181" i="3"/>
  <c r="A182" i="3"/>
  <c r="W182" i="3"/>
  <c r="A183" i="3"/>
  <c r="W183" i="3"/>
  <c r="A184" i="3"/>
  <c r="W184" i="3"/>
  <c r="A185" i="3"/>
  <c r="W185" i="3"/>
  <c r="A186" i="3"/>
  <c r="W186" i="3"/>
  <c r="A187" i="3"/>
  <c r="W187" i="3"/>
  <c r="A188" i="3"/>
  <c r="W188" i="3"/>
  <c r="A189" i="3"/>
  <c r="W189" i="3"/>
  <c r="A190" i="3"/>
  <c r="W190" i="3"/>
  <c r="A191" i="3"/>
  <c r="W191" i="3"/>
  <c r="A161" i="3"/>
  <c r="W161" i="3"/>
  <c r="A162" i="3"/>
  <c r="W162" i="3"/>
  <c r="A163" i="3"/>
  <c r="W163" i="3"/>
  <c r="A164" i="3"/>
  <c r="W164" i="3"/>
  <c r="A165" i="3"/>
  <c r="W165" i="3"/>
  <c r="A166" i="3"/>
  <c r="W166" i="3"/>
  <c r="A167" i="3"/>
  <c r="W167" i="3"/>
  <c r="A168" i="3"/>
  <c r="W168" i="3"/>
  <c r="A169" i="3"/>
  <c r="W169" i="3"/>
  <c r="A170" i="3"/>
  <c r="W170" i="3"/>
  <c r="A171" i="3"/>
  <c r="W171" i="3"/>
  <c r="A172" i="3"/>
  <c r="W172" i="3"/>
  <c r="A173" i="3"/>
  <c r="W173" i="3"/>
  <c r="A174" i="3"/>
  <c r="W174" i="3"/>
  <c r="A175" i="3"/>
  <c r="W175" i="3"/>
  <c r="A176" i="3"/>
  <c r="W176" i="3"/>
  <c r="A177" i="3"/>
  <c r="W177" i="3"/>
  <c r="A178" i="3"/>
  <c r="W178" i="3"/>
  <c r="A179" i="3"/>
  <c r="W179" i="3"/>
  <c r="A180" i="3"/>
  <c r="W180" i="3"/>
  <c r="A25" i="1"/>
  <c r="A151" i="3"/>
  <c r="W151" i="3"/>
  <c r="A152" i="3"/>
  <c r="W152" i="3"/>
  <c r="A153" i="3"/>
  <c r="W153" i="3"/>
  <c r="A154" i="3"/>
  <c r="W154" i="3"/>
  <c r="A155" i="3"/>
  <c r="W155" i="3"/>
  <c r="A156" i="3"/>
  <c r="W156" i="3"/>
  <c r="A157" i="3"/>
  <c r="W157" i="3"/>
  <c r="A158" i="3"/>
  <c r="W158" i="3"/>
  <c r="A159" i="3"/>
  <c r="W159" i="3"/>
  <c r="A160" i="3"/>
  <c r="W160" i="3"/>
  <c r="A135" i="3"/>
  <c r="W135" i="3"/>
  <c r="A136" i="3"/>
  <c r="W136" i="3"/>
  <c r="A137" i="3"/>
  <c r="W137" i="3"/>
  <c r="A138" i="3"/>
  <c r="W138" i="3"/>
  <c r="A139" i="3"/>
  <c r="W139" i="3"/>
  <c r="A140" i="3"/>
  <c r="W140" i="3"/>
  <c r="A141" i="3"/>
  <c r="W141" i="3"/>
  <c r="A142" i="3"/>
  <c r="W142" i="3"/>
  <c r="A143" i="3"/>
  <c r="W143" i="3"/>
  <c r="A144" i="3"/>
  <c r="W144" i="3"/>
  <c r="A145" i="3"/>
  <c r="W145" i="3"/>
  <c r="A146" i="3"/>
  <c r="W146" i="3"/>
  <c r="A147" i="3"/>
  <c r="W147" i="3"/>
  <c r="A148" i="3"/>
  <c r="W148" i="3"/>
  <c r="A149" i="3"/>
  <c r="W149" i="3"/>
  <c r="A150" i="3"/>
  <c r="W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G481" i="3" s="1"/>
  <c r="A4" i="1"/>
  <c r="G137" i="3" s="1"/>
  <c r="A5" i="1"/>
  <c r="X292" i="3" s="1"/>
  <c r="A6" i="1"/>
  <c r="X148" i="3" s="1"/>
  <c r="A7" i="1"/>
  <c r="X319" i="3" s="1"/>
  <c r="A8" i="1"/>
  <c r="A9" i="1"/>
  <c r="X190" i="3" s="1"/>
  <c r="A2" i="1"/>
  <c r="X661" i="3" s="1"/>
  <c r="G67" i="3" l="1"/>
  <c r="G53" i="3"/>
  <c r="G42" i="3"/>
  <c r="G28" i="3"/>
  <c r="G17" i="3"/>
  <c r="G292" i="3"/>
  <c r="G278" i="3"/>
  <c r="G348" i="3"/>
  <c r="G343" i="3"/>
  <c r="G332" i="3"/>
  <c r="G327" i="3"/>
  <c r="G316" i="3"/>
  <c r="G311" i="3"/>
  <c r="X282" i="3"/>
  <c r="Z282" i="3" s="1"/>
  <c r="X270" i="3"/>
  <c r="Z270" i="3" s="1"/>
  <c r="X241" i="3"/>
  <c r="Z241" i="3" s="1"/>
  <c r="X318" i="3"/>
  <c r="X344" i="3"/>
  <c r="X383" i="3"/>
  <c r="G467" i="3"/>
  <c r="X529" i="3"/>
  <c r="G519" i="3"/>
  <c r="X558" i="3"/>
  <c r="Z558" i="3" s="1"/>
  <c r="G551" i="3"/>
  <c r="X591" i="3"/>
  <c r="G657" i="3"/>
  <c r="G652" i="3"/>
  <c r="X165" i="3"/>
  <c r="X170" i="3"/>
  <c r="X221" i="3"/>
  <c r="Z221" i="3" s="1"/>
  <c r="X209" i="3"/>
  <c r="Z209" i="3" s="1"/>
  <c r="G225" i="3"/>
  <c r="G197" i="3"/>
  <c r="G172" i="3"/>
  <c r="G147" i="3"/>
  <c r="G133" i="3"/>
  <c r="G97" i="3"/>
  <c r="G69" i="3"/>
  <c r="G44" i="3"/>
  <c r="G293" i="3"/>
  <c r="G344" i="3"/>
  <c r="G328" i="3"/>
  <c r="G312" i="3"/>
  <c r="X139" i="3"/>
  <c r="X151" i="3"/>
  <c r="X189" i="3"/>
  <c r="Z189" i="3" s="1"/>
  <c r="X204" i="3"/>
  <c r="Z204" i="3" s="1"/>
  <c r="G235" i="3"/>
  <c r="G196" i="3"/>
  <c r="G157" i="3"/>
  <c r="G121" i="3"/>
  <c r="G68" i="3"/>
  <c r="G264" i="3"/>
  <c r="X287" i="3"/>
  <c r="Z287" i="3" s="1"/>
  <c r="X264" i="3"/>
  <c r="Z264" i="3" s="1"/>
  <c r="X252" i="3"/>
  <c r="Z252" i="3" s="1"/>
  <c r="X246" i="3"/>
  <c r="X338" i="3"/>
  <c r="X333" i="3"/>
  <c r="X349" i="3"/>
  <c r="X377" i="3"/>
  <c r="X438" i="3"/>
  <c r="Z438" i="3" s="1"/>
  <c r="G568" i="3"/>
  <c r="X690" i="3"/>
  <c r="Z690" i="3" s="1"/>
  <c r="X143" i="3"/>
  <c r="X102" i="3"/>
  <c r="X173" i="3"/>
  <c r="X195" i="3"/>
  <c r="X217" i="3"/>
  <c r="G236" i="3"/>
  <c r="G211" i="3"/>
  <c r="G186" i="3"/>
  <c r="G161" i="3"/>
  <c r="G122" i="3"/>
  <c r="G83" i="3"/>
  <c r="G58" i="3"/>
  <c r="G33" i="3"/>
  <c r="G284" i="3"/>
  <c r="G339" i="3"/>
  <c r="G323" i="3"/>
  <c r="G307" i="3"/>
  <c r="X242" i="3"/>
  <c r="X237" i="3"/>
  <c r="X314" i="3"/>
  <c r="X365" i="3"/>
  <c r="X154" i="3"/>
  <c r="Z154" i="3" s="1"/>
  <c r="X164" i="3"/>
  <c r="Z164" i="3" s="1"/>
  <c r="X183" i="3"/>
  <c r="Z183" i="3" s="1"/>
  <c r="G221" i="3"/>
  <c r="G185" i="3"/>
  <c r="G132" i="3"/>
  <c r="G93" i="3"/>
  <c r="G288" i="3"/>
  <c r="G274" i="3"/>
  <c r="G253" i="3"/>
  <c r="X68" i="3"/>
  <c r="Z68" i="3" s="1"/>
  <c r="X136" i="3"/>
  <c r="X178" i="3"/>
  <c r="X203" i="3"/>
  <c r="X197" i="3"/>
  <c r="X220" i="3"/>
  <c r="X212" i="3"/>
  <c r="Z212" i="3" s="1"/>
  <c r="G234" i="3"/>
  <c r="G209" i="3"/>
  <c r="G181" i="3"/>
  <c r="G156" i="3"/>
  <c r="G131" i="3"/>
  <c r="G106" i="3"/>
  <c r="G81" i="3"/>
  <c r="X144" i="3"/>
  <c r="Z144" i="3" s="1"/>
  <c r="X156" i="3"/>
  <c r="Z156" i="3" s="1"/>
  <c r="X166" i="3"/>
  <c r="Z166" i="3" s="1"/>
  <c r="X191" i="3"/>
  <c r="X194" i="3"/>
  <c r="X227" i="3"/>
  <c r="G233" i="3"/>
  <c r="G205" i="3"/>
  <c r="G180" i="3"/>
  <c r="G155" i="3"/>
  <c r="G130" i="3"/>
  <c r="G105" i="3"/>
  <c r="G77" i="3"/>
  <c r="G52" i="3"/>
  <c r="G13" i="3"/>
  <c r="G296" i="3"/>
  <c r="G282" i="3"/>
  <c r="G273" i="3"/>
  <c r="G268" i="3"/>
  <c r="G257" i="3"/>
  <c r="G252" i="3"/>
  <c r="X303" i="3"/>
  <c r="X107" i="3"/>
  <c r="X73" i="3"/>
  <c r="X149" i="3"/>
  <c r="Z149" i="3" s="1"/>
  <c r="X138" i="3"/>
  <c r="Z138" i="3" s="1"/>
  <c r="X153" i="3"/>
  <c r="Z153" i="3" s="1"/>
  <c r="X188" i="3"/>
  <c r="X185" i="3"/>
  <c r="X182" i="3"/>
  <c r="X223" i="3"/>
  <c r="X219" i="3"/>
  <c r="X215" i="3"/>
  <c r="Z215" i="3" s="1"/>
  <c r="X211" i="3"/>
  <c r="Z211" i="3" s="1"/>
  <c r="G218" i="3"/>
  <c r="G204" i="3"/>
  <c r="G193" i="3"/>
  <c r="G179" i="3"/>
  <c r="G165" i="3"/>
  <c r="G154" i="3"/>
  <c r="G140" i="3"/>
  <c r="G115" i="3"/>
  <c r="G101" i="3"/>
  <c r="G90" i="3"/>
  <c r="G76" i="3"/>
  <c r="G65" i="3"/>
  <c r="G51" i="3"/>
  <c r="G37" i="3"/>
  <c r="G26" i="3"/>
  <c r="G12" i="3"/>
  <c r="G300" i="3"/>
  <c r="G286" i="3"/>
  <c r="G277" i="3"/>
  <c r="G352" i="3"/>
  <c r="G347" i="3"/>
  <c r="G336" i="3"/>
  <c r="G331" i="3"/>
  <c r="G320" i="3"/>
  <c r="G315" i="3"/>
  <c r="G304" i="3"/>
  <c r="X274" i="3"/>
  <c r="X269" i="3"/>
  <c r="X309" i="3"/>
  <c r="X322" i="3"/>
  <c r="X311" i="3"/>
  <c r="Z311" i="3" s="1"/>
  <c r="X382" i="3"/>
  <c r="Z382" i="3" s="1"/>
  <c r="X416" i="3"/>
  <c r="Z416" i="3" s="1"/>
  <c r="X469" i="3"/>
  <c r="G543" i="3"/>
  <c r="X521" i="3"/>
  <c r="G511" i="3"/>
  <c r="X692" i="3"/>
  <c r="X140" i="3"/>
  <c r="Z140" i="3" s="1"/>
  <c r="X162" i="3"/>
  <c r="Z162" i="3" s="1"/>
  <c r="X145" i="3"/>
  <c r="Z145" i="3" s="1"/>
  <c r="X157" i="3"/>
  <c r="X167" i="3"/>
  <c r="X192" i="3"/>
  <c r="X213" i="3"/>
  <c r="G108" i="3"/>
  <c r="X231" i="3"/>
  <c r="Z231" i="3" s="1"/>
  <c r="G210" i="3"/>
  <c r="G171" i="3"/>
  <c r="G146" i="3"/>
  <c r="G107" i="3"/>
  <c r="G82" i="3"/>
  <c r="G57" i="3"/>
  <c r="G43" i="3"/>
  <c r="G29" i="3"/>
  <c r="G297" i="3"/>
  <c r="G269" i="3"/>
  <c r="G248" i="3"/>
  <c r="X147" i="3"/>
  <c r="X159" i="3"/>
  <c r="X175" i="3"/>
  <c r="X200" i="3"/>
  <c r="X224" i="3"/>
  <c r="Z224" i="3" s="1"/>
  <c r="X216" i="3"/>
  <c r="Z216" i="3" s="1"/>
  <c r="X208" i="3"/>
  <c r="Z208" i="3" s="1"/>
  <c r="G220" i="3"/>
  <c r="G195" i="3"/>
  <c r="G170" i="3"/>
  <c r="G145" i="3"/>
  <c r="G117" i="3"/>
  <c r="G92" i="3"/>
  <c r="X141" i="3"/>
  <c r="Z141" i="3" s="1"/>
  <c r="X172" i="3"/>
  <c r="Z172" i="3" s="1"/>
  <c r="G219" i="3"/>
  <c r="G194" i="3"/>
  <c r="G169" i="3"/>
  <c r="G141" i="3"/>
  <c r="G116" i="3"/>
  <c r="G91" i="3"/>
  <c r="G66" i="3"/>
  <c r="G41" i="3"/>
  <c r="G27" i="3"/>
  <c r="G243" i="3"/>
  <c r="G229" i="3"/>
  <c r="G129" i="3"/>
  <c r="X111" i="3"/>
  <c r="X1196" i="3"/>
  <c r="Z1196" i="3" s="1"/>
  <c r="X903" i="3"/>
  <c r="Z903" i="3" s="1"/>
  <c r="G905" i="3"/>
  <c r="X911" i="3"/>
  <c r="G913" i="3"/>
  <c r="X919" i="3"/>
  <c r="G921" i="3"/>
  <c r="X927" i="3"/>
  <c r="G929" i="3"/>
  <c r="X935" i="3"/>
  <c r="Z935" i="3" s="1"/>
  <c r="G937" i="3"/>
  <c r="X943" i="3"/>
  <c r="G945" i="3"/>
  <c r="X951" i="3"/>
  <c r="G953" i="3"/>
  <c r="X959" i="3"/>
  <c r="G961" i="3"/>
  <c r="X967" i="3"/>
  <c r="Z967" i="3" s="1"/>
  <c r="G969" i="3"/>
  <c r="X975" i="3"/>
  <c r="G977" i="3"/>
  <c r="X983" i="3"/>
  <c r="G985" i="3"/>
  <c r="X991" i="3"/>
  <c r="Z991" i="3" s="1"/>
  <c r="G993" i="3"/>
  <c r="G1175" i="3"/>
  <c r="G1177" i="3"/>
  <c r="X1189" i="3"/>
  <c r="X1191" i="3"/>
  <c r="G902" i="3"/>
  <c r="X908" i="3"/>
  <c r="G910" i="3"/>
  <c r="X916" i="3"/>
  <c r="Z916" i="3" s="1"/>
  <c r="G918" i="3"/>
  <c r="X924" i="3"/>
  <c r="Z924" i="3" s="1"/>
  <c r="G926" i="3"/>
  <c r="X932" i="3"/>
  <c r="G934" i="3"/>
  <c r="X940" i="3"/>
  <c r="G942" i="3"/>
  <c r="X948" i="3"/>
  <c r="Z948" i="3" s="1"/>
  <c r="G950" i="3"/>
  <c r="X956" i="3"/>
  <c r="Z956" i="3" s="1"/>
  <c r="G958" i="3"/>
  <c r="X964" i="3"/>
  <c r="G966" i="3"/>
  <c r="X972" i="3"/>
  <c r="G974" i="3"/>
  <c r="X980" i="3"/>
  <c r="Z980" i="3" s="1"/>
  <c r="G982" i="3"/>
  <c r="X988" i="3"/>
  <c r="Z988" i="3" s="1"/>
  <c r="G990" i="3"/>
  <c r="X996" i="3"/>
  <c r="G998" i="3"/>
  <c r="X1004" i="3"/>
  <c r="G1006" i="3"/>
  <c r="X1012" i="3"/>
  <c r="Z1012" i="3" s="1"/>
  <c r="G1014" i="3"/>
  <c r="X1020" i="3"/>
  <c r="Z1020" i="3" s="1"/>
  <c r="G1022" i="3"/>
  <c r="X1028" i="3"/>
  <c r="G1030" i="3"/>
  <c r="X1036" i="3"/>
  <c r="G1038" i="3"/>
  <c r="X1044" i="3"/>
  <c r="Z1044" i="3" s="1"/>
  <c r="G1046" i="3"/>
  <c r="X1052" i="3"/>
  <c r="Z1052" i="3" s="1"/>
  <c r="G1054" i="3"/>
  <c r="X1060" i="3"/>
  <c r="Z1060" i="3" s="1"/>
  <c r="G1062" i="3"/>
  <c r="X1068" i="3"/>
  <c r="G1070" i="3"/>
  <c r="X1076" i="3"/>
  <c r="Z1076" i="3" s="1"/>
  <c r="G1078" i="3"/>
  <c r="X1084" i="3"/>
  <c r="Z1084" i="3" s="1"/>
  <c r="G1086" i="3"/>
  <c r="X1092" i="3"/>
  <c r="G1094" i="3"/>
  <c r="X1100" i="3"/>
  <c r="Z1100" i="3" s="1"/>
  <c r="G1102" i="3"/>
  <c r="X1108" i="3"/>
  <c r="Z1108" i="3" s="1"/>
  <c r="G1110" i="3"/>
  <c r="X1116" i="3"/>
  <c r="Z1116" i="3" s="1"/>
  <c r="G1118" i="3"/>
  <c r="X1124" i="3"/>
  <c r="Z1124" i="3" s="1"/>
  <c r="G1126" i="3"/>
  <c r="X1132" i="3"/>
  <c r="G1134" i="3"/>
  <c r="X1140" i="3"/>
  <c r="Z1140" i="3" s="1"/>
  <c r="G1142" i="3"/>
  <c r="X1148" i="3"/>
  <c r="Z1148" i="3" s="1"/>
  <c r="G1150" i="3"/>
  <c r="X1156" i="3"/>
  <c r="G1158" i="3"/>
  <c r="X1164" i="3"/>
  <c r="G1166" i="3"/>
  <c r="X1172" i="3"/>
  <c r="Z1172" i="3" s="1"/>
  <c r="G702" i="3"/>
  <c r="X708" i="3"/>
  <c r="Z708" i="3" s="1"/>
  <c r="G710" i="3"/>
  <c r="X716" i="3"/>
  <c r="G718" i="3"/>
  <c r="X724" i="3"/>
  <c r="G726" i="3"/>
  <c r="X732" i="3"/>
  <c r="Z732" i="3" s="1"/>
  <c r="G734" i="3"/>
  <c r="X905" i="3"/>
  <c r="Z905" i="3" s="1"/>
  <c r="G907" i="3"/>
  <c r="X913" i="3"/>
  <c r="G915" i="3"/>
  <c r="X921" i="3"/>
  <c r="G923" i="3"/>
  <c r="X929" i="3"/>
  <c r="Z929" i="3" s="1"/>
  <c r="G931" i="3"/>
  <c r="X937" i="3"/>
  <c r="Z937" i="3" s="1"/>
  <c r="G939" i="3"/>
  <c r="X945" i="3"/>
  <c r="G947" i="3"/>
  <c r="X953" i="3"/>
  <c r="G955" i="3"/>
  <c r="X961" i="3"/>
  <c r="Z961" i="3" s="1"/>
  <c r="G963" i="3"/>
  <c r="X969" i="3"/>
  <c r="Z969" i="3" s="1"/>
  <c r="G971" i="3"/>
  <c r="X977" i="3"/>
  <c r="G979" i="3"/>
  <c r="X985" i="3"/>
  <c r="G987" i="3"/>
  <c r="X993" i="3"/>
  <c r="Z993" i="3" s="1"/>
  <c r="G995" i="3"/>
  <c r="X1001" i="3"/>
  <c r="Z1001" i="3" s="1"/>
  <c r="G1003" i="3"/>
  <c r="X1009" i="3"/>
  <c r="G1011" i="3"/>
  <c r="X1017" i="3"/>
  <c r="G1019" i="3"/>
  <c r="X1025" i="3"/>
  <c r="Z1025" i="3" s="1"/>
  <c r="G1027" i="3"/>
  <c r="X1033" i="3"/>
  <c r="Z1033" i="3" s="1"/>
  <c r="G1035" i="3"/>
  <c r="X1041" i="3"/>
  <c r="G1043" i="3"/>
  <c r="X1049" i="3"/>
  <c r="G1051" i="3"/>
  <c r="X1057" i="3"/>
  <c r="Z1057" i="3" s="1"/>
  <c r="G1059" i="3"/>
  <c r="X1065" i="3"/>
  <c r="Z1065" i="3" s="1"/>
  <c r="G1067" i="3"/>
  <c r="X1073" i="3"/>
  <c r="G1075" i="3"/>
  <c r="X1081" i="3"/>
  <c r="G1083" i="3"/>
  <c r="X1089" i="3"/>
  <c r="Z1089" i="3" s="1"/>
  <c r="G1091" i="3"/>
  <c r="X1097" i="3"/>
  <c r="Z1097" i="3" s="1"/>
  <c r="G1099" i="3"/>
  <c r="X1105" i="3"/>
  <c r="Z1105" i="3" s="1"/>
  <c r="G1107" i="3"/>
  <c r="X1113" i="3"/>
  <c r="G1115" i="3"/>
  <c r="X1121" i="3"/>
  <c r="Z1121" i="3" s="1"/>
  <c r="X1173" i="3"/>
  <c r="Z1173" i="3" s="1"/>
  <c r="X1175" i="3"/>
  <c r="Z1175" i="3" s="1"/>
  <c r="X902" i="3"/>
  <c r="G904" i="3"/>
  <c r="X910" i="3"/>
  <c r="G912" i="3"/>
  <c r="X918" i="3"/>
  <c r="G920" i="3"/>
  <c r="X926" i="3"/>
  <c r="Z926" i="3" s="1"/>
  <c r="G928" i="3"/>
  <c r="X934" i="3"/>
  <c r="G936" i="3"/>
  <c r="X942" i="3"/>
  <c r="G944" i="3"/>
  <c r="X950" i="3"/>
  <c r="Z950" i="3" s="1"/>
  <c r="G952" i="3"/>
  <c r="X958" i="3"/>
  <c r="Z958" i="3" s="1"/>
  <c r="G960" i="3"/>
  <c r="X966" i="3"/>
  <c r="G968" i="3"/>
  <c r="X974" i="3"/>
  <c r="G976" i="3"/>
  <c r="X982" i="3"/>
  <c r="Z982" i="3" s="1"/>
  <c r="G984" i="3"/>
  <c r="X990" i="3"/>
  <c r="Z990" i="3" s="1"/>
  <c r="G992" i="3"/>
  <c r="X998" i="3"/>
  <c r="G1000" i="3"/>
  <c r="X1006" i="3"/>
  <c r="G1008" i="3"/>
  <c r="X1014" i="3"/>
  <c r="G1016" i="3"/>
  <c r="X1022" i="3"/>
  <c r="Z1022" i="3" s="1"/>
  <c r="G1024" i="3"/>
  <c r="X1030" i="3"/>
  <c r="G1032" i="3"/>
  <c r="X1038" i="3"/>
  <c r="G1040" i="3"/>
  <c r="X1046" i="3"/>
  <c r="Z1046" i="3" s="1"/>
  <c r="G1048" i="3"/>
  <c r="X1054" i="3"/>
  <c r="Z1054" i="3" s="1"/>
  <c r="G1056" i="3"/>
  <c r="X1062" i="3"/>
  <c r="G1064" i="3"/>
  <c r="X1070" i="3"/>
  <c r="G1072" i="3"/>
  <c r="X1078" i="3"/>
  <c r="G1080" i="3"/>
  <c r="X1086" i="3"/>
  <c r="Z1086" i="3" s="1"/>
  <c r="G1088" i="3"/>
  <c r="X1094" i="3"/>
  <c r="G1096" i="3"/>
  <c r="X1102" i="3"/>
  <c r="G1104" i="3"/>
  <c r="X1110" i="3"/>
  <c r="Z1110" i="3" s="1"/>
  <c r="G1112" i="3"/>
  <c r="X1118" i="3"/>
  <c r="Z1118" i="3" s="1"/>
  <c r="G1120" i="3"/>
  <c r="X1126" i="3"/>
  <c r="G1128" i="3"/>
  <c r="X1134" i="3"/>
  <c r="G1136" i="3"/>
  <c r="X1142" i="3"/>
  <c r="Z1142" i="3" s="1"/>
  <c r="G1144" i="3"/>
  <c r="G901" i="3"/>
  <c r="X907" i="3"/>
  <c r="Z907" i="3" s="1"/>
  <c r="G909" i="3"/>
  <c r="X915" i="3"/>
  <c r="G917" i="3"/>
  <c r="X923" i="3"/>
  <c r="G925" i="3"/>
  <c r="X931" i="3"/>
  <c r="Z931" i="3" s="1"/>
  <c r="G933" i="3"/>
  <c r="X939" i="3"/>
  <c r="Z939" i="3" s="1"/>
  <c r="G941" i="3"/>
  <c r="X947" i="3"/>
  <c r="G949" i="3"/>
  <c r="X955" i="3"/>
  <c r="G957" i="3"/>
  <c r="X963" i="3"/>
  <c r="Z963" i="3" s="1"/>
  <c r="G965" i="3"/>
  <c r="X971" i="3"/>
  <c r="Z971" i="3" s="1"/>
  <c r="G973" i="3"/>
  <c r="X979" i="3"/>
  <c r="G981" i="3"/>
  <c r="X987" i="3"/>
  <c r="G989" i="3"/>
  <c r="X995" i="3"/>
  <c r="Z995" i="3" s="1"/>
  <c r="G997" i="3"/>
  <c r="X1003" i="3"/>
  <c r="Z1003" i="3" s="1"/>
  <c r="G1005" i="3"/>
  <c r="X1011" i="3"/>
  <c r="G1013" i="3"/>
  <c r="X1019" i="3"/>
  <c r="G1021" i="3"/>
  <c r="X1027" i="3"/>
  <c r="Z1027" i="3" s="1"/>
  <c r="G1029" i="3"/>
  <c r="X1035" i="3"/>
  <c r="Z1035" i="3" s="1"/>
  <c r="G1037" i="3"/>
  <c r="X1043" i="3"/>
  <c r="Z1043" i="3" s="1"/>
  <c r="G1045" i="3"/>
  <c r="X1051" i="3"/>
  <c r="Z1051" i="3" s="1"/>
  <c r="G1053" i="3"/>
  <c r="X1059" i="3"/>
  <c r="Z1059" i="3" s="1"/>
  <c r="G1061" i="3"/>
  <c r="X1067" i="3"/>
  <c r="Z1067" i="3" s="1"/>
  <c r="G1069" i="3"/>
  <c r="X1075" i="3"/>
  <c r="G1077" i="3"/>
  <c r="X1083" i="3"/>
  <c r="Z1083" i="3" s="1"/>
  <c r="G1085" i="3"/>
  <c r="X1091" i="3"/>
  <c r="Z1091" i="3" s="1"/>
  <c r="G1093" i="3"/>
  <c r="X1099" i="3"/>
  <c r="Z1099" i="3" s="1"/>
  <c r="G1101" i="3"/>
  <c r="X1107" i="3"/>
  <c r="G1109" i="3"/>
  <c r="X1115" i="3"/>
  <c r="G1117" i="3"/>
  <c r="X1123" i="3"/>
  <c r="Z1123" i="3" s="1"/>
  <c r="G1125" i="3"/>
  <c r="X1131" i="3"/>
  <c r="Z1131" i="3" s="1"/>
  <c r="G1133" i="3"/>
  <c r="X1139" i="3"/>
  <c r="Z1139" i="3" s="1"/>
  <c r="G1141" i="3"/>
  <c r="X1147" i="3"/>
  <c r="Z1147" i="3" s="1"/>
  <c r="G1149" i="3"/>
  <c r="X1155" i="3"/>
  <c r="Z1155" i="3" s="1"/>
  <c r="G1157" i="3"/>
  <c r="X1163" i="3"/>
  <c r="Z1163" i="3" s="1"/>
  <c r="G1165" i="3"/>
  <c r="X1171" i="3"/>
  <c r="Z1171" i="3" s="1"/>
  <c r="G701" i="3"/>
  <c r="X707" i="3"/>
  <c r="G709" i="3"/>
  <c r="X715" i="3"/>
  <c r="Z715" i="3" s="1"/>
  <c r="G717" i="3"/>
  <c r="X723" i="3"/>
  <c r="Z723" i="3" s="1"/>
  <c r="G725" i="3"/>
  <c r="X731" i="3"/>
  <c r="G733" i="3"/>
  <c r="X739" i="3"/>
  <c r="G741" i="3"/>
  <c r="X747" i="3"/>
  <c r="Z747" i="3" s="1"/>
  <c r="G749" i="3"/>
  <c r="X755" i="3"/>
  <c r="Z755" i="3" s="1"/>
  <c r="G757" i="3"/>
  <c r="X763" i="3"/>
  <c r="G765" i="3"/>
  <c r="X904" i="3"/>
  <c r="G906" i="3"/>
  <c r="X912" i="3"/>
  <c r="Z912" i="3" s="1"/>
  <c r="G914" i="3"/>
  <c r="X920" i="3"/>
  <c r="Z920" i="3" s="1"/>
  <c r="G922" i="3"/>
  <c r="X928" i="3"/>
  <c r="G930" i="3"/>
  <c r="X936" i="3"/>
  <c r="G938" i="3"/>
  <c r="X944" i="3"/>
  <c r="Z944" i="3" s="1"/>
  <c r="G946" i="3"/>
  <c r="X952" i="3"/>
  <c r="Z952" i="3" s="1"/>
  <c r="G954" i="3"/>
  <c r="X960" i="3"/>
  <c r="G962" i="3"/>
  <c r="X968" i="3"/>
  <c r="G970" i="3"/>
  <c r="X976" i="3"/>
  <c r="Z976" i="3" s="1"/>
  <c r="G978" i="3"/>
  <c r="X984" i="3"/>
  <c r="Z984" i="3" s="1"/>
  <c r="G986" i="3"/>
  <c r="X992" i="3"/>
  <c r="G994" i="3"/>
  <c r="X1000" i="3"/>
  <c r="G1002" i="3"/>
  <c r="X1008" i="3"/>
  <c r="Z1008" i="3" s="1"/>
  <c r="G1010" i="3"/>
  <c r="X1016" i="3"/>
  <c r="Z1016" i="3" s="1"/>
  <c r="G1018" i="3"/>
  <c r="X1024" i="3"/>
  <c r="Z1024" i="3" s="1"/>
  <c r="G1026" i="3"/>
  <c r="X1032" i="3"/>
  <c r="G1034" i="3"/>
  <c r="X1040" i="3"/>
  <c r="Z1040" i="3" s="1"/>
  <c r="G1042" i="3"/>
  <c r="X1048" i="3"/>
  <c r="Z1048" i="3" s="1"/>
  <c r="G1050" i="3"/>
  <c r="X1056" i="3"/>
  <c r="Z1056" i="3" s="1"/>
  <c r="G1058" i="3"/>
  <c r="X1064" i="3"/>
  <c r="G1066" i="3"/>
  <c r="X1072" i="3"/>
  <c r="Z1072" i="3" s="1"/>
  <c r="G1074" i="3"/>
  <c r="X1080" i="3"/>
  <c r="Z1080" i="3" s="1"/>
  <c r="G1082" i="3"/>
  <c r="X1088" i="3"/>
  <c r="G1090" i="3"/>
  <c r="X1096" i="3"/>
  <c r="G1098" i="3"/>
  <c r="X1104" i="3"/>
  <c r="Z1104" i="3" s="1"/>
  <c r="X1112" i="3"/>
  <c r="Z1112" i="3" s="1"/>
  <c r="G1114" i="3"/>
  <c r="X1120" i="3"/>
  <c r="G1122" i="3"/>
  <c r="X1128" i="3"/>
  <c r="G1130" i="3"/>
  <c r="X1136" i="3"/>
  <c r="Z1136" i="3" s="1"/>
  <c r="G1138" i="3"/>
  <c r="X1144" i="3"/>
  <c r="Z1144" i="3" s="1"/>
  <c r="G1146" i="3"/>
  <c r="X1152" i="3"/>
  <c r="Z1152" i="3" s="1"/>
  <c r="G1154" i="3"/>
  <c r="X1160" i="3"/>
  <c r="Z1160" i="3" s="1"/>
  <c r="G1162" i="3"/>
  <c r="X1168" i="3"/>
  <c r="Z1168" i="3" s="1"/>
  <c r="G1170" i="3"/>
  <c r="X704" i="3"/>
  <c r="Z704" i="3" s="1"/>
  <c r="G706" i="3"/>
  <c r="X712" i="3"/>
  <c r="G714" i="3"/>
  <c r="X720" i="3"/>
  <c r="G722" i="3"/>
  <c r="X728" i="3"/>
  <c r="Z728" i="3" s="1"/>
  <c r="G730" i="3"/>
  <c r="X736" i="3"/>
  <c r="Z736" i="3" s="1"/>
  <c r="G738" i="3"/>
  <c r="X744" i="3"/>
  <c r="X1181" i="3"/>
  <c r="G1191" i="3"/>
  <c r="X906" i="3"/>
  <c r="G908" i="3"/>
  <c r="X914" i="3"/>
  <c r="Z914" i="3" s="1"/>
  <c r="G916" i="3"/>
  <c r="X922" i="3"/>
  <c r="Z922" i="3" s="1"/>
  <c r="G924" i="3"/>
  <c r="X930" i="3"/>
  <c r="G932" i="3"/>
  <c r="X938" i="3"/>
  <c r="G940" i="3"/>
  <c r="X946" i="3"/>
  <c r="Z946" i="3" s="1"/>
  <c r="G948" i="3"/>
  <c r="X954" i="3"/>
  <c r="Z954" i="3" s="1"/>
  <c r="G956" i="3"/>
  <c r="X962" i="3"/>
  <c r="G964" i="3"/>
  <c r="X970" i="3"/>
  <c r="G972" i="3"/>
  <c r="X978" i="3"/>
  <c r="Z978" i="3" s="1"/>
  <c r="G980" i="3"/>
  <c r="X986" i="3"/>
  <c r="Z986" i="3" s="1"/>
  <c r="G988" i="3"/>
  <c r="X994" i="3"/>
  <c r="G996" i="3"/>
  <c r="X1002" i="3"/>
  <c r="G1004" i="3"/>
  <c r="X1010" i="3"/>
  <c r="Z1010" i="3" s="1"/>
  <c r="G1012" i="3"/>
  <c r="X1018" i="3"/>
  <c r="Z1018" i="3" s="1"/>
  <c r="G1020" i="3"/>
  <c r="X1026" i="3"/>
  <c r="G1028" i="3"/>
  <c r="X1034" i="3"/>
  <c r="G1036" i="3"/>
  <c r="X1042" i="3"/>
  <c r="Z1042" i="3" s="1"/>
  <c r="G1044" i="3"/>
  <c r="X1050" i="3"/>
  <c r="Z1050" i="3" s="1"/>
  <c r="G1052" i="3"/>
  <c r="X1058" i="3"/>
  <c r="Z1058" i="3" s="1"/>
  <c r="G1060" i="3"/>
  <c r="X1066" i="3"/>
  <c r="G1068" i="3"/>
  <c r="X1074" i="3"/>
  <c r="Z1074" i="3" s="1"/>
  <c r="G1076" i="3"/>
  <c r="X1082" i="3"/>
  <c r="Z1082" i="3" s="1"/>
  <c r="G1084" i="3"/>
  <c r="X1090" i="3"/>
  <c r="G1092" i="3"/>
  <c r="X1098" i="3"/>
  <c r="G1100" i="3"/>
  <c r="X1106" i="3"/>
  <c r="Z1106" i="3" s="1"/>
  <c r="G1108" i="3"/>
  <c r="X1114" i="3"/>
  <c r="Z1114" i="3" s="1"/>
  <c r="G1116" i="3"/>
  <c r="X1122" i="3"/>
  <c r="Z1122" i="3" s="1"/>
  <c r="G1124" i="3"/>
  <c r="X1130" i="3"/>
  <c r="Z1130" i="3" s="1"/>
  <c r="G1132" i="3"/>
  <c r="X1138" i="3"/>
  <c r="Z1138" i="3" s="1"/>
  <c r="G1140" i="3"/>
  <c r="X1146" i="3"/>
  <c r="Z1146" i="3" s="1"/>
  <c r="G1148" i="3"/>
  <c r="X1154" i="3"/>
  <c r="G1156" i="3"/>
  <c r="X1162" i="3"/>
  <c r="G1164" i="3"/>
  <c r="X1170" i="3"/>
  <c r="Z1170" i="3" s="1"/>
  <c r="G1172" i="3"/>
  <c r="X706" i="3"/>
  <c r="Z706" i="3" s="1"/>
  <c r="G708" i="3"/>
  <c r="X714" i="3"/>
  <c r="G716" i="3"/>
  <c r="X722" i="3"/>
  <c r="G724" i="3"/>
  <c r="X730" i="3"/>
  <c r="Z730" i="3" s="1"/>
  <c r="G732" i="3"/>
  <c r="X738" i="3"/>
  <c r="Z738" i="3" s="1"/>
  <c r="G740" i="3"/>
  <c r="X746" i="3"/>
  <c r="G748" i="3"/>
  <c r="X754" i="3"/>
  <c r="X1183" i="3"/>
  <c r="Z1183" i="3" s="1"/>
  <c r="X917" i="3"/>
  <c r="Z917" i="3" s="1"/>
  <c r="G927" i="3"/>
  <c r="X949" i="3"/>
  <c r="Z949" i="3" s="1"/>
  <c r="G959" i="3"/>
  <c r="X981" i="3"/>
  <c r="Z981" i="3" s="1"/>
  <c r="G991" i="3"/>
  <c r="X1005" i="3"/>
  <c r="X1007" i="3"/>
  <c r="Z1007" i="3" s="1"/>
  <c r="X1021" i="3"/>
  <c r="Z1021" i="3" s="1"/>
  <c r="X1023" i="3"/>
  <c r="Z1023" i="3" s="1"/>
  <c r="X1037" i="3"/>
  <c r="Z1037" i="3" s="1"/>
  <c r="X1039" i="3"/>
  <c r="X1053" i="3"/>
  <c r="X1055" i="3"/>
  <c r="X1069" i="3"/>
  <c r="X1071" i="3"/>
  <c r="Z1071" i="3" s="1"/>
  <c r="X1085" i="3"/>
  <c r="Z1085" i="3" s="1"/>
  <c r="X1087" i="3"/>
  <c r="Z1087" i="3" s="1"/>
  <c r="X1101" i="3"/>
  <c r="Z1101" i="3" s="1"/>
  <c r="X1103" i="3"/>
  <c r="X1117" i="3"/>
  <c r="Z1117" i="3" s="1"/>
  <c r="X1119" i="3"/>
  <c r="X1151" i="3"/>
  <c r="X1159" i="3"/>
  <c r="Z1159" i="3" s="1"/>
  <c r="X1167" i="3"/>
  <c r="Z1167" i="3" s="1"/>
  <c r="X703" i="3"/>
  <c r="Z703" i="3" s="1"/>
  <c r="X711" i="3"/>
  <c r="Z711" i="3" s="1"/>
  <c r="X719" i="3"/>
  <c r="X727" i="3"/>
  <c r="Z727" i="3" s="1"/>
  <c r="X735" i="3"/>
  <c r="X741" i="3"/>
  <c r="G743" i="3"/>
  <c r="X750" i="3"/>
  <c r="Z750" i="3" s="1"/>
  <c r="G752" i="3"/>
  <c r="X757" i="3"/>
  <c r="Z757" i="3" s="1"/>
  <c r="G759" i="3"/>
  <c r="G764" i="3"/>
  <c r="X767" i="3"/>
  <c r="G769" i="3"/>
  <c r="X775" i="3"/>
  <c r="Z775" i="3" s="1"/>
  <c r="G777" i="3"/>
  <c r="X783" i="3"/>
  <c r="Z783" i="3" s="1"/>
  <c r="G785" i="3"/>
  <c r="X791" i="3"/>
  <c r="G793" i="3"/>
  <c r="X799" i="3"/>
  <c r="G801" i="3"/>
  <c r="X807" i="3"/>
  <c r="Z807" i="3" s="1"/>
  <c r="G809" i="3"/>
  <c r="X815" i="3"/>
  <c r="Z815" i="3" s="1"/>
  <c r="G817" i="3"/>
  <c r="X823" i="3"/>
  <c r="G825" i="3"/>
  <c r="X831" i="3"/>
  <c r="G833" i="3"/>
  <c r="X839" i="3"/>
  <c r="Z839" i="3" s="1"/>
  <c r="G841" i="3"/>
  <c r="X847" i="3"/>
  <c r="Z847" i="3" s="1"/>
  <c r="G849" i="3"/>
  <c r="X855" i="3"/>
  <c r="G857" i="3"/>
  <c r="X863" i="3"/>
  <c r="G865" i="3"/>
  <c r="X871" i="3"/>
  <c r="Z871" i="3" s="1"/>
  <c r="G873" i="3"/>
  <c r="X879" i="3"/>
  <c r="Z879" i="3" s="1"/>
  <c r="G881" i="3"/>
  <c r="X887" i="3"/>
  <c r="G889" i="3"/>
  <c r="X895" i="3"/>
  <c r="G897" i="3"/>
  <c r="X595" i="3"/>
  <c r="Z595" i="3" s="1"/>
  <c r="G597" i="3"/>
  <c r="X603" i="3"/>
  <c r="Z603" i="3" s="1"/>
  <c r="G605" i="3"/>
  <c r="X611" i="3"/>
  <c r="G613" i="3"/>
  <c r="X619" i="3"/>
  <c r="G621" i="3"/>
  <c r="X627" i="3"/>
  <c r="G629" i="3"/>
  <c r="X635" i="3"/>
  <c r="Z635" i="3" s="1"/>
  <c r="G637" i="3"/>
  <c r="X643" i="3"/>
  <c r="G1135" i="3"/>
  <c r="G1137" i="3"/>
  <c r="G1139" i="3"/>
  <c r="X1141" i="3"/>
  <c r="Z1141" i="3" s="1"/>
  <c r="X1143" i="3"/>
  <c r="Z1143" i="3" s="1"/>
  <c r="X1145" i="3"/>
  <c r="Z1145" i="3" s="1"/>
  <c r="X1153" i="3"/>
  <c r="Z1153" i="3" s="1"/>
  <c r="X1161" i="3"/>
  <c r="X1169" i="3"/>
  <c r="Z1169" i="3" s="1"/>
  <c r="X705" i="3"/>
  <c r="X713" i="3"/>
  <c r="X721" i="3"/>
  <c r="Z721" i="3" s="1"/>
  <c r="X729" i="3"/>
  <c r="Z729" i="3" s="1"/>
  <c r="X737" i="3"/>
  <c r="Z737" i="3" s="1"/>
  <c r="G745" i="3"/>
  <c r="X762" i="3"/>
  <c r="G766" i="3"/>
  <c r="X772" i="3"/>
  <c r="G774" i="3"/>
  <c r="X780" i="3"/>
  <c r="Z780" i="3" s="1"/>
  <c r="G782" i="3"/>
  <c r="X788" i="3"/>
  <c r="Z788" i="3" s="1"/>
  <c r="G790" i="3"/>
  <c r="X796" i="3"/>
  <c r="G798" i="3"/>
  <c r="X804" i="3"/>
  <c r="G806" i="3"/>
  <c r="X812" i="3"/>
  <c r="Z812" i="3" s="1"/>
  <c r="G814" i="3"/>
  <c r="X820" i="3"/>
  <c r="Z820" i="3" s="1"/>
  <c r="G822" i="3"/>
  <c r="X828" i="3"/>
  <c r="G830" i="3"/>
  <c r="X836" i="3"/>
  <c r="G838" i="3"/>
  <c r="X844" i="3"/>
  <c r="Z844" i="3" s="1"/>
  <c r="G846" i="3"/>
  <c r="X852" i="3"/>
  <c r="Z852" i="3" s="1"/>
  <c r="G854" i="3"/>
  <c r="X860" i="3"/>
  <c r="G862" i="3"/>
  <c r="X868" i="3"/>
  <c r="G870" i="3"/>
  <c r="X876" i="3"/>
  <c r="Z876" i="3" s="1"/>
  <c r="G878" i="3"/>
  <c r="X884" i="3"/>
  <c r="Z884" i="3" s="1"/>
  <c r="G886" i="3"/>
  <c r="X892" i="3"/>
  <c r="G894" i="3"/>
  <c r="X900" i="3"/>
  <c r="G594" i="3"/>
  <c r="X600" i="3"/>
  <c r="Z600" i="3" s="1"/>
  <c r="G602" i="3"/>
  <c r="X608" i="3"/>
  <c r="Z608" i="3" s="1"/>
  <c r="G610" i="3"/>
  <c r="X616" i="3"/>
  <c r="G618" i="3"/>
  <c r="X624" i="3"/>
  <c r="Z624" i="3" s="1"/>
  <c r="G626" i="3"/>
  <c r="X632" i="3"/>
  <c r="Z632" i="3" s="1"/>
  <c r="G634" i="3"/>
  <c r="X640" i="3"/>
  <c r="Z640" i="3" s="1"/>
  <c r="G642" i="3"/>
  <c r="X648" i="3"/>
  <c r="G650" i="3"/>
  <c r="X656" i="3"/>
  <c r="Z656" i="3" s="1"/>
  <c r="G658" i="3"/>
  <c r="X664" i="3"/>
  <c r="Z664" i="3" s="1"/>
  <c r="G666" i="3"/>
  <c r="X672" i="3"/>
  <c r="Z672" i="3" s="1"/>
  <c r="G674" i="3"/>
  <c r="X680" i="3"/>
  <c r="G682" i="3"/>
  <c r="X688" i="3"/>
  <c r="Z688" i="3" s="1"/>
  <c r="G690" i="3"/>
  <c r="X696" i="3"/>
  <c r="Z696" i="3" s="1"/>
  <c r="G698" i="3"/>
  <c r="G903" i="3"/>
  <c r="X925" i="3"/>
  <c r="Z925" i="3" s="1"/>
  <c r="G935" i="3"/>
  <c r="X957" i="3"/>
  <c r="Z957" i="3" s="1"/>
  <c r="G967" i="3"/>
  <c r="X989" i="3"/>
  <c r="G999" i="3"/>
  <c r="G1001" i="3"/>
  <c r="G1015" i="3"/>
  <c r="G1017" i="3"/>
  <c r="G1031" i="3"/>
  <c r="G1033" i="3"/>
  <c r="G1047" i="3"/>
  <c r="G1049" i="3"/>
  <c r="G1063" i="3"/>
  <c r="G1065" i="3"/>
  <c r="G1079" i="3"/>
  <c r="G1081" i="3"/>
  <c r="G1095" i="3"/>
  <c r="G1097" i="3"/>
  <c r="G1111" i="3"/>
  <c r="G1113" i="3"/>
  <c r="X743" i="3"/>
  <c r="Z743" i="3" s="1"/>
  <c r="G747" i="3"/>
  <c r="X752" i="3"/>
  <c r="Z752" i="3" s="1"/>
  <c r="G754" i="3"/>
  <c r="G756" i="3"/>
  <c r="X759" i="3"/>
  <c r="G761" i="3"/>
  <c r="X764" i="3"/>
  <c r="Z764" i="3" s="1"/>
  <c r="X769" i="3"/>
  <c r="Z769" i="3" s="1"/>
  <c r="G771" i="3"/>
  <c r="X777" i="3"/>
  <c r="Z777" i="3" s="1"/>
  <c r="G779" i="3"/>
  <c r="X785" i="3"/>
  <c r="G787" i="3"/>
  <c r="X793" i="3"/>
  <c r="G795" i="3"/>
  <c r="X801" i="3"/>
  <c r="Z801" i="3" s="1"/>
  <c r="G803" i="3"/>
  <c r="X809" i="3"/>
  <c r="Z809" i="3" s="1"/>
  <c r="G811" i="3"/>
  <c r="X817" i="3"/>
  <c r="G819" i="3"/>
  <c r="X825" i="3"/>
  <c r="Z825" i="3" s="1"/>
  <c r="G827" i="3"/>
  <c r="X833" i="3"/>
  <c r="Z833" i="3" s="1"/>
  <c r="G835" i="3"/>
  <c r="X841" i="3"/>
  <c r="Z841" i="3" s="1"/>
  <c r="G843" i="3"/>
  <c r="X849" i="3"/>
  <c r="G851" i="3"/>
  <c r="X857" i="3"/>
  <c r="G859" i="3"/>
  <c r="X865" i="3"/>
  <c r="Z865" i="3" s="1"/>
  <c r="G867" i="3"/>
  <c r="X873" i="3"/>
  <c r="Z873" i="3" s="1"/>
  <c r="G875" i="3"/>
  <c r="X881" i="3"/>
  <c r="G883" i="3"/>
  <c r="X889" i="3"/>
  <c r="Z889" i="3" s="1"/>
  <c r="G891" i="3"/>
  <c r="X897" i="3"/>
  <c r="Z897" i="3" s="1"/>
  <c r="G899" i="3"/>
  <c r="X597" i="3"/>
  <c r="Z597" i="3" s="1"/>
  <c r="G599" i="3"/>
  <c r="G1127" i="3"/>
  <c r="G1129" i="3"/>
  <c r="G1131" i="3"/>
  <c r="X1133" i="3"/>
  <c r="Z1133" i="3" s="1"/>
  <c r="X1135" i="3"/>
  <c r="Z1135" i="3" s="1"/>
  <c r="X1137" i="3"/>
  <c r="Z1137" i="3" s="1"/>
  <c r="X1150" i="3"/>
  <c r="Z1150" i="3" s="1"/>
  <c r="G1152" i="3"/>
  <c r="X1158" i="3"/>
  <c r="G1160" i="3"/>
  <c r="X1166" i="3"/>
  <c r="G1168" i="3"/>
  <c r="X702" i="3"/>
  <c r="Z702" i="3" s="1"/>
  <c r="G704" i="3"/>
  <c r="X710" i="3"/>
  <c r="Z710" i="3" s="1"/>
  <c r="G712" i="3"/>
  <c r="X718" i="3"/>
  <c r="G720" i="3"/>
  <c r="X901" i="3"/>
  <c r="Z901" i="3" s="1"/>
  <c r="G911" i="3"/>
  <c r="X933" i="3"/>
  <c r="Z933" i="3" s="1"/>
  <c r="G943" i="3"/>
  <c r="X965" i="3"/>
  <c r="Z965" i="3" s="1"/>
  <c r="G975" i="3"/>
  <c r="X997" i="3"/>
  <c r="X999" i="3"/>
  <c r="Z999" i="3" s="1"/>
  <c r="X1013" i="3"/>
  <c r="Z1013" i="3" s="1"/>
  <c r="X1015" i="3"/>
  <c r="X1029" i="3"/>
  <c r="Z1029" i="3" s="1"/>
  <c r="X1031" i="3"/>
  <c r="Z1031" i="3" s="1"/>
  <c r="X1045" i="3"/>
  <c r="Z1045" i="3" s="1"/>
  <c r="X1047" i="3"/>
  <c r="Z1047" i="3" s="1"/>
  <c r="X1061" i="3"/>
  <c r="X1063" i="3"/>
  <c r="Z1063" i="3" s="1"/>
  <c r="X1077" i="3"/>
  <c r="X1079" i="3"/>
  <c r="Z1079" i="3" s="1"/>
  <c r="X1093" i="3"/>
  <c r="Z1093" i="3" s="1"/>
  <c r="X1095" i="3"/>
  <c r="Z1095" i="3" s="1"/>
  <c r="X1109" i="3"/>
  <c r="Z1109" i="3" s="1"/>
  <c r="X1111" i="3"/>
  <c r="Z1111" i="3" s="1"/>
  <c r="X740" i="3"/>
  <c r="X756" i="3"/>
  <c r="X761" i="3"/>
  <c r="Z761" i="3" s="1"/>
  <c r="G763" i="3"/>
  <c r="X771" i="3"/>
  <c r="Z771" i="3" s="1"/>
  <c r="G773" i="3"/>
  <c r="X779" i="3"/>
  <c r="Z779" i="3" s="1"/>
  <c r="G781" i="3"/>
  <c r="X787" i="3"/>
  <c r="G789" i="3"/>
  <c r="X795" i="3"/>
  <c r="G797" i="3"/>
  <c r="X803" i="3"/>
  <c r="Z803" i="3" s="1"/>
  <c r="G805" i="3"/>
  <c r="X811" i="3"/>
  <c r="Z811" i="3" s="1"/>
  <c r="G813" i="3"/>
  <c r="X819" i="3"/>
  <c r="G821" i="3"/>
  <c r="X827" i="3"/>
  <c r="G829" i="3"/>
  <c r="X835" i="3"/>
  <c r="Z835" i="3" s="1"/>
  <c r="G837" i="3"/>
  <c r="X843" i="3"/>
  <c r="Z843" i="3" s="1"/>
  <c r="G845" i="3"/>
  <c r="X851" i="3"/>
  <c r="G853" i="3"/>
  <c r="X859" i="3"/>
  <c r="Z859" i="3" s="1"/>
  <c r="G861" i="3"/>
  <c r="X867" i="3"/>
  <c r="Z867" i="3" s="1"/>
  <c r="G869" i="3"/>
  <c r="X875" i="3"/>
  <c r="Z875" i="3" s="1"/>
  <c r="G1123" i="3"/>
  <c r="X1125" i="3"/>
  <c r="Z1125" i="3" s="1"/>
  <c r="X1127" i="3"/>
  <c r="Z1127" i="3" s="1"/>
  <c r="X1129" i="3"/>
  <c r="Z1129" i="3" s="1"/>
  <c r="X742" i="3"/>
  <c r="G744" i="3"/>
  <c r="X751" i="3"/>
  <c r="Z751" i="3" s="1"/>
  <c r="G753" i="3"/>
  <c r="X758" i="3"/>
  <c r="Z758" i="3" s="1"/>
  <c r="G760" i="3"/>
  <c r="X768" i="3"/>
  <c r="Z768" i="3" s="1"/>
  <c r="G770" i="3"/>
  <c r="X776" i="3"/>
  <c r="G778" i="3"/>
  <c r="X784" i="3"/>
  <c r="Z784" i="3" s="1"/>
  <c r="G786" i="3"/>
  <c r="X792" i="3"/>
  <c r="Z792" i="3" s="1"/>
  <c r="G794" i="3"/>
  <c r="X800" i="3"/>
  <c r="Z800" i="3" s="1"/>
  <c r="G802" i="3"/>
  <c r="X808" i="3"/>
  <c r="Z808" i="3" s="1"/>
  <c r="G810" i="3"/>
  <c r="X816" i="3"/>
  <c r="Z816" i="3" s="1"/>
  <c r="G818" i="3"/>
  <c r="X824" i="3"/>
  <c r="Z824" i="3" s="1"/>
  <c r="G826" i="3"/>
  <c r="X832" i="3"/>
  <c r="G834" i="3"/>
  <c r="X840" i="3"/>
  <c r="G842" i="3"/>
  <c r="X848" i="3"/>
  <c r="Z848" i="3" s="1"/>
  <c r="G850" i="3"/>
  <c r="X856" i="3"/>
  <c r="Z856" i="3" s="1"/>
  <c r="G858" i="3"/>
  <c r="X864" i="3"/>
  <c r="Z864" i="3" s="1"/>
  <c r="G866" i="3"/>
  <c r="X872" i="3"/>
  <c r="Z872" i="3" s="1"/>
  <c r="G874" i="3"/>
  <c r="X880" i="3"/>
  <c r="Z880" i="3" s="1"/>
  <c r="G882" i="3"/>
  <c r="X888" i="3"/>
  <c r="Z888" i="3" s="1"/>
  <c r="G890" i="3"/>
  <c r="X896" i="3"/>
  <c r="Z896" i="3" s="1"/>
  <c r="G1143" i="3"/>
  <c r="G1147" i="3"/>
  <c r="X1149" i="3"/>
  <c r="Z1149" i="3" s="1"/>
  <c r="G1153" i="3"/>
  <c r="G1155" i="3"/>
  <c r="X1157" i="3"/>
  <c r="Z1157" i="3" s="1"/>
  <c r="G1161" i="3"/>
  <c r="G1163" i="3"/>
  <c r="X1165" i="3"/>
  <c r="Z1165" i="3" s="1"/>
  <c r="G1169" i="3"/>
  <c r="G1171" i="3"/>
  <c r="X701" i="3"/>
  <c r="Z701" i="3" s="1"/>
  <c r="G705" i="3"/>
  <c r="G707" i="3"/>
  <c r="X709" i="3"/>
  <c r="G713" i="3"/>
  <c r="G715" i="3"/>
  <c r="X717" i="3"/>
  <c r="Z717" i="3" s="1"/>
  <c r="G721" i="3"/>
  <c r="G723" i="3"/>
  <c r="X725" i="3"/>
  <c r="Z725" i="3" s="1"/>
  <c r="G729" i="3"/>
  <c r="G731" i="3"/>
  <c r="X733" i="3"/>
  <c r="Z733" i="3" s="1"/>
  <c r="G737" i="3"/>
  <c r="G739" i="3"/>
  <c r="X748" i="3"/>
  <c r="Z748" i="3" s="1"/>
  <c r="X753" i="3"/>
  <c r="Z753" i="3" s="1"/>
  <c r="X760" i="3"/>
  <c r="Z760" i="3" s="1"/>
  <c r="G762" i="3"/>
  <c r="X770" i="3"/>
  <c r="Z770" i="3" s="1"/>
  <c r="G772" i="3"/>
  <c r="X778" i="3"/>
  <c r="G780" i="3"/>
  <c r="X786" i="3"/>
  <c r="Z786" i="3" s="1"/>
  <c r="G788" i="3"/>
  <c r="X794" i="3"/>
  <c r="Z794" i="3" s="1"/>
  <c r="G796" i="3"/>
  <c r="X802" i="3"/>
  <c r="Z802" i="3" s="1"/>
  <c r="G804" i="3"/>
  <c r="X810" i="3"/>
  <c r="G812" i="3"/>
  <c r="X818" i="3"/>
  <c r="Z818" i="3" s="1"/>
  <c r="G820" i="3"/>
  <c r="X826" i="3"/>
  <c r="Z826" i="3" s="1"/>
  <c r="G828" i="3"/>
  <c r="X834" i="3"/>
  <c r="Z834" i="3" s="1"/>
  <c r="G836" i="3"/>
  <c r="X842" i="3"/>
  <c r="Z842" i="3" s="1"/>
  <c r="G844" i="3"/>
  <c r="X850" i="3"/>
  <c r="Z850" i="3" s="1"/>
  <c r="G852" i="3"/>
  <c r="X858" i="3"/>
  <c r="Z858" i="3" s="1"/>
  <c r="G860" i="3"/>
  <c r="X866" i="3"/>
  <c r="Z866" i="3" s="1"/>
  <c r="G868" i="3"/>
  <c r="X874" i="3"/>
  <c r="Z874" i="3" s="1"/>
  <c r="G876" i="3"/>
  <c r="X882" i="3"/>
  <c r="Z882" i="3" s="1"/>
  <c r="G884" i="3"/>
  <c r="X890" i="3"/>
  <c r="Z890" i="3" s="1"/>
  <c r="G892" i="3"/>
  <c r="X898" i="3"/>
  <c r="Z898" i="3" s="1"/>
  <c r="G900" i="3"/>
  <c r="X598" i="3"/>
  <c r="Z598" i="3" s="1"/>
  <c r="G600" i="3"/>
  <c r="X606" i="3"/>
  <c r="Z606" i="3" s="1"/>
  <c r="G608" i="3"/>
  <c r="X614" i="3"/>
  <c r="Z614" i="3" s="1"/>
  <c r="G616" i="3"/>
  <c r="X622" i="3"/>
  <c r="Z622" i="3" s="1"/>
  <c r="G1023" i="3"/>
  <c r="G1087" i="3"/>
  <c r="G1167" i="3"/>
  <c r="G735" i="3"/>
  <c r="X749" i="3"/>
  <c r="Z749" i="3" s="1"/>
  <c r="G768" i="3"/>
  <c r="G775" i="3"/>
  <c r="G784" i="3"/>
  <c r="G791" i="3"/>
  <c r="G800" i="3"/>
  <c r="G807" i="3"/>
  <c r="G816" i="3"/>
  <c r="G823" i="3"/>
  <c r="G832" i="3"/>
  <c r="G839" i="3"/>
  <c r="G848" i="3"/>
  <c r="G855" i="3"/>
  <c r="G864" i="3"/>
  <c r="G871" i="3"/>
  <c r="X886" i="3"/>
  <c r="Z886" i="3" s="1"/>
  <c r="G893" i="3"/>
  <c r="G595" i="3"/>
  <c r="G603" i="3"/>
  <c r="X612" i="3"/>
  <c r="Z612" i="3" s="1"/>
  <c r="G620" i="3"/>
  <c r="X625" i="3"/>
  <c r="Z625" i="3" s="1"/>
  <c r="X634" i="3"/>
  <c r="Z634" i="3" s="1"/>
  <c r="G638" i="3"/>
  <c r="X641" i="3"/>
  <c r="Z641" i="3" s="1"/>
  <c r="G645" i="3"/>
  <c r="X653" i="3"/>
  <c r="Z653" i="3" s="1"/>
  <c r="G655" i="3"/>
  <c r="X663" i="3"/>
  <c r="Z663" i="3" s="1"/>
  <c r="G667" i="3"/>
  <c r="X675" i="3"/>
  <c r="Z675" i="3" s="1"/>
  <c r="G677" i="3"/>
  <c r="X685" i="3"/>
  <c r="Z685" i="3" s="1"/>
  <c r="G687" i="3"/>
  <c r="X695" i="3"/>
  <c r="Z695" i="3" s="1"/>
  <c r="G699" i="3"/>
  <c r="G553" i="3"/>
  <c r="G555" i="3"/>
  <c r="G919" i="3"/>
  <c r="G1041" i="3"/>
  <c r="G703" i="3"/>
  <c r="G728" i="3"/>
  <c r="X766" i="3"/>
  <c r="Z766" i="3" s="1"/>
  <c r="X773" i="3"/>
  <c r="Z773" i="3" s="1"/>
  <c r="X782" i="3"/>
  <c r="Z782" i="3" s="1"/>
  <c r="X789" i="3"/>
  <c r="Z789" i="3" s="1"/>
  <c r="X798" i="3"/>
  <c r="Z798" i="3" s="1"/>
  <c r="X805" i="3"/>
  <c r="Z805" i="3" s="1"/>
  <c r="X814" i="3"/>
  <c r="Z814" i="3" s="1"/>
  <c r="X821" i="3"/>
  <c r="Z821" i="3" s="1"/>
  <c r="X830" i="3"/>
  <c r="Z830" i="3" s="1"/>
  <c r="X837" i="3"/>
  <c r="Z837" i="3" s="1"/>
  <c r="X846" i="3"/>
  <c r="Z846" i="3" s="1"/>
  <c r="X853" i="3"/>
  <c r="Z853" i="3" s="1"/>
  <c r="X862" i="3"/>
  <c r="Z862" i="3" s="1"/>
  <c r="X869" i="3"/>
  <c r="Z869" i="3" s="1"/>
  <c r="G880" i="3"/>
  <c r="G895" i="3"/>
  <c r="X899" i="3"/>
  <c r="Z899" i="3" s="1"/>
  <c r="G1039" i="3"/>
  <c r="G1103" i="3"/>
  <c r="G711" i="3"/>
  <c r="X726" i="3"/>
  <c r="Z726" i="3" s="1"/>
  <c r="X745" i="3"/>
  <c r="Z745" i="3" s="1"/>
  <c r="X878" i="3"/>
  <c r="Z878" i="3" s="1"/>
  <c r="G885" i="3"/>
  <c r="X891" i="3"/>
  <c r="Z891" i="3" s="1"/>
  <c r="X893" i="3"/>
  <c r="Z893" i="3" s="1"/>
  <c r="X605" i="3"/>
  <c r="Z605" i="3" s="1"/>
  <c r="G611" i="3"/>
  <c r="X620" i="3"/>
  <c r="Z620" i="3" s="1"/>
  <c r="G624" i="3"/>
  <c r="G633" i="3"/>
  <c r="X638" i="3"/>
  <c r="Z638" i="3" s="1"/>
  <c r="G640" i="3"/>
  <c r="X645" i="3"/>
  <c r="Z645" i="3" s="1"/>
  <c r="G647" i="3"/>
  <c r="X655" i="3"/>
  <c r="Z655" i="3" s="1"/>
  <c r="G659" i="3"/>
  <c r="X667" i="3"/>
  <c r="Z667" i="3" s="1"/>
  <c r="G669" i="3"/>
  <c r="X677" i="3"/>
  <c r="Z677" i="3" s="1"/>
  <c r="G679" i="3"/>
  <c r="X687" i="3"/>
  <c r="Z687" i="3" s="1"/>
  <c r="G691" i="3"/>
  <c r="X699" i="3"/>
  <c r="Z699" i="3" s="1"/>
  <c r="X570" i="3"/>
  <c r="Z570" i="3" s="1"/>
  <c r="X572" i="3"/>
  <c r="Z572" i="3" s="1"/>
  <c r="G475" i="3"/>
  <c r="X492" i="3"/>
  <c r="Z492" i="3" s="1"/>
  <c r="G458" i="3"/>
  <c r="X462" i="3"/>
  <c r="Z462" i="3" s="1"/>
  <c r="G447" i="3"/>
  <c r="X415" i="3"/>
  <c r="Z415" i="3" s="1"/>
  <c r="X417" i="3"/>
  <c r="Z417" i="3" s="1"/>
  <c r="X419" i="3"/>
  <c r="Z419" i="3" s="1"/>
  <c r="X421" i="3"/>
  <c r="Z421" i="3" s="1"/>
  <c r="X423" i="3"/>
  <c r="Z423" i="3" s="1"/>
  <c r="X425" i="3"/>
  <c r="Z425" i="3" s="1"/>
  <c r="X406" i="3"/>
  <c r="Z406" i="3" s="1"/>
  <c r="X909" i="3"/>
  <c r="Z909" i="3" s="1"/>
  <c r="G951" i="3"/>
  <c r="G1057" i="3"/>
  <c r="G1121" i="3"/>
  <c r="G719" i="3"/>
  <c r="G750" i="3"/>
  <c r="G887" i="3"/>
  <c r="X607" i="3"/>
  <c r="Z607" i="3" s="1"/>
  <c r="X609" i="3"/>
  <c r="G615" i="3"/>
  <c r="G617" i="3"/>
  <c r="G628" i="3"/>
  <c r="X631" i="3"/>
  <c r="Z631" i="3" s="1"/>
  <c r="G635" i="3"/>
  <c r="G644" i="3"/>
  <c r="G649" i="3"/>
  <c r="X652" i="3"/>
  <c r="G654" i="3"/>
  <c r="X657" i="3"/>
  <c r="Z657" i="3" s="1"/>
  <c r="X662" i="3"/>
  <c r="Z662" i="3" s="1"/>
  <c r="G664" i="3"/>
  <c r="X674" i="3"/>
  <c r="Z674" i="3" s="1"/>
  <c r="G676" i="3"/>
  <c r="G681" i="3"/>
  <c r="X684" i="3"/>
  <c r="Z684" i="3" s="1"/>
  <c r="G686" i="3"/>
  <c r="X689" i="3"/>
  <c r="Z689" i="3" s="1"/>
  <c r="X694" i="3"/>
  <c r="Z694" i="3" s="1"/>
  <c r="G696" i="3"/>
  <c r="G562" i="3"/>
  <c r="X568" i="3"/>
  <c r="Z568" i="3" s="1"/>
  <c r="G583" i="3"/>
  <c r="G502" i="3"/>
  <c r="G504" i="3"/>
  <c r="G506" i="3"/>
  <c r="G508" i="3"/>
  <c r="G510" i="3"/>
  <c r="G512" i="3"/>
  <c r="G514" i="3"/>
  <c r="G516" i="3"/>
  <c r="G518" i="3"/>
  <c r="G520" i="3"/>
  <c r="G522" i="3"/>
  <c r="G524" i="3"/>
  <c r="G526" i="3"/>
  <c r="G528" i="3"/>
  <c r="G530" i="3"/>
  <c r="G532" i="3"/>
  <c r="G534" i="3"/>
  <c r="G536" i="3"/>
  <c r="G538" i="3"/>
  <c r="G540" i="3"/>
  <c r="G542" i="3"/>
  <c r="G544" i="3"/>
  <c r="G546" i="3"/>
  <c r="G548" i="3"/>
  <c r="G550" i="3"/>
  <c r="G464" i="3"/>
  <c r="G466" i="3"/>
  <c r="G468" i="3"/>
  <c r="G456" i="3"/>
  <c r="X460" i="3"/>
  <c r="Z460" i="3" s="1"/>
  <c r="X390" i="3"/>
  <c r="Z390" i="3" s="1"/>
  <c r="X394" i="3"/>
  <c r="Z394" i="3" s="1"/>
  <c r="X398" i="3"/>
  <c r="Z398" i="3" s="1"/>
  <c r="X402" i="3"/>
  <c r="Z402" i="3" s="1"/>
  <c r="X362" i="3"/>
  <c r="Z362" i="3" s="1"/>
  <c r="X366" i="3"/>
  <c r="Z366" i="3" s="1"/>
  <c r="X343" i="3"/>
  <c r="Z343" i="3" s="1"/>
  <c r="X347" i="3"/>
  <c r="Z347" i="3" s="1"/>
  <c r="X351" i="3"/>
  <c r="Z351" i="3" s="1"/>
  <c r="X323" i="3"/>
  <c r="Z323" i="3" s="1"/>
  <c r="G1055" i="3"/>
  <c r="G1119" i="3"/>
  <c r="G736" i="3"/>
  <c r="G755" i="3"/>
  <c r="G767" i="3"/>
  <c r="G776" i="3"/>
  <c r="G783" i="3"/>
  <c r="G792" i="3"/>
  <c r="G799" i="3"/>
  <c r="G808" i="3"/>
  <c r="G815" i="3"/>
  <c r="G824" i="3"/>
  <c r="G831" i="3"/>
  <c r="G840" i="3"/>
  <c r="G847" i="3"/>
  <c r="G856" i="3"/>
  <c r="G863" i="3"/>
  <c r="G872" i="3"/>
  <c r="G877" i="3"/>
  <c r="X883" i="3"/>
  <c r="Z883" i="3" s="1"/>
  <c r="X885" i="3"/>
  <c r="Z885" i="3" s="1"/>
  <c r="G898" i="3"/>
  <c r="G596" i="3"/>
  <c r="G598" i="3"/>
  <c r="G604" i="3"/>
  <c r="X613" i="3"/>
  <c r="Z613" i="3" s="1"/>
  <c r="G619" i="3"/>
  <c r="X626" i="3"/>
  <c r="Z626" i="3" s="1"/>
  <c r="G630" i="3"/>
  <c r="X633" i="3"/>
  <c r="Z633" i="3" s="1"/>
  <c r="X642" i="3"/>
  <c r="Z642" i="3" s="1"/>
  <c r="X647" i="3"/>
  <c r="Z647" i="3" s="1"/>
  <c r="G651" i="3"/>
  <c r="X659" i="3"/>
  <c r="Z659" i="3" s="1"/>
  <c r="G661" i="3"/>
  <c r="X669" i="3"/>
  <c r="Z669" i="3" s="1"/>
  <c r="G671" i="3"/>
  <c r="X679" i="3"/>
  <c r="Z679" i="3" s="1"/>
  <c r="G683" i="3"/>
  <c r="X691" i="3"/>
  <c r="Z691" i="3" s="1"/>
  <c r="G693" i="3"/>
  <c r="G554" i="3"/>
  <c r="G556" i="3"/>
  <c r="G558" i="3"/>
  <c r="G479" i="3"/>
  <c r="X496" i="3"/>
  <c r="Z496" i="3" s="1"/>
  <c r="G454" i="3"/>
  <c r="X458" i="3"/>
  <c r="Z458" i="3" s="1"/>
  <c r="G451" i="3"/>
  <c r="G414" i="3"/>
  <c r="G416" i="3"/>
  <c r="G418" i="3"/>
  <c r="G420" i="3"/>
  <c r="G422" i="3"/>
  <c r="G424" i="3"/>
  <c r="G426" i="3"/>
  <c r="X436" i="3"/>
  <c r="Z436" i="3" s="1"/>
  <c r="G401" i="3"/>
  <c r="G412" i="3"/>
  <c r="X372" i="3"/>
  <c r="Z372" i="3" s="1"/>
  <c r="X376" i="3"/>
  <c r="Z376" i="3" s="1"/>
  <c r="X380" i="3"/>
  <c r="Z380" i="3" s="1"/>
  <c r="X384" i="3"/>
  <c r="Z384" i="3" s="1"/>
  <c r="X235" i="3"/>
  <c r="Z235" i="3" s="1"/>
  <c r="X239" i="3"/>
  <c r="Z239" i="3" s="1"/>
  <c r="X243" i="3"/>
  <c r="Z243" i="3" s="1"/>
  <c r="X247" i="3"/>
  <c r="Z247" i="3" s="1"/>
  <c r="X251" i="3"/>
  <c r="Z251" i="3" s="1"/>
  <c r="X255" i="3"/>
  <c r="Z255" i="3" s="1"/>
  <c r="X259" i="3"/>
  <c r="Z259" i="3" s="1"/>
  <c r="X263" i="3"/>
  <c r="Z263" i="3" s="1"/>
  <c r="X267" i="3"/>
  <c r="Z267" i="3" s="1"/>
  <c r="X271" i="3"/>
  <c r="Z271" i="3" s="1"/>
  <c r="X275" i="3"/>
  <c r="Z275" i="3" s="1"/>
  <c r="X279" i="3"/>
  <c r="Z279" i="3" s="1"/>
  <c r="X283" i="3"/>
  <c r="Z283" i="3" s="1"/>
  <c r="X941" i="3"/>
  <c r="Z941" i="3" s="1"/>
  <c r="G983" i="3"/>
  <c r="G1009" i="3"/>
  <c r="G1073" i="3"/>
  <c r="G727" i="3"/>
  <c r="X734" i="3"/>
  <c r="Z734" i="3" s="1"/>
  <c r="G746" i="3"/>
  <c r="X765" i="3"/>
  <c r="Z765" i="3" s="1"/>
  <c r="X774" i="3"/>
  <c r="Z774" i="3" s="1"/>
  <c r="X781" i="3"/>
  <c r="Z781" i="3" s="1"/>
  <c r="X790" i="3"/>
  <c r="Z790" i="3" s="1"/>
  <c r="X797" i="3"/>
  <c r="Z797" i="3" s="1"/>
  <c r="X806" i="3"/>
  <c r="Z806" i="3" s="1"/>
  <c r="X813" i="3"/>
  <c r="Z813" i="3" s="1"/>
  <c r="X822" i="3"/>
  <c r="Z822" i="3" s="1"/>
  <c r="X829" i="3"/>
  <c r="Z829" i="3" s="1"/>
  <c r="X838" i="3"/>
  <c r="Z838" i="3" s="1"/>
  <c r="X845" i="3"/>
  <c r="Z845" i="3" s="1"/>
  <c r="X854" i="3"/>
  <c r="Z854" i="3" s="1"/>
  <c r="X861" i="3"/>
  <c r="Z861" i="3" s="1"/>
  <c r="X870" i="3"/>
  <c r="Z870" i="3" s="1"/>
  <c r="G879" i="3"/>
  <c r="G896" i="3"/>
  <c r="X594" i="3"/>
  <c r="Z594" i="3" s="1"/>
  <c r="X602" i="3"/>
  <c r="Z602" i="3" s="1"/>
  <c r="G606" i="3"/>
  <c r="X615" i="3"/>
  <c r="Z615" i="3" s="1"/>
  <c r="X617" i="3"/>
  <c r="Z617" i="3" s="1"/>
  <c r="G623" i="3"/>
  <c r="X628" i="3"/>
  <c r="Z628" i="3" s="1"/>
  <c r="X637" i="3"/>
  <c r="Z637" i="3" s="1"/>
  <c r="G639" i="3"/>
  <c r="X644" i="3"/>
  <c r="Z644" i="3" s="1"/>
  <c r="G646" i="3"/>
  <c r="X649" i="3"/>
  <c r="Z649" i="3" s="1"/>
  <c r="X654" i="3"/>
  <c r="Z654" i="3" s="1"/>
  <c r="G656" i="3"/>
  <c r="X666" i="3"/>
  <c r="Z666" i="3" s="1"/>
  <c r="G668" i="3"/>
  <c r="G673" i="3"/>
  <c r="X676" i="3"/>
  <c r="Z676" i="3" s="1"/>
  <c r="G678" i="3"/>
  <c r="X681" i="3"/>
  <c r="Z681" i="3" s="1"/>
  <c r="X686" i="3"/>
  <c r="Z686" i="3" s="1"/>
  <c r="G688" i="3"/>
  <c r="X698" i="3"/>
  <c r="Z698" i="3" s="1"/>
  <c r="G700" i="3"/>
  <c r="X562" i="3"/>
  <c r="Z562" i="3" s="1"/>
  <c r="G567" i="3"/>
  <c r="X502" i="3"/>
  <c r="Z502" i="3" s="1"/>
  <c r="X504" i="3"/>
  <c r="Z504" i="3" s="1"/>
  <c r="X506" i="3"/>
  <c r="Z506" i="3" s="1"/>
  <c r="X508" i="3"/>
  <c r="X510" i="3"/>
  <c r="Z510" i="3" s="1"/>
  <c r="X512" i="3"/>
  <c r="Z512" i="3" s="1"/>
  <c r="X514" i="3"/>
  <c r="Z514" i="3" s="1"/>
  <c r="X516" i="3"/>
  <c r="Z516" i="3" s="1"/>
  <c r="X518" i="3"/>
  <c r="Z518" i="3" s="1"/>
  <c r="X520" i="3"/>
  <c r="Z520" i="3" s="1"/>
  <c r="X522" i="3"/>
  <c r="Z522" i="3" s="1"/>
  <c r="X524" i="3"/>
  <c r="Z524" i="3" s="1"/>
  <c r="X526" i="3"/>
  <c r="Z526" i="3" s="1"/>
  <c r="X528" i="3"/>
  <c r="Z528" i="3" s="1"/>
  <c r="X530" i="3"/>
  <c r="Z530" i="3" s="1"/>
  <c r="X532" i="3"/>
  <c r="Z532" i="3" s="1"/>
  <c r="X534" i="3"/>
  <c r="Z534" i="3" s="1"/>
  <c r="X536" i="3"/>
  <c r="Z536" i="3" s="1"/>
  <c r="X538" i="3"/>
  <c r="Z538" i="3" s="1"/>
  <c r="X540" i="3"/>
  <c r="Z540" i="3" s="1"/>
  <c r="X542" i="3"/>
  <c r="Z542" i="3" s="1"/>
  <c r="X544" i="3"/>
  <c r="Z544" i="3" s="1"/>
  <c r="X546" i="3"/>
  <c r="Z546" i="3" s="1"/>
  <c r="X548" i="3"/>
  <c r="Z548" i="3" s="1"/>
  <c r="X550" i="3"/>
  <c r="Z550" i="3" s="1"/>
  <c r="X464" i="3"/>
  <c r="Z464" i="3" s="1"/>
  <c r="X466" i="3"/>
  <c r="Z466" i="3" s="1"/>
  <c r="X468" i="3"/>
  <c r="Z468" i="3" s="1"/>
  <c r="X456" i="3"/>
  <c r="Z456" i="3" s="1"/>
  <c r="G461" i="3"/>
  <c r="X387" i="3"/>
  <c r="Z387" i="3" s="1"/>
  <c r="X391" i="3"/>
  <c r="Z391" i="3" s="1"/>
  <c r="X395" i="3"/>
  <c r="Z395" i="3" s="1"/>
  <c r="X399" i="3"/>
  <c r="Z399" i="3" s="1"/>
  <c r="X973" i="3"/>
  <c r="Z973" i="3" s="1"/>
  <c r="G1025" i="3"/>
  <c r="G1089" i="3"/>
  <c r="G1159" i="3"/>
  <c r="G742" i="3"/>
  <c r="G751" i="3"/>
  <c r="G888" i="3"/>
  <c r="G593" i="3"/>
  <c r="G601" i="3"/>
  <c r="X610" i="3"/>
  <c r="Z610" i="3" s="1"/>
  <c r="G614" i="3"/>
  <c r="X623" i="3"/>
  <c r="Z623" i="3" s="1"/>
  <c r="G627" i="3"/>
  <c r="G636" i="3"/>
  <c r="X639" i="3"/>
  <c r="Z639" i="3" s="1"/>
  <c r="G643" i="3"/>
  <c r="X646" i="3"/>
  <c r="Z646" i="3" s="1"/>
  <c r="G648" i="3"/>
  <c r="X658" i="3"/>
  <c r="Z658" i="3" s="1"/>
  <c r="G660" i="3"/>
  <c r="G665" i="3"/>
  <c r="X668" i="3"/>
  <c r="Z668" i="3" s="1"/>
  <c r="G1007" i="3"/>
  <c r="G758" i="3"/>
  <c r="G612" i="3"/>
  <c r="G631" i="3"/>
  <c r="G662" i="3"/>
  <c r="G680" i="3"/>
  <c r="X682" i="3"/>
  <c r="Z682" i="3" s="1"/>
  <c r="G689" i="3"/>
  <c r="G695" i="3"/>
  <c r="X571" i="3"/>
  <c r="Z571" i="3" s="1"/>
  <c r="G457" i="3"/>
  <c r="G460" i="3"/>
  <c r="X392" i="3"/>
  <c r="Z392" i="3" s="1"/>
  <c r="X397" i="3"/>
  <c r="Z397" i="3" s="1"/>
  <c r="G402" i="3"/>
  <c r="G1071" i="3"/>
  <c r="X593" i="3"/>
  <c r="Z593" i="3" s="1"/>
  <c r="G622" i="3"/>
  <c r="X629" i="3"/>
  <c r="Z629" i="3" s="1"/>
  <c r="G641" i="3"/>
  <c r="G653" i="3"/>
  <c r="X660" i="3"/>
  <c r="Z660" i="3" s="1"/>
  <c r="X671" i="3"/>
  <c r="Z671" i="3" s="1"/>
  <c r="X673" i="3"/>
  <c r="Z673" i="3" s="1"/>
  <c r="X693" i="3"/>
  <c r="Z693" i="3" s="1"/>
  <c r="X697" i="3"/>
  <c r="Z697" i="3" s="1"/>
  <c r="X501" i="3"/>
  <c r="Z501" i="3" s="1"/>
  <c r="G507" i="3"/>
  <c r="X509" i="3"/>
  <c r="Z509" i="3" s="1"/>
  <c r="G515" i="3"/>
  <c r="X517" i="3"/>
  <c r="Z517" i="3" s="1"/>
  <c r="G523" i="3"/>
  <c r="X525" i="3"/>
  <c r="Z525" i="3" s="1"/>
  <c r="G531" i="3"/>
  <c r="X533" i="3"/>
  <c r="Z533" i="3" s="1"/>
  <c r="G539" i="3"/>
  <c r="X541" i="3"/>
  <c r="Z541" i="3" s="1"/>
  <c r="G547" i="3"/>
  <c r="X549" i="3"/>
  <c r="Z549" i="3" s="1"/>
  <c r="G463" i="3"/>
  <c r="X465" i="3"/>
  <c r="Z465" i="3" s="1"/>
  <c r="X454" i="3"/>
  <c r="Z454" i="3" s="1"/>
  <c r="G415" i="3"/>
  <c r="X420" i="3"/>
  <c r="Z420" i="3" s="1"/>
  <c r="G423" i="3"/>
  <c r="X403" i="3"/>
  <c r="Z403" i="3" s="1"/>
  <c r="G408" i="3"/>
  <c r="X370" i="3"/>
  <c r="Z370" i="3" s="1"/>
  <c r="X379" i="3"/>
  <c r="Z379" i="3" s="1"/>
  <c r="X363" i="3"/>
  <c r="Z363" i="3" s="1"/>
  <c r="X345" i="3"/>
  <c r="Z345" i="3" s="1"/>
  <c r="X234" i="3"/>
  <c r="Z234" i="3" s="1"/>
  <c r="X248" i="3"/>
  <c r="Z248" i="3" s="1"/>
  <c r="X257" i="3"/>
  <c r="Z257" i="3" s="1"/>
  <c r="X266" i="3"/>
  <c r="Z266" i="3" s="1"/>
  <c r="X280" i="3"/>
  <c r="Z280" i="3" s="1"/>
  <c r="G246" i="3"/>
  <c r="G250" i="3"/>
  <c r="G254" i="3"/>
  <c r="G258" i="3"/>
  <c r="G262" i="3"/>
  <c r="G266" i="3"/>
  <c r="G270" i="3"/>
  <c r="X636" i="3"/>
  <c r="Z636" i="3" s="1"/>
  <c r="X651" i="3"/>
  <c r="Z651" i="3" s="1"/>
  <c r="X678" i="3"/>
  <c r="Z678" i="3" s="1"/>
  <c r="G483" i="3"/>
  <c r="X494" i="3"/>
  <c r="Z494" i="3" s="1"/>
  <c r="G449" i="3"/>
  <c r="X388" i="3"/>
  <c r="Z388" i="3" s="1"/>
  <c r="X393" i="3"/>
  <c r="Z393" i="3" s="1"/>
  <c r="X410" i="3"/>
  <c r="Z410" i="3" s="1"/>
  <c r="G403" i="3"/>
  <c r="X375" i="3"/>
  <c r="Z375" i="3" s="1"/>
  <c r="X368" i="3"/>
  <c r="Z368" i="3" s="1"/>
  <c r="X341" i="3"/>
  <c r="Z341" i="3" s="1"/>
  <c r="X350" i="3"/>
  <c r="Z350" i="3" s="1"/>
  <c r="X327" i="3"/>
  <c r="Z327" i="3" s="1"/>
  <c r="X331" i="3"/>
  <c r="Z331" i="3" s="1"/>
  <c r="X335" i="3"/>
  <c r="Z335" i="3" s="1"/>
  <c r="X339" i="3"/>
  <c r="Z339" i="3" s="1"/>
  <c r="X312" i="3"/>
  <c r="Z312" i="3" s="1"/>
  <c r="X316" i="3"/>
  <c r="Z316" i="3" s="1"/>
  <c r="X320" i="3"/>
  <c r="Z320" i="3" s="1"/>
  <c r="X306" i="3"/>
  <c r="Z306" i="3" s="1"/>
  <c r="X244" i="3"/>
  <c r="Z244" i="3" s="1"/>
  <c r="X253" i="3"/>
  <c r="Z253" i="3" s="1"/>
  <c r="X262" i="3"/>
  <c r="Z262" i="3" s="1"/>
  <c r="X276" i="3"/>
  <c r="Z276" i="3" s="1"/>
  <c r="X285" i="3"/>
  <c r="Z285" i="3" s="1"/>
  <c r="X289" i="3"/>
  <c r="Z289" i="3" s="1"/>
  <c r="X293" i="3"/>
  <c r="Z293" i="3" s="1"/>
  <c r="X297" i="3"/>
  <c r="Z297" i="3" s="1"/>
  <c r="X301" i="3"/>
  <c r="Z301" i="3" s="1"/>
  <c r="X305" i="3"/>
  <c r="Z305" i="3" s="1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X230" i="3"/>
  <c r="Z230" i="3" s="1"/>
  <c r="X193" i="3"/>
  <c r="Z193" i="3" s="1"/>
  <c r="X201" i="3"/>
  <c r="Z201" i="3" s="1"/>
  <c r="X186" i="3"/>
  <c r="Z186" i="3" s="1"/>
  <c r="X163" i="3"/>
  <c r="Z163" i="3" s="1"/>
  <c r="X171" i="3"/>
  <c r="Z171" i="3" s="1"/>
  <c r="X179" i="3"/>
  <c r="Z179" i="3" s="1"/>
  <c r="X894" i="3"/>
  <c r="Z894" i="3" s="1"/>
  <c r="X596" i="3"/>
  <c r="Z596" i="3" s="1"/>
  <c r="G625" i="3"/>
  <c r="G670" i="3"/>
  <c r="G685" i="3"/>
  <c r="G692" i="3"/>
  <c r="X700" i="3"/>
  <c r="Z700" i="3" s="1"/>
  <c r="G565" i="3"/>
  <c r="G505" i="3"/>
  <c r="X507" i="3"/>
  <c r="Z507" i="3" s="1"/>
  <c r="G513" i="3"/>
  <c r="X515" i="3"/>
  <c r="Z515" i="3" s="1"/>
  <c r="G521" i="3"/>
  <c r="X523" i="3"/>
  <c r="Z523" i="3" s="1"/>
  <c r="G529" i="3"/>
  <c r="X531" i="3"/>
  <c r="Z531" i="3" s="1"/>
  <c r="G537" i="3"/>
  <c r="X539" i="3"/>
  <c r="Z539" i="3" s="1"/>
  <c r="G545" i="3"/>
  <c r="X547" i="3"/>
  <c r="Z547" i="3" s="1"/>
  <c r="X498" i="3"/>
  <c r="Z498" i="3" s="1"/>
  <c r="X463" i="3"/>
  <c r="Z463" i="3" s="1"/>
  <c r="G469" i="3"/>
  <c r="G455" i="3"/>
  <c r="G453" i="3"/>
  <c r="X418" i="3"/>
  <c r="Z418" i="3" s="1"/>
  <c r="G421" i="3"/>
  <c r="X426" i="3"/>
  <c r="Z426" i="3" s="1"/>
  <c r="X404" i="3"/>
  <c r="Z404" i="3" s="1"/>
  <c r="X371" i="3"/>
  <c r="Z371" i="3" s="1"/>
  <c r="X385" i="3"/>
  <c r="Z385" i="3" s="1"/>
  <c r="X364" i="3"/>
  <c r="Z364" i="3" s="1"/>
  <c r="X346" i="3"/>
  <c r="Z346" i="3" s="1"/>
  <c r="X240" i="3"/>
  <c r="Z240" i="3" s="1"/>
  <c r="X249" i="3"/>
  <c r="Z249" i="3" s="1"/>
  <c r="X258" i="3"/>
  <c r="Z258" i="3" s="1"/>
  <c r="X272" i="3"/>
  <c r="Z272" i="3" s="1"/>
  <c r="X281" i="3"/>
  <c r="Z281" i="3" s="1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7" i="3"/>
  <c r="G15" i="3"/>
  <c r="G23" i="3"/>
  <c r="G31" i="3"/>
  <c r="G39" i="3"/>
  <c r="G47" i="3"/>
  <c r="G55" i="3"/>
  <c r="G63" i="3"/>
  <c r="G71" i="3"/>
  <c r="G79" i="3"/>
  <c r="G87" i="3"/>
  <c r="G95" i="3"/>
  <c r="G103" i="3"/>
  <c r="G111" i="3"/>
  <c r="G119" i="3"/>
  <c r="G127" i="3"/>
  <c r="G135" i="3"/>
  <c r="G143" i="3"/>
  <c r="G151" i="3"/>
  <c r="G159" i="3"/>
  <c r="G167" i="3"/>
  <c r="G175" i="3"/>
  <c r="G183" i="3"/>
  <c r="G191" i="3"/>
  <c r="G199" i="3"/>
  <c r="G207" i="3"/>
  <c r="G215" i="3"/>
  <c r="G223" i="3"/>
  <c r="G231" i="3"/>
  <c r="G239" i="3"/>
  <c r="X225" i="3"/>
  <c r="Z225" i="3" s="1"/>
  <c r="X207" i="3"/>
  <c r="Z207" i="3" s="1"/>
  <c r="X601" i="3"/>
  <c r="Z601" i="3" s="1"/>
  <c r="X618" i="3"/>
  <c r="Z618" i="3" s="1"/>
  <c r="G632" i="3"/>
  <c r="G663" i="3"/>
  <c r="X665" i="3"/>
  <c r="Z665" i="3" s="1"/>
  <c r="G672" i="3"/>
  <c r="X683" i="3"/>
  <c r="Z683" i="3" s="1"/>
  <c r="G694" i="3"/>
  <c r="G477" i="3"/>
  <c r="X434" i="3"/>
  <c r="Z434" i="3" s="1"/>
  <c r="X389" i="3"/>
  <c r="Z389" i="3" s="1"/>
  <c r="X400" i="3"/>
  <c r="Z400" i="3" s="1"/>
  <c r="G404" i="3"/>
  <c r="X381" i="3"/>
  <c r="Z381" i="3" s="1"/>
  <c r="X369" i="3"/>
  <c r="Z369" i="3" s="1"/>
  <c r="X342" i="3"/>
  <c r="Z342" i="3" s="1"/>
  <c r="X324" i="3"/>
  <c r="Z324" i="3" s="1"/>
  <c r="X328" i="3"/>
  <c r="Z328" i="3" s="1"/>
  <c r="X332" i="3"/>
  <c r="Z332" i="3" s="1"/>
  <c r="X336" i="3"/>
  <c r="Z336" i="3" s="1"/>
  <c r="X313" i="3"/>
  <c r="Z313" i="3" s="1"/>
  <c r="X317" i="3"/>
  <c r="Z317" i="3" s="1"/>
  <c r="X321" i="3"/>
  <c r="Z321" i="3" s="1"/>
  <c r="X307" i="3"/>
  <c r="Z307" i="3" s="1"/>
  <c r="X236" i="3"/>
  <c r="Z236" i="3" s="1"/>
  <c r="X245" i="3"/>
  <c r="Z245" i="3" s="1"/>
  <c r="X254" i="3"/>
  <c r="Z254" i="3" s="1"/>
  <c r="X268" i="3"/>
  <c r="Z268" i="3" s="1"/>
  <c r="X277" i="3"/>
  <c r="Z277" i="3" s="1"/>
  <c r="X286" i="3"/>
  <c r="Z286" i="3" s="1"/>
  <c r="X290" i="3"/>
  <c r="Z290" i="3" s="1"/>
  <c r="X294" i="3"/>
  <c r="Z294" i="3" s="1"/>
  <c r="X298" i="3"/>
  <c r="Z298" i="3" s="1"/>
  <c r="X302" i="3"/>
  <c r="Z302" i="3" s="1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8" i="3"/>
  <c r="G16" i="3"/>
  <c r="G24" i="3"/>
  <c r="G32" i="3"/>
  <c r="G40" i="3"/>
  <c r="G48" i="3"/>
  <c r="G56" i="3"/>
  <c r="G64" i="3"/>
  <c r="G72" i="3"/>
  <c r="G80" i="3"/>
  <c r="G88" i="3"/>
  <c r="G96" i="3"/>
  <c r="G104" i="3"/>
  <c r="G112" i="3"/>
  <c r="G120" i="3"/>
  <c r="G128" i="3"/>
  <c r="G136" i="3"/>
  <c r="G144" i="3"/>
  <c r="G152" i="3"/>
  <c r="G160" i="3"/>
  <c r="G168" i="3"/>
  <c r="G176" i="3"/>
  <c r="G184" i="3"/>
  <c r="G192" i="3"/>
  <c r="G200" i="3"/>
  <c r="G208" i="3"/>
  <c r="G216" i="3"/>
  <c r="G224" i="3"/>
  <c r="G232" i="3"/>
  <c r="G240" i="3"/>
  <c r="X228" i="3"/>
  <c r="Z228" i="3" s="1"/>
  <c r="X199" i="3"/>
  <c r="Z199" i="3" s="1"/>
  <c r="X184" i="3"/>
  <c r="Z184" i="3" s="1"/>
  <c r="X161" i="3"/>
  <c r="Z161" i="3" s="1"/>
  <c r="X169" i="3"/>
  <c r="Z169" i="3" s="1"/>
  <c r="X177" i="3"/>
  <c r="Z177" i="3" s="1"/>
  <c r="X152" i="3"/>
  <c r="Z152" i="3" s="1"/>
  <c r="X160" i="3"/>
  <c r="Z160" i="3" s="1"/>
  <c r="X142" i="3"/>
  <c r="Z142" i="3" s="1"/>
  <c r="X150" i="3"/>
  <c r="Z150" i="3" s="1"/>
  <c r="X599" i="3"/>
  <c r="Z599" i="3" s="1"/>
  <c r="X604" i="3"/>
  <c r="Z604" i="3" s="1"/>
  <c r="X877" i="3"/>
  <c r="Z877" i="3" s="1"/>
  <c r="G607" i="3"/>
  <c r="G675" i="3"/>
  <c r="G684" i="3"/>
  <c r="G697" i="3"/>
  <c r="G501" i="3"/>
  <c r="X503" i="3"/>
  <c r="Z503" i="3" s="1"/>
  <c r="G509" i="3"/>
  <c r="X511" i="3"/>
  <c r="Z511" i="3" s="1"/>
  <c r="G517" i="3"/>
  <c r="X519" i="3"/>
  <c r="Z519" i="3" s="1"/>
  <c r="G525" i="3"/>
  <c r="X527" i="3"/>
  <c r="Z527" i="3" s="1"/>
  <c r="G533" i="3"/>
  <c r="X535" i="3"/>
  <c r="Z535" i="3" s="1"/>
  <c r="G541" i="3"/>
  <c r="X543" i="3"/>
  <c r="Z543" i="3" s="1"/>
  <c r="G549" i="3"/>
  <c r="G465" i="3"/>
  <c r="X467" i="3"/>
  <c r="Z467" i="3" s="1"/>
  <c r="X414" i="3"/>
  <c r="Z414" i="3" s="1"/>
  <c r="G417" i="3"/>
  <c r="X65" i="3"/>
  <c r="Z65" i="3" s="1"/>
  <c r="X146" i="3"/>
  <c r="Z146" i="3" s="1"/>
  <c r="X135" i="3"/>
  <c r="Z135" i="3" s="1"/>
  <c r="X158" i="3"/>
  <c r="Z158" i="3" s="1"/>
  <c r="X180" i="3"/>
  <c r="Z180" i="3" s="1"/>
  <c r="X174" i="3"/>
  <c r="Z174" i="3" s="1"/>
  <c r="X168" i="3"/>
  <c r="Z168" i="3" s="1"/>
  <c r="X202" i="3"/>
  <c r="Z202" i="3" s="1"/>
  <c r="X196" i="3"/>
  <c r="Z196" i="3" s="1"/>
  <c r="X206" i="3"/>
  <c r="Z206" i="3" s="1"/>
  <c r="G242" i="3"/>
  <c r="G228" i="3"/>
  <c r="G217" i="3"/>
  <c r="G203" i="3"/>
  <c r="G189" i="3"/>
  <c r="G178" i="3"/>
  <c r="G164" i="3"/>
  <c r="G153" i="3"/>
  <c r="G139" i="3"/>
  <c r="G125" i="3"/>
  <c r="G114" i="3"/>
  <c r="G100" i="3"/>
  <c r="G89" i="3"/>
  <c r="G75" i="3"/>
  <c r="G61" i="3"/>
  <c r="G50" i="3"/>
  <c r="G36" i="3"/>
  <c r="G25" i="3"/>
  <c r="G11" i="3"/>
  <c r="G290" i="3"/>
  <c r="G281" i="3"/>
  <c r="G272" i="3"/>
  <c r="G261" i="3"/>
  <c r="G256" i="3"/>
  <c r="G245" i="3"/>
  <c r="X296" i="3"/>
  <c r="Z296" i="3" s="1"/>
  <c r="X291" i="3"/>
  <c r="Z291" i="3" s="1"/>
  <c r="X233" i="3"/>
  <c r="Z233" i="3" s="1"/>
  <c r="X337" i="3"/>
  <c r="Z337" i="3" s="1"/>
  <c r="X326" i="3"/>
  <c r="Z326" i="3" s="1"/>
  <c r="X348" i="3"/>
  <c r="Z348" i="3" s="1"/>
  <c r="X367" i="3"/>
  <c r="Z367" i="3" s="1"/>
  <c r="X630" i="3"/>
  <c r="Z630" i="3" s="1"/>
  <c r="X226" i="3"/>
  <c r="Z226" i="3" s="1"/>
  <c r="G241" i="3"/>
  <c r="G227" i="3"/>
  <c r="G213" i="3"/>
  <c r="G202" i="3"/>
  <c r="G188" i="3"/>
  <c r="G177" i="3"/>
  <c r="G163" i="3"/>
  <c r="G149" i="3"/>
  <c r="G138" i="3"/>
  <c r="G124" i="3"/>
  <c r="G113" i="3"/>
  <c r="G99" i="3"/>
  <c r="G85" i="3"/>
  <c r="G74" i="3"/>
  <c r="G60" i="3"/>
  <c r="G49" i="3"/>
  <c r="G35" i="3"/>
  <c r="G21" i="3"/>
  <c r="G10" i="3"/>
  <c r="G294" i="3"/>
  <c r="G285" i="3"/>
  <c r="G276" i="3"/>
  <c r="G351" i="3"/>
  <c r="G340" i="3"/>
  <c r="G335" i="3"/>
  <c r="G324" i="3"/>
  <c r="G319" i="3"/>
  <c r="G308" i="3"/>
  <c r="G303" i="3"/>
  <c r="X273" i="3"/>
  <c r="Z273" i="3" s="1"/>
  <c r="X256" i="3"/>
  <c r="Z256" i="3" s="1"/>
  <c r="X250" i="3"/>
  <c r="Z250" i="3" s="1"/>
  <c r="X238" i="3"/>
  <c r="Z238" i="3" s="1"/>
  <c r="X308" i="3"/>
  <c r="Z308" i="3" s="1"/>
  <c r="X315" i="3"/>
  <c r="Z315" i="3" s="1"/>
  <c r="X310" i="3"/>
  <c r="Z310" i="3" s="1"/>
  <c r="X386" i="3"/>
  <c r="Z386" i="3" s="1"/>
  <c r="X396" i="3"/>
  <c r="Z396" i="3" s="1"/>
  <c r="X422" i="3"/>
  <c r="Z422" i="3" s="1"/>
  <c r="G419" i="3"/>
  <c r="X545" i="3"/>
  <c r="Z545" i="3" s="1"/>
  <c r="G535" i="3"/>
  <c r="X513" i="3"/>
  <c r="Z513" i="3" s="1"/>
  <c r="G503" i="3"/>
  <c r="X120" i="3"/>
  <c r="Z120" i="3" s="1"/>
  <c r="X155" i="3"/>
  <c r="Z155" i="3" s="1"/>
  <c r="X222" i="3"/>
  <c r="Z222" i="3" s="1"/>
  <c r="X218" i="3"/>
  <c r="Z218" i="3" s="1"/>
  <c r="X214" i="3"/>
  <c r="Z214" i="3" s="1"/>
  <c r="X210" i="3"/>
  <c r="Z210" i="3" s="1"/>
  <c r="X137" i="3"/>
  <c r="Z137" i="3" s="1"/>
  <c r="X176" i="3"/>
  <c r="Z176" i="3" s="1"/>
  <c r="X187" i="3"/>
  <c r="Z187" i="3" s="1"/>
  <c r="X181" i="3"/>
  <c r="Z181" i="3" s="1"/>
  <c r="X198" i="3"/>
  <c r="Z198" i="3" s="1"/>
  <c r="X205" i="3"/>
  <c r="Z205" i="3" s="1"/>
  <c r="G237" i="3"/>
  <c r="G226" i="3"/>
  <c r="G212" i="3"/>
  <c r="G201" i="3"/>
  <c r="G187" i="3"/>
  <c r="G173" i="3"/>
  <c r="G162" i="3"/>
  <c r="G148" i="3"/>
  <c r="G123" i="3"/>
  <c r="G109" i="3"/>
  <c r="G98" i="3"/>
  <c r="G84" i="3"/>
  <c r="G73" i="3"/>
  <c r="G59" i="3"/>
  <c r="G45" i="3"/>
  <c r="G34" i="3"/>
  <c r="G20" i="3"/>
  <c r="G9" i="3"/>
  <c r="G298" i="3"/>
  <c r="G289" i="3"/>
  <c r="G280" i="3"/>
  <c r="G265" i="3"/>
  <c r="G260" i="3"/>
  <c r="G249" i="3"/>
  <c r="G244" i="3"/>
  <c r="X300" i="3"/>
  <c r="Z300" i="3" s="1"/>
  <c r="X295" i="3"/>
  <c r="Z295" i="3" s="1"/>
  <c r="X284" i="3"/>
  <c r="Z284" i="3" s="1"/>
  <c r="X278" i="3"/>
  <c r="Z278" i="3" s="1"/>
  <c r="X261" i="3"/>
  <c r="Z261" i="3" s="1"/>
  <c r="X232" i="3"/>
  <c r="Z232" i="3" s="1"/>
  <c r="X330" i="3"/>
  <c r="Z330" i="3" s="1"/>
  <c r="X325" i="3"/>
  <c r="Z325" i="3" s="1"/>
  <c r="X352" i="3"/>
  <c r="Z352" i="3" s="1"/>
  <c r="X340" i="3"/>
  <c r="Z340" i="3" s="1"/>
  <c r="X374" i="3"/>
  <c r="Z374" i="3" s="1"/>
  <c r="G425" i="3"/>
  <c r="G459" i="3"/>
  <c r="G609" i="3"/>
  <c r="G433" i="3"/>
  <c r="G462" i="3"/>
  <c r="X537" i="3"/>
  <c r="Z537" i="3" s="1"/>
  <c r="G527" i="3"/>
  <c r="X505" i="3"/>
  <c r="Z505" i="3" s="1"/>
  <c r="X670" i="3"/>
  <c r="Z670" i="3" s="1"/>
  <c r="X650" i="3"/>
  <c r="Z650" i="3" s="1"/>
  <c r="X299" i="3"/>
  <c r="Z299" i="3" s="1"/>
  <c r="X288" i="3"/>
  <c r="Z288" i="3" s="1"/>
  <c r="X265" i="3"/>
  <c r="Z265" i="3" s="1"/>
  <c r="X260" i="3"/>
  <c r="Z260" i="3" s="1"/>
  <c r="X334" i="3"/>
  <c r="Z334" i="3" s="1"/>
  <c r="X329" i="3"/>
  <c r="Z329" i="3" s="1"/>
  <c r="X378" i="3"/>
  <c r="Z378" i="3" s="1"/>
  <c r="X373" i="3"/>
  <c r="Z373" i="3" s="1"/>
  <c r="X424" i="3"/>
  <c r="Z424" i="3" s="1"/>
  <c r="G561" i="3"/>
  <c r="X556" i="3"/>
  <c r="Z556" i="3" s="1"/>
  <c r="X621" i="3"/>
  <c r="Z621" i="3" s="1"/>
  <c r="G450" i="3"/>
  <c r="X447" i="3"/>
  <c r="Z447" i="3" s="1"/>
  <c r="G587" i="3"/>
  <c r="X407" i="3"/>
  <c r="Z407" i="3" s="1"/>
  <c r="X555" i="3"/>
  <c r="Z555" i="3" s="1"/>
  <c r="G471" i="3"/>
  <c r="X354" i="3"/>
  <c r="Z354" i="3" s="1"/>
  <c r="X446" i="3"/>
  <c r="Z446" i="3" s="1"/>
  <c r="X455" i="3"/>
  <c r="Z455" i="3" s="1"/>
  <c r="X475" i="3"/>
  <c r="Z475" i="3" s="1"/>
  <c r="X552" i="3"/>
  <c r="Z552" i="3" s="1"/>
  <c r="X1195" i="3"/>
  <c r="Z1195" i="3" s="1"/>
  <c r="G1192" i="3"/>
  <c r="X1190" i="3"/>
  <c r="Z1190" i="3" s="1"/>
  <c r="G1196" i="3"/>
  <c r="Z987" i="3"/>
  <c r="Z1034" i="3"/>
  <c r="Z923" i="3"/>
  <c r="Z915" i="3"/>
  <c r="Z1006" i="3"/>
  <c r="Z998" i="3"/>
  <c r="Z942" i="3"/>
  <c r="Z1113" i="3"/>
  <c r="Z1081" i="3"/>
  <c r="Z1073" i="3"/>
  <c r="Z977" i="3"/>
  <c r="Z1102" i="3"/>
  <c r="Z1094" i="3"/>
  <c r="Z1103" i="3"/>
  <c r="G1185" i="3"/>
  <c r="G1183" i="3"/>
  <c r="G1198" i="3"/>
  <c r="G1190" i="3"/>
  <c r="X1188" i="3"/>
  <c r="Z1188" i="3" s="1"/>
  <c r="G1182" i="3"/>
  <c r="X1180" i="3"/>
  <c r="Z1180" i="3" s="1"/>
  <c r="G1174" i="3"/>
  <c r="X1201" i="3"/>
  <c r="Z1201" i="3" s="1"/>
  <c r="G1195" i="3"/>
  <c r="X1193" i="3"/>
  <c r="Z1193" i="3" s="1"/>
  <c r="G1188" i="3"/>
  <c r="X1186" i="3"/>
  <c r="Z1186" i="3" s="1"/>
  <c r="G1180" i="3"/>
  <c r="X1178" i="3"/>
  <c r="Z1178" i="3" s="1"/>
  <c r="G1201" i="3"/>
  <c r="X1199" i="3"/>
  <c r="Z1199" i="3" s="1"/>
  <c r="G1193" i="3"/>
  <c r="X1194" i="3"/>
  <c r="Z1194" i="3" s="1"/>
  <c r="G1186" i="3"/>
  <c r="X1184" i="3"/>
  <c r="Z1184" i="3" s="1"/>
  <c r="G1178" i="3"/>
  <c r="X1176" i="3"/>
  <c r="Z1176" i="3" s="1"/>
  <c r="G1199" i="3"/>
  <c r="X1197" i="3"/>
  <c r="Z1197" i="3" s="1"/>
  <c r="G1189" i="3"/>
  <c r="X1187" i="3"/>
  <c r="Z1187" i="3" s="1"/>
  <c r="G1181" i="3"/>
  <c r="X1179" i="3"/>
  <c r="Z1179" i="3" s="1"/>
  <c r="G1173" i="3"/>
  <c r="X1200" i="3"/>
  <c r="Z1200" i="3" s="1"/>
  <c r="G1194" i="3"/>
  <c r="X1192" i="3"/>
  <c r="Z1192" i="3" s="1"/>
  <c r="G1184" i="3"/>
  <c r="X1182" i="3"/>
  <c r="Z1182" i="3" s="1"/>
  <c r="G1176" i="3"/>
  <c r="X1174" i="3"/>
  <c r="Z1174" i="3" s="1"/>
  <c r="G1197" i="3"/>
  <c r="G1187" i="3"/>
  <c r="X1185" i="3"/>
  <c r="Z1185" i="3" s="1"/>
  <c r="G1179" i="3"/>
  <c r="X1177" i="3"/>
  <c r="Z1177" i="3" s="1"/>
  <c r="G1200" i="3"/>
  <c r="X1198" i="3"/>
  <c r="Z1198" i="3" s="1"/>
  <c r="Z1092" i="3"/>
  <c r="Z1069" i="3"/>
  <c r="Z1075" i="3"/>
  <c r="Z1061" i="3"/>
  <c r="Z1032" i="3"/>
  <c r="Z1028" i="3"/>
  <c r="Z996" i="3"/>
  <c r="Z985" i="3"/>
  <c r="Z972" i="3"/>
  <c r="Z979" i="3"/>
  <c r="Z964" i="3"/>
  <c r="Z960" i="3"/>
  <c r="Z953" i="3"/>
  <c r="Z945" i="3"/>
  <c r="Z934" i="3"/>
  <c r="Z1128" i="3"/>
  <c r="Z1064" i="3"/>
  <c r="Z1026" i="3"/>
  <c r="Z1002" i="3"/>
  <c r="Z983" i="3"/>
  <c r="Z975" i="3"/>
  <c r="Z857" i="3"/>
  <c r="Z817" i="3"/>
  <c r="Z793" i="3"/>
  <c r="Z785" i="3"/>
  <c r="Z1070" i="3"/>
  <c r="Z1062" i="3"/>
  <c r="Z1000" i="3"/>
  <c r="Z930" i="3"/>
  <c r="Z906" i="3"/>
  <c r="Z1189" i="3"/>
  <c r="Z1181" i="3"/>
  <c r="Z968" i="3"/>
  <c r="Z810" i="3"/>
  <c r="Z762" i="3"/>
  <c r="Z754" i="3"/>
  <c r="Z722" i="3"/>
  <c r="Z1166" i="3"/>
  <c r="Z1161" i="3"/>
  <c r="Z1158" i="3"/>
  <c r="Z1055" i="3"/>
  <c r="Z1039" i="3"/>
  <c r="Z1017" i="3"/>
  <c r="Z1009" i="3"/>
  <c r="Z936" i="3"/>
  <c r="Z1154" i="3"/>
  <c r="Z1107" i="3"/>
  <c r="Z1096" i="3"/>
  <c r="Z1088" i="3"/>
  <c r="Z1077" i="3"/>
  <c r="Z1066" i="3"/>
  <c r="Z1036" i="3"/>
  <c r="Z1014" i="3"/>
  <c r="Z992" i="3"/>
  <c r="Z938" i="3"/>
  <c r="Z927" i="3"/>
  <c r="Z1119" i="3"/>
  <c r="Z1078" i="3"/>
  <c r="Z1053" i="3"/>
  <c r="Z1015" i="3"/>
  <c r="Z1004" i="3"/>
  <c r="Z974" i="3"/>
  <c r="Z966" i="3"/>
  <c r="Z955" i="3"/>
  <c r="Z947" i="3"/>
  <c r="Z928" i="3"/>
  <c r="Z1164" i="3"/>
  <c r="Z1134" i="3"/>
  <c r="Z1156" i="3"/>
  <c r="Z1120" i="3"/>
  <c r="Z1098" i="3"/>
  <c r="Z1090" i="3"/>
  <c r="Z1068" i="3"/>
  <c r="Z1038" i="3"/>
  <c r="Z1005" i="3"/>
  <c r="Z994" i="3"/>
  <c r="Z940" i="3"/>
  <c r="Z827" i="3"/>
  <c r="Z819" i="3"/>
  <c r="Z795" i="3"/>
  <c r="Z787" i="3"/>
  <c r="Z763" i="3"/>
  <c r="Z739" i="3"/>
  <c r="Z731" i="3"/>
  <c r="Z1162" i="3"/>
  <c r="Z1151" i="3"/>
  <c r="Z1132" i="3"/>
  <c r="Z1126" i="3"/>
  <c r="Z1115" i="3"/>
  <c r="Z1049" i="3"/>
  <c r="Z1041" i="3"/>
  <c r="Z1030" i="3"/>
  <c r="Z1019" i="3"/>
  <c r="Z1011" i="3"/>
  <c r="Z997" i="3"/>
  <c r="Z989" i="3"/>
  <c r="Z970" i="3"/>
  <c r="Z962" i="3"/>
  <c r="Z959" i="3"/>
  <c r="Z951" i="3"/>
  <c r="Z943" i="3"/>
  <c r="Z932" i="3"/>
  <c r="Z908" i="3"/>
  <c r="Z1191" i="3"/>
  <c r="Z919" i="3"/>
  <c r="Z911" i="3"/>
  <c r="Z918" i="3"/>
  <c r="Z910" i="3"/>
  <c r="Z902" i="3"/>
  <c r="Z921" i="3"/>
  <c r="Z913" i="3"/>
  <c r="Z904" i="3"/>
  <c r="Z881" i="3"/>
  <c r="Z851" i="3"/>
  <c r="Z849" i="3"/>
  <c r="Z611" i="3"/>
  <c r="Z895" i="3"/>
  <c r="Z887" i="3"/>
  <c r="Z863" i="3"/>
  <c r="Z855" i="3"/>
  <c r="Z831" i="3"/>
  <c r="Z823" i="3"/>
  <c r="Z799" i="3"/>
  <c r="Z791" i="3"/>
  <c r="Z767" i="3"/>
  <c r="Z759" i="3"/>
  <c r="Z735" i="3"/>
  <c r="Z719" i="3"/>
  <c r="Z840" i="3"/>
  <c r="Z832" i="3"/>
  <c r="Z776" i="3"/>
  <c r="Z744" i="3"/>
  <c r="Z680" i="3"/>
  <c r="Z900" i="3"/>
  <c r="Z892" i="3"/>
  <c r="Z868" i="3"/>
  <c r="Z860" i="3"/>
  <c r="Z724" i="3"/>
  <c r="Z716" i="3"/>
  <c r="Z591" i="3"/>
  <c r="Z836" i="3"/>
  <c r="Z828" i="3"/>
  <c r="Z804" i="3"/>
  <c r="Z796" i="3"/>
  <c r="Z772" i="3"/>
  <c r="Z778" i="3"/>
  <c r="Z756" i="3"/>
  <c r="Z742" i="3"/>
  <c r="Z740" i="3"/>
  <c r="Z746" i="3"/>
  <c r="Z741" i="3"/>
  <c r="Z720" i="3"/>
  <c r="Z714" i="3"/>
  <c r="Z718" i="3"/>
  <c r="Z712" i="3"/>
  <c r="Z709" i="3"/>
  <c r="Z713" i="3"/>
  <c r="Z707" i="3"/>
  <c r="Z692" i="3"/>
  <c r="Z705" i="3"/>
  <c r="Z643" i="3"/>
  <c r="Z652" i="3"/>
  <c r="Z661" i="3"/>
  <c r="Z648" i="3"/>
  <c r="Z627" i="3"/>
  <c r="Z619" i="3"/>
  <c r="Z616" i="3"/>
  <c r="Z609" i="3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08" i="3"/>
  <c r="Z529" i="3"/>
  <c r="Z521" i="3"/>
  <c r="Z274" i="3"/>
  <c r="Z246" i="3"/>
  <c r="Z242" i="3"/>
  <c r="Z377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349" i="3"/>
  <c r="Z469" i="3"/>
  <c r="X461" i="3"/>
  <c r="Z461" i="3" s="1"/>
  <c r="X459" i="3"/>
  <c r="Z459" i="3" s="1"/>
  <c r="X457" i="3"/>
  <c r="Z457" i="3" s="1"/>
  <c r="G431" i="3"/>
  <c r="G429" i="3"/>
  <c r="G42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69" i="3"/>
  <c r="Z237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383" i="3"/>
  <c r="Z365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44" i="3"/>
  <c r="Z304" i="3"/>
  <c r="Z292" i="3"/>
  <c r="Z319" i="3"/>
  <c r="Z338" i="3"/>
  <c r="Z318" i="3"/>
  <c r="Z314" i="3"/>
  <c r="Z333" i="3"/>
  <c r="Z322" i="3"/>
  <c r="Z309" i="3"/>
  <c r="Z303" i="3"/>
  <c r="Z217" i="3"/>
  <c r="Z229" i="3"/>
  <c r="Z219" i="3"/>
  <c r="Z165" i="3"/>
  <c r="Z220" i="3"/>
  <c r="Z227" i="3"/>
  <c r="Z213" i="3"/>
  <c r="Z223" i="3"/>
  <c r="Z203" i="3"/>
  <c r="Z195" i="3"/>
  <c r="Z194" i="3"/>
  <c r="Z191" i="3"/>
  <c r="Z200" i="3"/>
  <c r="Z197" i="3"/>
  <c r="Z173" i="3"/>
  <c r="Z188" i="3"/>
  <c r="Z178" i="3"/>
  <c r="Z185" i="3"/>
  <c r="Z192" i="3"/>
  <c r="Z175" i="3"/>
  <c r="Z190" i="3"/>
  <c r="Z182" i="3"/>
  <c r="Z170" i="3"/>
  <c r="Z167" i="3"/>
  <c r="Z157" i="3"/>
  <c r="Z111" i="3"/>
  <c r="Z136" i="3"/>
  <c r="Z143" i="3"/>
  <c r="Z159" i="3"/>
  <c r="Z151" i="3"/>
  <c r="Z148" i="3"/>
  <c r="Z147" i="3"/>
  <c r="Z139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73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</calcChain>
</file>

<file path=xl/sharedStrings.xml><?xml version="1.0" encoding="utf-8"?>
<sst xmlns="http://schemas.openxmlformats.org/spreadsheetml/2006/main" count="4514" uniqueCount="2487">
  <si>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</si>
  <si>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</si>
  <si>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</si>
  <si>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</si>
  <si>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</si>
  <si>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</si>
  <si>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</si>
  <si>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</si>
  <si>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</si>
  <si>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</si>
  <si>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</si>
  <si>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</si>
  <si>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</si>
  <si>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</si>
  <si>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</si>
  <si>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</si>
  <si>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</si>
  <si>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</si>
  <si>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</si>
  <si>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</si>
  <si>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</si>
  <si>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</si>
  <si>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</si>
  <si>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</si>
  <si>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</si>
  <si>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</si>
  <si>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</si>
  <si>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</si>
  <si>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</si>
  <si>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</si>
  <si>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</si>
  <si>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</si>
  <si>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</si>
  <si>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</si>
  <si>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</si>
  <si>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</si>
  <si>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</si>
  <si>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</si>
  <si>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</si>
  <si>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</si>
  <si>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</si>
  <si>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</si>
  <si>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</si>
  <si>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</si>
  <si>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</si>
  <si>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</si>
  <si>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</si>
  <si>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</si>
  <si>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</si>
  <si>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</si>
  <si>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</si>
  <si>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</si>
  <si>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</si>
  <si>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</si>
  <si>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</si>
  <si>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</si>
  <si>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</si>
  <si>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</si>
  <si>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</si>
  <si>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</si>
  <si>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</si>
  <si>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</si>
  <si>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</si>
  <si>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</si>
  <si>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</si>
  <si>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</si>
  <si>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</si>
  <si>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</si>
  <si>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</si>
  <si>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</si>
  <si>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</si>
  <si>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</si>
  <si>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</si>
  <si>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</si>
  <si>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</si>
  <si>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</si>
  <si>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</si>
  <si>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</si>
  <si>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</si>
  <si>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</si>
  <si>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</si>
  <si>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</si>
  <si>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</si>
  <si>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</si>
  <si>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</si>
  <si>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</si>
  <si>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</si>
  <si>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</si>
  <si>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</si>
  <si>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</si>
  <si>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</si>
  <si>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</si>
  <si>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</si>
  <si>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</si>
  <si>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</si>
  <si>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</si>
  <si>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</si>
  <si>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</si>
  <si>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</si>
  <si>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</si>
  <si>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</si>
  <si>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</si>
  <si>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</si>
  <si>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</si>
  <si>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</si>
  <si>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</si>
  <si>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</si>
  <si>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</si>
  <si>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</si>
  <si>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</si>
  <si>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</si>
  <si>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</si>
  <si>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</si>
  <si>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</si>
  <si>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</si>
  <si>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</si>
  <si>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</si>
  <si>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</si>
  <si>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</si>
  <si>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</si>
  <si>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</si>
  <si>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</si>
  <si>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</si>
  <si>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</si>
  <si>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</si>
  <si>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</si>
  <si>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</si>
  <si>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</si>
  <si>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</si>
  <si>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</si>
  <si>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</si>
  <si>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</si>
  <si>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</si>
  <si>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</si>
  <si>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</si>
  <si>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</si>
  <si>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</si>
  <si>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</si>
  <si>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</si>
  <si>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</si>
  <si>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</si>
  <si>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</si>
  <si>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</si>
  <si>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</si>
  <si>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</si>
  <si>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</si>
  <si>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</si>
  <si>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</si>
  <si>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</si>
  <si>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</si>
  <si>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</si>
  <si>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</si>
  <si>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</si>
  <si>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</si>
  <si>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</si>
  <si>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</si>
  <si>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</si>
  <si>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</si>
  <si>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</si>
  <si>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</si>
  <si>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</si>
  <si>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</si>
  <si>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</si>
  <si>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</si>
  <si>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</si>
  <si>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</si>
  <si>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</si>
  <si>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</si>
  <si>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</si>
  <si>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</si>
  <si>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</si>
  <si>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</si>
  <si>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</si>
  <si>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</si>
  <si>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</si>
  <si>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</si>
  <si>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</si>
  <si>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</si>
  <si>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</si>
  <si>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</si>
  <si>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</si>
  <si>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</si>
  <si>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</si>
  <si>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</si>
  <si>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</si>
  <si>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</si>
  <si>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</si>
  <si>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</si>
  <si>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</si>
  <si>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</si>
  <si>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</si>
  <si>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</si>
  <si>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</si>
  <si>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</si>
  <si>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</si>
  <si>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</si>
  <si>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</si>
  <si>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</si>
  <si>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</si>
  <si>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</si>
  <si>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</si>
  <si>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</si>
  <si>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</si>
  <si>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</si>
  <si>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</si>
  <si>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</si>
  <si>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</si>
  <si>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</si>
  <si>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</si>
  <si>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</si>
  <si>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</si>
  <si>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</si>
  <si>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</si>
  <si>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</si>
  <si>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</si>
  <si>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</si>
  <si>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</si>
  <si>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</si>
  <si>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</si>
  <si>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</si>
  <si>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</si>
  <si>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</si>
  <si>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</si>
  <si>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</si>
  <si>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</si>
  <si>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</si>
  <si>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</si>
  <si>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</si>
  <si>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</si>
  <si>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</si>
  <si>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</si>
  <si>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</si>
  <si>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</si>
  <si>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</si>
  <si>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</si>
  <si>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</si>
  <si>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</si>
  <si>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</si>
  <si>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</si>
  <si>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</si>
  <si>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</si>
  <si>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</si>
  <si>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</si>
  <si>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</si>
  <si>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</si>
  <si>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</si>
  <si>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</si>
  <si>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</si>
  <si>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</si>
  <si>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</si>
  <si>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</si>
  <si>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</si>
  <si>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</si>
  <si>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</si>
  <si>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</si>
  <si>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</si>
  <si>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</si>
  <si>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</si>
  <si>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</si>
  <si>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</si>
  <si>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</si>
  <si>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</si>
  <si>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</si>
  <si>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</si>
  <si>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</si>
  <si>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</si>
  <si>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</si>
  <si>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</si>
  <si>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</si>
  <si>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</si>
  <si>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</si>
  <si>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</si>
  <si>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</si>
  <si>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</si>
  <si>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</si>
  <si>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</si>
  <si>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</si>
  <si>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</si>
  <si>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</si>
  <si>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</si>
  <si>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</si>
  <si>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</si>
  <si>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</si>
  <si>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</si>
  <si>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</si>
  <si>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</si>
  <si>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</si>
  <si>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</si>
  <si>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</si>
  <si>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</si>
  <si>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</si>
  <si>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</si>
  <si>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</si>
  <si>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</si>
  <si>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</si>
  <si>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</si>
  <si>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</si>
  <si>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</si>
  <si>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</si>
  <si>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</si>
  <si>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</si>
  <si>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</si>
  <si>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</si>
  <si>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</si>
  <si>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</si>
  <si>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</si>
  <si>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</si>
  <si>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</si>
  <si>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</si>
  <si>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</si>
  <si>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</si>
  <si>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</si>
  <si>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</si>
  <si>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</si>
  <si>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</si>
  <si>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</si>
  <si>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</si>
  <si>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</si>
  <si>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</si>
  <si>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</si>
  <si>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</si>
  <si>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</si>
  <si>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</si>
  <si>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</si>
  <si>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</si>
  <si>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</si>
  <si>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</si>
  <si>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</si>
  <si>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</si>
  <si>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</si>
  <si>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</si>
  <si>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</si>
  <si>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</si>
  <si>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</si>
  <si>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</si>
  <si>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</si>
  <si>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</si>
  <si>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</si>
  <si>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</si>
  <si>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</si>
  <si>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</si>
  <si>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</si>
  <si>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</si>
  <si>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</si>
  <si>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</si>
  <si>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</si>
  <si>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</si>
  <si>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</si>
  <si>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</si>
  <si>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</si>
  <si>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</si>
  <si>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</si>
  <si>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</si>
  <si>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</si>
  <si>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</si>
  <si>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</si>
  <si>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</si>
  <si>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</si>
  <si>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</si>
  <si>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</si>
  <si>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</si>
  <si>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</si>
  <si>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</si>
  <si>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</si>
  <si>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</si>
  <si>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</si>
  <si>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</si>
  <si>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</si>
  <si>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</si>
  <si>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</si>
  <si>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</si>
  <si>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</si>
  <si>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</si>
  <si>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</si>
  <si>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</si>
  <si>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</si>
  <si>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</si>
  <si>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</si>
  <si>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</si>
  <si>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</si>
  <si>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</si>
  <si>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</si>
  <si>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</si>
  <si>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</si>
  <si>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</si>
  <si>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</si>
  <si>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</si>
  <si>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</si>
  <si>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</si>
  <si>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</si>
  <si>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</si>
  <si>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</si>
  <si>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</si>
  <si>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</si>
  <si>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</si>
  <si>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</si>
  <si>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</si>
  <si>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</si>
  <si>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</si>
  <si>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</si>
  <si>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</si>
  <si>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</si>
  <si>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</si>
  <si>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</si>
  <si>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</si>
  <si>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</si>
  <si>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</si>
  <si>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</si>
  <si>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</si>
  <si>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</si>
  <si>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</si>
  <si>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</si>
  <si>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</si>
  <si>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</si>
  <si>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</si>
  <si>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</si>
  <si>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</si>
  <si>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</si>
  <si>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</si>
  <si>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</si>
  <si>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</si>
  <si>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</si>
  <si>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</si>
  <si>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</si>
  <si>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</si>
  <si>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</si>
  <si>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</si>
  <si>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</si>
  <si>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</si>
  <si>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</si>
  <si>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</si>
  <si>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</si>
  <si>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</si>
  <si>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</si>
  <si>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</si>
  <si>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</si>
  <si>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</si>
  <si>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</si>
  <si>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</si>
  <si>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</si>
  <si>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</si>
  <si>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</si>
  <si>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</si>
  <si>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</si>
  <si>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</si>
  <si>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</si>
  <si>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</si>
  <si>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</si>
  <si>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</si>
  <si>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</si>
  <si>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</si>
  <si>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</si>
  <si>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</si>
  <si>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</si>
  <si>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</si>
  <si>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</si>
  <si>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</si>
  <si>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</si>
  <si>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</si>
  <si>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</si>
  <si>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</si>
  <si>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</si>
  <si>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</si>
  <si>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</si>
  <si>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</si>
  <si>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</si>
  <si>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</si>
  <si>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</si>
  <si>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</si>
  <si>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</si>
  <si>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</si>
  <si>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</si>
  <si>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</si>
  <si>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</si>
  <si>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</si>
  <si>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</si>
  <si>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</si>
  <si>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</si>
  <si>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</si>
  <si>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</si>
  <si>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</si>
  <si>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</si>
  <si>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</si>
  <si>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</si>
  <si>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</si>
  <si>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</si>
  <si>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</si>
  <si>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</si>
  <si>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</si>
  <si>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</si>
  <si>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</si>
  <si>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</si>
  <si>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</si>
  <si>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</si>
  <si>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</si>
  <si>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</si>
  <si>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</si>
  <si>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</si>
  <si>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</si>
  <si>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</si>
  <si>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</si>
  <si>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</si>
  <si>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</si>
  <si>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</si>
  <si>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</si>
  <si>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</si>
  <si>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</si>
  <si>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</si>
  <si>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</si>
  <si>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</si>
  <si>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</si>
  <si>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</si>
  <si>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</si>
  <si>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</si>
  <si>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</si>
  <si>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</si>
  <si>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</si>
  <si>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</si>
  <si>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</si>
  <si>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</si>
  <si>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</si>
  <si>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</si>
  <si>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</si>
  <si>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</si>
  <si>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</si>
  <si>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</si>
  <si>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</si>
  <si>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</si>
  <si>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</si>
  <si>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</si>
  <si>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</si>
  <si>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</si>
  <si>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</si>
  <si>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</si>
  <si>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</si>
  <si>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</si>
  <si>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</si>
  <si>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</si>
  <si>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</si>
  <si>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</si>
  <si>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</si>
  <si>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</si>
  <si>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</si>
  <si>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</si>
  <si>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</si>
  <si>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</si>
  <si>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</si>
  <si>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</si>
  <si>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</si>
  <si>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</si>
  <si>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</si>
  <si>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</si>
  <si>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</si>
  <si>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</si>
  <si>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</si>
  <si>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</si>
  <si>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</si>
  <si>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</si>
  <si>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</si>
  <si>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</si>
  <si>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</si>
  <si>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</si>
  <si>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</si>
  <si>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</si>
  <si>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</si>
  <si>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</si>
  <si>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</si>
  <si>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</si>
  <si>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</si>
  <si>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</si>
  <si>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</si>
  <si>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</si>
  <si>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</si>
  <si>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</si>
  <si>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</si>
  <si>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</si>
  <si>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</si>
  <si>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</si>
  <si>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</si>
  <si>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</si>
  <si>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</si>
  <si>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</si>
  <si>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</si>
  <si>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</si>
  <si>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</si>
  <si>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</si>
  <si>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</si>
  <si>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</si>
  <si>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</si>
  <si>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</si>
  <si>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</si>
  <si>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</si>
  <si>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</si>
  <si>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</si>
  <si>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</si>
  <si>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</si>
  <si>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</si>
  <si>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</si>
  <si>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</si>
  <si>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</si>
  <si>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</si>
  <si>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</si>
  <si>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</si>
  <si>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</si>
  <si>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</si>
  <si>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</si>
  <si>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</si>
  <si>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</si>
  <si>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</si>
  <si>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</si>
  <si>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</si>
  <si>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</si>
  <si>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</si>
  <si>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</si>
  <si>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</si>
  <si>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</si>
  <si>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</si>
  <si>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</si>
  <si>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</si>
  <si>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</si>
  <si>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</si>
  <si>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</si>
  <si>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</si>
  <si>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</si>
  <si>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</si>
  <si>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</si>
  <si>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</si>
  <si>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</si>
  <si>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</si>
  <si>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</si>
  <si>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</si>
  <si>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</si>
  <si>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</si>
  <si>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</si>
  <si>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</si>
  <si>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</si>
  <si>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</si>
  <si>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</si>
  <si>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</si>
  <si>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</si>
  <si>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</si>
  <si>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</si>
  <si>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</si>
  <si>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</si>
  <si>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</si>
  <si>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</si>
  <si>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</si>
  <si>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</si>
  <si>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</si>
  <si>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</si>
  <si>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</si>
  <si>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</si>
  <si>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</si>
  <si>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</si>
  <si>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</si>
  <si>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</si>
  <si>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</si>
  <si>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</si>
  <si>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</si>
  <si>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</si>
  <si>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</si>
  <si>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</si>
  <si>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</si>
  <si>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</si>
  <si>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</si>
  <si>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</si>
  <si>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</si>
  <si>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</si>
  <si>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</si>
  <si>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</si>
  <si>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</si>
  <si>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</si>
  <si>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</si>
  <si>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</si>
  <si>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</si>
  <si>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</si>
  <si>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</si>
  <si>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</si>
  <si>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</si>
  <si>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</si>
  <si>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</si>
  <si>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</si>
  <si>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</si>
  <si>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</si>
  <si>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</si>
  <si>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</si>
  <si>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</si>
  <si>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</si>
  <si>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</si>
  <si>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</si>
  <si>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</si>
  <si>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</si>
  <si>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</si>
  <si>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</si>
  <si>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</si>
  <si>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</si>
  <si>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</si>
  <si>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</si>
  <si>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</si>
  <si>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</si>
  <si>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</si>
  <si>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</si>
  <si>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</si>
  <si>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</si>
  <si>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</si>
  <si>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</si>
  <si>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</si>
  <si>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</si>
  <si>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</si>
  <si>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</si>
  <si>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</si>
  <si>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</si>
  <si>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</si>
  <si>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</si>
  <si>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</si>
  <si>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</si>
  <si>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</si>
  <si>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</si>
  <si>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</si>
  <si>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</si>
  <si>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</si>
  <si>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</si>
  <si>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</si>
  <si>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</si>
  <si>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</si>
  <si>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</si>
  <si>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</si>
  <si>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</si>
  <si>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</si>
  <si>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</si>
  <si>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</si>
  <si>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</si>
  <si>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</si>
  <si>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</si>
  <si>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</si>
  <si>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</si>
  <si>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</si>
  <si>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</si>
  <si>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</si>
  <si>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</si>
  <si>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</si>
  <si>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</si>
  <si>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</si>
  <si>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</si>
  <si>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</si>
  <si>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</si>
  <si>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</si>
  <si>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</si>
  <si>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</si>
  <si>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</si>
  <si>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</si>
  <si>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</si>
  <si>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</si>
  <si>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</si>
  <si>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</si>
  <si>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</si>
  <si>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</si>
  <si>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</si>
  <si>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</si>
  <si>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</si>
  <si>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</si>
  <si>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</si>
  <si>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</si>
  <si>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</si>
  <si>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</si>
  <si>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</si>
  <si>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</si>
  <si>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</si>
  <si>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</si>
  <si>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</si>
  <si>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</si>
  <si>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</si>
  <si>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</si>
  <si>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</si>
  <si>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</si>
  <si>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</si>
  <si>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</si>
  <si>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</si>
  <si>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</si>
  <si>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</si>
  <si>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</si>
  <si>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</si>
  <si>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</si>
  <si>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</si>
  <si>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</si>
  <si>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</si>
  <si>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</si>
  <si>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</si>
  <si>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</si>
  <si>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</si>
  <si>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</si>
  <si>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</si>
  <si>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</si>
  <si>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</si>
  <si>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</si>
  <si>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</si>
  <si>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</si>
  <si>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</si>
  <si>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</si>
  <si>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</si>
  <si>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</si>
  <si>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</si>
  <si>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</si>
  <si>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</si>
  <si>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</si>
  <si>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</si>
  <si>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</si>
  <si>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</si>
  <si>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</si>
  <si>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</si>
  <si>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</si>
  <si>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</si>
  <si>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</si>
  <si>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</si>
  <si>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</si>
  <si>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</si>
  <si>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</si>
  <si>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</si>
  <si>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</si>
  <si>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</si>
  <si>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</si>
  <si>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</si>
  <si>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</si>
  <si>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</si>
  <si>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</si>
  <si>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</si>
  <si>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</si>
  <si>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</si>
  <si>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</si>
  <si>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</si>
  <si>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</si>
  <si>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</si>
  <si>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</si>
  <si>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</si>
  <si>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</si>
  <si>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</si>
  <si>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</si>
  <si>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</si>
  <si>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</si>
  <si>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</si>
  <si>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</si>
  <si>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</si>
  <si>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</si>
  <si>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</si>
  <si>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</si>
  <si>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</si>
  <si>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</si>
  <si>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</si>
  <si>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</si>
  <si>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</si>
  <si>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</si>
  <si>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</si>
  <si>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</si>
  <si>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</si>
  <si>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</si>
  <si>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</si>
  <si>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</si>
  <si>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</si>
  <si>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</si>
  <si>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</si>
  <si>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</si>
  <si>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</si>
  <si>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</si>
  <si>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</si>
  <si>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</si>
  <si>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</si>
  <si>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</si>
  <si>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</si>
  <si>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</si>
  <si>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</si>
  <si>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</si>
  <si>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</si>
  <si>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</si>
  <si>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</si>
  <si>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</si>
  <si>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</si>
  <si>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</si>
  <si>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</si>
  <si>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</si>
  <si>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</si>
  <si>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</si>
  <si>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</si>
  <si>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</si>
  <si>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</si>
  <si>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</si>
  <si>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</si>
  <si>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</si>
  <si>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</si>
  <si>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</si>
  <si>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</si>
  <si>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</si>
  <si>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</si>
  <si>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</si>
  <si>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</si>
  <si>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</si>
  <si>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</si>
  <si>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</si>
  <si>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</si>
  <si>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</si>
  <si>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</si>
  <si>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</si>
  <si>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</si>
  <si>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</si>
  <si>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</si>
  <si>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</si>
  <si>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</si>
  <si>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</si>
  <si>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</si>
  <si>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</si>
  <si>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</si>
  <si>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</si>
  <si>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</si>
  <si>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</si>
  <si>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</si>
  <si>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</si>
  <si>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</si>
  <si>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</si>
  <si>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</si>
  <si>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</si>
  <si>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</si>
  <si>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</si>
  <si>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</si>
  <si>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</si>
  <si>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</si>
  <si>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</si>
  <si>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</si>
  <si>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</si>
  <si>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</si>
  <si>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</si>
  <si>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</si>
  <si>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</si>
  <si>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</si>
  <si>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</si>
  <si>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</si>
  <si>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</si>
  <si>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</si>
  <si>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</si>
  <si>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</si>
  <si>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</si>
  <si>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</si>
  <si>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</si>
  <si>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</si>
  <si>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</si>
  <si>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</si>
  <si>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</si>
  <si>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</si>
  <si>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</si>
  <si>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</si>
  <si>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</si>
  <si>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</si>
  <si>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</si>
  <si>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</si>
  <si>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</si>
  <si>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</si>
  <si>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</si>
  <si>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</si>
  <si>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</si>
  <si>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</si>
  <si>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</si>
  <si>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</si>
  <si>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</si>
  <si>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</si>
  <si>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</si>
  <si>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</si>
  <si>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</si>
  <si>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</si>
  <si>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</si>
  <si>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</si>
  <si>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</si>
  <si>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</si>
  <si>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</si>
  <si>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</si>
  <si>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</si>
  <si>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</si>
  <si>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</si>
  <si>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</si>
  <si>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</si>
  <si>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</si>
  <si>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</si>
  <si>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</si>
  <si>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</si>
  <si>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</si>
  <si>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</si>
  <si>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</si>
  <si>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</si>
  <si>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</si>
  <si>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</si>
  <si>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</si>
  <si>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</si>
  <si>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</si>
  <si>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</si>
  <si>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</si>
  <si>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</si>
  <si>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</si>
  <si>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</si>
  <si>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</si>
  <si>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</si>
  <si>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</si>
  <si>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</si>
  <si>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</si>
  <si>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</si>
  <si>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</si>
  <si>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</si>
  <si>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</si>
  <si>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</si>
  <si>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</si>
  <si>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</si>
  <si>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</si>
  <si>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</si>
  <si>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</si>
  <si>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</si>
  <si>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</si>
  <si>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</si>
  <si>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</si>
  <si>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</si>
  <si>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</si>
  <si>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</si>
  <si>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</si>
  <si>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</si>
  <si>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</si>
  <si>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</si>
  <si>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</si>
  <si>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</si>
  <si>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</si>
  <si>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</si>
  <si>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</si>
  <si>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</si>
  <si>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</si>
  <si>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</si>
  <si>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</si>
  <si>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</si>
  <si>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</si>
  <si>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</si>
  <si>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</si>
  <si>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</si>
  <si>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</si>
  <si>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</si>
  <si>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</si>
  <si>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</si>
  <si>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</si>
  <si>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</si>
  <si>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</si>
  <si>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</si>
  <si>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</si>
  <si>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</si>
  <si>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</si>
  <si>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</si>
  <si>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</si>
  <si>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</si>
  <si>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</si>
  <si>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</si>
  <si>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</si>
  <si>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</si>
  <si>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</si>
  <si>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</si>
  <si>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</si>
  <si>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</si>
  <si>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</si>
  <si>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</si>
  <si>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</si>
  <si>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</si>
  <si>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</si>
  <si>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</si>
  <si>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</si>
  <si>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</si>
  <si>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</si>
  <si>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</si>
  <si>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</si>
  <si>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</si>
  <si>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</si>
  <si>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</si>
  <si>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</si>
  <si>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</si>
  <si>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</si>
  <si>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</si>
  <si>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</si>
  <si>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</si>
  <si>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</si>
  <si>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</si>
  <si>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</si>
  <si>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</si>
  <si>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</si>
  <si>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</si>
  <si>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</si>
  <si>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</si>
  <si>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</si>
  <si>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</si>
  <si>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</si>
  <si>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</si>
  <si>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</si>
  <si>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</si>
  <si>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</si>
  <si>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</si>
  <si>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</si>
  <si>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</si>
  <si>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</si>
  <si>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</si>
  <si>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</si>
  <si>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</si>
  <si>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</si>
  <si>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</si>
  <si>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</si>
  <si>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</si>
  <si>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</si>
  <si>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</si>
  <si>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</si>
  <si>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</si>
  <si>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</si>
  <si>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</si>
  <si>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</si>
  <si>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</si>
  <si>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</si>
  <si>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</si>
  <si>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</si>
  <si>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</si>
  <si>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</si>
  <si>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</si>
  <si>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</si>
  <si>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</si>
  <si>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</si>
  <si>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</si>
  <si>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</si>
  <si>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</si>
  <si>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</si>
  <si>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</si>
  <si>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</si>
  <si>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</si>
  <si>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</si>
  <si>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</si>
  <si>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</si>
  <si>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</si>
  <si>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</si>
  <si>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</si>
  <si>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</si>
  <si>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</si>
  <si>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</si>
  <si>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</si>
  <si>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</si>
  <si>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</si>
  <si>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</si>
  <si>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</si>
  <si>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</si>
  <si>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</si>
  <si>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</si>
  <si>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</si>
  <si>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</si>
  <si>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</si>
  <si>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</si>
  <si>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</si>
  <si>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</si>
  <si>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</si>
  <si>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</si>
  <si>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</si>
  <si>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</si>
  <si>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</si>
  <si>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</si>
  <si>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</si>
  <si>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</si>
  <si>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</si>
  <si>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</si>
  <si>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</si>
  <si>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</si>
  <si>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</si>
  <si>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</si>
  <si>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</si>
  <si>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</si>
  <si>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</si>
  <si>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</si>
  <si>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</si>
  <si>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</si>
  <si>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</si>
  <si>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</si>
  <si>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</si>
  <si>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</si>
  <si>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</si>
  <si>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</si>
  <si>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</si>
  <si>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</si>
  <si>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</si>
  <si>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</si>
  <si>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</si>
  <si>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</si>
  <si>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</si>
  <si>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</si>
  <si>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</si>
  <si>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</si>
  <si>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</si>
  <si>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</si>
  <si>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</si>
  <si>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</si>
  <si>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</si>
  <si>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</si>
  <si>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</si>
  <si>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</si>
  <si>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</si>
  <si>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</si>
  <si>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</si>
  <si>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</si>
  <si>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</si>
  <si>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</si>
  <si>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</si>
  <si>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</si>
  <si>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</si>
  <si>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</si>
  <si>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</si>
  <si>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</si>
  <si>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</si>
  <si>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</si>
  <si>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</si>
  <si>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</si>
  <si>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</si>
  <si>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</si>
  <si>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</si>
  <si>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</si>
  <si>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</si>
  <si>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</si>
  <si>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</si>
  <si>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</si>
  <si>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</si>
  <si>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</si>
  <si>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</si>
  <si>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</si>
  <si>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</si>
  <si>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</si>
  <si>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</si>
  <si>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</si>
  <si>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</si>
  <si>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</si>
  <si>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</si>
  <si>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</si>
  <si>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</si>
  <si>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</si>
  <si>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</si>
  <si>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</si>
  <si>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</si>
  <si>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</si>
  <si>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</si>
  <si>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</si>
  <si>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</si>
  <si>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</si>
  <si>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</si>
  <si>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</si>
  <si>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</si>
  <si>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</si>
  <si>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</si>
  <si>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</si>
  <si>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</si>
  <si>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</si>
  <si>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</si>
  <si>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</si>
  <si>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</si>
  <si>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</si>
  <si>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</si>
  <si>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</si>
  <si>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</si>
  <si>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</si>
  <si>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</si>
  <si>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</si>
  <si>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</si>
  <si>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</si>
  <si>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</si>
  <si>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</si>
  <si>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</si>
  <si>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</si>
  <si>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</si>
  <si>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</si>
  <si>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</si>
  <si>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</si>
  <si>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</si>
  <si>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</si>
  <si>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</si>
  <si>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</si>
  <si>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</si>
  <si>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</si>
  <si>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</si>
  <si>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</si>
  <si>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</si>
  <si>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</si>
  <si>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</si>
  <si>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</si>
  <si>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</si>
  <si>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</si>
  <si>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</si>
  <si>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</si>
  <si>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</si>
  <si>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</si>
  <si>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</si>
  <si>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</si>
  <si>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</si>
  <si>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</si>
  <si>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</si>
  <si>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</si>
  <si>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</si>
  <si>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</si>
  <si>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</si>
  <si>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</si>
  <si>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</si>
  <si>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</si>
  <si>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</si>
  <si>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</si>
  <si>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</si>
  <si>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</si>
  <si>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</si>
  <si>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</si>
  <si>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</si>
  <si>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</si>
  <si>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</si>
  <si>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</si>
  <si>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</si>
  <si>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</si>
  <si>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</si>
  <si>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</si>
  <si>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</si>
  <si>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</si>
  <si>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</si>
  <si>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</si>
  <si>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</si>
  <si>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</si>
  <si>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</si>
  <si>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</si>
  <si>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</si>
  <si>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</si>
  <si>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</si>
  <si>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</si>
  <si>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</si>
  <si>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</si>
  <si>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</si>
  <si>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</si>
  <si>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</si>
  <si>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</si>
  <si>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</si>
  <si>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</si>
  <si>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</si>
  <si>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</si>
  <si>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</si>
  <si>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</si>
  <si>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</si>
  <si>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</si>
  <si>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</si>
  <si>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</si>
  <si>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</si>
  <si>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</si>
  <si>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</si>
  <si>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</si>
  <si>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</si>
  <si>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</si>
  <si>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</si>
  <si>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</si>
  <si>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</si>
  <si>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</si>
  <si>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</si>
  <si>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</si>
  <si>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</si>
  <si>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</si>
  <si>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</si>
  <si>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</si>
  <si>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</si>
  <si>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</si>
  <si>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</si>
  <si>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</si>
  <si>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</si>
  <si>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</si>
  <si>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</si>
  <si>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</si>
  <si>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</si>
  <si>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</si>
  <si>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</si>
  <si>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</si>
  <si>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</si>
  <si>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</si>
  <si>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</si>
  <si>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</si>
  <si>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</si>
  <si>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</si>
  <si>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</si>
  <si>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</si>
  <si>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</si>
  <si>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</si>
  <si>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</si>
  <si>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</si>
  <si>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</si>
  <si>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</si>
  <si>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</si>
  <si>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</si>
  <si>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</si>
  <si>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</si>
  <si>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</si>
  <si>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</si>
  <si>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</si>
  <si>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</si>
  <si>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</si>
  <si>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</si>
  <si>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</si>
  <si>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</si>
  <si>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</si>
  <si>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</si>
  <si>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</si>
  <si>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</si>
  <si>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</si>
  <si>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</si>
  <si>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</si>
  <si>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</si>
  <si>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</si>
  <si>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</si>
  <si>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</si>
  <si>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</si>
  <si>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</si>
  <si>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</si>
  <si>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</si>
  <si>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</si>
  <si>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</si>
  <si>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</si>
  <si>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</si>
  <si>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</si>
  <si>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</si>
  <si>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</si>
  <si>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</si>
  <si>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</si>
  <si>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</si>
  <si>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</si>
  <si>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</si>
  <si>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</si>
  <si>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</si>
  <si>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</si>
  <si>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</si>
  <si>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</si>
  <si>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</si>
  <si>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</si>
  <si>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</si>
  <si>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</si>
  <si>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</si>
  <si>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</si>
  <si>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</si>
  <si>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</si>
  <si>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</si>
  <si>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</si>
  <si>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</si>
  <si>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</si>
  <si>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</si>
  <si>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</si>
  <si>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</si>
  <si>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</si>
  <si>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</si>
  <si>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</si>
  <si>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</si>
  <si>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</si>
  <si>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</si>
  <si>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</si>
  <si>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</si>
  <si>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</si>
  <si>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</si>
  <si>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</si>
  <si>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</si>
  <si>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</si>
  <si>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</si>
  <si>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</si>
  <si>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</si>
  <si>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</si>
  <si>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</si>
  <si>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</si>
  <si>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</si>
  <si>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</si>
  <si>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</si>
  <si>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</si>
  <si>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</si>
  <si>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</si>
  <si>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</si>
  <si>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</si>
  <si>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</si>
  <si>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</si>
  <si>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</si>
  <si>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</si>
  <si>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</si>
  <si>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</si>
  <si>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</si>
  <si>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</si>
  <si>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</si>
  <si>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</si>
  <si>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</si>
  <si>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</si>
  <si>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</si>
  <si>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</si>
  <si>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</si>
  <si>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</si>
  <si>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</si>
  <si>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</si>
  <si>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</si>
  <si>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</si>
  <si>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</si>
  <si>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</si>
  <si>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</si>
  <si>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</si>
  <si>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</si>
  <si>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</si>
  <si>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</si>
  <si>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</si>
  <si>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</si>
  <si>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</si>
  <si>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</si>
  <si>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</si>
  <si>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</si>
  <si>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</si>
  <si>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</si>
  <si>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</si>
  <si>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</si>
  <si>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</si>
  <si>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</si>
  <si>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</si>
  <si>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</si>
  <si>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</si>
  <si>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</si>
  <si>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</si>
  <si>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</si>
  <si>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</si>
  <si>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</si>
  <si>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</si>
  <si>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</si>
  <si>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</si>
  <si>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</si>
  <si>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</si>
  <si>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</si>
  <si>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</si>
  <si>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</si>
  <si>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</si>
  <si>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</si>
  <si>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</si>
  <si>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</si>
  <si>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</si>
  <si>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</si>
  <si>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</si>
  <si>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</si>
  <si>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</si>
  <si>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</si>
  <si>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</si>
  <si>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</si>
  <si>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</si>
  <si>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</si>
  <si>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</si>
  <si>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</si>
  <si>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</si>
  <si>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</si>
  <si>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</si>
  <si>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</si>
  <si>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</si>
  <si>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</si>
  <si>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</si>
  <si>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</si>
  <si>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</si>
  <si>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</si>
  <si>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</si>
  <si>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</si>
  <si>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</si>
  <si>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</si>
  <si>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</si>
  <si>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</si>
  <si>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</si>
  <si>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</si>
  <si>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</si>
  <si>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</si>
  <si>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</si>
  <si>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</si>
  <si>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</si>
  <si>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</si>
  <si>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</si>
  <si>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</si>
  <si>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</si>
  <si>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</si>
  <si>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</si>
  <si>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</si>
  <si>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</si>
  <si>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</si>
  <si>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</si>
  <si>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</si>
  <si>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</si>
  <si>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</si>
  <si>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</si>
  <si>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</si>
  <si>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</si>
  <si>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</si>
  <si>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</si>
  <si>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</si>
  <si>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</si>
  <si>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</si>
  <si>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</si>
  <si>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</si>
  <si>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</si>
  <si>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</si>
  <si>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</si>
  <si>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</si>
  <si>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</si>
  <si>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</si>
  <si>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</si>
  <si>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</si>
  <si>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</si>
  <si>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</si>
  <si>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</si>
  <si>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</si>
  <si>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</si>
  <si>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</si>
  <si>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</si>
  <si>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</si>
  <si>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</si>
  <si>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</si>
  <si>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</si>
  <si>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</si>
  <si>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</si>
  <si>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</si>
  <si>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</si>
  <si>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</si>
  <si>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</si>
  <si>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</si>
  <si>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</si>
  <si>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</si>
  <si>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</si>
  <si>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</si>
  <si>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</si>
  <si>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</si>
  <si>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</si>
  <si>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</si>
  <si>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</si>
  <si>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</si>
  <si>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</si>
  <si>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</si>
  <si>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</si>
  <si>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</si>
  <si>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</si>
  <si>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</si>
  <si>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</si>
  <si>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</si>
  <si>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</si>
  <si>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</si>
  <si>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</si>
  <si>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</si>
  <si>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</si>
  <si>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</si>
  <si>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</si>
  <si>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</si>
  <si>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</si>
  <si>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</si>
  <si>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</si>
  <si>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</si>
  <si>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</si>
  <si>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</si>
  <si>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</si>
  <si>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</si>
  <si>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</si>
  <si>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</si>
  <si>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</si>
  <si>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</si>
  <si>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</si>
  <si>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</si>
  <si>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</si>
  <si>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</si>
  <si>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</si>
  <si>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</si>
  <si>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</si>
  <si>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</si>
  <si>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</si>
  <si>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</si>
  <si>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</si>
  <si>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</si>
  <si>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</si>
  <si>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</si>
  <si>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</si>
  <si>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</si>
  <si>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</si>
  <si>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</si>
  <si>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</si>
  <si>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</si>
  <si>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</si>
  <si>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</si>
  <si>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</si>
  <si>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</si>
  <si>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</si>
  <si>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</si>
  <si>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</si>
  <si>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</si>
  <si>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</si>
  <si>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</si>
  <si>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</si>
  <si>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</si>
  <si>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</si>
  <si>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</si>
  <si>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</si>
  <si>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</si>
  <si>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</si>
  <si>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</si>
  <si>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</si>
  <si>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</si>
  <si>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</si>
  <si>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</si>
  <si>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</si>
  <si>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</si>
  <si>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</si>
  <si>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</si>
  <si>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</si>
  <si>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</si>
  <si>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</si>
  <si>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</si>
  <si>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</si>
  <si>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</si>
  <si>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</si>
  <si>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</si>
  <si>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</si>
  <si>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</si>
  <si>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</si>
  <si>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</si>
  <si>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</si>
  <si>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</si>
  <si>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</si>
  <si>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</si>
  <si>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</si>
  <si>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</si>
  <si>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</si>
  <si>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</si>
  <si>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</si>
  <si>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</si>
  <si>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</si>
  <si>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</si>
  <si>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</si>
  <si>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</si>
  <si>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</si>
  <si>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</si>
  <si>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</si>
  <si>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</si>
  <si>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</si>
  <si>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</si>
  <si>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</si>
  <si>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</si>
  <si>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</si>
  <si>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</si>
  <si>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</si>
  <si>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</si>
  <si>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</si>
  <si>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</si>
  <si>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</si>
  <si>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</si>
  <si>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</si>
  <si>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</si>
  <si>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</si>
  <si>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</si>
  <si>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</si>
  <si>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</si>
  <si>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</si>
  <si>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</si>
  <si>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</si>
  <si>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</si>
  <si>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</si>
  <si>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</si>
  <si>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</si>
  <si>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</si>
  <si>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</si>
  <si>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</si>
  <si>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</si>
  <si>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</si>
  <si>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</si>
  <si>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</si>
  <si>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</si>
  <si>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</si>
  <si>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</si>
  <si>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</si>
  <si>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</si>
  <si>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</si>
  <si>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</si>
  <si>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</si>
  <si>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</si>
  <si>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</si>
  <si>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</si>
  <si>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</si>
  <si>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</si>
  <si>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</si>
  <si>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</si>
  <si>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</si>
  <si>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</si>
  <si>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</si>
  <si>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</si>
  <si>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</si>
  <si>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</si>
  <si>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</si>
  <si>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</si>
  <si>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</si>
  <si>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</si>
  <si>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</si>
  <si>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</si>
  <si>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</si>
  <si>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</si>
  <si>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</si>
  <si>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</si>
  <si>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</si>
  <si>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</si>
  <si>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</si>
  <si>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</si>
  <si>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</si>
  <si>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</si>
  <si>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</si>
  <si>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</si>
  <si>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</si>
  <si>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</si>
  <si>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</si>
  <si>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</si>
  <si>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</si>
  <si>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</si>
  <si>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</si>
  <si>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</si>
  <si>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</si>
  <si>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</si>
  <si>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</si>
  <si>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</si>
  <si>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</si>
  <si>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</si>
  <si>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</si>
  <si>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</si>
  <si>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</si>
  <si>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</si>
  <si>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</si>
  <si>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</si>
  <si>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</si>
  <si>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</si>
  <si>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</si>
  <si>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</si>
  <si>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</si>
  <si>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</si>
  <si>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</si>
  <si>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</si>
  <si>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</si>
  <si>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</si>
  <si>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</si>
  <si>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</si>
  <si>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</si>
  <si>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</si>
  <si>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</si>
  <si>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</si>
  <si>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</si>
  <si>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</si>
  <si>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</si>
  <si>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</si>
  <si>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</si>
  <si>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</si>
  <si>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</si>
  <si>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</si>
  <si>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</si>
  <si>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</si>
  <si>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</si>
  <si>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</si>
  <si>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</si>
  <si>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</si>
  <si>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</si>
  <si>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</si>
  <si>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</si>
  <si>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</si>
  <si>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</si>
  <si>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</si>
  <si>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</si>
  <si>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</si>
  <si>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</si>
  <si>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</si>
  <si>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</si>
  <si>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</si>
  <si>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</si>
  <si>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</si>
  <si>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</si>
  <si>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</si>
  <si>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</si>
  <si>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</si>
  <si>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</si>
  <si>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</si>
  <si>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</si>
  <si>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</si>
  <si>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</si>
  <si>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</si>
  <si>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</si>
  <si>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</si>
  <si>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</si>
  <si>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</si>
  <si>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</si>
  <si>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</si>
  <si>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</si>
  <si>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</si>
  <si>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</si>
  <si>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</si>
  <si>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</si>
  <si>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</si>
  <si>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</si>
  <si>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</si>
  <si>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</si>
  <si>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</si>
  <si>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</si>
  <si>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</si>
  <si>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</si>
  <si>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</si>
  <si>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</si>
  <si>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</si>
  <si>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</si>
  <si>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</si>
  <si>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</si>
  <si>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</si>
  <si>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</si>
  <si>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</si>
  <si>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</si>
  <si>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</si>
  <si>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</si>
  <si>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</si>
  <si>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</si>
  <si>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</si>
  <si>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</si>
  <si>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</si>
  <si>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</si>
  <si>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</si>
  <si>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</si>
  <si>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</si>
  <si>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</si>
  <si>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</si>
  <si>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</si>
  <si>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</si>
  <si>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</si>
  <si>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</si>
  <si>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</si>
  <si>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</si>
  <si>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</si>
  <si>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</si>
  <si>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</si>
  <si>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</si>
  <si>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</si>
  <si>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</si>
  <si>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</si>
  <si>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</si>
  <si>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</si>
  <si>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</si>
  <si>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</si>
  <si>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</si>
  <si>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</si>
  <si>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</si>
  <si>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</si>
  <si>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</si>
  <si>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</si>
  <si>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</si>
  <si>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</si>
  <si>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</si>
  <si>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</si>
  <si>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</si>
  <si>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</si>
  <si>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</si>
  <si>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</si>
  <si>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</si>
  <si>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</si>
  <si>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</si>
  <si>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</si>
  <si>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</si>
  <si>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</si>
  <si>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</si>
  <si>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</si>
  <si>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</si>
  <si>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</si>
  <si>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</si>
  <si>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</si>
  <si>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</si>
  <si>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</si>
  <si>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</si>
  <si>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</si>
  <si>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</si>
  <si>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</si>
  <si>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</si>
  <si>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</si>
  <si>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</si>
  <si>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</si>
  <si>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</si>
  <si>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</si>
  <si>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</si>
  <si>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</si>
  <si>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</si>
  <si>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</si>
  <si>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</si>
  <si>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</si>
  <si>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</si>
  <si>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</si>
  <si>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</si>
  <si>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</si>
  <si>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</si>
  <si>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</si>
  <si>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</si>
  <si>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</si>
  <si>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</si>
  <si>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</si>
  <si>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</si>
  <si>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</si>
  <si>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</si>
  <si>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</si>
  <si>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</si>
  <si>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</si>
  <si>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</si>
  <si>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</si>
  <si>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</si>
  <si>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</si>
  <si>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</si>
  <si>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</si>
  <si>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</si>
  <si>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</si>
  <si>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</si>
  <si>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</si>
  <si>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</si>
  <si>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</si>
  <si>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</si>
  <si>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</si>
  <si>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</si>
  <si>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</si>
  <si>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</si>
  <si>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</si>
  <si>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</si>
  <si>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</si>
  <si>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</si>
  <si>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</si>
  <si>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</si>
  <si>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</si>
  <si>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</si>
  <si>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</si>
  <si>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</si>
  <si>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</si>
  <si>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</si>
  <si>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</si>
  <si>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</si>
  <si>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</si>
  <si>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</si>
  <si>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</si>
  <si>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</si>
  <si>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</si>
  <si>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</si>
  <si>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</si>
  <si>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</si>
  <si>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</si>
  <si>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</si>
  <si>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</si>
  <si>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</si>
  <si>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</si>
  <si>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</si>
  <si>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</si>
  <si>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</si>
  <si>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</si>
  <si>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</si>
  <si>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</si>
  <si>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</si>
  <si>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</si>
  <si>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</si>
  <si>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</si>
  <si>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</si>
  <si>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</si>
  <si>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</si>
  <si>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</si>
  <si>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</si>
  <si>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</si>
  <si>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</si>
  <si>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</si>
  <si>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</si>
  <si>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</si>
  <si>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</si>
  <si>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</si>
  <si>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</si>
  <si>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</si>
  <si>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</si>
  <si>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</si>
  <si>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</si>
  <si>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</si>
  <si>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</si>
  <si>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</si>
  <si>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</si>
  <si>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</si>
  <si>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</si>
  <si>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</si>
  <si>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</si>
  <si>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</si>
  <si>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</si>
  <si>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</si>
  <si>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</si>
  <si>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</si>
  <si>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</si>
  <si>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</si>
  <si>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</si>
  <si>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</si>
  <si>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</si>
  <si>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</si>
  <si>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</si>
  <si>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</si>
  <si>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</si>
  <si>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</si>
  <si>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</si>
  <si>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</si>
  <si>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</si>
  <si>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</si>
  <si>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</si>
  <si>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</si>
  <si>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</si>
  <si>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</si>
  <si>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</si>
  <si>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</si>
  <si>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</si>
  <si>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</si>
  <si>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</si>
  <si>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</si>
  <si>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</si>
  <si>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</si>
  <si>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</si>
  <si>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</si>
  <si>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</si>
  <si>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</si>
  <si>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</si>
  <si>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</si>
  <si>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</si>
  <si>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</si>
  <si>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</si>
  <si>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</si>
  <si>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</si>
  <si>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</si>
  <si>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</si>
  <si>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</si>
  <si>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</si>
  <si>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</si>
  <si>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</si>
  <si>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</si>
  <si>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</si>
  <si>
    <t>【#弾き語り】 Mrs. GREEN APPLE縛り歌枠！！【幽音しの:ななしいんく】 #karaoke #歌枠</t>
    <phoneticPr fontId="2"/>
  </si>
  <si>
    <t>https://www.youtube.com/live/DCABx3RjHlk?si=2kjkclC-U2asQNr-</t>
    <phoneticPr fontId="2"/>
  </si>
  <si>
    <t>0:05:36</t>
  </si>
  <si>
    <t>アウフヘーベン</t>
  </si>
  <si>
    <t>0:12:54</t>
  </si>
  <si>
    <t>インフェルノ</t>
  </si>
  <si>
    <t>0:21:21</t>
  </si>
  <si>
    <t>Speaking</t>
  </si>
  <si>
    <t>WanteD! WanteD!</t>
  </si>
  <si>
    <t>0:35:37</t>
  </si>
  <si>
    <t>我逢人</t>
  </si>
  <si>
    <t>ケセラセラ</t>
  </si>
  <si>
    <t>0:48:45</t>
  </si>
  <si>
    <t>0:58:32</t>
  </si>
  <si>
    <t>【#弾き語り】深夜定期！！ギターの音で深い眠りへ誘うはず　【幽音しの:ななしいんく】　#shorts #vsinger #歌枠</t>
    <phoneticPr fontId="2"/>
  </si>
  <si>
    <t>https://www.youtube.com/live/tbPnXY8S_GQ?si=8PkFk0wPDIc_uL_n</t>
    <phoneticPr fontId="2"/>
  </si>
  <si>
    <t>0:05:38</t>
  </si>
  <si>
    <t>0:13:04</t>
  </si>
  <si>
    <t>0:19:42</t>
  </si>
  <si>
    <t>GALLOWS BELL</t>
  </si>
  <si>
    <t>buzzG feat.初音ミク</t>
  </si>
  <si>
    <t>0:25:53</t>
  </si>
  <si>
    <t>ワールド・ランプシェード</t>
  </si>
  <si>
    <t>BuzzG feat.GUMI</t>
  </si>
  <si>
    <t>0:33:22</t>
  </si>
  <si>
    <t>アイスクリーム シンドローム</t>
  </si>
  <si>
    <t>1:04:08</t>
  </si>
  <si>
    <t>1:11:06</t>
  </si>
  <si>
    <t>1:18:04</t>
  </si>
  <si>
    <t>1:33:36</t>
  </si>
  <si>
    <t>1:40:38</t>
  </si>
  <si>
    <t>1:48:11</t>
  </si>
  <si>
    <t>【#弾き語り】　火曜日の夜+に弾き語りで彩りを！【幽音しの:ななしいんく】 #karaoke #歌枠</t>
    <phoneticPr fontId="2"/>
  </si>
  <si>
    <t>https://www.youtube.com/live/3sDTyQ9hCDg?si=pXcH4WBWdJUgF-zq</t>
    <phoneticPr fontId="2"/>
  </si>
  <si>
    <t>0:06:48</t>
  </si>
  <si>
    <t>0:16:15</t>
  </si>
  <si>
    <t>0:23:15</t>
  </si>
  <si>
    <t>愛唄</t>
  </si>
  <si>
    <t>GRe4N BOYZ</t>
  </si>
  <si>
    <t>0:43:34</t>
  </si>
  <si>
    <t>迷宮ラブソング (1chorus)</t>
  </si>
  <si>
    <t>0:47:19</t>
  </si>
  <si>
    <t>0:54:33</t>
  </si>
  <si>
    <t>1:03:01</t>
  </si>
  <si>
    <t>1:09:50</t>
  </si>
  <si>
    <t>今週の予定の歌</t>
  </si>
  <si>
    <t>【#弾き語り】少し寒い昼下がりに、、弾き語りを聴かない？　【幽音しの:ななしいんく】　#shorts #karaoke #歌枠</t>
    <phoneticPr fontId="2"/>
  </si>
  <si>
    <t>https://www.youtube.com/live/xKwyAT6ZyDo?si=p8RkryjyMuiiNoGd</t>
    <phoneticPr fontId="2"/>
  </si>
  <si>
    <t>0:05:14</t>
  </si>
  <si>
    <t>0:11:14</t>
  </si>
  <si>
    <t>0:17:05</t>
  </si>
  <si>
    <t>雨とペトラ</t>
  </si>
  <si>
    <t>0:23:18</t>
  </si>
  <si>
    <t>0:35:07</t>
  </si>
  <si>
    <t>0:41:36</t>
  </si>
  <si>
    <t>0:46:32</t>
  </si>
  <si>
    <t>0:52:24</t>
  </si>
  <si>
    <t>0:58:20</t>
  </si>
  <si>
    <t>1:03:43</t>
  </si>
  <si>
    <t>1:09:55</t>
  </si>
  <si>
    <t>1:17:07</t>
  </si>
  <si>
    <t>1:24:42</t>
  </si>
  <si>
    <t>トゥインクル</t>
  </si>
  <si>
    <t>Junky feat.鏡音リン</t>
  </si>
  <si>
    <t>【運動記録】太ももシェイプ！！！！！リングフィットアドベンチャー#7【幽音しの:ななしいんく】 #vtuber</t>
    <phoneticPr fontId="2"/>
  </si>
  <si>
    <t>https://www.youtube.com/live/q-NGMbZYKXs?si=PW1tXGBm0QqXgfQn</t>
    <phoneticPr fontId="2"/>
  </si>
  <si>
    <t>【#弾き語り】深夜定期！弾き語りでチルく寝る日【幽音しの:ななしいんく】 #karaoke #歌枠</t>
    <phoneticPr fontId="2"/>
  </si>
  <si>
    <t>https://www.youtube.com/live/RXbt0OmMVe8?si=zUTwr5vQz3aflRD3</t>
    <phoneticPr fontId="2"/>
  </si>
  <si>
    <t>0:05:26</t>
  </si>
  <si>
    <t>0:12:38</t>
  </si>
  <si>
    <t>たばこ</t>
  </si>
  <si>
    <t>コレサワ</t>
  </si>
  <si>
    <t>0:21:19</t>
  </si>
  <si>
    <t>0:44:23</t>
  </si>
  <si>
    <t>うそつき</t>
  </si>
  <si>
    <t>めざめP feat.初音ミク</t>
  </si>
  <si>
    <t>0:51:46</t>
  </si>
  <si>
    <t>1:00:24</t>
  </si>
  <si>
    <t>1:06:30</t>
  </si>
  <si>
    <t>1:13:43</t>
  </si>
  <si>
    <t>1:20:45</t>
  </si>
  <si>
    <t>1:27:25</t>
  </si>
  <si>
    <t>1:34:20</t>
  </si>
  <si>
    <t>1:44:18</t>
  </si>
  <si>
    <t>【 #ななし鉄千 】ねこはスマートにかってなんぼ。ななしいんくMinecraft鉄千！　しの視点【幽音しの:ななしいんく】</t>
    <phoneticPr fontId="2"/>
  </si>
  <si>
    <t>https://www.youtube.com/live/GiTmTKFi_r4?si=YWh5gkimymLBhlSx</t>
    <phoneticPr fontId="2"/>
  </si>
  <si>
    <t>【#弾き語り】のんびりとゆっくり弾き語る歌枠　【幽音しの:ななしいんく】　#shorts #vsinger #歌枠</t>
    <phoneticPr fontId="2"/>
  </si>
  <si>
    <t>https://www.youtube.com/live/TLhHmBIm5rI?si=VIh-Mx1TlTgHASX4</t>
    <phoneticPr fontId="2"/>
  </si>
  <si>
    <t>0:05:13</t>
  </si>
  <si>
    <t>0:24:58</t>
  </si>
  <si>
    <t>0:35:16</t>
  </si>
  <si>
    <t>初めての恋が終わる時</t>
  </si>
  <si>
    <t>supercell feat.初音ミク</t>
  </si>
  <si>
    <t>0:43:44</t>
  </si>
  <si>
    <t>0:52:19</t>
  </si>
  <si>
    <t>1:00:45</t>
  </si>
  <si>
    <t>白い恋人達</t>
  </si>
  <si>
    <t>桑田佳祐</t>
  </si>
  <si>
    <t>1:10:00</t>
  </si>
  <si>
    <t>glow</t>
  </si>
  <si>
    <t>keeno feat.初音ミク</t>
  </si>
  <si>
    <t>1:19:25</t>
  </si>
  <si>
    <t>1:27:38</t>
  </si>
  <si>
    <t>Departures ～あなたにおくるアイの歌～</t>
  </si>
  <si>
    <t>1:34:35</t>
  </si>
  <si>
    <t>1:43:06</t>
  </si>
  <si>
    <t>1:51:36</t>
  </si>
  <si>
    <t>［Alexandros］</t>
  </si>
  <si>
    <t>1:58:34</t>
  </si>
  <si>
    <t>2:05:13</t>
  </si>
  <si>
    <t>【#弾き語り】弾き語りをして寝る前に楽しむぞ！【幽音しの:ななしいんく】 #karaoke #歌枠</t>
    <phoneticPr fontId="2"/>
  </si>
  <si>
    <t>https://www.youtube.com/live/svcUFFcJrHE?si=j83cuHNyk6QwuYkQ</t>
    <phoneticPr fontId="2"/>
  </si>
  <si>
    <t>0:11:20</t>
  </si>
  <si>
    <t>0:17:18</t>
  </si>
  <si>
    <t>0:26:05</t>
  </si>
  <si>
    <t>0:32:58</t>
  </si>
  <si>
    <t>寝癖</t>
  </si>
  <si>
    <t>0:40:48</t>
  </si>
  <si>
    <t>0:57:35</t>
  </si>
  <si>
    <t>1:04:52</t>
  </si>
  <si>
    <t>1:12:30</t>
  </si>
  <si>
    <t>1:21:46</t>
  </si>
  <si>
    <t>1:33:03</t>
  </si>
  <si>
    <t>1:47:26</t>
  </si>
  <si>
    <t>1:55:31</t>
  </si>
  <si>
    <t>【運動記録】一緒に運動いかがですか？リングフィットアドベンチャー#８【幽音しの:ななしいんく】 #vtuber</t>
    <phoneticPr fontId="2"/>
  </si>
  <si>
    <t>https://www.youtube.com/live/CZbn2XcF7qA?si=r-_jc2eVbOWxSTiN</t>
    <phoneticPr fontId="2"/>
  </si>
  <si>
    <t>【#弾き語り】深夜定期！ゆっくり流れる時間をあなたに【幽音しの:ななしいんく】 #karaoke #歌枠</t>
    <phoneticPr fontId="2"/>
  </si>
  <si>
    <t>https://www.youtube.com/live/0AqoHfYD46E?si=mWOedgt9iLzf5zoc</t>
    <phoneticPr fontId="2"/>
  </si>
  <si>
    <t>0:03:49</t>
  </si>
  <si>
    <t>0:12:11</t>
  </si>
  <si>
    <t>0:18:45</t>
  </si>
  <si>
    <t>0:26:22</t>
  </si>
  <si>
    <t>0:33:24</t>
  </si>
  <si>
    <t>0:40:05</t>
  </si>
  <si>
    <t>エウテルペ</t>
  </si>
  <si>
    <t>0:45:49</t>
  </si>
  <si>
    <t>ツギハギスタッカート</t>
  </si>
  <si>
    <t>0:52:06</t>
  </si>
  <si>
    <t>0:59:44</t>
  </si>
  <si>
    <t>街路、ライトの灯りだけ</t>
  </si>
  <si>
    <t>1:06:15</t>
  </si>
  <si>
    <t>vivi</t>
  </si>
  <si>
    <t>1:22:22</t>
  </si>
  <si>
    <t>失想ワアド</t>
  </si>
  <si>
    <t>じん feat.初音ミク</t>
  </si>
  <si>
    <t>1:30:54</t>
  </si>
  <si>
    <t>1:38:23</t>
  </si>
  <si>
    <t>1:47:04</t>
  </si>
  <si>
    <t>いつも何度でも</t>
  </si>
  <si>
    <t>【#弾き語り】ギターの音でゆったり流れる時間を　【幽音しの:ななしいんく】　#shorts #karaoke #歌枠</t>
    <phoneticPr fontId="2"/>
  </si>
  <si>
    <t>https://www.youtube.com/live/xp0K3WVssKY?si=LZW-N2O4nOZbWeQk</t>
    <phoneticPr fontId="2"/>
  </si>
  <si>
    <t>0:05:07</t>
  </si>
  <si>
    <t>クリスマスソング</t>
  </si>
  <si>
    <t>Back number</t>
  </si>
  <si>
    <t>0:12:25</t>
  </si>
  <si>
    <t>あわてんぼうのサンタクロース</t>
  </si>
  <si>
    <t>田中星児etc…</t>
  </si>
  <si>
    <t>ジングルベル</t>
  </si>
  <si>
    <t>James Lord Pierpont</t>
  </si>
  <si>
    <t>0:23:40</t>
  </si>
  <si>
    <t>0:30:17</t>
  </si>
  <si>
    <t>0:36:51</t>
  </si>
  <si>
    <t>0:43:45</t>
  </si>
  <si>
    <t>0:50:59</t>
  </si>
  <si>
    <t>ひまわりの約束</t>
  </si>
  <si>
    <t>秦基博</t>
  </si>
  <si>
    <t>0:58:46</t>
  </si>
  <si>
    <t>1:08:15</t>
  </si>
  <si>
    <t>1:14:13</t>
  </si>
  <si>
    <t>1:21:24</t>
  </si>
  <si>
    <t>1:29:53</t>
  </si>
  <si>
    <t>1:38:12</t>
  </si>
  <si>
    <t>シェリル・ノームstarring May'n</t>
  </si>
  <si>
    <t>1:47:07</t>
  </si>
  <si>
    <t>1999</t>
    <phoneticPr fontId="2"/>
  </si>
  <si>
    <t>【雑談】アイススプーンを使ってアイスを食べ雑談！【幽音しの:ななしいんく】　 #vtuber</t>
    <phoneticPr fontId="2"/>
  </si>
  <si>
    <t>https://www.youtube.com/live/kH-eTHQ4Mg0?si=ApJmJgE98kh-4EZM</t>
    <phoneticPr fontId="2"/>
  </si>
  <si>
    <t>【#弾き語り】RADWIMPSさんを歌う日！！【幽音しの:ななしいんく】 #karaoke #歌枠</t>
    <phoneticPr fontId="2"/>
  </si>
  <si>
    <t>正解</t>
  </si>
  <si>
    <t>そっけない</t>
  </si>
  <si>
    <t>0:32:52</t>
  </si>
  <si>
    <t>おしゃかしゃま</t>
  </si>
  <si>
    <t>0:47:50</t>
  </si>
  <si>
    <t>0:52:49</t>
  </si>
  <si>
    <t>1:00:48</t>
  </si>
  <si>
    <t>https://www.youtube.com/live/OColkUKqs90?si=u_QJLT5Paxmg4Fbl</t>
    <phoneticPr fontId="2"/>
  </si>
  <si>
    <t>【クリスマスイブ大掃除】この部屋、綺麗にな～れ！【幽音しの:ななしいんく】 #vtuber</t>
    <phoneticPr fontId="2"/>
  </si>
  <si>
    <t>https://www.youtube.com/live/KH_X8cFDpAo?si=iylDtsVTLki_7_CH</t>
    <phoneticPr fontId="2"/>
  </si>
  <si>
    <t>【運動記録】クリスマスは体を鍛えよ！リングフィットアドベンチャー#９【幽音しの:ななしいんく】 #vtuber</t>
    <phoneticPr fontId="2"/>
  </si>
  <si>
    <t>https://www.youtube.com/live/gdwrzSCbprY?si=ldNO_U0XnD_debJP</t>
    <phoneticPr fontId="2"/>
  </si>
  <si>
    <t>【#弾き語り】深夜定期！弾き語りの夜を～クリスマスだね！【幽音しの:ななしいんく】 #karaoke #歌枠</t>
    <phoneticPr fontId="2"/>
  </si>
  <si>
    <t>https://www.youtube.com/live/MRm5RirWRTc?si=-La1GXnNoxw2IMQH</t>
    <phoneticPr fontId="2"/>
  </si>
  <si>
    <t>0:04:59</t>
  </si>
  <si>
    <t>サンタが街にやってくる</t>
  </si>
  <si>
    <t>神戸孝夫(日本)</t>
  </si>
  <si>
    <t>0:28:36</t>
  </si>
  <si>
    <t>0:36:41</t>
  </si>
  <si>
    <t>0:45:22</t>
  </si>
  <si>
    <t>いかないで</t>
  </si>
  <si>
    <t>想太 feat.歌愛ユキ</t>
  </si>
  <si>
    <t>0:51:33</t>
  </si>
  <si>
    <t>0:56:08</t>
  </si>
  <si>
    <t>お正月</t>
  </si>
  <si>
    <t>瀧廉太郎</t>
  </si>
  <si>
    <t>1:03:25</t>
  </si>
  <si>
    <t>赤鼻のトナカイ</t>
  </si>
  <si>
    <t>Rudolph the Red-Nosed Reindeer</t>
  </si>
  <si>
    <t>1:21:54</t>
  </si>
  <si>
    <t>1:30:11</t>
  </si>
  <si>
    <t>【#弾き語り】お昼の弾き語り！食後のデザートにいかが？　【幽音しの:ななしいんく】　#shorts #karaoke #歌枠</t>
    <phoneticPr fontId="2"/>
  </si>
  <si>
    <t>https://www.youtube.com/live/oAyJDZdA6tE?si=2WnKccc2rn5H72au</t>
    <phoneticPr fontId="2"/>
  </si>
  <si>
    <t>0:19:25</t>
  </si>
  <si>
    <t>0:24:53</t>
  </si>
  <si>
    <t>0:32:03</t>
  </si>
  <si>
    <t>0:39:24</t>
  </si>
  <si>
    <t>0:46:59</t>
  </si>
  <si>
    <t>0:56:09</t>
  </si>
  <si>
    <t>バルーン(須田景凪)feat.flower</t>
  </si>
  <si>
    <t>1:03:45</t>
  </si>
  <si>
    <t>1:09:30</t>
  </si>
  <si>
    <t>1:22:40</t>
  </si>
  <si>
    <t>1:29:01</t>
  </si>
  <si>
    <t>1:36:44</t>
  </si>
  <si>
    <t>1:42:59</t>
  </si>
  <si>
    <t>1:51:03</t>
  </si>
  <si>
    <t>1:59:59</t>
  </si>
  <si>
    <t>【#弾き語り】年内ラスト歌枠！好きな曲歌って歌いおさめる！【幽音しの:ななしいんく】 #shorts #karaoke #歌枠</t>
    <phoneticPr fontId="2"/>
  </si>
  <si>
    <t>https://www.youtube.com/live/-LFW7tNdmHY?si=GPUnndjVLQ00wOIS</t>
    <phoneticPr fontId="2"/>
  </si>
  <si>
    <t>0:05:28</t>
  </si>
  <si>
    <t>0:14:19</t>
  </si>
  <si>
    <t>0:30:38</t>
  </si>
  <si>
    <t>0:37:04</t>
  </si>
  <si>
    <t>0:44:09</t>
  </si>
  <si>
    <t>0:52:16</t>
  </si>
  <si>
    <t>1:01:55</t>
  </si>
  <si>
    <t>1:07:24</t>
  </si>
  <si>
    <t>1:17:33</t>
  </si>
  <si>
    <t>1:28:16</t>
  </si>
  <si>
    <t>来年も一緒だよ！</t>
  </si>
  <si>
    <t>【有馬記念】知識ゼロのおばけが、ビギナーズラックをおこしてみせる！！！【幽音しの:ななしいんく】</t>
    <phoneticPr fontId="2"/>
  </si>
  <si>
    <t>https://www.youtube.com/live/v7PBMbLTYgY?si=OvQ1JmPPK8s_zlVm</t>
    <phoneticPr fontId="2"/>
  </si>
  <si>
    <t>【れいかい通信＃3】レッツダンディー！ダンディのこと呼んだかな？【幽音しの:ななしいんく】　 #vtuber</t>
    <phoneticPr fontId="2"/>
  </si>
  <si>
    <t>【年末歌合戦】第5回「悪天歌合戦」現在、悪魔2勝。2引き分け。今年はどうなる！？　#悪天歌合戦【ななしいんく / 島村シャルロット】</t>
    <phoneticPr fontId="2"/>
  </si>
  <si>
    <t>https://www.youtube.com/live/CRuz_3IGzcI?si=4zCSejhZNR_9LYe8</t>
    <phoneticPr fontId="2"/>
  </si>
  <si>
    <t>https://www.youtube.com/live/IJunTLDD7I0?si=lhLUIzdM_Rtfr1c2</t>
    <phoneticPr fontId="2"/>
  </si>
  <si>
    <t>0:26:38</t>
    <phoneticPr fontId="2"/>
  </si>
  <si>
    <t>弾き語り</t>
  </si>
  <si>
    <t>音源</t>
    <rPh sb="0" eb="2">
      <t>オンゲン</t>
    </rPh>
    <phoneticPr fontId="2"/>
  </si>
  <si>
    <t>0:27:55</t>
    <phoneticPr fontId="2"/>
  </si>
  <si>
    <t>点描の唄(1chorus)</t>
    <phoneticPr fontId="2"/>
  </si>
  <si>
    <t>ド屑(1chorus)</t>
    <phoneticPr fontId="2"/>
  </si>
  <si>
    <t>レッツダンディ</t>
    <phoneticPr fontId="2"/>
  </si>
  <si>
    <t>0:33:38</t>
    <phoneticPr fontId="2"/>
  </si>
  <si>
    <t>ダンディさん(幽音しの(即興))</t>
    <phoneticPr fontId="2"/>
  </si>
  <si>
    <t>【あけおめ配信】あけましておめでとう雑談！お酒飲みながら少しお話しする【幽音しの:ななしいんく】　#shorts #vsinger</t>
    <phoneticPr fontId="2"/>
  </si>
  <si>
    <t>https://www.youtube.com/live/55-fnnXPRQk?si=7zNy10DVwXJ3rxFg</t>
    <phoneticPr fontId="2"/>
  </si>
  <si>
    <t>【#弾き語り】2026年！初歌枠だ～～！！今年もよろしくね！！【幽音しの:ななしいんく】 #shorts #karaoke #歌枠</t>
    <phoneticPr fontId="2"/>
  </si>
  <si>
    <t>https://www.youtube.com/live/ivps1kBiaZY?si=JYr8YoP36SUYaFiy</t>
    <phoneticPr fontId="2"/>
  </si>
  <si>
    <t>0:10:40</t>
  </si>
  <si>
    <t>聖槍爆裂ボーイ</t>
  </si>
  <si>
    <t>れるりり&amp;もじゃ feat .鏡音リン</t>
  </si>
  <si>
    <t>0:16:29</t>
  </si>
  <si>
    <t>0:22:49</t>
  </si>
  <si>
    <t>Masked bitcH</t>
  </si>
  <si>
    <t>ギガ&amp;q*Left feat.GUMI</t>
  </si>
  <si>
    <t>0:28:20</t>
  </si>
  <si>
    <t>0:34:49</t>
  </si>
  <si>
    <t>バレリーコ</t>
  </si>
  <si>
    <t>みきとP feat.GUMI</t>
  </si>
  <si>
    <t>0:41:20</t>
  </si>
  <si>
    <t>0:49:45</t>
  </si>
  <si>
    <t>1:02:02</t>
  </si>
  <si>
    <t>モニタリング</t>
  </si>
  <si>
    <t>1:09:32</t>
  </si>
  <si>
    <t>1:14:39</t>
  </si>
  <si>
    <t>1:21:40</t>
  </si>
  <si>
    <t>1:34:16</t>
  </si>
  <si>
    <t>乙女解剖</t>
  </si>
  <si>
    <t>【#弾き語り】深夜定期！今日も寝れる弾き語りを！【幽音しの:ななしいんく】 #karaoke #歌枠</t>
    <phoneticPr fontId="2"/>
  </si>
  <si>
    <t>https://www.youtube.com/live/eoOU4nEz4Yk?si=whVwZgpMk4twa4IR</t>
    <phoneticPr fontId="2"/>
  </si>
  <si>
    <t>0:04:20</t>
  </si>
  <si>
    <t>0:13:41</t>
  </si>
  <si>
    <t>0:28:53</t>
  </si>
  <si>
    <t>0:43:29</t>
  </si>
  <si>
    <t>0:50:08</t>
  </si>
  <si>
    <r>
      <t>【 #</t>
    </r>
    <r>
      <rPr>
        <sz val="11"/>
        <color theme="1"/>
        <rFont val="Segoe UI Symbol"/>
        <family val="3"/>
        <charset val="1"/>
      </rPr>
      <t>⁠</t>
    </r>
    <r>
      <rPr>
        <sz val="11"/>
        <color theme="1"/>
        <rFont val="Meiryo UI"/>
        <family val="3"/>
        <charset val="128"/>
      </rPr>
      <t>ななし新春歌枠リレー 】思わず空に浮いちゃうような弾き語りをお届け！【幽音しの:ななしいんく】 #vsinger #歌枠</t>
    </r>
    <phoneticPr fontId="2"/>
  </si>
  <si>
    <t>https://www.youtube.com/live/TQC6YXjwtgA?si=BdfZ9GrSmS7Xrso8</t>
    <phoneticPr fontId="2"/>
  </si>
  <si>
    <t>ランカ・リー＝中島愛</t>
  </si>
  <si>
    <t>神のまにまに</t>
  </si>
  <si>
    <t>れるりり</t>
  </si>
  <si>
    <t>0:00:53</t>
    <phoneticPr fontId="2"/>
  </si>
  <si>
    <t>0:05:02</t>
    <phoneticPr fontId="2"/>
  </si>
  <si>
    <t>0:13:12</t>
    <phoneticPr fontId="2"/>
  </si>
  <si>
    <t>0:20:01</t>
    <phoneticPr fontId="2"/>
  </si>
  <si>
    <t>0:25:37</t>
    <phoneticPr fontId="2"/>
  </si>
  <si>
    <t>【利用規約に同意したい】たくさん同意してやんよ！【幽音しの:ななしいんく】　 #vsinger</t>
    <phoneticPr fontId="2"/>
  </si>
  <si>
    <t>https://www.youtube.com/live/RG3JLadSsgo?si=5uyNEGK1qEZGuULU</t>
    <phoneticPr fontId="2"/>
  </si>
  <si>
    <t>【#弾き語り】かっこよく！男性アーティスト縛り歌枠です！【幽音しの:ななしいんく】 #karaoke #歌枠</t>
    <phoneticPr fontId="2"/>
  </si>
  <si>
    <t>https://www.youtube.com/live/PeAN2eEh-ug?si=Q76LwLkKs-5oX2lF</t>
    <phoneticPr fontId="2"/>
  </si>
  <si>
    <t>0:04:24</t>
  </si>
  <si>
    <t>0:10:26</t>
  </si>
  <si>
    <t>0:25:13</t>
  </si>
  <si>
    <t>夜の踊り子</t>
  </si>
  <si>
    <t>0:41:04</t>
  </si>
  <si>
    <t>0:48:50</t>
  </si>
  <si>
    <t>0:55:25</t>
  </si>
  <si>
    <t>TK from 凛として時雨</t>
  </si>
  <si>
    <t>1:09:58</t>
  </si>
  <si>
    <t>1:16:52</t>
  </si>
  <si>
    <t>1:24:58</t>
  </si>
  <si>
    <t>1:30:33</t>
  </si>
  <si>
    <t>Help! (1chorus)</t>
  </si>
  <si>
    <t>The Beatles</t>
  </si>
  <si>
    <t>1:35:06</t>
  </si>
  <si>
    <t>スターライトパレード</t>
  </si>
  <si>
    <t>SEKAI NO OWARI</t>
  </si>
  <si>
    <t>1:41:53</t>
  </si>
  <si>
    <t>マツケンサンバⅡ (1chorus)</t>
  </si>
  <si>
    <t>松平健</t>
  </si>
  <si>
    <t>1:47:16</t>
  </si>
  <si>
    <t>完全感覚Dreamer</t>
    <phoneticPr fontId="2"/>
  </si>
  <si>
    <t>マツケンサンバⅡ (1chorus)</t>
    <phoneticPr fontId="2"/>
  </si>
  <si>
    <t>【#ななしマイクラビンゴ】情熱の赤！！！それは勝利の色！！【幽音しの:ななしいんく】　#vsinger</t>
    <phoneticPr fontId="2"/>
  </si>
  <si>
    <t>https://www.youtube.com/live/UPM7MQfPoU8?si=59I5bWXIdcPJmj6G</t>
    <phoneticPr fontId="2"/>
  </si>
  <si>
    <t>【歌枠】気ままにカラオケを楽しむ配信！！【幽音しの:ななしいんく】　#shorts #vsinger #歌枠</t>
    <phoneticPr fontId="2"/>
  </si>
  <si>
    <t>https://www.youtube.com/live/5WLpYh7ET8Q?si=U6vokm2OYMw3HwVF</t>
    <phoneticPr fontId="2"/>
  </si>
  <si>
    <t>0:04:04</t>
  </si>
  <si>
    <t>0:11:26</t>
  </si>
  <si>
    <t>ヤマダ電機の歌</t>
  </si>
  <si>
    <t>富田伊知郎(ミラクル・ヴォウス)</t>
  </si>
  <si>
    <t>0:18:50</t>
  </si>
  <si>
    <t>ヨドバシカメラの歌</t>
  </si>
  <si>
    <t>ヨドバシカメラ</t>
  </si>
  <si>
    <t>0:22:33</t>
  </si>
  <si>
    <t>MIRACLE SHOPPING〜ドン・キホーテのテーマ〜</t>
  </si>
  <si>
    <t>田中マイミ</t>
  </si>
  <si>
    <t>0:27:38</t>
  </si>
  <si>
    <t>0:35:30</t>
  </si>
  <si>
    <t>W/X/Y</t>
  </si>
  <si>
    <t>Tani Yuuki</t>
  </si>
  <si>
    <t>0:48:46</t>
  </si>
  <si>
    <t>シュガーソングとビターステップ (リクエスト)</t>
  </si>
  <si>
    <t>0:55:24</t>
  </si>
  <si>
    <t>1:00:16</t>
  </si>
  <si>
    <t>unlasting (Tv size)</t>
  </si>
  <si>
    <t>1:03:26</t>
  </si>
  <si>
    <t>1:16:40</t>
  </si>
  <si>
    <t>君のせい (Tv size)</t>
  </si>
  <si>
    <t>1:22:27</t>
  </si>
  <si>
    <t>ADAMAS</t>
  </si>
  <si>
    <t>【#弾き語り】ただいま！深夜定期弾き語り歌枠【幽音しの:ななしいんく】 #karaoke #歌枠 #shorts</t>
    <phoneticPr fontId="2"/>
  </si>
  <si>
    <t>https://www.youtube.com/live/lZby81fWXVY?si=_wcXehm3GgvfsGSB</t>
    <phoneticPr fontId="2"/>
  </si>
  <si>
    <t>0:06:59</t>
  </si>
  <si>
    <t>0:12:58</t>
  </si>
  <si>
    <t>久しぶりだねの歌</t>
  </si>
  <si>
    <t>0:24:32</t>
  </si>
  <si>
    <t>0:30:30</t>
  </si>
  <si>
    <t>0:37:10</t>
  </si>
  <si>
    <t>0:43:33</t>
  </si>
  <si>
    <t>0:49:52</t>
  </si>
  <si>
    <t>0:55:55</t>
  </si>
  <si>
    <t>1:05:42</t>
  </si>
  <si>
    <t>1:13:45</t>
  </si>
  <si>
    <t>1:21:21</t>
  </si>
  <si>
    <t>1:29:36</t>
  </si>
  <si>
    <t>1:36:03</t>
  </si>
  <si>
    <t>1:44:36</t>
  </si>
  <si>
    <t>1:52:49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</si>
</sst>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Segoe UI Symbol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4" fontId="1" fillId="3" borderId="2" xfId="0" applyNumberFormat="1" applyFont="1" applyFill="1" applyBorder="1">
      <alignment vertical="center"/>
    </xf>
    <xf numFmtId="0" fontId="1" fillId="4" borderId="2" xfId="0" applyFont="1" applyFill="1" applyBorder="1" applyAlignment="1">
      <alignment vertical="center" wrapText="1"/>
    </xf>
    <xf numFmtId="0" fontId="1" fillId="3" borderId="0" xfId="0" applyFont="1" applyFill="1">
      <alignment vertical="center"/>
    </xf>
    <xf numFmtId="0" fontId="3" fillId="0" borderId="2" xfId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63" Type="http://schemas.openxmlformats.org/officeDocument/2006/relationships/hyperlink" Target="https://www.youtube.com/live/rKiEMLFOS8s?si=R7Y_ORgOwbtsqkjP" TargetMode="External"/><Relationship Id="rId84" Type="http://schemas.openxmlformats.org/officeDocument/2006/relationships/hyperlink" Target="https://www.youtube.com/live/r7Bwk1jHwnc?si=YSwS6uQI_0X3Y91g" TargetMode="External"/><Relationship Id="rId138" Type="http://schemas.openxmlformats.org/officeDocument/2006/relationships/hyperlink" Target="https://www.youtube.com/live/KH_X8cFDpAo?si=iylDtsVTLki_7_CH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53" Type="http://schemas.openxmlformats.org/officeDocument/2006/relationships/hyperlink" Target="https://www.youtube.com/live/BTi31luRntI?si=HKZA9dD6UF6pnPvq" TargetMode="External"/><Relationship Id="rId74" Type="http://schemas.openxmlformats.org/officeDocument/2006/relationships/hyperlink" Target="https://www.youtube.com/live/HrTGMEz799w?si=jbCZTdjGLH52DrHB" TargetMode="External"/><Relationship Id="rId128" Type="http://schemas.openxmlformats.org/officeDocument/2006/relationships/hyperlink" Target="https://www.youtube.com/live/q-NGMbZYKXs?si=PW1tXGBm0QqXgfQn" TargetMode="External"/><Relationship Id="rId149" Type="http://schemas.openxmlformats.org/officeDocument/2006/relationships/hyperlink" Target="https://www.youtube.com/live/TQC6YXjwtgA?si=BdfZ9GrSmS7Xrso8" TargetMode="External"/><Relationship Id="rId5" Type="http://schemas.openxmlformats.org/officeDocument/2006/relationships/hyperlink" Target="https://www.youtube.com/live/teQHty590Zo?si=v5B1y_6kXfHA0GoX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134" Type="http://schemas.openxmlformats.org/officeDocument/2006/relationships/hyperlink" Target="https://www.youtube.com/live/0AqoHfYD46E?si=mWOedgt9iLzf5zoc" TargetMode="External"/><Relationship Id="rId139" Type="http://schemas.openxmlformats.org/officeDocument/2006/relationships/hyperlink" Target="https://www.youtube.com/live/gdwrzSCbprY?si=ldNO_U0XnD_debJP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50" Type="http://schemas.openxmlformats.org/officeDocument/2006/relationships/hyperlink" Target="https://www.youtube.com/live/RG3JLadSsgo?si=5uyNEGK1qEZGuULU" TargetMode="External"/><Relationship Id="rId155" Type="http://schemas.openxmlformats.org/officeDocument/2006/relationships/printerSettings" Target="../printerSettings/printerSettings1.bin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hyperlink" Target="https://www.youtube.com/live/DCABx3RjHlk?si=2kjkclC-U2asQNr-" TargetMode="External"/><Relationship Id="rId129" Type="http://schemas.openxmlformats.org/officeDocument/2006/relationships/hyperlink" Target="https://www.youtube.com/live/RXbt0OmMVe8?si=zUTwr5vQz3aflRD3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40" Type="http://schemas.openxmlformats.org/officeDocument/2006/relationships/hyperlink" Target="https://www.youtube.com/live/MRm5RirWRTc?si=-La1GXnNoxw2IMQH" TargetMode="External"/><Relationship Id="rId145" Type="http://schemas.openxmlformats.org/officeDocument/2006/relationships/hyperlink" Target="https://www.youtube.com/live/IJunTLDD7I0?si=lhLUIzdM_Rtfr1c2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130" Type="http://schemas.openxmlformats.org/officeDocument/2006/relationships/hyperlink" Target="https://www.youtube.com/live/GiTmTKFi_r4?si=YWh5gkimymLBhlSx" TargetMode="External"/><Relationship Id="rId135" Type="http://schemas.openxmlformats.org/officeDocument/2006/relationships/hyperlink" Target="https://www.youtube.com/live/xp0K3WVssKY?si=LZW-N2O4nOZbWeQk" TargetMode="External"/><Relationship Id="rId151" Type="http://schemas.openxmlformats.org/officeDocument/2006/relationships/hyperlink" Target="https://www.youtube.com/live/PeAN2eEh-ug?si=Q76LwLkKs-5oX2lF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125" Type="http://schemas.openxmlformats.org/officeDocument/2006/relationships/hyperlink" Target="https://www.youtube.com/live/tbPnXY8S_GQ?si=8PkFk0wPDIc_uL_n" TargetMode="External"/><Relationship Id="rId141" Type="http://schemas.openxmlformats.org/officeDocument/2006/relationships/hyperlink" Target="https://www.youtube.com/live/oAyJDZdA6tE?si=2WnKccc2rn5H72au" TargetMode="External"/><Relationship Id="rId146" Type="http://schemas.openxmlformats.org/officeDocument/2006/relationships/hyperlink" Target="https://www.youtube.com/live/55-fnnXPRQk?si=7zNy10DVwXJ3rxFg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131" Type="http://schemas.openxmlformats.org/officeDocument/2006/relationships/hyperlink" Target="https://www.youtube.com/live/TLhHmBIm5rI?si=VIh-Mx1TlTgHASX4" TargetMode="External"/><Relationship Id="rId136" Type="http://schemas.openxmlformats.org/officeDocument/2006/relationships/hyperlink" Target="https://www.youtube.com/live/kH-eTHQ4Mg0?si=ApJmJgE98kh-4EZM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52" Type="http://schemas.openxmlformats.org/officeDocument/2006/relationships/hyperlink" Target="https://www.youtube.com/live/UPM7MQfPoU8?si=59I5bWXIdcPJmj6G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126" Type="http://schemas.openxmlformats.org/officeDocument/2006/relationships/hyperlink" Target="https://www.youtube.com/live/3sDTyQ9hCDg?si=pXcH4WBWdJUgF-zq" TargetMode="External"/><Relationship Id="rId147" Type="http://schemas.openxmlformats.org/officeDocument/2006/relationships/hyperlink" Target="https://www.youtube.com/live/ivps1kBiaZY?si=JYr8YoP36SUYaFiy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142" Type="http://schemas.openxmlformats.org/officeDocument/2006/relationships/hyperlink" Target="https://www.youtube.com/live/-LFW7tNdmHY?si=GPUnndjVLQ00wOIS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137" Type="http://schemas.openxmlformats.org/officeDocument/2006/relationships/hyperlink" Target="https://www.youtube.com/live/OColkUKqs90?si=u_QJLT5Paxmg4Fbl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32" Type="http://schemas.openxmlformats.org/officeDocument/2006/relationships/hyperlink" Target="https://www.youtube.com/live/svcUFFcJrHE?si=j83cuHNyk6QwuYkQ" TargetMode="External"/><Relationship Id="rId153" Type="http://schemas.openxmlformats.org/officeDocument/2006/relationships/hyperlink" Target="https://www.youtube.com/live/5WLpYh7ET8Q?si=U6vokm2OYMw3HwVF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27" Type="http://schemas.openxmlformats.org/officeDocument/2006/relationships/hyperlink" Target="https://www.youtube.com/live/xKwyAT6ZyDo?si=p8RkryjyMuiiNoGd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Relationship Id="rId143" Type="http://schemas.openxmlformats.org/officeDocument/2006/relationships/hyperlink" Target="https://www.youtube.com/live/v7PBMbLTYgY?si=OvQ1JmPPK8s_zlVm" TargetMode="External"/><Relationship Id="rId148" Type="http://schemas.openxmlformats.org/officeDocument/2006/relationships/hyperlink" Target="https://www.youtube.com/live/eoOU4nEz4Yk?si=whVwZgpMk4twa4IR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26" Type="http://schemas.openxmlformats.org/officeDocument/2006/relationships/hyperlink" Target="https://www.youtube.com/live/T2z_BAhLZz0?si=FZhoxASjxucX4Rxr" TargetMode="External"/><Relationship Id="rId47" Type="http://schemas.openxmlformats.org/officeDocument/2006/relationships/hyperlink" Target="https://www.youtube.com/live/KAbs7kX93bA?si=vH7THkmGBPrjgSu6" TargetMode="External"/><Relationship Id="rId68" Type="http://schemas.openxmlformats.org/officeDocument/2006/relationships/hyperlink" Target="https://www.youtube.com/live/owAk9KYpfsc?si=GaCuKItWZmTM1wnU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33" Type="http://schemas.openxmlformats.org/officeDocument/2006/relationships/hyperlink" Target="https://www.youtube.com/live/CZbn2XcF7qA?si=r-_jc2eVbOWxSTiN" TargetMode="External"/><Relationship Id="rId154" Type="http://schemas.openxmlformats.org/officeDocument/2006/relationships/hyperlink" Target="https://www.youtube.com/live/lZby81fWXVY?si=_wcXehm3GgvfsGSB" TargetMode="External"/><Relationship Id="rId16" Type="http://schemas.openxmlformats.org/officeDocument/2006/relationships/hyperlink" Target="https://www.youtube.com/live/8yfLYQayxQg?si=O0Q0AXQXC39nd7WJ" TargetMode="External"/><Relationship Id="rId37" Type="http://schemas.openxmlformats.org/officeDocument/2006/relationships/hyperlink" Target="https://www.youtube.com/live/wY3z5W9B8N0?si=FVqBjyoCdmcOKFxz" TargetMode="External"/><Relationship Id="rId58" Type="http://schemas.openxmlformats.org/officeDocument/2006/relationships/hyperlink" Target="https://www.youtube.com/live/JdIhEjDJiNU?si=deUnozJNoBNUwf--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144" Type="http://schemas.openxmlformats.org/officeDocument/2006/relationships/hyperlink" Target="https://www.youtube.com/live/CRuz_3IGzcI?si=4zCSejhZNR_9LYe8" TargetMode="External"/><Relationship Id="rId90" Type="http://schemas.openxmlformats.org/officeDocument/2006/relationships/hyperlink" Target="https://www.youtube.com/live/nyXzxG79mwQ?si=kGuFyOuc0o-yNPOU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201"/>
  <sheetViews>
    <sheetView tabSelected="1" zoomScaleNormal="100" workbookViewId="0">
      <pane xSplit="1" ySplit="1" topLeftCell="B144" activePane="bottomRight" state="frozen"/>
      <selection pane="topRight" activeCell="B1" sqref="B1"/>
      <selection pane="bottomLeft" activeCell="A2" sqref="A2"/>
      <selection pane="bottomRight" activeCell="F155" sqref="F155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9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9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9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9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9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9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9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9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9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1369</v>
      </c>
      <c r="D71" s="19" t="s">
        <v>1370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9" t="s">
        <v>1386</v>
      </c>
      <c r="D72" s="19" t="s">
        <v>1387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9" t="s">
        <v>1388</v>
      </c>
      <c r="D73" s="19" t="s">
        <v>1389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1390</v>
      </c>
      <c r="D74" s="19" t="s">
        <v>1391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9" t="s">
        <v>1419</v>
      </c>
      <c r="D75" s="19" t="s">
        <v>1420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1421</v>
      </c>
      <c r="D76" s="19" t="s">
        <v>1422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9" t="s">
        <v>1436</v>
      </c>
      <c r="D77" s="19" t="s">
        <v>1437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1438</v>
      </c>
      <c r="D78" s="19" t="s">
        <v>1439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9" t="s">
        <v>1458</v>
      </c>
      <c r="D79" s="19" t="s">
        <v>1459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1462</v>
      </c>
      <c r="D80" s="19" t="s">
        <v>1463</v>
      </c>
      <c r="F80" s="1" t="s">
        <v>1464</v>
      </c>
    </row>
    <row r="81" spans="1:6" x14ac:dyDescent="0.4">
      <c r="A81" s="14">
        <f t="shared" si="1"/>
        <v>80</v>
      </c>
      <c r="B81" s="15">
        <v>45921</v>
      </c>
      <c r="C81" s="25" t="s">
        <v>1491</v>
      </c>
      <c r="D81" s="19" t="s">
        <v>1492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9" t="s">
        <v>1501</v>
      </c>
      <c r="D82" s="19" t="s">
        <v>1502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9" t="s">
        <v>1503</v>
      </c>
      <c r="D83" s="19" t="s">
        <v>1504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1505</v>
      </c>
      <c r="D84" s="19" t="s">
        <v>1506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1535</v>
      </c>
      <c r="D85" s="19" t="s">
        <v>1536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1551</v>
      </c>
      <c r="D86" s="19" t="s">
        <v>1552</v>
      </c>
      <c r="F86" s="1" t="s">
        <v>1464</v>
      </c>
    </row>
    <row r="87" spans="1:6" x14ac:dyDescent="0.4">
      <c r="A87" s="14">
        <f t="shared" si="1"/>
        <v>86</v>
      </c>
      <c r="B87" s="15">
        <v>45931</v>
      </c>
      <c r="C87" s="29" t="s">
        <v>1583</v>
      </c>
      <c r="D87" s="19" t="s">
        <v>1582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9" t="s">
        <v>1584</v>
      </c>
      <c r="D88" s="19" t="s">
        <v>1585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1586</v>
      </c>
      <c r="D89" s="19" t="s">
        <v>1587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1606</v>
      </c>
      <c r="D90" s="19" t="s">
        <v>1607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1622</v>
      </c>
      <c r="D91" s="19" t="s">
        <v>1623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9" t="s">
        <v>1701</v>
      </c>
      <c r="D92" s="19" t="s">
        <v>1702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1703</v>
      </c>
      <c r="D93" s="19" t="s">
        <v>1704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1752</v>
      </c>
      <c r="D94" s="19" t="s">
        <v>1753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9" t="s">
        <v>1785</v>
      </c>
      <c r="D95" s="19" t="s">
        <v>1786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1787</v>
      </c>
      <c r="D96" s="19" t="s">
        <v>1788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9" t="s">
        <v>1801</v>
      </c>
      <c r="D97" s="19" t="s">
        <v>1802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9" t="s">
        <v>1803</v>
      </c>
      <c r="D98" s="19" t="s">
        <v>1804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1805</v>
      </c>
      <c r="D99" s="19" t="s">
        <v>1806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1831</v>
      </c>
      <c r="D100" s="19" t="s">
        <v>1832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1866</v>
      </c>
      <c r="D101" s="19" t="s">
        <v>1867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9" t="s">
        <v>1879</v>
      </c>
      <c r="D102" s="19" t="s">
        <v>1880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9" t="s">
        <v>1881</v>
      </c>
      <c r="D103" s="19" t="s">
        <v>1882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1883</v>
      </c>
      <c r="D104" s="19" t="s">
        <v>1884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1905</v>
      </c>
      <c r="D105" s="19" t="s">
        <v>1906</v>
      </c>
      <c r="F105" s="1" t="s">
        <v>1464</v>
      </c>
    </row>
    <row r="106" spans="1:6" x14ac:dyDescent="0.4">
      <c r="A106" s="14">
        <f t="shared" si="1"/>
        <v>105</v>
      </c>
      <c r="B106" s="15">
        <v>45959</v>
      </c>
      <c r="C106" s="29" t="s">
        <v>1923</v>
      </c>
      <c r="D106" s="19" t="s">
        <v>1924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1925</v>
      </c>
      <c r="D107" s="19" t="s">
        <v>1926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9" t="s">
        <v>1944</v>
      </c>
      <c r="D108" s="19" t="s">
        <v>1945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9" t="s">
        <v>1946</v>
      </c>
      <c r="D109" s="19" t="s">
        <v>1947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9" t="s">
        <v>1948</v>
      </c>
      <c r="D110" s="19" t="s">
        <v>1949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9" t="s">
        <v>1950</v>
      </c>
      <c r="D111" s="19" t="s">
        <v>1951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1952</v>
      </c>
      <c r="D112" s="19" t="s">
        <v>1953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9" t="s">
        <v>1973</v>
      </c>
      <c r="D113" s="19" t="s">
        <v>1974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9" t="s">
        <v>1975</v>
      </c>
      <c r="D114" s="19" t="s">
        <v>1976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9" t="s">
        <v>1978</v>
      </c>
      <c r="D115" s="19" t="s">
        <v>1979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1980</v>
      </c>
      <c r="D116" s="19" t="s">
        <v>1981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9" t="s">
        <v>1996</v>
      </c>
      <c r="D117" s="19" t="s">
        <v>1997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1999</v>
      </c>
      <c r="D118" s="19" t="s">
        <v>1998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2013</v>
      </c>
      <c r="D119" s="19" t="s">
        <v>2014</v>
      </c>
      <c r="F119" s="1" t="s">
        <v>629</v>
      </c>
    </row>
    <row r="120" spans="1:6" x14ac:dyDescent="0.4">
      <c r="A120" s="14">
        <f t="shared" si="1"/>
        <v>119</v>
      </c>
      <c r="B120" s="15">
        <v>45988</v>
      </c>
      <c r="C120" s="25" t="s">
        <v>2037</v>
      </c>
      <c r="D120" s="19" t="s">
        <v>2038</v>
      </c>
      <c r="F120" s="1" t="s">
        <v>628</v>
      </c>
    </row>
    <row r="121" spans="1:6" x14ac:dyDescent="0.4">
      <c r="A121" s="14">
        <f t="shared" si="1"/>
        <v>120</v>
      </c>
      <c r="B121" s="15">
        <v>45989</v>
      </c>
      <c r="C121" s="25" t="s">
        <v>2051</v>
      </c>
      <c r="D121" s="19" t="s">
        <v>2052</v>
      </c>
      <c r="F121" s="1" t="s">
        <v>628</v>
      </c>
    </row>
    <row r="122" spans="1:6" x14ac:dyDescent="0.4">
      <c r="A122" s="14">
        <f t="shared" si="1"/>
        <v>121</v>
      </c>
      <c r="B122" s="15">
        <v>45990</v>
      </c>
      <c r="C122" s="25" t="s">
        <v>2059</v>
      </c>
      <c r="D122" s="19" t="s">
        <v>2060</v>
      </c>
      <c r="F122" s="1" t="s">
        <v>628</v>
      </c>
    </row>
    <row r="123" spans="1:6" x14ac:dyDescent="0.4">
      <c r="A123" s="14">
        <f t="shared" si="1"/>
        <v>122</v>
      </c>
      <c r="B123" s="15">
        <v>45991</v>
      </c>
      <c r="C123" s="25" t="s">
        <v>2073</v>
      </c>
      <c r="D123" s="19" t="s">
        <v>2074</v>
      </c>
      <c r="F123" s="1" t="s">
        <v>628</v>
      </c>
    </row>
    <row r="124" spans="1:6" x14ac:dyDescent="0.4">
      <c r="A124" s="14">
        <f t="shared" si="1"/>
        <v>123</v>
      </c>
      <c r="B124" s="15">
        <v>45993</v>
      </c>
      <c r="C124" s="25" t="s">
        <v>2103</v>
      </c>
      <c r="D124" s="19" t="s">
        <v>2104</v>
      </c>
      <c r="F124" s="1" t="s">
        <v>628</v>
      </c>
    </row>
    <row r="125" spans="1:6" x14ac:dyDescent="0.4">
      <c r="A125" s="14">
        <f t="shared" si="1"/>
        <v>124</v>
      </c>
      <c r="B125" s="15">
        <v>45995</v>
      </c>
      <c r="C125" s="25" t="s">
        <v>2118</v>
      </c>
      <c r="D125" s="19" t="s">
        <v>2119</v>
      </c>
      <c r="F125" s="1" t="s">
        <v>628</v>
      </c>
    </row>
    <row r="126" spans="1:6" x14ac:dyDescent="0.4">
      <c r="A126" s="14">
        <f t="shared" si="1"/>
        <v>125</v>
      </c>
      <c r="B126" s="15">
        <v>45996</v>
      </c>
      <c r="C126" s="25" t="s">
        <v>2132</v>
      </c>
      <c r="D126" s="19" t="s">
        <v>2133</v>
      </c>
      <c r="F126" s="1" t="s">
        <v>628</v>
      </c>
    </row>
    <row r="127" spans="1:6" x14ac:dyDescent="0.4">
      <c r="A127" s="14">
        <f t="shared" si="1"/>
        <v>126</v>
      </c>
      <c r="B127" s="15">
        <v>46000</v>
      </c>
      <c r="C127" s="25" t="s">
        <v>2150</v>
      </c>
      <c r="D127" s="19" t="s">
        <v>2151</v>
      </c>
      <c r="F127" s="1" t="s">
        <v>628</v>
      </c>
    </row>
    <row r="128" spans="1:6" x14ac:dyDescent="0.4">
      <c r="A128" s="14">
        <f t="shared" si="1"/>
        <v>127</v>
      </c>
      <c r="B128" s="15">
        <v>46001</v>
      </c>
      <c r="C128" s="25" t="s">
        <v>2164</v>
      </c>
      <c r="D128" s="19" t="s">
        <v>2165</v>
      </c>
      <c r="F128" s="1" t="s">
        <v>628</v>
      </c>
    </row>
    <row r="129" spans="1:6" x14ac:dyDescent="0.4">
      <c r="A129" s="14">
        <f t="shared" si="1"/>
        <v>128</v>
      </c>
      <c r="B129" s="15">
        <v>46002</v>
      </c>
      <c r="C129" s="29" t="s">
        <v>2182</v>
      </c>
      <c r="D129" s="19" t="s">
        <v>2183</v>
      </c>
      <c r="F129" s="1" t="s">
        <v>627</v>
      </c>
    </row>
    <row r="130" spans="1:6" x14ac:dyDescent="0.4">
      <c r="A130" s="14">
        <f t="shared" si="1"/>
        <v>129</v>
      </c>
      <c r="B130" s="15">
        <v>46003</v>
      </c>
      <c r="C130" s="25" t="s">
        <v>2184</v>
      </c>
      <c r="D130" s="19" t="s">
        <v>2185</v>
      </c>
      <c r="F130" s="1" t="s">
        <v>628</v>
      </c>
    </row>
    <row r="131" spans="1:6" x14ac:dyDescent="0.4">
      <c r="A131" s="14">
        <f t="shared" ref="A131:A194" si="2">ROW()-1</f>
        <v>130</v>
      </c>
      <c r="B131" s="15">
        <v>46004</v>
      </c>
      <c r="C131" s="29" t="s">
        <v>2202</v>
      </c>
      <c r="D131" s="19" t="s">
        <v>2203</v>
      </c>
      <c r="F131" s="1" t="s">
        <v>627</v>
      </c>
    </row>
    <row r="132" spans="1:6" x14ac:dyDescent="0.4">
      <c r="A132" s="14">
        <f t="shared" si="2"/>
        <v>131</v>
      </c>
      <c r="B132" s="15">
        <v>46005</v>
      </c>
      <c r="C132" s="25" t="s">
        <v>2204</v>
      </c>
      <c r="D132" s="19" t="s">
        <v>2205</v>
      </c>
      <c r="F132" s="1" t="s">
        <v>628</v>
      </c>
    </row>
    <row r="133" spans="1:6" x14ac:dyDescent="0.4">
      <c r="A133" s="14">
        <f t="shared" si="2"/>
        <v>132</v>
      </c>
      <c r="B133" s="15">
        <v>46008</v>
      </c>
      <c r="C133" s="25" t="s">
        <v>2228</v>
      </c>
      <c r="D133" s="19" t="s">
        <v>2229</v>
      </c>
      <c r="F133" s="1" t="s">
        <v>628</v>
      </c>
    </row>
    <row r="134" spans="1:6" x14ac:dyDescent="0.4">
      <c r="A134" s="14">
        <f t="shared" si="2"/>
        <v>133</v>
      </c>
      <c r="B134" s="15">
        <v>46009</v>
      </c>
      <c r="C134" s="29" t="s">
        <v>2243</v>
      </c>
      <c r="D134" s="19" t="s">
        <v>2244</v>
      </c>
      <c r="F134" s="1" t="s">
        <v>627</v>
      </c>
    </row>
    <row r="135" spans="1:6" x14ac:dyDescent="0.4">
      <c r="A135" s="14">
        <f t="shared" si="2"/>
        <v>134</v>
      </c>
      <c r="B135" s="15">
        <v>46009</v>
      </c>
      <c r="C135" s="25" t="s">
        <v>2245</v>
      </c>
      <c r="D135" s="19" t="s">
        <v>2246</v>
      </c>
      <c r="F135" s="1" t="s">
        <v>628</v>
      </c>
    </row>
    <row r="136" spans="1:6" x14ac:dyDescent="0.4">
      <c r="A136" s="14">
        <f t="shared" si="2"/>
        <v>135</v>
      </c>
      <c r="B136" s="15">
        <v>46010</v>
      </c>
      <c r="C136" s="25" t="s">
        <v>2268</v>
      </c>
      <c r="D136" s="19" t="s">
        <v>2269</v>
      </c>
      <c r="F136" s="1" t="s">
        <v>628</v>
      </c>
    </row>
    <row r="137" spans="1:6" x14ac:dyDescent="0.4">
      <c r="A137" s="14">
        <f t="shared" si="2"/>
        <v>136</v>
      </c>
      <c r="B137" s="15">
        <v>46011</v>
      </c>
      <c r="C137" s="29" t="s">
        <v>2294</v>
      </c>
      <c r="D137" s="19" t="s">
        <v>2295</v>
      </c>
      <c r="F137" s="1" t="s">
        <v>627</v>
      </c>
    </row>
    <row r="138" spans="1:6" x14ac:dyDescent="0.4">
      <c r="A138" s="14">
        <f t="shared" si="2"/>
        <v>137</v>
      </c>
      <c r="B138" s="15">
        <v>46012</v>
      </c>
      <c r="C138" s="25" t="s">
        <v>2296</v>
      </c>
      <c r="D138" s="19" t="s">
        <v>2304</v>
      </c>
      <c r="F138" s="1" t="s">
        <v>628</v>
      </c>
    </row>
    <row r="139" spans="1:6" x14ac:dyDescent="0.4">
      <c r="A139" s="14">
        <f t="shared" si="2"/>
        <v>138</v>
      </c>
      <c r="B139" s="28">
        <v>46015</v>
      </c>
      <c r="C139" s="29" t="s">
        <v>2305</v>
      </c>
      <c r="D139" s="19" t="s">
        <v>2306</v>
      </c>
      <c r="F139" s="1" t="s">
        <v>627</v>
      </c>
    </row>
    <row r="140" spans="1:6" x14ac:dyDescent="0.4">
      <c r="A140" s="14">
        <f t="shared" si="2"/>
        <v>139</v>
      </c>
      <c r="B140" s="15">
        <v>46016</v>
      </c>
      <c r="C140" s="29" t="s">
        <v>2307</v>
      </c>
      <c r="D140" s="19" t="s">
        <v>2308</v>
      </c>
      <c r="F140" s="1" t="s">
        <v>627</v>
      </c>
    </row>
    <row r="141" spans="1:6" x14ac:dyDescent="0.4">
      <c r="A141" s="14">
        <f t="shared" si="2"/>
        <v>140</v>
      </c>
      <c r="B141" s="15">
        <v>46016</v>
      </c>
      <c r="C141" s="25" t="s">
        <v>2309</v>
      </c>
      <c r="D141" s="19" t="s">
        <v>2310</v>
      </c>
      <c r="F141" s="1" t="s">
        <v>628</v>
      </c>
    </row>
    <row r="142" spans="1:6" x14ac:dyDescent="0.4">
      <c r="A142" s="14">
        <f t="shared" si="2"/>
        <v>141</v>
      </c>
      <c r="B142" s="15">
        <v>46017</v>
      </c>
      <c r="C142" s="25" t="s">
        <v>2328</v>
      </c>
      <c r="D142" s="19" t="s">
        <v>2329</v>
      </c>
      <c r="F142" s="1" t="s">
        <v>628</v>
      </c>
    </row>
    <row r="143" spans="1:6" x14ac:dyDescent="0.4">
      <c r="A143" s="14">
        <f t="shared" si="2"/>
        <v>142</v>
      </c>
      <c r="B143" s="15">
        <v>46018</v>
      </c>
      <c r="C143" s="25" t="s">
        <v>2345</v>
      </c>
      <c r="D143" s="19" t="s">
        <v>2346</v>
      </c>
      <c r="F143" s="1" t="s">
        <v>628</v>
      </c>
    </row>
    <row r="144" spans="1:6" x14ac:dyDescent="0.4">
      <c r="A144" s="14">
        <f t="shared" si="2"/>
        <v>143</v>
      </c>
      <c r="B144" s="15">
        <v>46019</v>
      </c>
      <c r="C144" s="29" t="s">
        <v>2358</v>
      </c>
      <c r="D144" s="19" t="s">
        <v>2359</v>
      </c>
      <c r="F144" s="1" t="s">
        <v>627</v>
      </c>
    </row>
    <row r="145" spans="1:6" ht="31.5" x14ac:dyDescent="0.4">
      <c r="A145" s="14">
        <f t="shared" si="2"/>
        <v>144</v>
      </c>
      <c r="B145" s="15">
        <v>46019</v>
      </c>
      <c r="C145" s="25" t="s">
        <v>2361</v>
      </c>
      <c r="D145" s="19" t="s">
        <v>2362</v>
      </c>
      <c r="F145" s="1" t="s">
        <v>628</v>
      </c>
    </row>
    <row r="146" spans="1:6" x14ac:dyDescent="0.4">
      <c r="A146" s="14">
        <f t="shared" si="2"/>
        <v>145</v>
      </c>
      <c r="B146" s="28">
        <v>46021</v>
      </c>
      <c r="C146" s="29" t="s">
        <v>2360</v>
      </c>
      <c r="D146" s="19" t="s">
        <v>2363</v>
      </c>
      <c r="F146" s="1" t="s">
        <v>627</v>
      </c>
    </row>
    <row r="147" spans="1:6" x14ac:dyDescent="0.4">
      <c r="A147" s="14">
        <f t="shared" si="2"/>
        <v>146</v>
      </c>
      <c r="B147" s="15">
        <v>46026</v>
      </c>
      <c r="C147" s="25" t="s">
        <v>2373</v>
      </c>
      <c r="D147" s="19" t="s">
        <v>2374</v>
      </c>
      <c r="F147" s="1" t="s">
        <v>627</v>
      </c>
    </row>
    <row r="148" spans="1:6" x14ac:dyDescent="0.4">
      <c r="A148" s="14">
        <f t="shared" si="2"/>
        <v>147</v>
      </c>
      <c r="B148" s="15">
        <v>46029</v>
      </c>
      <c r="C148" s="25" t="s">
        <v>2375</v>
      </c>
      <c r="D148" s="19" t="s">
        <v>2376</v>
      </c>
      <c r="F148" s="1" t="s">
        <v>628</v>
      </c>
    </row>
    <row r="149" spans="1:6" x14ac:dyDescent="0.4">
      <c r="A149" s="14">
        <f t="shared" si="2"/>
        <v>148</v>
      </c>
      <c r="B149" s="15">
        <v>46030</v>
      </c>
      <c r="C149" s="25" t="s">
        <v>2397</v>
      </c>
      <c r="D149" s="19" t="s">
        <v>2398</v>
      </c>
      <c r="F149" s="1" t="s">
        <v>628</v>
      </c>
    </row>
    <row r="150" spans="1:6" ht="18.75" x14ac:dyDescent="0.4">
      <c r="A150" s="14">
        <f t="shared" si="2"/>
        <v>149</v>
      </c>
      <c r="B150" s="15">
        <v>46031</v>
      </c>
      <c r="C150" s="25" t="s">
        <v>2404</v>
      </c>
      <c r="D150" s="31" t="s">
        <v>2405</v>
      </c>
      <c r="F150" s="1" t="s">
        <v>627</v>
      </c>
    </row>
    <row r="151" spans="1:6" ht="18.75" x14ac:dyDescent="0.4">
      <c r="A151" s="14">
        <f t="shared" si="2"/>
        <v>150</v>
      </c>
      <c r="B151" s="15">
        <v>46032</v>
      </c>
      <c r="C151" s="25" t="s">
        <v>2414</v>
      </c>
      <c r="D151" s="31" t="s">
        <v>2415</v>
      </c>
      <c r="F151" s="1" t="s">
        <v>627</v>
      </c>
    </row>
    <row r="152" spans="1:6" ht="18.75" x14ac:dyDescent="0.4">
      <c r="A152" s="14">
        <f t="shared" si="2"/>
        <v>151</v>
      </c>
      <c r="B152" s="15">
        <v>46033</v>
      </c>
      <c r="C152" s="25" t="s">
        <v>2416</v>
      </c>
      <c r="D152" s="31" t="s">
        <v>2417</v>
      </c>
      <c r="F152" s="1" t="s">
        <v>628</v>
      </c>
    </row>
    <row r="153" spans="1:6" ht="18.75" x14ac:dyDescent="0.4">
      <c r="A153" s="14">
        <f t="shared" si="2"/>
        <v>152</v>
      </c>
      <c r="B153" s="15">
        <v>46035</v>
      </c>
      <c r="C153" s="25" t="s">
        <v>2441</v>
      </c>
      <c r="D153" s="31" t="s">
        <v>2442</v>
      </c>
      <c r="F153" s="1" t="s">
        <v>627</v>
      </c>
    </row>
    <row r="154" spans="1:6" ht="18.75" x14ac:dyDescent="0.4">
      <c r="A154" s="14">
        <f t="shared" si="2"/>
        <v>153</v>
      </c>
      <c r="B154" s="15">
        <v>46036</v>
      </c>
      <c r="C154" s="25" t="s">
        <v>2443</v>
      </c>
      <c r="D154" s="31" t="s">
        <v>2444</v>
      </c>
      <c r="F154" s="1" t="s">
        <v>629</v>
      </c>
    </row>
    <row r="155" spans="1:6" ht="18.75" x14ac:dyDescent="0.4">
      <c r="A155" s="14">
        <f t="shared" si="2"/>
        <v>154</v>
      </c>
      <c r="B155" s="15">
        <v>46037</v>
      </c>
      <c r="C155" s="25" t="s">
        <v>2469</v>
      </c>
      <c r="D155" s="31" t="s">
        <v>2470</v>
      </c>
      <c r="F155" s="1" t="s">
        <v>628</v>
      </c>
    </row>
    <row r="156" spans="1:6" x14ac:dyDescent="0.4">
      <c r="A156" s="14">
        <f t="shared" si="2"/>
        <v>155</v>
      </c>
      <c r="B156" s="14"/>
      <c r="C156" s="25"/>
      <c r="D156" s="14"/>
    </row>
    <row r="157" spans="1:6" x14ac:dyDescent="0.4">
      <c r="A157" s="14">
        <f t="shared" si="2"/>
        <v>156</v>
      </c>
      <c r="B157" s="14"/>
      <c r="C157" s="25"/>
      <c r="D157" s="14"/>
    </row>
    <row r="158" spans="1:6" x14ac:dyDescent="0.4">
      <c r="A158" s="14">
        <f t="shared" si="2"/>
        <v>157</v>
      </c>
      <c r="B158" s="14"/>
      <c r="C158" s="25"/>
      <c r="D158" s="14"/>
    </row>
    <row r="159" spans="1:6" x14ac:dyDescent="0.4">
      <c r="A159" s="14">
        <f t="shared" si="2"/>
        <v>158</v>
      </c>
      <c r="B159" s="14"/>
      <c r="C159" s="25"/>
      <c r="D159" s="14"/>
    </row>
    <row r="160" spans="1:6" x14ac:dyDescent="0.4">
      <c r="A160" s="14">
        <f t="shared" si="2"/>
        <v>159</v>
      </c>
      <c r="B160" s="14"/>
      <c r="C160" s="25"/>
      <c r="D160" s="14"/>
    </row>
    <row r="161" spans="1:4" x14ac:dyDescent="0.4">
      <c r="A161" s="14">
        <f t="shared" si="2"/>
        <v>160</v>
      </c>
      <c r="B161" s="14"/>
      <c r="C161" s="25"/>
      <c r="D161" s="14"/>
    </row>
    <row r="162" spans="1:4" x14ac:dyDescent="0.4">
      <c r="A162" s="14">
        <f t="shared" si="2"/>
        <v>161</v>
      </c>
      <c r="B162" s="14"/>
      <c r="C162" s="25"/>
      <c r="D162" s="14"/>
    </row>
    <row r="163" spans="1:4" x14ac:dyDescent="0.4">
      <c r="A163" s="14">
        <f t="shared" si="2"/>
        <v>162</v>
      </c>
      <c r="B163" s="14"/>
      <c r="C163" s="25"/>
      <c r="D163" s="14"/>
    </row>
    <row r="164" spans="1:4" x14ac:dyDescent="0.4">
      <c r="A164" s="14">
        <f t="shared" si="2"/>
        <v>163</v>
      </c>
      <c r="B164" s="14"/>
      <c r="C164" s="25"/>
      <c r="D164" s="14"/>
    </row>
    <row r="165" spans="1:4" x14ac:dyDescent="0.4">
      <c r="A165" s="14">
        <f t="shared" si="2"/>
        <v>164</v>
      </c>
      <c r="B165" s="14"/>
      <c r="C165" s="25"/>
      <c r="D165" s="14"/>
    </row>
    <row r="166" spans="1:4" x14ac:dyDescent="0.4">
      <c r="A166" s="14">
        <f t="shared" si="2"/>
        <v>165</v>
      </c>
      <c r="B166" s="14"/>
      <c r="C166" s="25"/>
      <c r="D166" s="14"/>
    </row>
    <row r="167" spans="1:4" x14ac:dyDescent="0.4">
      <c r="A167" s="14">
        <f t="shared" si="2"/>
        <v>166</v>
      </c>
      <c r="B167" s="14"/>
      <c r="C167" s="25"/>
      <c r="D167" s="14"/>
    </row>
    <row r="168" spans="1:4" x14ac:dyDescent="0.4">
      <c r="A168" s="14">
        <f t="shared" si="2"/>
        <v>167</v>
      </c>
      <c r="B168" s="14"/>
      <c r="C168" s="25"/>
      <c r="D168" s="14"/>
    </row>
    <row r="169" spans="1:4" x14ac:dyDescent="0.4">
      <c r="A169" s="14">
        <f t="shared" si="2"/>
        <v>168</v>
      </c>
      <c r="B169" s="14"/>
      <c r="C169" s="25"/>
      <c r="D169" s="14"/>
    </row>
    <row r="170" spans="1:4" x14ac:dyDescent="0.4">
      <c r="A170" s="14">
        <f t="shared" si="2"/>
        <v>169</v>
      </c>
      <c r="B170" s="14"/>
      <c r="C170" s="25"/>
      <c r="D170" s="14"/>
    </row>
    <row r="171" spans="1:4" x14ac:dyDescent="0.4">
      <c r="A171" s="14">
        <f t="shared" si="2"/>
        <v>170</v>
      </c>
      <c r="B171" s="14"/>
      <c r="C171" s="25"/>
      <c r="D171" s="14"/>
    </row>
    <row r="172" spans="1:4" x14ac:dyDescent="0.4">
      <c r="A172" s="14">
        <f t="shared" si="2"/>
        <v>171</v>
      </c>
      <c r="B172" s="14"/>
      <c r="C172" s="25"/>
      <c r="D172" s="14"/>
    </row>
    <row r="173" spans="1:4" x14ac:dyDescent="0.4">
      <c r="A173" s="14">
        <f t="shared" si="2"/>
        <v>172</v>
      </c>
      <c r="B173" s="14"/>
      <c r="C173" s="25"/>
      <c r="D173" s="14"/>
    </row>
    <row r="174" spans="1:4" x14ac:dyDescent="0.4">
      <c r="A174" s="14">
        <f t="shared" si="2"/>
        <v>173</v>
      </c>
      <c r="B174" s="14"/>
      <c r="C174" s="25"/>
      <c r="D174" s="14"/>
    </row>
    <row r="175" spans="1:4" x14ac:dyDescent="0.4">
      <c r="A175" s="14">
        <f t="shared" si="2"/>
        <v>174</v>
      </c>
      <c r="B175" s="14"/>
      <c r="C175" s="25"/>
      <c r="D175" s="14"/>
    </row>
    <row r="176" spans="1:4" x14ac:dyDescent="0.4">
      <c r="A176" s="14">
        <f t="shared" si="2"/>
        <v>175</v>
      </c>
      <c r="B176" s="14"/>
      <c r="C176" s="25"/>
      <c r="D176" s="14"/>
    </row>
    <row r="177" spans="1:4" x14ac:dyDescent="0.4">
      <c r="A177" s="14">
        <f t="shared" si="2"/>
        <v>176</v>
      </c>
      <c r="B177" s="14"/>
      <c r="C177" s="25"/>
      <c r="D177" s="14"/>
    </row>
    <row r="178" spans="1:4" x14ac:dyDescent="0.4">
      <c r="A178" s="14">
        <f t="shared" si="2"/>
        <v>177</v>
      </c>
      <c r="B178" s="14"/>
      <c r="C178" s="25"/>
      <c r="D178" s="14"/>
    </row>
    <row r="179" spans="1:4" x14ac:dyDescent="0.4">
      <c r="A179" s="14">
        <f t="shared" si="2"/>
        <v>178</v>
      </c>
      <c r="B179" s="14"/>
      <c r="C179" s="25"/>
      <c r="D179" s="14"/>
    </row>
    <row r="180" spans="1:4" x14ac:dyDescent="0.4">
      <c r="A180" s="14">
        <f t="shared" si="2"/>
        <v>179</v>
      </c>
      <c r="B180" s="14"/>
      <c r="C180" s="25"/>
      <c r="D180" s="14"/>
    </row>
    <row r="181" spans="1:4" x14ac:dyDescent="0.4">
      <c r="A181" s="14">
        <f t="shared" si="2"/>
        <v>180</v>
      </c>
      <c r="B181" s="14"/>
      <c r="C181" s="25"/>
      <c r="D181" s="14"/>
    </row>
    <row r="182" spans="1:4" x14ac:dyDescent="0.4">
      <c r="A182" s="14">
        <f t="shared" si="2"/>
        <v>181</v>
      </c>
      <c r="B182" s="14"/>
      <c r="C182" s="25"/>
      <c r="D182" s="14"/>
    </row>
    <row r="183" spans="1:4" x14ac:dyDescent="0.4">
      <c r="A183" s="14">
        <f t="shared" si="2"/>
        <v>182</v>
      </c>
      <c r="B183" s="14"/>
      <c r="C183" s="25"/>
      <c r="D183" s="14"/>
    </row>
    <row r="184" spans="1:4" x14ac:dyDescent="0.4">
      <c r="A184" s="14">
        <f t="shared" si="2"/>
        <v>183</v>
      </c>
      <c r="B184" s="14"/>
      <c r="C184" s="25"/>
      <c r="D184" s="14"/>
    </row>
    <row r="185" spans="1:4" x14ac:dyDescent="0.4">
      <c r="A185" s="14">
        <f t="shared" si="2"/>
        <v>184</v>
      </c>
      <c r="B185" s="14"/>
      <c r="C185" s="25"/>
      <c r="D185" s="14"/>
    </row>
    <row r="186" spans="1:4" x14ac:dyDescent="0.4">
      <c r="A186" s="14">
        <f t="shared" si="2"/>
        <v>185</v>
      </c>
      <c r="B186" s="14"/>
      <c r="C186" s="25"/>
      <c r="D186" s="14"/>
    </row>
    <row r="187" spans="1:4" x14ac:dyDescent="0.4">
      <c r="A187" s="14">
        <f t="shared" si="2"/>
        <v>186</v>
      </c>
      <c r="B187" s="14"/>
      <c r="C187" s="25"/>
      <c r="D187" s="14"/>
    </row>
    <row r="188" spans="1:4" x14ac:dyDescent="0.4">
      <c r="A188" s="14">
        <f t="shared" si="2"/>
        <v>187</v>
      </c>
      <c r="B188" s="14"/>
      <c r="C188" s="25"/>
      <c r="D188" s="14"/>
    </row>
    <row r="189" spans="1:4" x14ac:dyDescent="0.4">
      <c r="A189" s="14">
        <f t="shared" si="2"/>
        <v>188</v>
      </c>
      <c r="B189" s="14"/>
      <c r="C189" s="25"/>
      <c r="D189" s="14"/>
    </row>
    <row r="190" spans="1:4" x14ac:dyDescent="0.4">
      <c r="A190" s="14">
        <f t="shared" si="2"/>
        <v>189</v>
      </c>
      <c r="B190" s="14"/>
      <c r="C190" s="25"/>
      <c r="D190" s="14"/>
    </row>
    <row r="191" spans="1:4" x14ac:dyDescent="0.4">
      <c r="A191" s="14">
        <f t="shared" si="2"/>
        <v>190</v>
      </c>
      <c r="B191" s="14"/>
      <c r="C191" s="25"/>
      <c r="D191" s="14"/>
    </row>
    <row r="192" spans="1:4" x14ac:dyDescent="0.4">
      <c r="A192" s="14">
        <f t="shared" si="2"/>
        <v>191</v>
      </c>
      <c r="B192" s="14"/>
      <c r="C192" s="25"/>
      <c r="D192" s="14"/>
    </row>
    <row r="193" spans="1:4" x14ac:dyDescent="0.4">
      <c r="A193" s="14">
        <f t="shared" si="2"/>
        <v>192</v>
      </c>
      <c r="B193" s="14"/>
      <c r="C193" s="25"/>
      <c r="D193" s="14"/>
    </row>
    <row r="194" spans="1:4" x14ac:dyDescent="0.4">
      <c r="A194" s="14">
        <f t="shared" si="2"/>
        <v>193</v>
      </c>
      <c r="B194" s="14"/>
      <c r="C194" s="25"/>
      <c r="D194" s="14"/>
    </row>
    <row r="195" spans="1:4" x14ac:dyDescent="0.4">
      <c r="A195" s="14">
        <f t="shared" ref="A195:A201" si="3">ROW()-1</f>
        <v>194</v>
      </c>
      <c r="B195" s="14"/>
      <c r="C195" s="25"/>
      <c r="D195" s="14"/>
    </row>
    <row r="196" spans="1:4" x14ac:dyDescent="0.4">
      <c r="A196" s="14">
        <f t="shared" si="3"/>
        <v>195</v>
      </c>
      <c r="B196" s="14"/>
      <c r="C196" s="25"/>
      <c r="D196" s="14"/>
    </row>
    <row r="197" spans="1:4" x14ac:dyDescent="0.4">
      <c r="A197" s="14">
        <f t="shared" si="3"/>
        <v>196</v>
      </c>
      <c r="B197" s="14"/>
      <c r="C197" s="25"/>
      <c r="D197" s="14"/>
    </row>
    <row r="198" spans="1:4" x14ac:dyDescent="0.4">
      <c r="A198" s="14">
        <f t="shared" si="3"/>
        <v>197</v>
      </c>
      <c r="B198" s="14"/>
      <c r="C198" s="25"/>
      <c r="D198" s="14"/>
    </row>
    <row r="199" spans="1:4" x14ac:dyDescent="0.4">
      <c r="A199" s="14">
        <f t="shared" si="3"/>
        <v>198</v>
      </c>
      <c r="B199" s="14"/>
      <c r="C199" s="25"/>
      <c r="D199" s="14"/>
    </row>
    <row r="200" spans="1:4" x14ac:dyDescent="0.4">
      <c r="A200" s="14">
        <f t="shared" si="3"/>
        <v>199</v>
      </c>
      <c r="B200" s="14"/>
      <c r="C200" s="25"/>
      <c r="D200" s="14"/>
    </row>
    <row r="201" spans="1:4" x14ac:dyDescent="0.4">
      <c r="A201" s="14">
        <f t="shared" si="3"/>
        <v>200</v>
      </c>
      <c r="B201" s="14"/>
      <c r="C201" s="25"/>
      <c r="D201" s="14"/>
    </row>
  </sheetData>
  <autoFilter ref="A1:F16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  <hyperlink ref="D125" r:id="rId124" xr:uid="{51653F5C-E2E0-43D4-903D-9213272AF0F2}"/>
    <hyperlink ref="D126" r:id="rId125" xr:uid="{B0D7FA67-57B1-4A4F-83F0-357E60CD72FF}"/>
    <hyperlink ref="D127" r:id="rId126" xr:uid="{25246C23-ADE2-4370-9D2B-7CC21BCF2257}"/>
    <hyperlink ref="D128" r:id="rId127" xr:uid="{1386682D-90D7-4317-A6BE-7BBFFA52CBEF}"/>
    <hyperlink ref="D129" r:id="rId128" xr:uid="{18285BB0-577D-49B5-A32D-E5C7CBAF692E}"/>
    <hyperlink ref="D130" r:id="rId129" xr:uid="{DEE99C14-74BC-441B-B2D1-0E6E78BCBEA8}"/>
    <hyperlink ref="D131" r:id="rId130" xr:uid="{488A132C-B0AF-43D7-BE73-5AD54F34F003}"/>
    <hyperlink ref="D132" r:id="rId131" xr:uid="{E3978D23-4D03-49E6-BCE9-2734E7621738}"/>
    <hyperlink ref="D133" r:id="rId132" xr:uid="{03C57F93-1EFA-4FFA-BFC5-D1B3A13E5B46}"/>
    <hyperlink ref="D134" r:id="rId133" xr:uid="{75E548E5-82D6-4B2C-88E6-618E49FCAEA4}"/>
    <hyperlink ref="D135" r:id="rId134" xr:uid="{0FB22C23-8EE1-4A1A-AA12-C5559F4130C3}"/>
    <hyperlink ref="D136" r:id="rId135" xr:uid="{DB36148C-062F-4AC6-BB22-9DBE20B3D3D6}"/>
    <hyperlink ref="D137" r:id="rId136" xr:uid="{4E1FACE8-0F8D-41BA-B6EC-389E9428D438}"/>
    <hyperlink ref="D138" r:id="rId137" xr:uid="{DFA34231-673B-41A8-BDC9-BFA127E5BDA9}"/>
    <hyperlink ref="D139" r:id="rId138" xr:uid="{63396F28-74D3-49F2-9191-5589251D5332}"/>
    <hyperlink ref="D140" r:id="rId139" xr:uid="{8479B9C0-30FE-496D-B5B4-61B7DF381061}"/>
    <hyperlink ref="D141" r:id="rId140" xr:uid="{76462A95-D2B1-4F0C-BEE6-C8CEEFE204AC}"/>
    <hyperlink ref="D142" r:id="rId141" xr:uid="{6675AFC2-C766-4753-8CC6-92B863BBEAA2}"/>
    <hyperlink ref="D143" r:id="rId142" xr:uid="{D23682F8-3F6E-4FD2-93AE-8B3C388797EE}"/>
    <hyperlink ref="D144" r:id="rId143" xr:uid="{0CB59F1D-A4BF-416D-B8F8-3616350CD1E2}"/>
    <hyperlink ref="D145" r:id="rId144" xr:uid="{ED346E33-71CA-49A6-8687-778224D80A08}"/>
    <hyperlink ref="D146" r:id="rId145" xr:uid="{9978D53E-FC38-4B9A-8DAE-2705E1DD7F89}"/>
    <hyperlink ref="D147" r:id="rId146" xr:uid="{729E1DA2-922A-4F61-8C4B-C6643C6F6C66}"/>
    <hyperlink ref="D148" r:id="rId147" xr:uid="{F108337A-668F-4DBE-B5F8-55618D3C3E1E}"/>
    <hyperlink ref="D149" r:id="rId148" xr:uid="{761AF7B4-200F-48AB-8BD5-DE27F30B0194}"/>
    <hyperlink ref="D150" r:id="rId149" xr:uid="{C5DE4647-4417-4386-AFD7-64A8B3AAF28C}"/>
    <hyperlink ref="D151" r:id="rId150" xr:uid="{56A10DD2-7F91-4739-A64D-E79CDFE814E7}"/>
    <hyperlink ref="D152" r:id="rId151" xr:uid="{8653A927-BB8F-433D-A62B-B58326997E2E}"/>
    <hyperlink ref="D153" r:id="rId152" xr:uid="{ABEDC85A-98A9-4C27-B1B8-13EFBC29EB86}"/>
    <hyperlink ref="D154" r:id="rId153" xr:uid="{816F7237-02CC-423E-A706-F7C64B4DFD51}"/>
    <hyperlink ref="D155" r:id="rId154" xr:uid="{38F68D24-EB3B-4609-A9D7-55198A25E54E}"/>
  </hyperlinks>
  <pageMargins left="0.7" right="0.7" top="0.75" bottom="0.75" header="0.3" footer="0.3"/>
  <pageSetup paperSize="9" orientation="portrait" r:id="rId15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201"/>
  <sheetViews>
    <sheetView zoomScaleNormal="100" workbookViewId="0">
      <pane xSplit="1" ySplit="1" topLeftCell="B1164" activePane="bottomRight" state="frozen"/>
      <selection pane="topRight" activeCell="B1" sqref="B1"/>
      <selection pane="bottomLeft" activeCell="A2" sqref="A2"/>
      <selection pane="bottomRight" activeCell="C1166" sqref="C1166:C1183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1218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1367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1368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1223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1368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1368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1368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1221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1771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1225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1219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1230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1224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1220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1219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1219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1219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1216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1218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1531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1217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1225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1219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1219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1222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1418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1371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1372</v>
      </c>
      <c r="D506" s="14" t="s">
        <v>541</v>
      </c>
      <c r="E506" s="14" t="s">
        <v>1385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1373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1374</v>
      </c>
      <c r="D508" s="14" t="s">
        <v>174</v>
      </c>
      <c r="E508" s="14" t="s">
        <v>1385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1375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1376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1377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1378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1379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1380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1381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1382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1383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1384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1399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1400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1401</v>
      </c>
      <c r="D521" s="14" t="s">
        <v>242</v>
      </c>
      <c r="E521" s="14" t="s">
        <v>1385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1402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1403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1404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1405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1392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1406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1407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1408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1409</v>
      </c>
      <c r="D530" s="14" t="s">
        <v>1393</v>
      </c>
      <c r="E530" s="14" t="s">
        <v>1394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1410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1395</v>
      </c>
      <c r="E532" s="14" t="s">
        <v>1396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1411</v>
      </c>
      <c r="D533" s="14" t="s">
        <v>1397</v>
      </c>
      <c r="E533" s="14" t="s">
        <v>1418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1412</v>
      </c>
      <c r="D534" s="14" t="s">
        <v>1398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1413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1423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1424</v>
      </c>
      <c r="D537" s="14" t="s">
        <v>1425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1426</v>
      </c>
      <c r="D538" s="14" t="s">
        <v>1427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1428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1429</v>
      </c>
      <c r="D540" s="14" t="s">
        <v>1430</v>
      </c>
      <c r="E540" s="14" t="s">
        <v>1431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1432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1433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1434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1435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1440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1441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1442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1443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1444</v>
      </c>
      <c r="D549" s="14" t="s">
        <v>1445</v>
      </c>
      <c r="E549" s="14" t="s">
        <v>1446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1447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1448</v>
      </c>
      <c r="D551" s="14" t="s">
        <v>1449</v>
      </c>
      <c r="E551" s="14" t="s">
        <v>1450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1451</v>
      </c>
      <c r="D552" s="14" t="s">
        <v>1452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1453</v>
      </c>
      <c r="D553" s="14" t="s">
        <v>1454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1455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1456</v>
      </c>
      <c r="D555" s="14" t="s">
        <v>1457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1460</v>
      </c>
      <c r="D556" s="14" t="s">
        <v>1461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1465</v>
      </c>
      <c r="D557" s="14" t="s">
        <v>1466</v>
      </c>
      <c r="E557" s="14" t="s">
        <v>1485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1467</v>
      </c>
      <c r="D558" s="14" t="s">
        <v>1468</v>
      </c>
      <c r="E558" s="14" t="s">
        <v>1469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1470</v>
      </c>
      <c r="D559" s="14" t="s">
        <v>1471</v>
      </c>
      <c r="E559" s="14" t="s">
        <v>1472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1473</v>
      </c>
      <c r="D560" s="14" t="s">
        <v>1474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1475</v>
      </c>
      <c r="D561" s="14" t="s">
        <v>1476</v>
      </c>
      <c r="E561" s="14" t="s">
        <v>1477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1478</v>
      </c>
      <c r="D562" s="14" t="s">
        <v>1479</v>
      </c>
      <c r="E562" s="14" t="s">
        <v>1480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1481</v>
      </c>
      <c r="D563" s="14" t="s">
        <v>1484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1482</v>
      </c>
      <c r="D564" s="14" t="s">
        <v>1483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1493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1494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1495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1783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1496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1497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1784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1498</v>
      </c>
      <c r="D572" s="14" t="s">
        <v>1499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1500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1507</v>
      </c>
      <c r="D574" s="14" t="s">
        <v>1508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1509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1510</v>
      </c>
      <c r="D576" s="14" t="s">
        <v>1511</v>
      </c>
      <c r="E576" s="14" t="s">
        <v>1512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1513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1514</v>
      </c>
      <c r="D578" s="14" t="s">
        <v>1515</v>
      </c>
      <c r="E578" s="14" t="s">
        <v>1516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1517</v>
      </c>
      <c r="D579" s="14" t="s">
        <v>1518</v>
      </c>
      <c r="E579" s="14" t="s">
        <v>1519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1520</v>
      </c>
      <c r="D580" s="14" t="s">
        <v>1521</v>
      </c>
      <c r="E580" s="14" t="s">
        <v>1522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1523</v>
      </c>
      <c r="D581" s="14" t="s">
        <v>1524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1525</v>
      </c>
      <c r="D582" s="14" t="s">
        <v>1526</v>
      </c>
      <c r="E582" s="14" t="s">
        <v>1531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1527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1528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1529</v>
      </c>
      <c r="D585" s="14" t="s">
        <v>1466</v>
      </c>
      <c r="E585" s="14" t="s">
        <v>1530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1537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1538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1539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1540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1541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1542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1543</v>
      </c>
      <c r="D593" s="14" t="s">
        <v>1544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1545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1546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1547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1548</v>
      </c>
      <c r="D597" s="14" t="s">
        <v>1549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1550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1553</v>
      </c>
      <c r="D600" s="14" t="s">
        <v>1554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18" t="s">
        <v>1555</v>
      </c>
      <c r="D601" s="14" t="s">
        <v>1454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18" t="s">
        <v>1556</v>
      </c>
      <c r="D602" s="14" t="s">
        <v>1557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18" t="s">
        <v>1558</v>
      </c>
      <c r="D603" s="14" t="s">
        <v>1452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18" t="s">
        <v>1559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18" t="s">
        <v>1560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18" t="s">
        <v>1561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18" t="s">
        <v>1562</v>
      </c>
      <c r="D607" s="14" t="s">
        <v>1563</v>
      </c>
      <c r="E607" s="14" t="s">
        <v>1564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18" t="s">
        <v>1565</v>
      </c>
      <c r="D608" s="14" t="s">
        <v>1566</v>
      </c>
      <c r="E608" s="14" t="s">
        <v>1567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18" t="s">
        <v>1568</v>
      </c>
      <c r="D609" s="14" t="s">
        <v>1569</v>
      </c>
      <c r="E609" s="14" t="s">
        <v>1570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18" t="s">
        <v>1571</v>
      </c>
      <c r="D610" s="14" t="s">
        <v>1572</v>
      </c>
      <c r="E610" s="14" t="s">
        <v>1567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18" t="s">
        <v>1573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18" t="s">
        <v>1574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18" t="s">
        <v>1575</v>
      </c>
      <c r="D613" s="14" t="s">
        <v>1081</v>
      </c>
      <c r="E613" s="14" t="s">
        <v>1564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1576</v>
      </c>
      <c r="D614" s="14" t="s">
        <v>1577</v>
      </c>
      <c r="E614" s="14" t="s">
        <v>1564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1578</v>
      </c>
      <c r="D615" s="14" t="s">
        <v>1579</v>
      </c>
      <c r="E615" s="14" t="s">
        <v>1580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1581</v>
      </c>
      <c r="D616" s="14" t="s">
        <v>1483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1588</v>
      </c>
      <c r="D617" s="14" t="s">
        <v>1479</v>
      </c>
      <c r="E617" s="14" t="s">
        <v>1480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1589</v>
      </c>
      <c r="D618" s="14" t="s">
        <v>1590</v>
      </c>
      <c r="E618" s="14" t="s">
        <v>1591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1592</v>
      </c>
      <c r="D619" s="14" t="s">
        <v>1474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1593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1594</v>
      </c>
      <c r="D621" s="14" t="s">
        <v>1595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1596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1597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1598</v>
      </c>
      <c r="D624" s="14" t="s">
        <v>1599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1600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1601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1602</v>
      </c>
      <c r="D627" s="14" t="s">
        <v>1603</v>
      </c>
      <c r="E627" s="14" t="s">
        <v>1604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1605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1608</v>
      </c>
      <c r="D629" s="14" t="s">
        <v>1609</v>
      </c>
      <c r="E629" s="14" t="s">
        <v>1610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1611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1612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1613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1614</v>
      </c>
      <c r="D634" s="14" t="s">
        <v>1615</v>
      </c>
      <c r="E634" s="14" t="s">
        <v>1616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1617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1618</v>
      </c>
      <c r="D636" s="14" t="s">
        <v>1619</v>
      </c>
      <c r="E636" s="14" t="s">
        <v>1620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1621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1624</v>
      </c>
      <c r="D638" s="14" t="s">
        <v>1468</v>
      </c>
      <c r="E638" s="14" t="s">
        <v>1469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1625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1626</v>
      </c>
      <c r="D640" s="14" t="s">
        <v>1627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1628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1629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1630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1631</v>
      </c>
      <c r="D644" s="14" t="s">
        <v>1632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1633</v>
      </c>
      <c r="D645" s="14" t="s">
        <v>1634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1635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1636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1637</v>
      </c>
      <c r="D648" s="14" t="s">
        <v>1638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1639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1640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1641</v>
      </c>
      <c r="D651" s="14" t="s">
        <v>1599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1571</v>
      </c>
      <c r="D652" s="14" t="s">
        <v>1518</v>
      </c>
      <c r="E652" s="14" t="s">
        <v>1519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1642</v>
      </c>
      <c r="D653" s="14" t="s">
        <v>1643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1644</v>
      </c>
      <c r="D654" s="14" t="s">
        <v>1645</v>
      </c>
      <c r="E654" s="14" t="s">
        <v>1646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1647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1648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1649</v>
      </c>
      <c r="D657" s="14" t="s">
        <v>1650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1651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1652</v>
      </c>
      <c r="D659" s="14" t="s">
        <v>1653</v>
      </c>
      <c r="E659" s="14" t="s">
        <v>1654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1655</v>
      </c>
      <c r="D660" s="14" t="s">
        <v>1656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1657</v>
      </c>
      <c r="D661" s="14" t="s">
        <v>1658</v>
      </c>
      <c r="E661" s="14" t="s">
        <v>1659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1660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1661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1662</v>
      </c>
      <c r="D664" s="14" t="s">
        <v>1663</v>
      </c>
      <c r="E664" s="14" t="s">
        <v>1664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1665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1666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1667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1668</v>
      </c>
      <c r="D668" s="14" t="s">
        <v>1669</v>
      </c>
      <c r="E668" s="14" t="s">
        <v>1670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1671</v>
      </c>
      <c r="D669" s="14" t="s">
        <v>1672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1673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1674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1675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1676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1677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1678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1679</v>
      </c>
      <c r="D676" s="14" t="s">
        <v>1680</v>
      </c>
      <c r="E676" s="14" t="s">
        <v>1681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1682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1683</v>
      </c>
      <c r="D678" s="14" t="s">
        <v>1684</v>
      </c>
      <c r="E678" s="14" t="s">
        <v>1685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1686</v>
      </c>
      <c r="D679" s="14" t="s">
        <v>1687</v>
      </c>
      <c r="E679" s="14" t="s">
        <v>1688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1689</v>
      </c>
      <c r="D680" s="14" t="s">
        <v>1690</v>
      </c>
      <c r="E680" s="14" t="s">
        <v>1691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1692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1693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1694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1695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1696</v>
      </c>
      <c r="D685" s="14" t="s">
        <v>1697</v>
      </c>
      <c r="E685" s="14" t="s">
        <v>1698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1699</v>
      </c>
      <c r="D686" s="14" t="s">
        <v>1557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1700</v>
      </c>
      <c r="D687" s="14" t="s">
        <v>1483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1705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1706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1707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1708</v>
      </c>
      <c r="D691" s="14" t="s">
        <v>1709</v>
      </c>
      <c r="E691" s="14" t="s">
        <v>1710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1711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1712</v>
      </c>
      <c r="D693" s="14" t="s">
        <v>1754</v>
      </c>
      <c r="E693" s="14" t="s">
        <v>1713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1755</v>
      </c>
      <c r="E694" s="14" t="s">
        <v>1713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1714</v>
      </c>
      <c r="D695" s="14" t="s">
        <v>1715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1716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1717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1598</v>
      </c>
      <c r="D698" s="14" t="s">
        <v>1718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1719</v>
      </c>
      <c r="D699" s="14" t="s">
        <v>1720</v>
      </c>
      <c r="E699" s="14" t="s">
        <v>1721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1722</v>
      </c>
      <c r="D700" s="14" t="s">
        <v>1723</v>
      </c>
      <c r="E700" s="14" t="s">
        <v>1721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1724</v>
      </c>
      <c r="D701" s="14" t="s">
        <v>1725</v>
      </c>
      <c r="E701" s="14" t="s">
        <v>1721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1726</v>
      </c>
      <c r="D702" s="14" t="s">
        <v>1727</v>
      </c>
      <c r="E702" s="14" t="s">
        <v>1721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1728</v>
      </c>
      <c r="D703" s="14" t="s">
        <v>1729</v>
      </c>
      <c r="E703" s="14" t="s">
        <v>1730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1731</v>
      </c>
      <c r="D704" s="14" t="s">
        <v>1732</v>
      </c>
      <c r="E704" s="14" t="s">
        <v>1733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1734</v>
      </c>
      <c r="D705" s="14" t="s">
        <v>1735</v>
      </c>
      <c r="E705" s="14" t="s">
        <v>1736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1737</v>
      </c>
      <c r="D706" s="14" t="s">
        <v>1738</v>
      </c>
      <c r="E706" s="14" t="s">
        <v>1736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1739</v>
      </c>
      <c r="D707" s="14" t="s">
        <v>1740</v>
      </c>
      <c r="E707" s="14" t="s">
        <v>1741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1742</v>
      </c>
      <c r="D708" s="14" t="s">
        <v>1743</v>
      </c>
      <c r="E708" s="14" t="s">
        <v>1741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1744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1745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1665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1746</v>
      </c>
      <c r="D712" s="14" t="s">
        <v>1747</v>
      </c>
      <c r="E712" s="14" t="s">
        <v>1748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1749</v>
      </c>
      <c r="D713" s="14" t="s">
        <v>1750</v>
      </c>
      <c r="E713" s="14" t="s">
        <v>1751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1756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1757</v>
      </c>
      <c r="D715" s="14" t="s">
        <v>1758</v>
      </c>
      <c r="E715" s="14" t="s">
        <v>1759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1760</v>
      </c>
      <c r="D716" s="14" t="s">
        <v>1761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1762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1763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1764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1765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1766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1767</v>
      </c>
      <c r="D723" s="14" t="s">
        <v>1768</v>
      </c>
      <c r="E723" s="14" t="s">
        <v>1769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1789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1790</v>
      </c>
      <c r="D725" s="14" t="s">
        <v>59</v>
      </c>
      <c r="E725" s="14" t="s">
        <v>1791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1792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1793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1794</v>
      </c>
      <c r="D728" s="14" t="s">
        <v>1398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1795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1796</v>
      </c>
      <c r="D730" s="14" t="s">
        <v>1554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1797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1798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1799</v>
      </c>
      <c r="E734" s="14" t="s">
        <v>1800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1807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1808</v>
      </c>
      <c r="D736" s="14" t="s">
        <v>1081</v>
      </c>
      <c r="E736" s="14" t="s">
        <v>1809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1810</v>
      </c>
      <c r="D737" s="14" t="s">
        <v>1811</v>
      </c>
      <c r="E737" s="14" t="s">
        <v>1812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1813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1814</v>
      </c>
      <c r="D739" s="14" t="s">
        <v>1427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1815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1816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1817</v>
      </c>
      <c r="D743" s="14" t="s">
        <v>589</v>
      </c>
      <c r="E743" s="14" t="s">
        <v>1818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1819</v>
      </c>
      <c r="D744" s="14" t="s">
        <v>1820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1821</v>
      </c>
      <c r="D745" s="14" t="s">
        <v>1822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1823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1824</v>
      </c>
      <c r="D747" s="14" t="s">
        <v>1825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1826</v>
      </c>
      <c r="D748" s="14" t="s">
        <v>256</v>
      </c>
      <c r="E748" s="14" t="s">
        <v>1827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1828</v>
      </c>
      <c r="D749" s="14" t="s">
        <v>1829</v>
      </c>
      <c r="E749" s="14" t="s">
        <v>1830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1789</v>
      </c>
      <c r="D750" s="14" t="s">
        <v>1833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1834</v>
      </c>
      <c r="D751" s="14" t="s">
        <v>1835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1836</v>
      </c>
      <c r="D752" s="14" t="s">
        <v>1837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1838</v>
      </c>
      <c r="D753" s="14" t="s">
        <v>1839</v>
      </c>
      <c r="E753" s="14" t="s">
        <v>1840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1841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1842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1843</v>
      </c>
      <c r="D756" s="14" t="s">
        <v>1844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1845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1846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1847</v>
      </c>
      <c r="D759" s="14" t="s">
        <v>1848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1849</v>
      </c>
      <c r="D760" s="14" t="s">
        <v>1850</v>
      </c>
      <c r="E760" s="14" t="s">
        <v>1851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1852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1853</v>
      </c>
      <c r="D762" s="14" t="s">
        <v>1854</v>
      </c>
      <c r="E762" s="14" t="s">
        <v>1855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1856</v>
      </c>
      <c r="D763" s="14" t="s">
        <v>1857</v>
      </c>
      <c r="E763" s="14" t="s">
        <v>1855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1858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1859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1860</v>
      </c>
      <c r="D766" s="14" t="s">
        <v>1861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1862</v>
      </c>
      <c r="D767" s="14" t="s">
        <v>1863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1864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1865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1868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1869</v>
      </c>
      <c r="D771" s="14" t="s">
        <v>710</v>
      </c>
      <c r="E771" s="14" t="s">
        <v>1977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1870</v>
      </c>
      <c r="D772" s="14" t="s">
        <v>1474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1871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1872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1873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1874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1875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1876</v>
      </c>
      <c r="D778" s="14" t="s">
        <v>1483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1877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1878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1885</v>
      </c>
      <c r="D781" s="14" t="s">
        <v>1886</v>
      </c>
      <c r="E781" s="14" t="s">
        <v>1887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1888</v>
      </c>
      <c r="D782" s="14" t="s">
        <v>1889</v>
      </c>
      <c r="E782" s="14" t="s">
        <v>1887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1890</v>
      </c>
      <c r="D783" s="14" t="s">
        <v>1891</v>
      </c>
      <c r="E783" s="14" t="s">
        <v>1892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1893</v>
      </c>
      <c r="D784" s="14" t="s">
        <v>1894</v>
      </c>
      <c r="E784" s="14" t="s">
        <v>1895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1896</v>
      </c>
      <c r="D785" s="14" t="s">
        <v>1897</v>
      </c>
      <c r="E785" s="14" t="s">
        <v>1898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1899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1900</v>
      </c>
      <c r="E787" s="14" t="s">
        <v>1721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1901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1902</v>
      </c>
      <c r="D789" s="14" t="s">
        <v>1903</v>
      </c>
      <c r="E789" s="14" t="s">
        <v>1904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1907</v>
      </c>
      <c r="D790" s="14" t="s">
        <v>1908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1896</v>
      </c>
      <c r="D791" s="14" t="s">
        <v>1909</v>
      </c>
      <c r="E791" s="14" t="s">
        <v>1910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1911</v>
      </c>
      <c r="D792" s="14" t="s">
        <v>1912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1913</v>
      </c>
      <c r="D793" s="14" t="s">
        <v>1914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1915</v>
      </c>
      <c r="D794" s="14" t="s">
        <v>1916</v>
      </c>
      <c r="E794" s="14" t="s">
        <v>1917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1918</v>
      </c>
      <c r="D795" s="14" t="s">
        <v>1919</v>
      </c>
      <c r="E795" s="14" t="s">
        <v>1920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1921</v>
      </c>
      <c r="D796" s="14" t="s">
        <v>1922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1927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1928</v>
      </c>
      <c r="D798" s="14" t="s">
        <v>1650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1929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1930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1931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1932</v>
      </c>
      <c r="D802" s="14" t="s">
        <v>1445</v>
      </c>
      <c r="E802" s="14" t="s">
        <v>1446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1933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1934</v>
      </c>
      <c r="D805" s="14" t="s">
        <v>1825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1935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1936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1937</v>
      </c>
      <c r="D808" s="14" t="s">
        <v>1566</v>
      </c>
      <c r="E808" s="14" t="s">
        <v>1567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1938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1939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1940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1941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1942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1943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1954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1955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1956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1957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1958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1959</v>
      </c>
      <c r="D820" s="14" t="s">
        <v>1960</v>
      </c>
      <c r="E820" s="14" t="s">
        <v>1961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1962</v>
      </c>
      <c r="D821" s="14" t="s">
        <v>1398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1963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1964</v>
      </c>
      <c r="D823" s="14" t="s">
        <v>1912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1965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1966</v>
      </c>
      <c r="D825" s="14" t="s">
        <v>1967</v>
      </c>
      <c r="E825" s="14" t="s">
        <v>1968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1969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1970</v>
      </c>
      <c r="D827" s="14" t="s">
        <v>1971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1972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1982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1626</v>
      </c>
      <c r="D830" s="14" t="s">
        <v>1474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1983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1984</v>
      </c>
      <c r="D832" s="14" t="s">
        <v>1985</v>
      </c>
      <c r="E832" s="14" t="s">
        <v>1986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1987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1988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1989</v>
      </c>
      <c r="D835" s="14" t="s">
        <v>1990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1991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1992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1993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1994</v>
      </c>
      <c r="D839" s="14" t="s">
        <v>1995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2000</v>
      </c>
      <c r="D840" s="14" t="s">
        <v>1452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2001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2002</v>
      </c>
      <c r="D842" s="23" t="s">
        <v>2011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2003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2004</v>
      </c>
      <c r="D844" s="14" t="s">
        <v>2005</v>
      </c>
      <c r="E844" s="14" t="s">
        <v>2012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2006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2007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2008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2009</v>
      </c>
      <c r="D848" s="14" t="s">
        <v>2010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2015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2016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2017</v>
      </c>
      <c r="D851" s="14" t="s">
        <v>2018</v>
      </c>
      <c r="E851" s="14" t="s">
        <v>2019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2020</v>
      </c>
      <c r="D852" s="14" t="s">
        <v>2021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2022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2023</v>
      </c>
      <c r="D854" s="14" t="s">
        <v>2024</v>
      </c>
      <c r="E854" s="14" t="s">
        <v>2025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2026</v>
      </c>
      <c r="D855" s="14" t="s">
        <v>1684</v>
      </c>
      <c r="E855" s="14" t="s">
        <v>1685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2027</v>
      </c>
      <c r="D856" s="14" t="s">
        <v>1697</v>
      </c>
      <c r="E856" s="14" t="s">
        <v>1698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2028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2029</v>
      </c>
      <c r="D858" s="14" t="s">
        <v>2030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2031</v>
      </c>
      <c r="D859" s="14" t="s">
        <v>1638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2032</v>
      </c>
      <c r="E860" s="14" t="s">
        <v>2033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2034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2035</v>
      </c>
      <c r="D863" s="14" t="s">
        <v>1709</v>
      </c>
      <c r="E863" s="14" t="s">
        <v>1710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2036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2039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2040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2041</v>
      </c>
      <c r="D867" s="14" t="s">
        <v>2042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2043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1631</v>
      </c>
      <c r="D869" s="14" t="s">
        <v>1825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2044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1837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2045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2046</v>
      </c>
      <c r="D874" s="14" t="s">
        <v>59</v>
      </c>
      <c r="E874" s="14" t="s">
        <v>1791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2047</v>
      </c>
      <c r="D875" s="14" t="s">
        <v>1081</v>
      </c>
      <c r="E875" s="14" t="s">
        <v>1920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1563</v>
      </c>
      <c r="E876" s="14" t="s">
        <v>1920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2048</v>
      </c>
      <c r="D877" s="14" t="s">
        <v>2010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2049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2050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2053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2054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2055</v>
      </c>
      <c r="D882" s="14" t="s">
        <v>1554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2056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2057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2058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2061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1625</v>
      </c>
      <c r="D889" s="14" t="s">
        <v>2062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2063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2064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2065</v>
      </c>
      <c r="D892" s="14" t="s">
        <v>2066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2067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2068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2069</v>
      </c>
      <c r="D897" s="14" t="s">
        <v>2070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2071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2072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2075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2076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2077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2078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2079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2080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2081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2082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2083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2084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2085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2086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2087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2088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2089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2090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2091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2092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2093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2094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2095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2096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2097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2098</v>
      </c>
      <c r="D924" s="14" t="s">
        <v>675</v>
      </c>
      <c r="E924" s="14" t="s">
        <v>2099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2100</v>
      </c>
      <c r="D925" s="14" t="s">
        <v>2101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2102</v>
      </c>
      <c r="D926" s="14" t="s">
        <v>1483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2105</v>
      </c>
      <c r="D927" s="14" t="s">
        <v>2106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2001</v>
      </c>
      <c r="D928" s="14" t="s">
        <v>1452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2107</v>
      </c>
      <c r="D929" s="14" t="s">
        <v>1454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2108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2109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2110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2111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2112</v>
      </c>
      <c r="D934" s="14" t="s">
        <v>2010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2113</v>
      </c>
      <c r="D935" s="14" t="s">
        <v>2114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2115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2116</v>
      </c>
      <c r="D937" s="14" t="s">
        <v>735</v>
      </c>
      <c r="E937" s="14" t="s">
        <v>2117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>
        <v>124</v>
      </c>
      <c r="C938" s="21" t="s">
        <v>2120</v>
      </c>
      <c r="D938" s="14" t="s">
        <v>2121</v>
      </c>
      <c r="E938" s="14" t="s">
        <v>730</v>
      </c>
      <c r="G938" s="1" t="str">
        <f>_xlfn.XLOOKUP(B938,M_YT_LIVE!A:A,M_YT_LIVE!F:F,"ERROR",0,1)</f>
        <v>弾き語り</v>
      </c>
      <c r="W938" s="13">
        <f t="shared" si="44"/>
        <v>336</v>
      </c>
      <c r="X938" s="12" t="str">
        <f>_xlfn.XLOOKUP($B938,M_YT_LIVE!$A:$A,M_YT_LIVE!$D:$D)</f>
        <v>https://www.youtube.com/live/DCABx3RjHlk?si=2kjkclC-U2asQNr-</v>
      </c>
      <c r="Z938" s="16" t="str">
        <f>HYPERLINK($X938&amp;SUBSTITUTE(マスタ!$C$3,"XXXXX",$W938))</f>
        <v>https://www.youtube.com/live/DCABx3RjHlk?si=2kjkclC-U2asQNr-&amp;t=336s</v>
      </c>
      <c r="AA938" s="12" t="str">
        <f t="shared" si="45"/>
        <v>Mrs. GREEN APPLEアウフヘーベン</v>
      </c>
    </row>
    <row r="939" spans="1:27" x14ac:dyDescent="0.4">
      <c r="A939" s="14">
        <f t="shared" si="46"/>
        <v>938</v>
      </c>
      <c r="B939" s="14">
        <v>124</v>
      </c>
      <c r="C939" s="21" t="s">
        <v>2122</v>
      </c>
      <c r="D939" s="14" t="s">
        <v>2123</v>
      </c>
      <c r="E939" s="14" t="s">
        <v>730</v>
      </c>
      <c r="G939" s="1" t="str">
        <f>_xlfn.XLOOKUP(B939,M_YT_LIVE!A:A,M_YT_LIVE!F:F,"ERROR",0,1)</f>
        <v>弾き語り</v>
      </c>
      <c r="W939" s="13">
        <f t="shared" si="44"/>
        <v>774</v>
      </c>
      <c r="X939" s="12" t="str">
        <f>_xlfn.XLOOKUP($B939,M_YT_LIVE!$A:$A,M_YT_LIVE!$D:$D)</f>
        <v>https://www.youtube.com/live/DCABx3RjHlk?si=2kjkclC-U2asQNr-</v>
      </c>
      <c r="Z939" s="16" t="str">
        <f>HYPERLINK($X939&amp;SUBSTITUTE(マスタ!$C$3,"XXXXX",$W939))</f>
        <v>https://www.youtube.com/live/DCABx3RjHlk?si=2kjkclC-U2asQNr-&amp;t=774s</v>
      </c>
      <c r="AA939" s="12" t="str">
        <f t="shared" si="45"/>
        <v>Mrs. GREEN APPLEインフェルノ</v>
      </c>
    </row>
    <row r="940" spans="1:27" x14ac:dyDescent="0.4">
      <c r="A940" s="14">
        <f t="shared" si="46"/>
        <v>939</v>
      </c>
      <c r="B940" s="14">
        <v>124</v>
      </c>
      <c r="C940" s="21" t="s">
        <v>2124</v>
      </c>
      <c r="D940" s="14" t="s">
        <v>2125</v>
      </c>
      <c r="E940" s="14" t="s">
        <v>730</v>
      </c>
      <c r="G940" s="1" t="str">
        <f>_xlfn.XLOOKUP(B940,M_YT_LIVE!A:A,M_YT_LIVE!F:F,"ERROR",0,1)</f>
        <v>弾き語り</v>
      </c>
      <c r="W940" s="13">
        <f t="shared" si="44"/>
        <v>1281</v>
      </c>
      <c r="X940" s="12" t="str">
        <f>_xlfn.XLOOKUP($B940,M_YT_LIVE!$A:$A,M_YT_LIVE!$D:$D)</f>
        <v>https://www.youtube.com/live/DCABx3RjHlk?si=2kjkclC-U2asQNr-</v>
      </c>
      <c r="Z940" s="16" t="str">
        <f>HYPERLINK($X940&amp;SUBSTITUTE(マスタ!$C$3,"XXXXX",$W940))</f>
        <v>https://www.youtube.com/live/DCABx3RjHlk?si=2kjkclC-U2asQNr-&amp;t=1281s</v>
      </c>
      <c r="AA940" s="12" t="str">
        <f t="shared" si="45"/>
        <v>Mrs. GREEN APPLESpeaking</v>
      </c>
    </row>
    <row r="941" spans="1:27" x14ac:dyDescent="0.4">
      <c r="A941" s="14">
        <f t="shared" si="46"/>
        <v>940</v>
      </c>
      <c r="B941" s="14">
        <v>124</v>
      </c>
      <c r="C941" s="21" t="s">
        <v>1473</v>
      </c>
      <c r="D941" s="14" t="s">
        <v>2126</v>
      </c>
      <c r="E941" s="14" t="s">
        <v>730</v>
      </c>
      <c r="G941" s="1" t="str">
        <f>_xlfn.XLOOKUP(B941,M_YT_LIVE!A:A,M_YT_LIVE!F:F,"ERROR",0,1)</f>
        <v>弾き語り</v>
      </c>
      <c r="W941" s="13">
        <f t="shared" si="44"/>
        <v>1790</v>
      </c>
      <c r="X941" s="12" t="str">
        <f>_xlfn.XLOOKUP($B941,M_YT_LIVE!$A:$A,M_YT_LIVE!$D:$D)</f>
        <v>https://www.youtube.com/live/DCABx3RjHlk?si=2kjkclC-U2asQNr-</v>
      </c>
      <c r="Z941" s="16" t="str">
        <f>HYPERLINK($X941&amp;SUBSTITUTE(マスタ!$C$3,"XXXXX",$W941))</f>
        <v>https://www.youtube.com/live/DCABx3RjHlk?si=2kjkclC-U2asQNr-&amp;t=1790s</v>
      </c>
      <c r="AA941" s="12" t="str">
        <f t="shared" si="45"/>
        <v>Mrs. GREEN APPLEWanteD! WanteD!</v>
      </c>
    </row>
    <row r="942" spans="1:27" x14ac:dyDescent="0.4">
      <c r="A942" s="14">
        <f t="shared" si="46"/>
        <v>941</v>
      </c>
      <c r="B942" s="14">
        <v>124</v>
      </c>
      <c r="C942" s="21" t="s">
        <v>2127</v>
      </c>
      <c r="D942" s="14" t="s">
        <v>2128</v>
      </c>
      <c r="E942" s="14" t="s">
        <v>730</v>
      </c>
      <c r="G942" s="1" t="str">
        <f>_xlfn.XLOOKUP(B942,M_YT_LIVE!A:A,M_YT_LIVE!F:F,"ERROR",0,1)</f>
        <v>弾き語り</v>
      </c>
      <c r="W942" s="13">
        <f t="shared" si="44"/>
        <v>2137</v>
      </c>
      <c r="X942" s="12" t="str">
        <f>_xlfn.XLOOKUP($B942,M_YT_LIVE!$A:$A,M_YT_LIVE!$D:$D)</f>
        <v>https://www.youtube.com/live/DCABx3RjHlk?si=2kjkclC-U2asQNr-</v>
      </c>
      <c r="Z942" s="16" t="str">
        <f>HYPERLINK($X942&amp;SUBSTITUTE(マスタ!$C$3,"XXXXX",$W942))</f>
        <v>https://www.youtube.com/live/DCABx3RjHlk?si=2kjkclC-U2asQNr-&amp;t=2137s</v>
      </c>
      <c r="AA942" s="12" t="str">
        <f t="shared" si="45"/>
        <v>Mrs. GREEN APPLE我逢人</v>
      </c>
    </row>
    <row r="943" spans="1:27" x14ac:dyDescent="0.4">
      <c r="A943" s="14">
        <f t="shared" si="46"/>
        <v>942</v>
      </c>
      <c r="B943" s="14">
        <v>124</v>
      </c>
      <c r="C943" s="21" t="s">
        <v>826</v>
      </c>
      <c r="D943" s="14" t="s">
        <v>2129</v>
      </c>
      <c r="E943" s="14" t="s">
        <v>730</v>
      </c>
      <c r="G943" s="1" t="str">
        <f>_xlfn.XLOOKUP(B943,M_YT_LIVE!A:A,M_YT_LIVE!F:F,"ERROR",0,1)</f>
        <v>弾き語り</v>
      </c>
      <c r="W943" s="13">
        <f t="shared" si="44"/>
        <v>2557</v>
      </c>
      <c r="X943" s="12" t="str">
        <f>_xlfn.XLOOKUP($B943,M_YT_LIVE!$A:$A,M_YT_LIVE!$D:$D)</f>
        <v>https://www.youtube.com/live/DCABx3RjHlk?si=2kjkclC-U2asQNr-</v>
      </c>
      <c r="Z943" s="16" t="str">
        <f>HYPERLINK($X943&amp;SUBSTITUTE(マスタ!$C$3,"XXXXX",$W943))</f>
        <v>https://www.youtube.com/live/DCABx3RjHlk?si=2kjkclC-U2asQNr-&amp;t=2557s</v>
      </c>
      <c r="AA943" s="12" t="str">
        <f t="shared" si="45"/>
        <v>Mrs. GREEN APPLEケセラセラ</v>
      </c>
    </row>
    <row r="944" spans="1:27" x14ac:dyDescent="0.4">
      <c r="A944" s="14">
        <f t="shared" si="46"/>
        <v>943</v>
      </c>
      <c r="B944" s="14">
        <v>124</v>
      </c>
      <c r="C944" s="21" t="s">
        <v>2130</v>
      </c>
      <c r="D944" s="14" t="s">
        <v>1476</v>
      </c>
      <c r="E944" s="14" t="s">
        <v>1477</v>
      </c>
      <c r="G944" s="1" t="str">
        <f>_xlfn.XLOOKUP(B944,M_YT_LIVE!A:A,M_YT_LIVE!F:F,"ERROR",0,1)</f>
        <v>弾き語り</v>
      </c>
      <c r="W944" s="13">
        <f t="shared" si="44"/>
        <v>2925</v>
      </c>
      <c r="X944" s="12" t="str">
        <f>_xlfn.XLOOKUP($B944,M_YT_LIVE!$A:$A,M_YT_LIVE!$D:$D)</f>
        <v>https://www.youtube.com/live/DCABx3RjHlk?si=2kjkclC-U2asQNr-</v>
      </c>
      <c r="Z944" s="16" t="str">
        <f>HYPERLINK($X944&amp;SUBSTITUTE(マスタ!$C$3,"XXXXX",$W944))</f>
        <v>https://www.youtube.com/live/DCABx3RjHlk?si=2kjkclC-U2asQNr-&amp;t=2925s</v>
      </c>
      <c r="AA944" s="12" t="str">
        <f t="shared" si="45"/>
        <v>Mrs. GREEN APPLE feat.井上苑子点描の唄</v>
      </c>
    </row>
    <row r="945" spans="1:27" x14ac:dyDescent="0.4">
      <c r="A945" s="14">
        <f t="shared" si="46"/>
        <v>944</v>
      </c>
      <c r="B945" s="14">
        <v>124</v>
      </c>
      <c r="C945" s="21" t="s">
        <v>2131</v>
      </c>
      <c r="D945" s="14" t="s">
        <v>1599</v>
      </c>
      <c r="E945" s="14" t="s">
        <v>730</v>
      </c>
      <c r="G945" s="1" t="str">
        <f>_xlfn.XLOOKUP(B945,M_YT_LIVE!A:A,M_YT_LIVE!F:F,"ERROR",0,1)</f>
        <v>弾き語り</v>
      </c>
      <c r="W945" s="13">
        <f t="shared" si="44"/>
        <v>3512</v>
      </c>
      <c r="X945" s="12" t="str">
        <f>_xlfn.XLOOKUP($B945,M_YT_LIVE!$A:$A,M_YT_LIVE!$D:$D)</f>
        <v>https://www.youtube.com/live/DCABx3RjHlk?si=2kjkclC-U2asQNr-</v>
      </c>
      <c r="Z945" s="16" t="str">
        <f>HYPERLINK($X945&amp;SUBSTITUTE(マスタ!$C$3,"XXXXX",$W945))</f>
        <v>https://www.youtube.com/live/DCABx3RjHlk?si=2kjkclC-U2asQNr-&amp;t=3512s</v>
      </c>
      <c r="AA945" s="12" t="str">
        <f t="shared" si="45"/>
        <v>Mrs. GREEN APPLEライラック</v>
      </c>
    </row>
    <row r="946" spans="1:27" x14ac:dyDescent="0.4">
      <c r="A946" s="14">
        <f t="shared" si="46"/>
        <v>945</v>
      </c>
      <c r="B946" s="14">
        <v>125</v>
      </c>
      <c r="C946" s="21" t="s">
        <v>2134</v>
      </c>
      <c r="D946" s="14" t="s">
        <v>140</v>
      </c>
      <c r="E946" s="14" t="s">
        <v>141</v>
      </c>
      <c r="G946" s="1" t="str">
        <f>_xlfn.XLOOKUP(B946,M_YT_LIVE!A:A,M_YT_LIVE!F:F,"ERROR",0,1)</f>
        <v>弾き語り</v>
      </c>
      <c r="W946" s="13">
        <f t="shared" si="44"/>
        <v>338</v>
      </c>
      <c r="X946" s="12" t="str">
        <f>_xlfn.XLOOKUP($B946,M_YT_LIVE!$A:$A,M_YT_LIVE!$D:$D)</f>
        <v>https://www.youtube.com/live/tbPnXY8S_GQ?si=8PkFk0wPDIc_uL_n</v>
      </c>
      <c r="Z946" s="16" t="str">
        <f>HYPERLINK($X946&amp;SUBSTITUTE(マスタ!$C$3,"XXXXX",$W946))</f>
        <v>https://www.youtube.com/live/tbPnXY8S_GQ?si=8PkFk0wPDIc_uL_n&amp;t=338s</v>
      </c>
      <c r="AA946" s="12" t="str">
        <f t="shared" si="45"/>
        <v>ヨルシカ靴の花火</v>
      </c>
    </row>
    <row r="947" spans="1:27" x14ac:dyDescent="0.4">
      <c r="A947" s="14">
        <f t="shared" si="46"/>
        <v>946</v>
      </c>
      <c r="B947" s="14">
        <v>125</v>
      </c>
      <c r="C947" s="21" t="s">
        <v>2135</v>
      </c>
      <c r="D947" s="14" t="s">
        <v>1912</v>
      </c>
      <c r="E947" s="14" t="s">
        <v>141</v>
      </c>
      <c r="G947" s="1" t="str">
        <f>_xlfn.XLOOKUP(B947,M_YT_LIVE!A:A,M_YT_LIVE!F:F,"ERROR",0,1)</f>
        <v>弾き語り</v>
      </c>
      <c r="W947" s="13">
        <f t="shared" si="44"/>
        <v>784</v>
      </c>
      <c r="X947" s="12" t="str">
        <f>_xlfn.XLOOKUP($B947,M_YT_LIVE!$A:$A,M_YT_LIVE!$D:$D)</f>
        <v>https://www.youtube.com/live/tbPnXY8S_GQ?si=8PkFk0wPDIc_uL_n</v>
      </c>
      <c r="Z947" s="16" t="str">
        <f>HYPERLINK($X947&amp;SUBSTITUTE(マスタ!$C$3,"XXXXX",$W947))</f>
        <v>https://www.youtube.com/live/tbPnXY8S_GQ?si=8PkFk0wPDIc_uL_n&amp;t=784s</v>
      </c>
      <c r="AA947" s="12" t="str">
        <f t="shared" si="45"/>
        <v>ヨルシカ忘れてください</v>
      </c>
    </row>
    <row r="948" spans="1:27" x14ac:dyDescent="0.4">
      <c r="A948" s="14">
        <f t="shared" si="46"/>
        <v>947</v>
      </c>
      <c r="B948" s="14">
        <v>125</v>
      </c>
      <c r="C948" s="21" t="s">
        <v>2136</v>
      </c>
      <c r="D948" s="14" t="s">
        <v>2137</v>
      </c>
      <c r="E948" s="14" t="s">
        <v>2138</v>
      </c>
      <c r="G948" s="1" t="str">
        <f>_xlfn.XLOOKUP(B948,M_YT_LIVE!A:A,M_YT_LIVE!F:F,"ERROR",0,1)</f>
        <v>弾き語り</v>
      </c>
      <c r="W948" s="13">
        <f t="shared" si="44"/>
        <v>1182</v>
      </c>
      <c r="X948" s="12" t="str">
        <f>_xlfn.XLOOKUP($B948,M_YT_LIVE!$A:$A,M_YT_LIVE!$D:$D)</f>
        <v>https://www.youtube.com/live/tbPnXY8S_GQ?si=8PkFk0wPDIc_uL_n</v>
      </c>
      <c r="Z948" s="16" t="str">
        <f>HYPERLINK($X948&amp;SUBSTITUTE(マスタ!$C$3,"XXXXX",$W948))</f>
        <v>https://www.youtube.com/live/tbPnXY8S_GQ?si=8PkFk0wPDIc_uL_n&amp;t=1182s</v>
      </c>
      <c r="AA948" s="12" t="str">
        <f t="shared" si="45"/>
        <v>buzzG feat.初音ミクGALLOWS BELL</v>
      </c>
    </row>
    <row r="949" spans="1:27" x14ac:dyDescent="0.4">
      <c r="A949" s="14">
        <f t="shared" si="46"/>
        <v>948</v>
      </c>
      <c r="B949" s="14">
        <v>125</v>
      </c>
      <c r="C949" s="21" t="s">
        <v>2139</v>
      </c>
      <c r="D949" s="14" t="s">
        <v>2140</v>
      </c>
      <c r="E949" s="14" t="s">
        <v>2141</v>
      </c>
      <c r="G949" s="1" t="str">
        <f>_xlfn.XLOOKUP(B949,M_YT_LIVE!A:A,M_YT_LIVE!F:F,"ERROR",0,1)</f>
        <v>弾き語り</v>
      </c>
      <c r="W949" s="13">
        <f t="shared" si="44"/>
        <v>1552.9999999999998</v>
      </c>
      <c r="X949" s="12" t="str">
        <f>_xlfn.XLOOKUP($B949,M_YT_LIVE!$A:$A,M_YT_LIVE!$D:$D)</f>
        <v>https://www.youtube.com/live/tbPnXY8S_GQ?si=8PkFk0wPDIc_uL_n</v>
      </c>
      <c r="Z949" s="16" t="str">
        <f>HYPERLINK($X949&amp;SUBSTITUTE(マスタ!$C$3,"XXXXX",$W949))</f>
        <v>https://www.youtube.com/live/tbPnXY8S_GQ?si=8PkFk0wPDIc_uL_n&amp;t=1553s</v>
      </c>
      <c r="AA949" s="12" t="str">
        <f t="shared" si="45"/>
        <v>BuzzG feat.GUMIワールド・ランプシェード</v>
      </c>
    </row>
    <row r="950" spans="1:27" x14ac:dyDescent="0.4">
      <c r="A950" s="14">
        <f t="shared" si="46"/>
        <v>949</v>
      </c>
      <c r="B950" s="14">
        <v>125</v>
      </c>
      <c r="C950" s="21" t="s">
        <v>2142</v>
      </c>
      <c r="D950" s="14" t="s">
        <v>131</v>
      </c>
      <c r="E950" s="14" t="s">
        <v>132</v>
      </c>
      <c r="G950" s="1" t="str">
        <f>_xlfn.XLOOKUP(B950,M_YT_LIVE!A:A,M_YT_LIVE!F:F,"ERROR",0,1)</f>
        <v>弾き語り</v>
      </c>
      <c r="W950" s="13">
        <f t="shared" si="44"/>
        <v>2002</v>
      </c>
      <c r="X950" s="12" t="str">
        <f>_xlfn.XLOOKUP($B950,M_YT_LIVE!$A:$A,M_YT_LIVE!$D:$D)</f>
        <v>https://www.youtube.com/live/tbPnXY8S_GQ?si=8PkFk0wPDIc_uL_n</v>
      </c>
      <c r="Z950" s="16" t="str">
        <f>HYPERLINK($X950&amp;SUBSTITUTE(マスタ!$C$3,"XXXXX",$W950))</f>
        <v>https://www.youtube.com/live/tbPnXY8S_GQ?si=8PkFk0wPDIc_uL_n&amp;t=2002s</v>
      </c>
      <c r="AA950" s="12" t="str">
        <f t="shared" si="45"/>
        <v>phatmans after schoolツキヨミ</v>
      </c>
    </row>
    <row r="951" spans="1:27" x14ac:dyDescent="0.4">
      <c r="A951" s="14">
        <f t="shared" si="46"/>
        <v>950</v>
      </c>
      <c r="B951" s="14">
        <v>125</v>
      </c>
      <c r="C951" s="21" t="s">
        <v>226</v>
      </c>
      <c r="D951" s="14" t="s">
        <v>1186</v>
      </c>
      <c r="E951" s="14" t="s">
        <v>1103</v>
      </c>
      <c r="G951" s="1" t="str">
        <f>_xlfn.XLOOKUP(B951,M_YT_LIVE!A:A,M_YT_LIVE!F:F,"ERROR",0,1)</f>
        <v>弾き語り</v>
      </c>
      <c r="W951" s="13">
        <f t="shared" si="44"/>
        <v>2522</v>
      </c>
      <c r="X951" s="12" t="str">
        <f>_xlfn.XLOOKUP($B951,M_YT_LIVE!$A:$A,M_YT_LIVE!$D:$D)</f>
        <v>https://www.youtube.com/live/tbPnXY8S_GQ?si=8PkFk0wPDIc_uL_n</v>
      </c>
      <c r="Z951" s="16" t="str">
        <f>HYPERLINK($X951&amp;SUBSTITUTE(マスタ!$C$3,"XXXXX",$W951))</f>
        <v>https://www.youtube.com/live/tbPnXY8S_GQ?si=8PkFk0wPDIc_uL_n&amp;t=2522s</v>
      </c>
      <c r="AA951" s="12" t="str">
        <f t="shared" si="45"/>
        <v>Galileo Galilei恋の寿命</v>
      </c>
    </row>
    <row r="952" spans="1:27" x14ac:dyDescent="0.4">
      <c r="A952" s="14">
        <f t="shared" si="46"/>
        <v>951</v>
      </c>
      <c r="B952" s="14">
        <v>125</v>
      </c>
      <c r="C952" s="21" t="s">
        <v>1497</v>
      </c>
      <c r="D952" s="14" t="s">
        <v>2143</v>
      </c>
      <c r="E952" s="14" t="s">
        <v>847</v>
      </c>
      <c r="G952" s="1" t="str">
        <f>_xlfn.XLOOKUP(B952,M_YT_LIVE!A:A,M_YT_LIVE!F:F,"ERROR",0,1)</f>
        <v>弾き語り</v>
      </c>
      <c r="W952" s="13">
        <f t="shared" si="44"/>
        <v>2957</v>
      </c>
      <c r="X952" s="12" t="str">
        <f>_xlfn.XLOOKUP($B952,M_YT_LIVE!$A:$A,M_YT_LIVE!$D:$D)</f>
        <v>https://www.youtube.com/live/tbPnXY8S_GQ?si=8PkFk0wPDIc_uL_n</v>
      </c>
      <c r="Z952" s="16" t="str">
        <f>HYPERLINK($X952&amp;SUBSTITUTE(マスタ!$C$3,"XXXXX",$W952))</f>
        <v>https://www.youtube.com/live/tbPnXY8S_GQ?si=8PkFk0wPDIc_uL_n&amp;t=2957s</v>
      </c>
      <c r="AA952" s="12" t="str">
        <f t="shared" si="45"/>
        <v>スキマスイッチアイスクリーム シンドローム</v>
      </c>
    </row>
    <row r="953" spans="1:27" x14ac:dyDescent="0.4">
      <c r="A953" s="14">
        <f t="shared" si="46"/>
        <v>952</v>
      </c>
      <c r="B953" s="14">
        <v>125</v>
      </c>
      <c r="C953" s="21" t="s">
        <v>1201</v>
      </c>
      <c r="D953" s="14" t="s">
        <v>222</v>
      </c>
      <c r="E953" s="14" t="s">
        <v>57</v>
      </c>
      <c r="G953" s="1" t="str">
        <f>_xlfn.XLOOKUP(B953,M_YT_LIVE!A:A,M_YT_LIVE!F:F,"ERROR",0,1)</f>
        <v>弾き語り</v>
      </c>
      <c r="W953" s="13">
        <f t="shared" si="44"/>
        <v>3394.9999999999995</v>
      </c>
      <c r="X953" s="12" t="str">
        <f>_xlfn.XLOOKUP($B953,M_YT_LIVE!$A:$A,M_YT_LIVE!$D:$D)</f>
        <v>https://www.youtube.com/live/tbPnXY8S_GQ?si=8PkFk0wPDIc_uL_n</v>
      </c>
      <c r="Z953" s="16" t="str">
        <f>HYPERLINK($X953&amp;SUBSTITUTE(マスタ!$C$3,"XXXXX",$W953))</f>
        <v>https://www.youtube.com/live/tbPnXY8S_GQ?si=8PkFk0wPDIc_uL_n&amp;t=3395s</v>
      </c>
      <c r="AA953" s="12" t="str">
        <f t="shared" si="45"/>
        <v>羊文学光るとき</v>
      </c>
    </row>
    <row r="954" spans="1:27" x14ac:dyDescent="0.4">
      <c r="A954" s="14">
        <f t="shared" si="46"/>
        <v>953</v>
      </c>
      <c r="B954" s="14">
        <v>125</v>
      </c>
      <c r="C954" s="21" t="s">
        <v>2144</v>
      </c>
      <c r="D954" s="14" t="s">
        <v>137</v>
      </c>
      <c r="E954" s="14" t="s">
        <v>138</v>
      </c>
      <c r="G954" s="1" t="str">
        <f>_xlfn.XLOOKUP(B954,M_YT_LIVE!A:A,M_YT_LIVE!F:F,"ERROR",0,1)</f>
        <v>弾き語り</v>
      </c>
      <c r="W954" s="13">
        <f t="shared" si="44"/>
        <v>3848</v>
      </c>
      <c r="X954" s="12" t="str">
        <f>_xlfn.XLOOKUP($B954,M_YT_LIVE!$A:$A,M_YT_LIVE!$D:$D)</f>
        <v>https://www.youtube.com/live/tbPnXY8S_GQ?si=8PkFk0wPDIc_uL_n</v>
      </c>
      <c r="Z954" s="16" t="str">
        <f>HYPERLINK($X954&amp;SUBSTITUTE(マスタ!$C$3,"XXXXX",$W954))</f>
        <v>https://www.youtube.com/live/tbPnXY8S_GQ?si=8PkFk0wPDIc_uL_n&amp;t=3848s</v>
      </c>
      <c r="AA954" s="12" t="str">
        <f t="shared" si="45"/>
        <v>ポルカドットスティングレイトゲめくスピカ</v>
      </c>
    </row>
    <row r="955" spans="1:27" x14ac:dyDescent="0.4">
      <c r="A955" s="14">
        <f t="shared" si="46"/>
        <v>954</v>
      </c>
      <c r="B955" s="14">
        <v>125</v>
      </c>
      <c r="C955" s="21" t="s">
        <v>2145</v>
      </c>
      <c r="D955" s="14" t="s">
        <v>1445</v>
      </c>
      <c r="E955" s="14" t="s">
        <v>1446</v>
      </c>
      <c r="G955" s="1" t="str">
        <f>_xlfn.XLOOKUP(B955,M_YT_LIVE!A:A,M_YT_LIVE!F:F,"ERROR",0,1)</f>
        <v>弾き語り</v>
      </c>
      <c r="W955" s="13">
        <f t="shared" si="44"/>
        <v>4266</v>
      </c>
      <c r="X955" s="12" t="str">
        <f>_xlfn.XLOOKUP($B955,M_YT_LIVE!$A:$A,M_YT_LIVE!$D:$D)</f>
        <v>https://www.youtube.com/live/tbPnXY8S_GQ?si=8PkFk0wPDIc_uL_n</v>
      </c>
      <c r="Z955" s="16" t="str">
        <f>HYPERLINK($X955&amp;SUBSTITUTE(マスタ!$C$3,"XXXXX",$W955))</f>
        <v>https://www.youtube.com/live/tbPnXY8S_GQ?si=8PkFk0wPDIc_uL_n&amp;t=4266s</v>
      </c>
      <c r="AA955" s="12" t="str">
        <f t="shared" si="45"/>
        <v>蝶々P feat.GUMI心做し</v>
      </c>
    </row>
    <row r="956" spans="1:27" x14ac:dyDescent="0.4">
      <c r="A956" s="14">
        <f t="shared" si="46"/>
        <v>955</v>
      </c>
      <c r="B956" s="14">
        <v>125</v>
      </c>
      <c r="C956" s="21" t="s">
        <v>2146</v>
      </c>
      <c r="D956" s="14" t="s">
        <v>146</v>
      </c>
      <c r="E956" s="14" t="s">
        <v>147</v>
      </c>
      <c r="G956" s="1" t="str">
        <f>_xlfn.XLOOKUP(B956,M_YT_LIVE!A:A,M_YT_LIVE!F:F,"ERROR",0,1)</f>
        <v>弾き語り</v>
      </c>
      <c r="W956" s="13">
        <f t="shared" si="44"/>
        <v>4684</v>
      </c>
      <c r="X956" s="12" t="str">
        <f>_xlfn.XLOOKUP($B956,M_YT_LIVE!$A:$A,M_YT_LIVE!$D:$D)</f>
        <v>https://www.youtube.com/live/tbPnXY8S_GQ?si=8PkFk0wPDIc_uL_n</v>
      </c>
      <c r="Z956" s="16" t="str">
        <f>HYPERLINK($X956&amp;SUBSTITUTE(マスタ!$C$3,"XXXXX",$W956))</f>
        <v>https://www.youtube.com/live/tbPnXY8S_GQ?si=8PkFk0wPDIc_uL_n&amp;t=4684s</v>
      </c>
      <c r="AA956" s="12" t="str">
        <f t="shared" si="45"/>
        <v>ジミーサムP feat.初音ミク＆巡音ルカ(コーラス)from Y to Y</v>
      </c>
    </row>
    <row r="957" spans="1:27" x14ac:dyDescent="0.4">
      <c r="A957" s="14">
        <f t="shared" si="46"/>
        <v>956</v>
      </c>
      <c r="B957" s="14">
        <v>125</v>
      </c>
      <c r="C957" s="21" t="s">
        <v>309</v>
      </c>
      <c r="D957" s="14" t="s">
        <v>643</v>
      </c>
      <c r="E957" s="14" t="s">
        <v>168</v>
      </c>
      <c r="G957" s="1" t="str">
        <f>_xlfn.XLOOKUP(B957,M_YT_LIVE!A:A,M_YT_LIVE!F:F,"ERROR",0,1)</f>
        <v>弾き語り</v>
      </c>
      <c r="W957" s="13">
        <f t="shared" si="44"/>
        <v>5252</v>
      </c>
      <c r="X957" s="12" t="str">
        <f>_xlfn.XLOOKUP($B957,M_YT_LIVE!$A:$A,M_YT_LIVE!$D:$D)</f>
        <v>https://www.youtube.com/live/tbPnXY8S_GQ?si=8PkFk0wPDIc_uL_n</v>
      </c>
      <c r="Z957" s="16" t="str">
        <f>HYPERLINK($X957&amp;SUBSTITUTE(マスタ!$C$3,"XXXXX",$W957))</f>
        <v>https://www.youtube.com/live/tbPnXY8S_GQ?si=8PkFk0wPDIc_uL_n&amp;t=5252s</v>
      </c>
      <c r="AA957" s="12" t="str">
        <f t="shared" si="45"/>
        <v>AimerRef:rain</v>
      </c>
    </row>
    <row r="958" spans="1:27" x14ac:dyDescent="0.4">
      <c r="A958" s="14">
        <f t="shared" si="46"/>
        <v>957</v>
      </c>
      <c r="B958" s="14">
        <v>125</v>
      </c>
      <c r="C958" s="21" t="s">
        <v>2147</v>
      </c>
      <c r="D958" s="14" t="s">
        <v>477</v>
      </c>
      <c r="E958" s="14" t="s">
        <v>478</v>
      </c>
      <c r="G958" s="1" t="str">
        <f>_xlfn.XLOOKUP(B958,M_YT_LIVE!A:A,M_YT_LIVE!F:F,"ERROR",0,1)</f>
        <v>弾き語り</v>
      </c>
      <c r="W958" s="13">
        <f t="shared" si="44"/>
        <v>5616</v>
      </c>
      <c r="X958" s="12" t="str">
        <f>_xlfn.XLOOKUP($B958,M_YT_LIVE!$A:$A,M_YT_LIVE!$D:$D)</f>
        <v>https://www.youtube.com/live/tbPnXY8S_GQ?si=8PkFk0wPDIc_uL_n</v>
      </c>
      <c r="Z958" s="16" t="str">
        <f>HYPERLINK($X958&amp;SUBSTITUTE(マスタ!$C$3,"XXXXX",$W958))</f>
        <v>https://www.youtube.com/live/tbPnXY8S_GQ?si=8PkFk0wPDIc_uL_n&amp;t=5616s</v>
      </c>
      <c r="AA958" s="12" t="str">
        <f t="shared" si="45"/>
        <v>煮ル果実 feat.可不ナイトルール</v>
      </c>
    </row>
    <row r="959" spans="1:27" x14ac:dyDescent="0.4">
      <c r="A959" s="14">
        <f t="shared" si="46"/>
        <v>958</v>
      </c>
      <c r="B959" s="14">
        <v>125</v>
      </c>
      <c r="C959" s="21" t="s">
        <v>2148</v>
      </c>
      <c r="D959" s="14" t="s">
        <v>224</v>
      </c>
      <c r="E959" s="14" t="s">
        <v>225</v>
      </c>
      <c r="G959" s="1" t="str">
        <f>_xlfn.XLOOKUP(B959,M_YT_LIVE!A:A,M_YT_LIVE!F:F,"ERROR",0,1)</f>
        <v>弾き語り</v>
      </c>
      <c r="W959" s="13">
        <f t="shared" si="44"/>
        <v>6038</v>
      </c>
      <c r="X959" s="12" t="str">
        <f>_xlfn.XLOOKUP($B959,M_YT_LIVE!$A:$A,M_YT_LIVE!$D:$D)</f>
        <v>https://www.youtube.com/live/tbPnXY8S_GQ?si=8PkFk0wPDIc_uL_n</v>
      </c>
      <c r="Z959" s="16" t="str">
        <f>HYPERLINK($X959&amp;SUBSTITUTE(マスタ!$C$3,"XXXXX",$W959))</f>
        <v>https://www.youtube.com/live/tbPnXY8S_GQ?si=8PkFk0wPDIc_uL_n&amp;t=6038s</v>
      </c>
      <c r="AA959" s="12" t="str">
        <f t="shared" si="45"/>
        <v>ryo(supercell) feat.初音ミクメルト</v>
      </c>
    </row>
    <row r="960" spans="1:27" x14ac:dyDescent="0.4">
      <c r="A960" s="14">
        <f t="shared" si="46"/>
        <v>959</v>
      </c>
      <c r="B960" s="14">
        <v>125</v>
      </c>
      <c r="C960" s="21" t="s">
        <v>2149</v>
      </c>
      <c r="D960" s="14" t="s">
        <v>80</v>
      </c>
      <c r="E960" s="14" t="s">
        <v>81</v>
      </c>
      <c r="G960" s="1" t="str">
        <f>_xlfn.XLOOKUP(B960,M_YT_LIVE!A:A,M_YT_LIVE!F:F,"ERROR",0,1)</f>
        <v>弾き語り</v>
      </c>
      <c r="W960" s="13">
        <f t="shared" si="44"/>
        <v>6491</v>
      </c>
      <c r="X960" s="12" t="str">
        <f>_xlfn.XLOOKUP($B960,M_YT_LIVE!$A:$A,M_YT_LIVE!$D:$D)</f>
        <v>https://www.youtube.com/live/tbPnXY8S_GQ?si=8PkFk0wPDIc_uL_n</v>
      </c>
      <c r="Z960" s="16" t="str">
        <f>HYPERLINK($X960&amp;SUBSTITUTE(マスタ!$C$3,"XXXXX",$W960))</f>
        <v>https://www.youtube.com/live/tbPnXY8S_GQ?si=8PkFk0wPDIc_uL_n&amp;t=6491s</v>
      </c>
      <c r="AA960" s="12" t="str">
        <f t="shared" si="45"/>
        <v>じん(自然の敵P) feat.IA想像フォレスト</v>
      </c>
    </row>
    <row r="961" spans="1:27" x14ac:dyDescent="0.4">
      <c r="A961" s="14">
        <f t="shared" si="46"/>
        <v>960</v>
      </c>
      <c r="B961" s="14">
        <v>126</v>
      </c>
      <c r="C961" s="21" t="s">
        <v>2152</v>
      </c>
      <c r="D961" s="14" t="s">
        <v>155</v>
      </c>
      <c r="E961" s="14" t="s">
        <v>156</v>
      </c>
      <c r="G961" s="1" t="str">
        <f>_xlfn.XLOOKUP(B961,M_YT_LIVE!A:A,M_YT_LIVE!F:F,"ERROR",0,1)</f>
        <v>弾き語り</v>
      </c>
      <c r="W961" s="13">
        <f t="shared" si="44"/>
        <v>408</v>
      </c>
      <c r="X961" s="12" t="str">
        <f>_xlfn.XLOOKUP($B961,M_YT_LIVE!$A:$A,M_YT_LIVE!$D:$D)</f>
        <v>https://www.youtube.com/live/3sDTyQ9hCDg?si=pXcH4WBWdJUgF-zq</v>
      </c>
      <c r="Z961" s="16" t="str">
        <f>HYPERLINK($X961&amp;SUBSTITUTE(マスタ!$C$3,"XXXXX",$W961))</f>
        <v>https://www.youtube.com/live/3sDTyQ9hCDg?si=pXcH4WBWdJUgF-zq&amp;t=408s</v>
      </c>
      <c r="AA961" s="12" t="str">
        <f t="shared" si="45"/>
        <v>DECO*27 feat.GUMI弱虫モンブラン</v>
      </c>
    </row>
    <row r="962" spans="1:27" x14ac:dyDescent="0.4">
      <c r="A962" s="14">
        <f t="shared" si="46"/>
        <v>961</v>
      </c>
      <c r="B962" s="14">
        <v>126</v>
      </c>
      <c r="C962" s="21" t="s">
        <v>2153</v>
      </c>
      <c r="D962" s="14" t="s">
        <v>1508</v>
      </c>
      <c r="E962" s="14" t="s">
        <v>112</v>
      </c>
      <c r="G962" s="1" t="str">
        <f>_xlfn.XLOOKUP(B962,M_YT_LIVE!A:A,M_YT_LIVE!F:F,"ERROR",0,1)</f>
        <v>弾き語り</v>
      </c>
      <c r="W962" s="13">
        <f t="shared" si="44"/>
        <v>975</v>
      </c>
      <c r="X962" s="12" t="str">
        <f>_xlfn.XLOOKUP($B962,M_YT_LIVE!$A:$A,M_YT_LIVE!$D:$D)</f>
        <v>https://www.youtube.com/live/3sDTyQ9hCDg?si=pXcH4WBWdJUgF-zq</v>
      </c>
      <c r="Z962" s="16" t="str">
        <f>HYPERLINK($X962&amp;SUBSTITUTE(マスタ!$C$3,"XXXXX",$W962))</f>
        <v>https://www.youtube.com/live/3sDTyQ9hCDg?si=pXcH4WBWdJUgF-zq&amp;t=975s</v>
      </c>
      <c r="AA962" s="12" t="str">
        <f t="shared" si="45"/>
        <v>DECO*27 feat.初音ミクリバーシブル・キャンペーン</v>
      </c>
    </row>
    <row r="963" spans="1:27" x14ac:dyDescent="0.4">
      <c r="A963" s="14">
        <f t="shared" si="46"/>
        <v>962</v>
      </c>
      <c r="B963" s="14">
        <v>126</v>
      </c>
      <c r="C963" s="21" t="s">
        <v>2154</v>
      </c>
      <c r="D963" s="14" t="s">
        <v>2155</v>
      </c>
      <c r="E963" s="14" t="s">
        <v>2156</v>
      </c>
      <c r="G963" s="1" t="str">
        <f>_xlfn.XLOOKUP(B963,M_YT_LIVE!A:A,M_YT_LIVE!F:F,"ERROR",0,1)</f>
        <v>弾き語り</v>
      </c>
      <c r="W963" s="13">
        <f t="shared" si="44"/>
        <v>1395.0000000000002</v>
      </c>
      <c r="X963" s="12" t="str">
        <f>_xlfn.XLOOKUP($B963,M_YT_LIVE!$A:$A,M_YT_LIVE!$D:$D)</f>
        <v>https://www.youtube.com/live/3sDTyQ9hCDg?si=pXcH4WBWdJUgF-zq</v>
      </c>
      <c r="Z963" s="16" t="str">
        <f>HYPERLINK($X963&amp;SUBSTITUTE(マスタ!$C$3,"XXXXX",$W963))</f>
        <v>https://www.youtube.com/live/3sDTyQ9hCDg?si=pXcH4WBWdJUgF-zq&amp;t=1395s</v>
      </c>
      <c r="AA963" s="12" t="str">
        <f t="shared" si="45"/>
        <v>GRe4N BOYZ愛唄</v>
      </c>
    </row>
    <row r="964" spans="1:27" x14ac:dyDescent="0.4">
      <c r="A964" s="14">
        <f t="shared" si="46"/>
        <v>963</v>
      </c>
      <c r="B964" s="14">
        <v>126</v>
      </c>
      <c r="C964" s="21" t="s">
        <v>594</v>
      </c>
      <c r="D964" s="14" t="s">
        <v>1016</v>
      </c>
      <c r="E964" s="14" t="s">
        <v>1017</v>
      </c>
      <c r="G964" s="1" t="str">
        <f>_xlfn.XLOOKUP(B964,M_YT_LIVE!A:A,M_YT_LIVE!F:F,"ERROR",0,1)</f>
        <v>弾き語り</v>
      </c>
      <c r="W964" s="13">
        <f t="shared" ref="W964:W1027" si="47">TIMEVALUE($C964)*86400</f>
        <v>1955</v>
      </c>
      <c r="X964" s="12" t="str">
        <f>_xlfn.XLOOKUP($B964,M_YT_LIVE!$A:$A,M_YT_LIVE!$D:$D)</f>
        <v>https://www.youtube.com/live/3sDTyQ9hCDg?si=pXcH4WBWdJUgF-zq</v>
      </c>
      <c r="Z964" s="16" t="str">
        <f>HYPERLINK($X964&amp;SUBSTITUTE(マスタ!$C$3,"XXXXX",$W964))</f>
        <v>https://www.youtube.com/live/3sDTyQ9hCDg?si=pXcH4WBWdJUgF-zq&amp;t=1955s</v>
      </c>
      <c r="AA964" s="12" t="str">
        <f t="shared" si="45"/>
        <v>家入レオサブリナ</v>
      </c>
    </row>
    <row r="965" spans="1:27" x14ac:dyDescent="0.4">
      <c r="A965" s="14">
        <f t="shared" si="46"/>
        <v>964</v>
      </c>
      <c r="B965" s="14">
        <v>126</v>
      </c>
      <c r="C965" s="21" t="s">
        <v>2157</v>
      </c>
      <c r="D965" s="14" t="s">
        <v>2158</v>
      </c>
      <c r="E965" s="14" t="s">
        <v>1721</v>
      </c>
      <c r="G965" s="1" t="str">
        <f>_xlfn.XLOOKUP(B965,M_YT_LIVE!A:A,M_YT_LIVE!F:F,"ERROR",0,1)</f>
        <v>弾き語り</v>
      </c>
      <c r="W965" s="13">
        <f t="shared" si="47"/>
        <v>2614</v>
      </c>
      <c r="X965" s="12" t="str">
        <f>_xlfn.XLOOKUP($B965,M_YT_LIVE!$A:$A,M_YT_LIVE!$D:$D)</f>
        <v>https://www.youtube.com/live/3sDTyQ9hCDg?si=pXcH4WBWdJUgF-zq</v>
      </c>
      <c r="Z965" s="16" t="str">
        <f>HYPERLINK($X965&amp;SUBSTITUTE(マスタ!$C$3,"XXXXX",$W965))</f>
        <v>https://www.youtube.com/live/3sDTyQ9hCDg?si=pXcH4WBWdJUgF-zq&amp;t=2614s</v>
      </c>
      <c r="AA965" s="12" t="str">
        <f t="shared" ref="AA965:AA1028" si="48">TRIM(E965)&amp;TRIM(D965)</f>
        <v>嵐迷宮ラブソング (1chorus)</v>
      </c>
    </row>
    <row r="966" spans="1:27" x14ac:dyDescent="0.4">
      <c r="A966" s="14">
        <f t="shared" ref="A966:A1029" si="49">ROW()-1</f>
        <v>965</v>
      </c>
      <c r="B966" s="14">
        <v>126</v>
      </c>
      <c r="C966" s="21" t="s">
        <v>2159</v>
      </c>
      <c r="D966" s="14" t="s">
        <v>744</v>
      </c>
      <c r="E966" s="14" t="s">
        <v>742</v>
      </c>
      <c r="G966" s="1" t="str">
        <f>_xlfn.XLOOKUP(B966,M_YT_LIVE!A:A,M_YT_LIVE!F:F,"ERROR",0,1)</f>
        <v>弾き語り</v>
      </c>
      <c r="W966" s="13">
        <f t="shared" si="47"/>
        <v>2839</v>
      </c>
      <c r="X966" s="12" t="str">
        <f>_xlfn.XLOOKUP($B966,M_YT_LIVE!$A:$A,M_YT_LIVE!$D:$D)</f>
        <v>https://www.youtube.com/live/3sDTyQ9hCDg?si=pXcH4WBWdJUgF-zq</v>
      </c>
      <c r="Z966" s="16" t="str">
        <f>HYPERLINK($X966&amp;SUBSTITUTE(マスタ!$C$3,"XXXXX",$W966))</f>
        <v>https://www.youtube.com/live/3sDTyQ9hCDg?si=pXcH4WBWdJUgF-zq&amp;t=2839s</v>
      </c>
      <c r="AA966" s="12" t="str">
        <f t="shared" si="48"/>
        <v>KANA-BOON結晶星</v>
      </c>
    </row>
    <row r="967" spans="1:27" x14ac:dyDescent="0.4">
      <c r="A967" s="14">
        <f t="shared" si="49"/>
        <v>966</v>
      </c>
      <c r="B967" s="14">
        <v>126</v>
      </c>
      <c r="C967" s="21" t="s">
        <v>2160</v>
      </c>
      <c r="D967" s="14" t="s">
        <v>1395</v>
      </c>
      <c r="E967" s="14" t="s">
        <v>1396</v>
      </c>
      <c r="G967" s="1" t="str">
        <f>_xlfn.XLOOKUP(B967,M_YT_LIVE!A:A,M_YT_LIVE!F:F,"ERROR",0,1)</f>
        <v>弾き語り</v>
      </c>
      <c r="W967" s="13">
        <f t="shared" si="47"/>
        <v>3273.0000000000005</v>
      </c>
      <c r="X967" s="12" t="str">
        <f>_xlfn.XLOOKUP($B967,M_YT_LIVE!$A:$A,M_YT_LIVE!$D:$D)</f>
        <v>https://www.youtube.com/live/3sDTyQ9hCDg?si=pXcH4WBWdJUgF-zq</v>
      </c>
      <c r="Z967" s="16" t="str">
        <f>HYPERLINK($X967&amp;SUBSTITUTE(マスタ!$C$3,"XXXXX",$W967))</f>
        <v>https://www.youtube.com/live/3sDTyQ9hCDg?si=pXcH4WBWdJUgF-zq&amp;t=3273s</v>
      </c>
      <c r="AA967" s="12" t="str">
        <f t="shared" si="48"/>
        <v>三月のパンタシアピンクレモネード</v>
      </c>
    </row>
    <row r="968" spans="1:27" x14ac:dyDescent="0.4">
      <c r="A968" s="14">
        <f t="shared" si="49"/>
        <v>967</v>
      </c>
      <c r="B968" s="14">
        <v>126</v>
      </c>
      <c r="C968" s="21" t="s">
        <v>2161</v>
      </c>
      <c r="D968" s="14" t="s">
        <v>485</v>
      </c>
      <c r="E968" s="14" t="s">
        <v>208</v>
      </c>
      <c r="G968" s="1" t="str">
        <f>_xlfn.XLOOKUP(B968,M_YT_LIVE!A:A,M_YT_LIVE!F:F,"ERROR",0,1)</f>
        <v>弾き語り</v>
      </c>
      <c r="W968" s="13">
        <f t="shared" si="47"/>
        <v>3780.9999999999995</v>
      </c>
      <c r="X968" s="12" t="str">
        <f>_xlfn.XLOOKUP($B968,M_YT_LIVE!$A:$A,M_YT_LIVE!$D:$D)</f>
        <v>https://www.youtube.com/live/3sDTyQ9hCDg?si=pXcH4WBWdJUgF-zq</v>
      </c>
      <c r="Z968" s="16" t="str">
        <f>HYPERLINK($X968&amp;SUBSTITUTE(マスタ!$C$3,"XXXXX",$W968))</f>
        <v>https://www.youtube.com/live/3sDTyQ9hCDg?si=pXcH4WBWdJUgF-zq&amp;t=3781s</v>
      </c>
      <c r="AA968" s="12" t="str">
        <f t="shared" si="48"/>
        <v>supercellヒーロー</v>
      </c>
    </row>
    <row r="969" spans="1:27" x14ac:dyDescent="0.4">
      <c r="A969" s="14">
        <f t="shared" si="49"/>
        <v>968</v>
      </c>
      <c r="B969" s="14">
        <v>126</v>
      </c>
      <c r="C969" s="21" t="s">
        <v>2162</v>
      </c>
      <c r="D969" s="14" t="s">
        <v>2163</v>
      </c>
      <c r="E969" s="14" t="s">
        <v>347</v>
      </c>
      <c r="G969" s="1" t="str">
        <f>_xlfn.XLOOKUP(B969,M_YT_LIVE!A:A,M_YT_LIVE!F:F,"ERROR",0,1)</f>
        <v>弾き語り</v>
      </c>
      <c r="W969" s="13">
        <f t="shared" si="47"/>
        <v>4190</v>
      </c>
      <c r="X969" s="12" t="str">
        <f>_xlfn.XLOOKUP($B969,M_YT_LIVE!$A:$A,M_YT_LIVE!$D:$D)</f>
        <v>https://www.youtube.com/live/3sDTyQ9hCDg?si=pXcH4WBWdJUgF-zq</v>
      </c>
      <c r="Z969" s="16" t="str">
        <f>HYPERLINK($X969&amp;SUBSTITUTE(マスタ!$C$3,"XXXXX",$W969))</f>
        <v>https://www.youtube.com/live/3sDTyQ9hCDg?si=pXcH4WBWdJUgF-zq&amp;t=4190s</v>
      </c>
      <c r="AA969" s="12" t="str">
        <f t="shared" si="48"/>
        <v>幽音しの(即興)今週の予定の歌</v>
      </c>
    </row>
    <row r="970" spans="1:27" x14ac:dyDescent="0.4">
      <c r="A970" s="14">
        <f t="shared" si="49"/>
        <v>969</v>
      </c>
      <c r="B970" s="14">
        <v>127</v>
      </c>
      <c r="C970" s="21" t="s">
        <v>2166</v>
      </c>
      <c r="D970" s="14" t="s">
        <v>378</v>
      </c>
      <c r="E970" s="14" t="s">
        <v>141</v>
      </c>
      <c r="G970" s="1" t="str">
        <f>_xlfn.XLOOKUP(B970,M_YT_LIVE!A:A,M_YT_LIVE!F:F,"ERROR",0,1)</f>
        <v>弾き語り</v>
      </c>
      <c r="W970" s="13">
        <f t="shared" si="47"/>
        <v>314</v>
      </c>
      <c r="X970" s="12" t="str">
        <f>_xlfn.XLOOKUP($B970,M_YT_LIVE!$A:$A,M_YT_LIVE!$D:$D)</f>
        <v>https://www.youtube.com/live/xKwyAT6ZyDo?si=p8RkryjyMuiiNoGd</v>
      </c>
      <c r="Z970" s="16" t="str">
        <f>HYPERLINK($X970&amp;SUBSTITUTE(マスタ!$C$3,"XXXXX",$W970))</f>
        <v>https://www.youtube.com/live/xKwyAT6ZyDo?si=p8RkryjyMuiiNoGd&amp;t=314s</v>
      </c>
      <c r="AA970" s="12" t="str">
        <f t="shared" si="48"/>
        <v>ヨルシカ斜陽</v>
      </c>
    </row>
    <row r="971" spans="1:27" x14ac:dyDescent="0.4">
      <c r="A971" s="14">
        <f t="shared" si="49"/>
        <v>970</v>
      </c>
      <c r="B971" s="14">
        <v>127</v>
      </c>
      <c r="C971" s="21" t="s">
        <v>2167</v>
      </c>
      <c r="D971" s="14" t="s">
        <v>106</v>
      </c>
      <c r="E971" s="14" t="s">
        <v>460</v>
      </c>
      <c r="G971" s="1" t="str">
        <f>_xlfn.XLOOKUP(B971,M_YT_LIVE!A:A,M_YT_LIVE!F:F,"ERROR",0,1)</f>
        <v>弾き語り</v>
      </c>
      <c r="W971" s="13">
        <f t="shared" si="47"/>
        <v>674</v>
      </c>
      <c r="X971" s="12" t="str">
        <f>_xlfn.XLOOKUP($B971,M_YT_LIVE!$A:$A,M_YT_LIVE!$D:$D)</f>
        <v>https://www.youtube.com/live/xKwyAT6ZyDo?si=p8RkryjyMuiiNoGd</v>
      </c>
      <c r="Z971" s="16" t="str">
        <f>HYPERLINK($X971&amp;SUBSTITUTE(マスタ!$C$3,"XXXXX",$W971))</f>
        <v>https://www.youtube.com/live/xKwyAT6ZyDo?si=p8RkryjyMuiiNoGd&amp;t=674s</v>
      </c>
      <c r="AA971" s="12" t="str">
        <f t="shared" si="48"/>
        <v>バルーン(須田景凪) feat.flowerレディーレ</v>
      </c>
    </row>
    <row r="972" spans="1:27" x14ac:dyDescent="0.4">
      <c r="A972" s="14">
        <f t="shared" si="49"/>
        <v>971</v>
      </c>
      <c r="B972" s="14">
        <v>127</v>
      </c>
      <c r="C972" s="21" t="s">
        <v>2168</v>
      </c>
      <c r="D972" s="14" t="s">
        <v>2169</v>
      </c>
      <c r="E972" s="14" t="s">
        <v>460</v>
      </c>
      <c r="G972" s="1" t="str">
        <f>_xlfn.XLOOKUP(B972,M_YT_LIVE!A:A,M_YT_LIVE!F:F,"ERROR",0,1)</f>
        <v>弾き語り</v>
      </c>
      <c r="W972" s="13">
        <f t="shared" si="47"/>
        <v>1025</v>
      </c>
      <c r="X972" s="12" t="str">
        <f>_xlfn.XLOOKUP($B972,M_YT_LIVE!$A:$A,M_YT_LIVE!$D:$D)</f>
        <v>https://www.youtube.com/live/xKwyAT6ZyDo?si=p8RkryjyMuiiNoGd</v>
      </c>
      <c r="Z972" s="16" t="str">
        <f>HYPERLINK($X972&amp;SUBSTITUTE(マスタ!$C$3,"XXXXX",$W972))</f>
        <v>https://www.youtube.com/live/xKwyAT6ZyDo?si=p8RkryjyMuiiNoGd&amp;t=1025s</v>
      </c>
      <c r="AA972" s="12" t="str">
        <f t="shared" si="48"/>
        <v>バルーン(須田景凪) feat.flower雨とペトラ</v>
      </c>
    </row>
    <row r="973" spans="1:27" x14ac:dyDescent="0.4">
      <c r="A973" s="14">
        <f t="shared" si="49"/>
        <v>972</v>
      </c>
      <c r="B973" s="14">
        <v>127</v>
      </c>
      <c r="C973" s="21" t="s">
        <v>2170</v>
      </c>
      <c r="D973" s="14" t="s">
        <v>266</v>
      </c>
      <c r="E973" s="14" t="s">
        <v>460</v>
      </c>
      <c r="G973" s="1" t="str">
        <f>_xlfn.XLOOKUP(B973,M_YT_LIVE!A:A,M_YT_LIVE!F:F,"ERROR",0,1)</f>
        <v>弾き語り</v>
      </c>
      <c r="W973" s="13">
        <f t="shared" si="47"/>
        <v>1398</v>
      </c>
      <c r="X973" s="12" t="str">
        <f>_xlfn.XLOOKUP($B973,M_YT_LIVE!$A:$A,M_YT_LIVE!$D:$D)</f>
        <v>https://www.youtube.com/live/xKwyAT6ZyDo?si=p8RkryjyMuiiNoGd</v>
      </c>
      <c r="Z973" s="16" t="str">
        <f>HYPERLINK($X973&amp;SUBSTITUTE(マスタ!$C$3,"XXXXX",$W973))</f>
        <v>https://www.youtube.com/live/xKwyAT6ZyDo?si=p8RkryjyMuiiNoGd&amp;t=1398s</v>
      </c>
      <c r="AA973" s="12" t="str">
        <f t="shared" si="48"/>
        <v>バルーン(須田景凪) feat.flowerシャルル</v>
      </c>
    </row>
    <row r="974" spans="1:27" x14ac:dyDescent="0.4">
      <c r="A974" s="14">
        <f t="shared" si="49"/>
        <v>973</v>
      </c>
      <c r="B974" s="14">
        <v>127</v>
      </c>
      <c r="C974" s="21" t="s">
        <v>542</v>
      </c>
      <c r="D974" s="14" t="s">
        <v>459</v>
      </c>
      <c r="E974" s="14" t="s">
        <v>460</v>
      </c>
      <c r="G974" s="1" t="str">
        <f>_xlfn.XLOOKUP(B974,M_YT_LIVE!A:A,M_YT_LIVE!F:F,"ERROR",0,1)</f>
        <v>弾き語り</v>
      </c>
      <c r="W974" s="13">
        <f t="shared" si="47"/>
        <v>1777</v>
      </c>
      <c r="X974" s="12" t="str">
        <f>_xlfn.XLOOKUP($B974,M_YT_LIVE!$A:$A,M_YT_LIVE!$D:$D)</f>
        <v>https://www.youtube.com/live/xKwyAT6ZyDo?si=p8RkryjyMuiiNoGd</v>
      </c>
      <c r="Z974" s="16" t="str">
        <f>HYPERLINK($X974&amp;SUBSTITUTE(マスタ!$C$3,"XXXXX",$W974))</f>
        <v>https://www.youtube.com/live/xKwyAT6ZyDo?si=p8RkryjyMuiiNoGd&amp;t=1777s</v>
      </c>
      <c r="AA974" s="12" t="str">
        <f t="shared" si="48"/>
        <v>バルーン(須田景凪) feat.flower花瓶に触れた</v>
      </c>
    </row>
    <row r="975" spans="1:27" x14ac:dyDescent="0.4">
      <c r="A975" s="14">
        <f t="shared" si="49"/>
        <v>974</v>
      </c>
      <c r="B975" s="14">
        <v>127</v>
      </c>
      <c r="C975" s="21" t="s">
        <v>2171</v>
      </c>
      <c r="D975" s="14" t="s">
        <v>204</v>
      </c>
      <c r="E975" s="14" t="s">
        <v>205</v>
      </c>
      <c r="G975" s="1" t="str">
        <f>_xlfn.XLOOKUP(B975,M_YT_LIVE!A:A,M_YT_LIVE!F:F,"ERROR",0,1)</f>
        <v>弾き語り</v>
      </c>
      <c r="W975" s="13">
        <f t="shared" si="47"/>
        <v>2107</v>
      </c>
      <c r="X975" s="12" t="str">
        <f>_xlfn.XLOOKUP($B975,M_YT_LIVE!$A:$A,M_YT_LIVE!$D:$D)</f>
        <v>https://www.youtube.com/live/xKwyAT6ZyDo?si=p8RkryjyMuiiNoGd</v>
      </c>
      <c r="Z975" s="16" t="str">
        <f>HYPERLINK($X975&amp;SUBSTITUTE(マスタ!$C$3,"XXXXX",$W975))</f>
        <v>https://www.youtube.com/live/xKwyAT6ZyDo?si=p8RkryjyMuiiNoGd&amp;t=2107s</v>
      </c>
      <c r="AA975" s="12" t="str">
        <f t="shared" si="48"/>
        <v>164P feat.GUMI天ノ弱</v>
      </c>
    </row>
    <row r="976" spans="1:27" x14ac:dyDescent="0.4">
      <c r="A976" s="14">
        <f t="shared" si="49"/>
        <v>975</v>
      </c>
      <c r="B976" s="14">
        <v>127</v>
      </c>
      <c r="C976" s="21" t="s">
        <v>2172</v>
      </c>
      <c r="D976" s="14" t="s">
        <v>120</v>
      </c>
      <c r="E976" s="14" t="s">
        <v>118</v>
      </c>
      <c r="G976" s="1" t="str">
        <f>_xlfn.XLOOKUP(B976,M_YT_LIVE!A:A,M_YT_LIVE!F:F,"ERROR",0,1)</f>
        <v>弾き語り</v>
      </c>
      <c r="W976" s="13">
        <f t="shared" si="47"/>
        <v>2496</v>
      </c>
      <c r="X976" s="12" t="str">
        <f>_xlfn.XLOOKUP($B976,M_YT_LIVE!$A:$A,M_YT_LIVE!$D:$D)</f>
        <v>https://www.youtube.com/live/xKwyAT6ZyDo?si=p8RkryjyMuiiNoGd</v>
      </c>
      <c r="Z976" s="16" t="str">
        <f>HYPERLINK($X976&amp;SUBSTITUTE(マスタ!$C$3,"XXXXX",$W976))</f>
        <v>https://www.youtube.com/live/xKwyAT6ZyDo?si=p8RkryjyMuiiNoGd&amp;t=2496s</v>
      </c>
      <c r="AA976" s="12" t="str">
        <f t="shared" si="48"/>
        <v>Orangestar feat.初音ミクアスノヨゾラ哨戒班</v>
      </c>
    </row>
    <row r="977" spans="1:27" x14ac:dyDescent="0.4">
      <c r="A977" s="14">
        <f t="shared" si="49"/>
        <v>976</v>
      </c>
      <c r="B977" s="14">
        <v>127</v>
      </c>
      <c r="C977" s="21" t="s">
        <v>2173</v>
      </c>
      <c r="D977" s="14" t="s">
        <v>109</v>
      </c>
      <c r="E977" s="14" t="s">
        <v>44</v>
      </c>
      <c r="G977" s="1" t="str">
        <f>_xlfn.XLOOKUP(B977,M_YT_LIVE!A:A,M_YT_LIVE!F:F,"ERROR",0,1)</f>
        <v>弾き語り</v>
      </c>
      <c r="W977" s="13">
        <f t="shared" si="47"/>
        <v>2792</v>
      </c>
      <c r="X977" s="12" t="str">
        <f>_xlfn.XLOOKUP($B977,M_YT_LIVE!$A:$A,M_YT_LIVE!$D:$D)</f>
        <v>https://www.youtube.com/live/xKwyAT6ZyDo?si=p8RkryjyMuiiNoGd</v>
      </c>
      <c r="Z977" s="16" t="str">
        <f>HYPERLINK($X977&amp;SUBSTITUTE(マスタ!$C$3,"XXXXX",$W977))</f>
        <v>https://www.youtube.com/live/xKwyAT6ZyDo?si=p8RkryjyMuiiNoGd&amp;t=2792s</v>
      </c>
      <c r="AA977" s="12" t="str">
        <f t="shared" si="48"/>
        <v>メル feat.初音ミク翡翠のまち</v>
      </c>
    </row>
    <row r="978" spans="1:27" x14ac:dyDescent="0.4">
      <c r="A978" s="14">
        <f t="shared" si="49"/>
        <v>977</v>
      </c>
      <c r="B978" s="14">
        <v>127</v>
      </c>
      <c r="C978" s="21" t="s">
        <v>2174</v>
      </c>
      <c r="D978" s="14" t="s">
        <v>33</v>
      </c>
      <c r="E978" s="14" t="s">
        <v>44</v>
      </c>
      <c r="G978" s="1" t="str">
        <f>_xlfn.XLOOKUP(B978,M_YT_LIVE!A:A,M_YT_LIVE!F:F,"ERROR",0,1)</f>
        <v>弾き語り</v>
      </c>
      <c r="W978" s="13">
        <f t="shared" si="47"/>
        <v>3144</v>
      </c>
      <c r="X978" s="12" t="str">
        <f>_xlfn.XLOOKUP($B978,M_YT_LIVE!$A:$A,M_YT_LIVE!$D:$D)</f>
        <v>https://www.youtube.com/live/xKwyAT6ZyDo?si=p8RkryjyMuiiNoGd</v>
      </c>
      <c r="Z978" s="16" t="str">
        <f>HYPERLINK($X978&amp;SUBSTITUTE(マスタ!$C$3,"XXXXX",$W978))</f>
        <v>https://www.youtube.com/live/xKwyAT6ZyDo?si=p8RkryjyMuiiNoGd&amp;t=3144s</v>
      </c>
      <c r="AA978" s="12" t="str">
        <f t="shared" si="48"/>
        <v>メル feat.初音ミクさようなら、花泥棒さん</v>
      </c>
    </row>
    <row r="979" spans="1:27" x14ac:dyDescent="0.4">
      <c r="A979" s="14">
        <f t="shared" si="49"/>
        <v>978</v>
      </c>
      <c r="B979" s="14">
        <v>127</v>
      </c>
      <c r="C979" s="21" t="s">
        <v>2175</v>
      </c>
      <c r="D979" s="14" t="s">
        <v>31</v>
      </c>
      <c r="E979" s="14" t="s">
        <v>1046</v>
      </c>
      <c r="G979" s="1" t="str">
        <f>_xlfn.XLOOKUP(B979,M_YT_LIVE!A:A,M_YT_LIVE!F:F,"ERROR",0,1)</f>
        <v>弾き語り</v>
      </c>
      <c r="W979" s="13">
        <f t="shared" si="47"/>
        <v>3500</v>
      </c>
      <c r="X979" s="12" t="str">
        <f>_xlfn.XLOOKUP($B979,M_YT_LIVE!$A:$A,M_YT_LIVE!$D:$D)</f>
        <v>https://www.youtube.com/live/xKwyAT6ZyDo?si=p8RkryjyMuiiNoGd</v>
      </c>
      <c r="Z979" s="16" t="str">
        <f>HYPERLINK($X979&amp;SUBSTITUTE(マスタ!$C$3,"XXXXX",$W979))</f>
        <v>https://www.youtube.com/live/xKwyAT6ZyDo?si=p8RkryjyMuiiNoGd&amp;t=3500s</v>
      </c>
      <c r="AA979" s="12" t="str">
        <f t="shared" si="48"/>
        <v>メル feat.IAプラトニック・ラヴ</v>
      </c>
    </row>
    <row r="980" spans="1:27" x14ac:dyDescent="0.4">
      <c r="A980" s="14">
        <f t="shared" si="49"/>
        <v>979</v>
      </c>
      <c r="B980" s="14">
        <v>127</v>
      </c>
      <c r="C980" s="21" t="s">
        <v>2176</v>
      </c>
      <c r="D980" s="14" t="s">
        <v>512</v>
      </c>
      <c r="E980" s="14" t="s">
        <v>528</v>
      </c>
      <c r="G980" s="1" t="str">
        <f>_xlfn.XLOOKUP(B980,M_YT_LIVE!A:A,M_YT_LIVE!F:F,"ERROR",0,1)</f>
        <v>弾き語り</v>
      </c>
      <c r="W980" s="13">
        <f t="shared" si="47"/>
        <v>3823.0000000000005</v>
      </c>
      <c r="X980" s="12" t="str">
        <f>_xlfn.XLOOKUP($B980,M_YT_LIVE!$A:$A,M_YT_LIVE!$D:$D)</f>
        <v>https://www.youtube.com/live/xKwyAT6ZyDo?si=p8RkryjyMuiiNoGd</v>
      </c>
      <c r="Z980" s="16" t="str">
        <f>HYPERLINK($X980&amp;SUBSTITUTE(マスタ!$C$3,"XXXXX",$W980))</f>
        <v>https://www.youtube.com/live/xKwyAT6ZyDo?si=p8RkryjyMuiiNoGd&amp;t=3823s</v>
      </c>
      <c r="AA980" s="12" t="str">
        <f t="shared" si="48"/>
        <v>みきとP feat.MAYU夕立のりぼん</v>
      </c>
    </row>
    <row r="981" spans="1:27" x14ac:dyDescent="0.4">
      <c r="A981" s="14">
        <f t="shared" si="49"/>
        <v>980</v>
      </c>
      <c r="B981" s="14">
        <v>127</v>
      </c>
      <c r="C981" s="21" t="s">
        <v>2177</v>
      </c>
      <c r="D981" s="14" t="s">
        <v>149</v>
      </c>
      <c r="E981" s="14" t="s">
        <v>150</v>
      </c>
      <c r="G981" s="1" t="str">
        <f>_xlfn.XLOOKUP(B981,M_YT_LIVE!A:A,M_YT_LIVE!F:F,"ERROR",0,1)</f>
        <v>弾き語り</v>
      </c>
      <c r="W981" s="13">
        <f t="shared" si="47"/>
        <v>4195</v>
      </c>
      <c r="X981" s="12" t="str">
        <f>_xlfn.XLOOKUP($B981,M_YT_LIVE!$A:$A,M_YT_LIVE!$D:$D)</f>
        <v>https://www.youtube.com/live/xKwyAT6ZyDo?si=p8RkryjyMuiiNoGd</v>
      </c>
      <c r="Z981" s="16" t="str">
        <f>HYPERLINK($X981&amp;SUBSTITUTE(マスタ!$C$3,"XXXXX",$W981))</f>
        <v>https://www.youtube.com/live/xKwyAT6ZyDo?si=p8RkryjyMuiiNoGd&amp;t=4195s</v>
      </c>
      <c r="AA981" s="12" t="str">
        <f t="shared" si="48"/>
        <v>みきとP feat.初音ミク少女レイ</v>
      </c>
    </row>
    <row r="982" spans="1:27" x14ac:dyDescent="0.4">
      <c r="A982" s="14">
        <f t="shared" si="49"/>
        <v>981</v>
      </c>
      <c r="B982" s="14">
        <v>127</v>
      </c>
      <c r="C982" s="21" t="s">
        <v>2178</v>
      </c>
      <c r="D982" s="14" t="s">
        <v>707</v>
      </c>
      <c r="E982" s="14" t="s">
        <v>708</v>
      </c>
      <c r="G982" s="1" t="str">
        <f>_xlfn.XLOOKUP(B982,M_YT_LIVE!A:A,M_YT_LIVE!F:F,"ERROR",0,1)</f>
        <v>弾き語り</v>
      </c>
      <c r="W982" s="13">
        <f t="shared" si="47"/>
        <v>4627</v>
      </c>
      <c r="X982" s="12" t="str">
        <f>_xlfn.XLOOKUP($B982,M_YT_LIVE!$A:$A,M_YT_LIVE!$D:$D)</f>
        <v>https://www.youtube.com/live/xKwyAT6ZyDo?si=p8RkryjyMuiiNoGd</v>
      </c>
      <c r="Z982" s="16" t="str">
        <f>HYPERLINK($X982&amp;SUBSTITUTE(マスタ!$C$3,"XXXXX",$W982))</f>
        <v>https://www.youtube.com/live/xKwyAT6ZyDo?si=p8RkryjyMuiiNoGd&amp;t=4627s</v>
      </c>
      <c r="AA982" s="12" t="str">
        <f t="shared" si="48"/>
        <v>halyosy feat.鏡音レンFire◎Flower</v>
      </c>
    </row>
    <row r="983" spans="1:27" x14ac:dyDescent="0.4">
      <c r="A983" s="14">
        <f t="shared" si="49"/>
        <v>982</v>
      </c>
      <c r="B983" s="14">
        <v>127</v>
      </c>
      <c r="C983" s="21" t="s">
        <v>2179</v>
      </c>
      <c r="D983" s="14" t="s">
        <v>454</v>
      </c>
      <c r="E983" s="14" t="s">
        <v>455</v>
      </c>
      <c r="G983" s="1" t="str">
        <f>_xlfn.XLOOKUP(B983,M_YT_LIVE!A:A,M_YT_LIVE!F:F,"ERROR",0,1)</f>
        <v>弾き語り</v>
      </c>
      <c r="W983" s="13">
        <f t="shared" si="47"/>
        <v>5082</v>
      </c>
      <c r="X983" s="12" t="str">
        <f>_xlfn.XLOOKUP($B983,M_YT_LIVE!$A:$A,M_YT_LIVE!$D:$D)</f>
        <v>https://www.youtube.com/live/xKwyAT6ZyDo?si=p8RkryjyMuiiNoGd</v>
      </c>
      <c r="Z983" s="16" t="str">
        <f>HYPERLINK($X983&amp;SUBSTITUTE(マスタ!$C$3,"XXXXX",$W983))</f>
        <v>https://www.youtube.com/live/xKwyAT6ZyDo?si=p8RkryjyMuiiNoGd&amp;t=5082s</v>
      </c>
      <c r="AA983" s="12" t="str">
        <f t="shared" si="48"/>
        <v>ささくれ。P feat.初音ミクハロー、プラネット。</v>
      </c>
    </row>
    <row r="984" spans="1:27" x14ac:dyDescent="0.4">
      <c r="A984" s="14">
        <f t="shared" si="49"/>
        <v>983</v>
      </c>
      <c r="B984" s="14">
        <v>127</v>
      </c>
      <c r="C984" s="21" t="s">
        <v>1456</v>
      </c>
      <c r="D984" s="14" t="s">
        <v>2180</v>
      </c>
      <c r="E984" s="14" t="s">
        <v>2181</v>
      </c>
      <c r="G984" s="1" t="str">
        <f>_xlfn.XLOOKUP(B984,M_YT_LIVE!A:A,M_YT_LIVE!F:F,"ERROR",0,1)</f>
        <v>弾き語り</v>
      </c>
      <c r="W984" s="13">
        <f t="shared" si="47"/>
        <v>5540</v>
      </c>
      <c r="X984" s="12" t="str">
        <f>_xlfn.XLOOKUP($B984,M_YT_LIVE!$A:$A,M_YT_LIVE!$D:$D)</f>
        <v>https://www.youtube.com/live/xKwyAT6ZyDo?si=p8RkryjyMuiiNoGd</v>
      </c>
      <c r="Z984" s="16" t="str">
        <f>HYPERLINK($X984&amp;SUBSTITUTE(マスタ!$C$3,"XXXXX",$W984))</f>
        <v>https://www.youtube.com/live/xKwyAT6ZyDo?si=p8RkryjyMuiiNoGd&amp;t=5540s</v>
      </c>
      <c r="AA984" s="12" t="str">
        <f t="shared" si="48"/>
        <v>Junky feat.鏡音リントゥインクル</v>
      </c>
    </row>
    <row r="985" spans="1:27" x14ac:dyDescent="0.4">
      <c r="A985" s="14">
        <f t="shared" si="49"/>
        <v>984</v>
      </c>
      <c r="B985" s="14">
        <v>129</v>
      </c>
      <c r="C985" s="21" t="s">
        <v>2186</v>
      </c>
      <c r="D985" s="14" t="s">
        <v>176</v>
      </c>
      <c r="E985" s="14" t="s">
        <v>177</v>
      </c>
      <c r="G985" s="1" t="str">
        <f>_xlfn.XLOOKUP(B985,M_YT_LIVE!A:A,M_YT_LIVE!F:F,"ERROR",0,1)</f>
        <v>弾き語り</v>
      </c>
      <c r="W985" s="13">
        <f t="shared" si="47"/>
        <v>326</v>
      </c>
      <c r="X985" s="12" t="str">
        <f>_xlfn.XLOOKUP($B985,M_YT_LIVE!$A:$A,M_YT_LIVE!$D:$D)</f>
        <v>https://www.youtube.com/live/RXbt0OmMVe8?si=zUTwr5vQz3aflRD3</v>
      </c>
      <c r="Z985" s="16" t="str">
        <f>HYPERLINK($X985&amp;SUBSTITUTE(マスタ!$C$3,"XXXXX",$W985))</f>
        <v>https://www.youtube.com/live/RXbt0OmMVe8?si=zUTwr5vQz3aflRD3&amp;t=326s</v>
      </c>
      <c r="AA985" s="12" t="str">
        <f t="shared" si="48"/>
        <v>Saucy Dogシンデレラボーイ</v>
      </c>
    </row>
    <row r="986" spans="1:27" x14ac:dyDescent="0.4">
      <c r="A986" s="14">
        <f t="shared" si="49"/>
        <v>985</v>
      </c>
      <c r="B986" s="14">
        <v>129</v>
      </c>
      <c r="C986" s="21" t="s">
        <v>2187</v>
      </c>
      <c r="D986" s="14" t="s">
        <v>2188</v>
      </c>
      <c r="E986" s="14" t="s">
        <v>2189</v>
      </c>
      <c r="G986" s="1" t="str">
        <f>_xlfn.XLOOKUP(B986,M_YT_LIVE!A:A,M_YT_LIVE!F:F,"ERROR",0,1)</f>
        <v>弾き語り</v>
      </c>
      <c r="W986" s="13">
        <f t="shared" si="47"/>
        <v>758</v>
      </c>
      <c r="X986" s="12" t="str">
        <f>_xlfn.XLOOKUP($B986,M_YT_LIVE!$A:$A,M_YT_LIVE!$D:$D)</f>
        <v>https://www.youtube.com/live/RXbt0OmMVe8?si=zUTwr5vQz3aflRD3</v>
      </c>
      <c r="Z986" s="16" t="str">
        <f>HYPERLINK($X986&amp;SUBSTITUTE(マスタ!$C$3,"XXXXX",$W986))</f>
        <v>https://www.youtube.com/live/RXbt0OmMVe8?si=zUTwr5vQz3aflRD3&amp;t=758s</v>
      </c>
      <c r="AA986" s="12" t="str">
        <f t="shared" si="48"/>
        <v>コレサワたばこ</v>
      </c>
    </row>
    <row r="987" spans="1:27" x14ac:dyDescent="0.4">
      <c r="A987" s="14">
        <f t="shared" si="49"/>
        <v>986</v>
      </c>
      <c r="B987" s="14">
        <v>129</v>
      </c>
      <c r="C987" s="21" t="s">
        <v>2190</v>
      </c>
      <c r="D987" s="14" t="s">
        <v>536</v>
      </c>
      <c r="E987" s="14" t="s">
        <v>537</v>
      </c>
      <c r="G987" s="1" t="str">
        <f>_xlfn.XLOOKUP(B987,M_YT_LIVE!A:A,M_YT_LIVE!F:F,"ERROR",0,1)</f>
        <v>弾き語り</v>
      </c>
      <c r="W987" s="13">
        <f t="shared" si="47"/>
        <v>1279</v>
      </c>
      <c r="X987" s="12" t="str">
        <f>_xlfn.XLOOKUP($B987,M_YT_LIVE!$A:$A,M_YT_LIVE!$D:$D)</f>
        <v>https://www.youtube.com/live/RXbt0OmMVe8?si=zUTwr5vQz3aflRD3</v>
      </c>
      <c r="Z987" s="16" t="str">
        <f>HYPERLINK($X987&amp;SUBSTITUTE(マスタ!$C$3,"XXXXX",$W987))</f>
        <v>https://www.youtube.com/live/RXbt0OmMVe8?si=zUTwr5vQz3aflRD3&amp;t=1279s</v>
      </c>
      <c r="AA987" s="12" t="str">
        <f t="shared" si="48"/>
        <v>tuki.晩餐歌</v>
      </c>
    </row>
    <row r="988" spans="1:27" x14ac:dyDescent="0.4">
      <c r="A988" s="14">
        <f t="shared" si="49"/>
        <v>987</v>
      </c>
      <c r="B988" s="14">
        <v>129</v>
      </c>
      <c r="C988" s="21" t="s">
        <v>1373</v>
      </c>
      <c r="D988" s="14" t="s">
        <v>87</v>
      </c>
      <c r="E988" s="14" t="s">
        <v>88</v>
      </c>
      <c r="G988" s="1" t="str">
        <f>_xlfn.XLOOKUP(B988,M_YT_LIVE!A:A,M_YT_LIVE!F:F,"ERROR",0,1)</f>
        <v>弾き語り</v>
      </c>
      <c r="W988" s="13">
        <f t="shared" si="47"/>
        <v>1686</v>
      </c>
      <c r="X988" s="12" t="str">
        <f>_xlfn.XLOOKUP($B988,M_YT_LIVE!$A:$A,M_YT_LIVE!$D:$D)</f>
        <v>https://www.youtube.com/live/RXbt0OmMVe8?si=zUTwr5vQz3aflRD3</v>
      </c>
      <c r="Z988" s="16" t="str">
        <f>HYPERLINK($X988&amp;SUBSTITUTE(マスタ!$C$3,"XXXXX",$W988))</f>
        <v>https://www.youtube.com/live/RXbt0OmMVe8?si=zUTwr5vQz3aflRD3&amp;t=1686s</v>
      </c>
      <c r="AA988" s="12" t="str">
        <f t="shared" si="48"/>
        <v>美波カワキヲアメク</v>
      </c>
    </row>
    <row r="989" spans="1:27" x14ac:dyDescent="0.4">
      <c r="A989" s="14">
        <f t="shared" si="49"/>
        <v>988</v>
      </c>
      <c r="B989" s="14">
        <v>129</v>
      </c>
      <c r="C989" s="21" t="s">
        <v>1814</v>
      </c>
      <c r="D989" s="14" t="s">
        <v>593</v>
      </c>
      <c r="E989" s="14" t="s">
        <v>65</v>
      </c>
      <c r="G989" s="1" t="str">
        <f>_xlfn.XLOOKUP(B989,M_YT_LIVE!A:A,M_YT_LIVE!F:F,"ERROR",0,1)</f>
        <v>弾き語り</v>
      </c>
      <c r="W989" s="13">
        <f t="shared" si="47"/>
        <v>2160</v>
      </c>
      <c r="X989" s="12" t="str">
        <f>_xlfn.XLOOKUP($B989,M_YT_LIVE!$A:$A,M_YT_LIVE!$D:$D)</f>
        <v>https://www.youtube.com/live/RXbt0OmMVe8?si=zUTwr5vQz3aflRD3</v>
      </c>
      <c r="Z989" s="16" t="str">
        <f>HYPERLINK($X989&amp;SUBSTITUTE(マスタ!$C$3,"XXXXX",$W989))</f>
        <v>https://www.youtube.com/live/RXbt0OmMVe8?si=zUTwr5vQz3aflRD3&amp;t=2160s</v>
      </c>
      <c r="AA989" s="12" t="str">
        <f t="shared" si="48"/>
        <v>R Sound Design feat.初音ミク帝国少女</v>
      </c>
    </row>
    <row r="990" spans="1:27" x14ac:dyDescent="0.4">
      <c r="A990" s="14">
        <f t="shared" si="49"/>
        <v>989</v>
      </c>
      <c r="B990" s="14">
        <v>129</v>
      </c>
      <c r="C990" s="21" t="s">
        <v>2191</v>
      </c>
      <c r="D990" s="14" t="s">
        <v>2192</v>
      </c>
      <c r="E990" s="14" t="s">
        <v>2193</v>
      </c>
      <c r="G990" s="1" t="str">
        <f>_xlfn.XLOOKUP(B990,M_YT_LIVE!A:A,M_YT_LIVE!F:F,"ERROR",0,1)</f>
        <v>弾き語り</v>
      </c>
      <c r="W990" s="13">
        <f t="shared" si="47"/>
        <v>2663</v>
      </c>
      <c r="X990" s="12" t="str">
        <f>_xlfn.XLOOKUP($B990,M_YT_LIVE!$A:$A,M_YT_LIVE!$D:$D)</f>
        <v>https://www.youtube.com/live/RXbt0OmMVe8?si=zUTwr5vQz3aflRD3</v>
      </c>
      <c r="Z990" s="16" t="str">
        <f>HYPERLINK($X990&amp;SUBSTITUTE(マスタ!$C$3,"XXXXX",$W990))</f>
        <v>https://www.youtube.com/live/RXbt0OmMVe8?si=zUTwr5vQz3aflRD3&amp;t=2663s</v>
      </c>
      <c r="AA990" s="12" t="str">
        <f t="shared" si="48"/>
        <v>めざめP feat.初音ミクうそつき</v>
      </c>
    </row>
    <row r="991" spans="1:27" x14ac:dyDescent="0.4">
      <c r="A991" s="14">
        <f t="shared" si="49"/>
        <v>990</v>
      </c>
      <c r="B991" s="14">
        <v>129</v>
      </c>
      <c r="C991" s="21" t="s">
        <v>2194</v>
      </c>
      <c r="D991" s="14" t="s">
        <v>483</v>
      </c>
      <c r="E991" s="14" t="s">
        <v>141</v>
      </c>
      <c r="G991" s="1" t="str">
        <f>_xlfn.XLOOKUP(B991,M_YT_LIVE!A:A,M_YT_LIVE!F:F,"ERROR",0,1)</f>
        <v>弾き語り</v>
      </c>
      <c r="W991" s="13">
        <f t="shared" si="47"/>
        <v>3105.9999999999995</v>
      </c>
      <c r="X991" s="12" t="str">
        <f>_xlfn.XLOOKUP($B991,M_YT_LIVE!$A:$A,M_YT_LIVE!$D:$D)</f>
        <v>https://www.youtube.com/live/RXbt0OmMVe8?si=zUTwr5vQz3aflRD3</v>
      </c>
      <c r="Z991" s="16" t="str">
        <f>HYPERLINK($X991&amp;SUBSTITUTE(マスタ!$C$3,"XXXXX",$W991))</f>
        <v>https://www.youtube.com/live/RXbt0OmMVe8?si=zUTwr5vQz3aflRD3&amp;t=3106s</v>
      </c>
      <c r="AA991" s="12" t="str">
        <f t="shared" si="48"/>
        <v>ヨルシカアルジャーノン</v>
      </c>
    </row>
    <row r="992" spans="1:27" x14ac:dyDescent="0.4">
      <c r="A992" s="14">
        <f t="shared" si="49"/>
        <v>991</v>
      </c>
      <c r="B992" s="14">
        <v>129</v>
      </c>
      <c r="C992" s="21" t="s">
        <v>2195</v>
      </c>
      <c r="D992" s="14" t="s">
        <v>1912</v>
      </c>
      <c r="E992" s="14" t="s">
        <v>141</v>
      </c>
      <c r="G992" s="1" t="str">
        <f>_xlfn.XLOOKUP(B992,M_YT_LIVE!A:A,M_YT_LIVE!F:F,"ERROR",0,1)</f>
        <v>弾き語り</v>
      </c>
      <c r="W992" s="13">
        <f t="shared" si="47"/>
        <v>3624</v>
      </c>
      <c r="X992" s="12" t="str">
        <f>_xlfn.XLOOKUP($B992,M_YT_LIVE!$A:$A,M_YT_LIVE!$D:$D)</f>
        <v>https://www.youtube.com/live/RXbt0OmMVe8?si=zUTwr5vQz3aflRD3</v>
      </c>
      <c r="Z992" s="16" t="str">
        <f>HYPERLINK($X992&amp;SUBSTITUTE(マスタ!$C$3,"XXXXX",$W992))</f>
        <v>https://www.youtube.com/live/RXbt0OmMVe8?si=zUTwr5vQz3aflRD3&amp;t=3624s</v>
      </c>
      <c r="AA992" s="12" t="str">
        <f t="shared" si="48"/>
        <v>ヨルシカ忘れてください</v>
      </c>
    </row>
    <row r="993" spans="1:27" x14ac:dyDescent="0.4">
      <c r="A993" s="14">
        <f t="shared" si="49"/>
        <v>992</v>
      </c>
      <c r="B993" s="14">
        <v>129</v>
      </c>
      <c r="C993" s="21" t="s">
        <v>2196</v>
      </c>
      <c r="D993" s="14" t="s">
        <v>232</v>
      </c>
      <c r="E993" s="14" t="s">
        <v>141</v>
      </c>
      <c r="G993" s="1" t="str">
        <f>_xlfn.XLOOKUP(B993,M_YT_LIVE!A:A,M_YT_LIVE!F:F,"ERROR",0,1)</f>
        <v>弾き語り</v>
      </c>
      <c r="W993" s="13">
        <f t="shared" si="47"/>
        <v>3990</v>
      </c>
      <c r="X993" s="12" t="str">
        <f>_xlfn.XLOOKUP($B993,M_YT_LIVE!$A:$A,M_YT_LIVE!$D:$D)</f>
        <v>https://www.youtube.com/live/RXbt0OmMVe8?si=zUTwr5vQz3aflRD3</v>
      </c>
      <c r="Z993" s="16" t="str">
        <f>HYPERLINK($X993&amp;SUBSTITUTE(マスタ!$C$3,"XXXXX",$W993))</f>
        <v>https://www.youtube.com/live/RXbt0OmMVe8?si=zUTwr5vQz3aflRD3&amp;t=3990s</v>
      </c>
      <c r="AA993" s="12" t="str">
        <f t="shared" si="48"/>
        <v>ヨルシカチノカテ</v>
      </c>
    </row>
    <row r="994" spans="1:27" x14ac:dyDescent="0.4">
      <c r="A994" s="14">
        <f t="shared" si="49"/>
        <v>993</v>
      </c>
      <c r="B994" s="14">
        <v>129</v>
      </c>
      <c r="C994" s="21" t="s">
        <v>2197</v>
      </c>
      <c r="D994" s="14" t="s">
        <v>140</v>
      </c>
      <c r="E994" s="14" t="s">
        <v>141</v>
      </c>
      <c r="G994" s="1" t="str">
        <f>_xlfn.XLOOKUP(B994,M_YT_LIVE!A:A,M_YT_LIVE!F:F,"ERROR",0,1)</f>
        <v>弾き語り</v>
      </c>
      <c r="W994" s="13">
        <f t="shared" si="47"/>
        <v>4423</v>
      </c>
      <c r="X994" s="12" t="str">
        <f>_xlfn.XLOOKUP($B994,M_YT_LIVE!$A:$A,M_YT_LIVE!$D:$D)</f>
        <v>https://www.youtube.com/live/RXbt0OmMVe8?si=zUTwr5vQz3aflRD3</v>
      </c>
      <c r="Z994" s="16" t="str">
        <f>HYPERLINK($X994&amp;SUBSTITUTE(マスタ!$C$3,"XXXXX",$W994))</f>
        <v>https://www.youtube.com/live/RXbt0OmMVe8?si=zUTwr5vQz3aflRD3&amp;t=4423s</v>
      </c>
      <c r="AA994" s="12" t="str">
        <f t="shared" si="48"/>
        <v>ヨルシカ靴の花火</v>
      </c>
    </row>
    <row r="995" spans="1:27" x14ac:dyDescent="0.4">
      <c r="A995" s="14">
        <f t="shared" si="49"/>
        <v>994</v>
      </c>
      <c r="B995" s="14">
        <v>129</v>
      </c>
      <c r="C995" s="21" t="s">
        <v>2198</v>
      </c>
      <c r="D995" s="14" t="s">
        <v>202</v>
      </c>
      <c r="E995" s="14" t="s">
        <v>141</v>
      </c>
      <c r="G995" s="1" t="str">
        <f>_xlfn.XLOOKUP(B995,M_YT_LIVE!A:A,M_YT_LIVE!F:F,"ERROR",0,1)</f>
        <v>弾き語り</v>
      </c>
      <c r="W995" s="13">
        <f t="shared" si="47"/>
        <v>4845</v>
      </c>
      <c r="X995" s="12" t="str">
        <f>_xlfn.XLOOKUP($B995,M_YT_LIVE!$A:$A,M_YT_LIVE!$D:$D)</f>
        <v>https://www.youtube.com/live/RXbt0OmMVe8?si=zUTwr5vQz3aflRD3</v>
      </c>
      <c r="Z995" s="16" t="str">
        <f>HYPERLINK($X995&amp;SUBSTITUTE(マスタ!$C$3,"XXXXX",$W995))</f>
        <v>https://www.youtube.com/live/RXbt0OmMVe8?si=zUTwr5vQz3aflRD3&amp;t=4845s</v>
      </c>
      <c r="AA995" s="12" t="str">
        <f t="shared" si="48"/>
        <v>ヨルシカノーチラス</v>
      </c>
    </row>
    <row r="996" spans="1:27" x14ac:dyDescent="0.4">
      <c r="A996" s="14">
        <f t="shared" si="49"/>
        <v>995</v>
      </c>
      <c r="B996" s="14">
        <v>129</v>
      </c>
      <c r="C996" s="21" t="s">
        <v>2199</v>
      </c>
      <c r="D996" s="14" t="s">
        <v>207</v>
      </c>
      <c r="E996" s="14" t="s">
        <v>208</v>
      </c>
      <c r="G996" s="1" t="str">
        <f>_xlfn.XLOOKUP(B996,M_YT_LIVE!A:A,M_YT_LIVE!F:F,"ERROR",0,1)</f>
        <v>弾き語り</v>
      </c>
      <c r="W996" s="13">
        <f t="shared" si="47"/>
        <v>5245</v>
      </c>
      <c r="X996" s="12" t="str">
        <f>_xlfn.XLOOKUP($B996,M_YT_LIVE!$A:$A,M_YT_LIVE!$D:$D)</f>
        <v>https://www.youtube.com/live/RXbt0OmMVe8?si=zUTwr5vQz3aflRD3</v>
      </c>
      <c r="Z996" s="16" t="str">
        <f>HYPERLINK($X996&amp;SUBSTITUTE(マスタ!$C$3,"XXXXX",$W996))</f>
        <v>https://www.youtube.com/live/RXbt0OmMVe8?si=zUTwr5vQz3aflRD3&amp;t=5245s</v>
      </c>
      <c r="AA996" s="12" t="str">
        <f t="shared" si="48"/>
        <v>supercellPerfect Day</v>
      </c>
    </row>
    <row r="997" spans="1:27" x14ac:dyDescent="0.4">
      <c r="A997" s="14">
        <f t="shared" si="49"/>
        <v>996</v>
      </c>
      <c r="B997" s="14">
        <v>129</v>
      </c>
      <c r="C997" s="21" t="s">
        <v>2200</v>
      </c>
      <c r="D997" s="14" t="s">
        <v>307</v>
      </c>
      <c r="E997" s="14" t="s">
        <v>208</v>
      </c>
      <c r="G997" s="1" t="str">
        <f>_xlfn.XLOOKUP(B997,M_YT_LIVE!A:A,M_YT_LIVE!F:F,"ERROR",0,1)</f>
        <v>弾き語り</v>
      </c>
      <c r="W997" s="13">
        <f t="shared" si="47"/>
        <v>5659.9999999999991</v>
      </c>
      <c r="X997" s="12" t="str">
        <f>_xlfn.XLOOKUP($B997,M_YT_LIVE!$A:$A,M_YT_LIVE!$D:$D)</f>
        <v>https://www.youtube.com/live/RXbt0OmMVe8?si=zUTwr5vQz3aflRD3</v>
      </c>
      <c r="Z997" s="16" t="str">
        <f>HYPERLINK($X997&amp;SUBSTITUTE(マスタ!$C$3,"XXXXX",$W997))</f>
        <v>https://www.youtube.com/live/RXbt0OmMVe8?si=zUTwr5vQz3aflRD3&amp;t=5660s</v>
      </c>
      <c r="AA997" s="12" t="str">
        <f t="shared" si="48"/>
        <v>supercellうたかた花火</v>
      </c>
    </row>
    <row r="998" spans="1:27" x14ac:dyDescent="0.4">
      <c r="A998" s="14">
        <f t="shared" si="49"/>
        <v>997</v>
      </c>
      <c r="B998" s="14">
        <v>129</v>
      </c>
      <c r="C998" s="21" t="s">
        <v>2201</v>
      </c>
      <c r="D998" s="14" t="s">
        <v>310</v>
      </c>
      <c r="E998" s="14" t="s">
        <v>208</v>
      </c>
      <c r="G998" s="1" t="str">
        <f>_xlfn.XLOOKUP(B998,M_YT_LIVE!A:A,M_YT_LIVE!F:F,"ERROR",0,1)</f>
        <v>弾き語り</v>
      </c>
      <c r="W998" s="13">
        <f t="shared" si="47"/>
        <v>6258</v>
      </c>
      <c r="X998" s="12" t="str">
        <f>_xlfn.XLOOKUP($B998,M_YT_LIVE!$A:$A,M_YT_LIVE!$D:$D)</f>
        <v>https://www.youtube.com/live/RXbt0OmMVe8?si=zUTwr5vQz3aflRD3</v>
      </c>
      <c r="Z998" s="16" t="str">
        <f>HYPERLINK($X998&amp;SUBSTITUTE(マスタ!$C$3,"XXXXX",$W998))</f>
        <v>https://www.youtube.com/live/RXbt0OmMVe8?si=zUTwr5vQz3aflRD3&amp;t=6258s</v>
      </c>
      <c r="AA998" s="12" t="str">
        <f t="shared" si="48"/>
        <v>supercellさよならメモリーズ</v>
      </c>
    </row>
    <row r="999" spans="1:27" x14ac:dyDescent="0.4">
      <c r="A999" s="14">
        <f t="shared" si="49"/>
        <v>998</v>
      </c>
      <c r="B999" s="14">
        <v>131</v>
      </c>
      <c r="C999" s="21" t="s">
        <v>2206</v>
      </c>
      <c r="D999" s="14" t="s">
        <v>227</v>
      </c>
      <c r="E999" s="14" t="s">
        <v>228</v>
      </c>
      <c r="G999" s="1" t="str">
        <f>_xlfn.XLOOKUP(B999,M_YT_LIVE!A:A,M_YT_LIVE!F:F,"ERROR",0,1)</f>
        <v>弾き語り</v>
      </c>
      <c r="W999" s="13">
        <f t="shared" si="47"/>
        <v>313</v>
      </c>
      <c r="X999" s="12" t="str">
        <f>_xlfn.XLOOKUP($B999,M_YT_LIVE!$A:$A,M_YT_LIVE!$D:$D)</f>
        <v>https://www.youtube.com/live/TLhHmBIm5rI?si=VIh-Mx1TlTgHASX4</v>
      </c>
      <c r="Z999" s="16" t="str">
        <f>HYPERLINK($X999&amp;SUBSTITUTE(マスタ!$C$3,"XXXXX",$W999))</f>
        <v>https://www.youtube.com/live/TLhHmBIm5rI?si=VIh-Mx1TlTgHASX4&amp;t=313s</v>
      </c>
      <c r="AA999" s="12" t="str">
        <f t="shared" si="48"/>
        <v>ずっと真夜中でいいのに。Dear Mr 「F」</v>
      </c>
    </row>
    <row r="1000" spans="1:27" x14ac:dyDescent="0.4">
      <c r="A1000" s="14">
        <f t="shared" si="49"/>
        <v>999</v>
      </c>
      <c r="B1000" s="14">
        <v>131</v>
      </c>
      <c r="C1000" s="21" t="s">
        <v>1371</v>
      </c>
      <c r="D1000" s="14" t="s">
        <v>97</v>
      </c>
      <c r="E1000" s="14" t="s">
        <v>98</v>
      </c>
      <c r="G1000" s="1" t="str">
        <f>_xlfn.XLOOKUP(B1000,M_YT_LIVE!A:A,M_YT_LIVE!F:F,"ERROR",0,1)</f>
        <v>弾き語り</v>
      </c>
      <c r="W1000" s="13">
        <f t="shared" si="47"/>
        <v>847</v>
      </c>
      <c r="X1000" s="12" t="str">
        <f>_xlfn.XLOOKUP($B1000,M_YT_LIVE!$A:$A,M_YT_LIVE!$D:$D)</f>
        <v>https://www.youtube.com/live/TLhHmBIm5rI?si=VIh-Mx1TlTgHASX4</v>
      </c>
      <c r="Z1000" s="16" t="str">
        <f>HYPERLINK($X1000&amp;SUBSTITUTE(マスタ!$C$3,"XXXXX",$W1000))</f>
        <v>https://www.youtube.com/live/TLhHmBIm5rI?si=VIh-Mx1TlTgHASX4&amp;t=847s</v>
      </c>
      <c r="AA1000" s="12" t="str">
        <f t="shared" si="48"/>
        <v>Dixie Flatline feat.巡音ルカJust Be Friends</v>
      </c>
    </row>
    <row r="1001" spans="1:27" x14ac:dyDescent="0.4">
      <c r="A1001" s="14">
        <f t="shared" si="49"/>
        <v>1000</v>
      </c>
      <c r="B1001" s="14">
        <v>131</v>
      </c>
      <c r="C1001" s="21" t="s">
        <v>2207</v>
      </c>
      <c r="D1001" s="14" t="s">
        <v>591</v>
      </c>
      <c r="E1001" s="14" t="s">
        <v>338</v>
      </c>
      <c r="G1001" s="1" t="str">
        <f>_xlfn.XLOOKUP(B1001,M_YT_LIVE!A:A,M_YT_LIVE!F:F,"ERROR",0,1)</f>
        <v>弾き語り</v>
      </c>
      <c r="W1001" s="13">
        <f t="shared" si="47"/>
        <v>1497.9999999999998</v>
      </c>
      <c r="X1001" s="12" t="str">
        <f>_xlfn.XLOOKUP($B1001,M_YT_LIVE!$A:$A,M_YT_LIVE!$D:$D)</f>
        <v>https://www.youtube.com/live/TLhHmBIm5rI?si=VIh-Mx1TlTgHASX4</v>
      </c>
      <c r="Z1001" s="16" t="str">
        <f>HYPERLINK($X1001&amp;SUBSTITUTE(マスタ!$C$3,"XXXXX",$W1001))</f>
        <v>https://www.youtube.com/live/TLhHmBIm5rI?si=VIh-Mx1TlTgHASX4&amp;t=1498s</v>
      </c>
      <c r="AA1001" s="12" t="str">
        <f t="shared" si="48"/>
        <v>さユりフラレガイガール</v>
      </c>
    </row>
    <row r="1002" spans="1:27" x14ac:dyDescent="0.4">
      <c r="A1002" s="14">
        <f t="shared" si="49"/>
        <v>1001</v>
      </c>
      <c r="B1002" s="14">
        <v>131</v>
      </c>
      <c r="C1002" s="21" t="s">
        <v>2208</v>
      </c>
      <c r="D1002" s="14" t="s">
        <v>2209</v>
      </c>
      <c r="E1002" s="14" t="s">
        <v>2210</v>
      </c>
      <c r="G1002" s="1" t="str">
        <f>_xlfn.XLOOKUP(B1002,M_YT_LIVE!A:A,M_YT_LIVE!F:F,"ERROR",0,1)</f>
        <v>弾き語り</v>
      </c>
      <c r="W1002" s="13">
        <f t="shared" si="47"/>
        <v>2116</v>
      </c>
      <c r="X1002" s="12" t="str">
        <f>_xlfn.XLOOKUP($B1002,M_YT_LIVE!$A:$A,M_YT_LIVE!$D:$D)</f>
        <v>https://www.youtube.com/live/TLhHmBIm5rI?si=VIh-Mx1TlTgHASX4</v>
      </c>
      <c r="Z1002" s="16" t="str">
        <f>HYPERLINK($X1002&amp;SUBSTITUTE(マスタ!$C$3,"XXXXX",$W1002))</f>
        <v>https://www.youtube.com/live/TLhHmBIm5rI?si=VIh-Mx1TlTgHASX4&amp;t=2116s</v>
      </c>
      <c r="AA1002" s="12" t="str">
        <f t="shared" si="48"/>
        <v>supercell feat.初音ミク初めての恋が終わる時</v>
      </c>
    </row>
    <row r="1003" spans="1:27" x14ac:dyDescent="0.4">
      <c r="A1003" s="14">
        <f t="shared" si="49"/>
        <v>1002</v>
      </c>
      <c r="B1003" s="14">
        <v>131</v>
      </c>
      <c r="C1003" s="21" t="s">
        <v>2211</v>
      </c>
      <c r="D1003" s="14" t="s">
        <v>302</v>
      </c>
      <c r="E1003" s="14" t="s">
        <v>303</v>
      </c>
      <c r="G1003" s="1" t="str">
        <f>_xlfn.XLOOKUP(B1003,M_YT_LIVE!A:A,M_YT_LIVE!F:F,"ERROR",0,1)</f>
        <v>弾き語り</v>
      </c>
      <c r="W1003" s="13">
        <f t="shared" si="47"/>
        <v>2624</v>
      </c>
      <c r="X1003" s="12" t="str">
        <f>_xlfn.XLOOKUP($B1003,M_YT_LIVE!$A:$A,M_YT_LIVE!$D:$D)</f>
        <v>https://www.youtube.com/live/TLhHmBIm5rI?si=VIh-Mx1TlTgHASX4</v>
      </c>
      <c r="Z1003" s="16" t="str">
        <f>HYPERLINK($X1003&amp;SUBSTITUTE(マスタ!$C$3,"XXXXX",$W1003))</f>
        <v>https://www.youtube.com/live/TLhHmBIm5rI?si=VIh-Mx1TlTgHASX4&amp;t=2624s</v>
      </c>
      <c r="AA1003" s="12" t="str">
        <f t="shared" si="48"/>
        <v>Kemu feat.Gumi地球最後の告白を</v>
      </c>
    </row>
    <row r="1004" spans="1:27" x14ac:dyDescent="0.4">
      <c r="A1004" s="14">
        <f t="shared" si="49"/>
        <v>1003</v>
      </c>
      <c r="B1004" s="14">
        <v>131</v>
      </c>
      <c r="C1004" s="21" t="s">
        <v>2212</v>
      </c>
      <c r="D1004" s="14" t="s">
        <v>326</v>
      </c>
      <c r="E1004" s="14" t="s">
        <v>327</v>
      </c>
      <c r="G1004" s="1" t="str">
        <f>_xlfn.XLOOKUP(B1004,M_YT_LIVE!A:A,M_YT_LIVE!F:F,"ERROR",0,1)</f>
        <v>弾き語り</v>
      </c>
      <c r="W1004" s="13">
        <f t="shared" si="47"/>
        <v>3139</v>
      </c>
      <c r="X1004" s="12" t="str">
        <f>_xlfn.XLOOKUP($B1004,M_YT_LIVE!$A:$A,M_YT_LIVE!$D:$D)</f>
        <v>https://www.youtube.com/live/TLhHmBIm5rI?si=VIh-Mx1TlTgHASX4</v>
      </c>
      <c r="Z1004" s="16" t="str">
        <f>HYPERLINK($X1004&amp;SUBSTITUTE(マスタ!$C$3,"XXXXX",$W1004))</f>
        <v>https://www.youtube.com/live/TLhHmBIm5rI?si=VIh-Mx1TlTgHASX4&amp;t=3139s</v>
      </c>
      <c r="AA1004" s="12" t="str">
        <f t="shared" si="48"/>
        <v>レミオロメン粉雪</v>
      </c>
    </row>
    <row r="1005" spans="1:27" x14ac:dyDescent="0.4">
      <c r="A1005" s="14">
        <f t="shared" si="49"/>
        <v>1004</v>
      </c>
      <c r="B1005" s="14">
        <v>131</v>
      </c>
      <c r="C1005" s="21" t="s">
        <v>2213</v>
      </c>
      <c r="D1005" s="14" t="s">
        <v>2214</v>
      </c>
      <c r="E1005" s="14" t="s">
        <v>2215</v>
      </c>
      <c r="G1005" s="1" t="str">
        <f>_xlfn.XLOOKUP(B1005,M_YT_LIVE!A:A,M_YT_LIVE!F:F,"ERROR",0,1)</f>
        <v>弾き語り</v>
      </c>
      <c r="W1005" s="13">
        <f t="shared" si="47"/>
        <v>3645.0000000000005</v>
      </c>
      <c r="X1005" s="12" t="str">
        <f>_xlfn.XLOOKUP($B1005,M_YT_LIVE!$A:$A,M_YT_LIVE!$D:$D)</f>
        <v>https://www.youtube.com/live/TLhHmBIm5rI?si=VIh-Mx1TlTgHASX4</v>
      </c>
      <c r="Z1005" s="16" t="str">
        <f>HYPERLINK($X1005&amp;SUBSTITUTE(マスタ!$C$3,"XXXXX",$W1005))</f>
        <v>https://www.youtube.com/live/TLhHmBIm5rI?si=VIh-Mx1TlTgHASX4&amp;t=3645s</v>
      </c>
      <c r="AA1005" s="12" t="str">
        <f t="shared" si="48"/>
        <v>桑田佳祐白い恋人達</v>
      </c>
    </row>
    <row r="1006" spans="1:27" x14ac:dyDescent="0.4">
      <c r="A1006" s="14">
        <f t="shared" si="49"/>
        <v>1005</v>
      </c>
      <c r="B1006" s="14">
        <v>131</v>
      </c>
      <c r="C1006" s="21" t="s">
        <v>2216</v>
      </c>
      <c r="D1006" s="14" t="s">
        <v>2217</v>
      </c>
      <c r="E1006" s="14" t="s">
        <v>2218</v>
      </c>
      <c r="G1006" s="1" t="str">
        <f>_xlfn.XLOOKUP(B1006,M_YT_LIVE!A:A,M_YT_LIVE!F:F,"ERROR",0,1)</f>
        <v>弾き語り</v>
      </c>
      <c r="W1006" s="13">
        <f t="shared" si="47"/>
        <v>4200</v>
      </c>
      <c r="X1006" s="12" t="str">
        <f>_xlfn.XLOOKUP($B1006,M_YT_LIVE!$A:$A,M_YT_LIVE!$D:$D)</f>
        <v>https://www.youtube.com/live/TLhHmBIm5rI?si=VIh-Mx1TlTgHASX4</v>
      </c>
      <c r="Z1006" s="16" t="str">
        <f>HYPERLINK($X1006&amp;SUBSTITUTE(マスタ!$C$3,"XXXXX",$W1006))</f>
        <v>https://www.youtube.com/live/TLhHmBIm5rI?si=VIh-Mx1TlTgHASX4&amp;t=4200s</v>
      </c>
      <c r="AA1006" s="12" t="str">
        <f t="shared" si="48"/>
        <v>keeno feat.初音ミクglow</v>
      </c>
    </row>
    <row r="1007" spans="1:27" x14ac:dyDescent="0.4">
      <c r="A1007" s="14">
        <f t="shared" si="49"/>
        <v>1006</v>
      </c>
      <c r="B1007" s="14">
        <v>131</v>
      </c>
      <c r="C1007" s="21" t="s">
        <v>2219</v>
      </c>
      <c r="D1007" s="14" t="s">
        <v>637</v>
      </c>
      <c r="E1007" s="14" t="s">
        <v>135</v>
      </c>
      <c r="G1007" s="1" t="str">
        <f>_xlfn.XLOOKUP(B1007,M_YT_LIVE!A:A,M_YT_LIVE!F:F,"ERROR",0,1)</f>
        <v>弾き語り</v>
      </c>
      <c r="W1007" s="13">
        <f t="shared" si="47"/>
        <v>4765</v>
      </c>
      <c r="X1007" s="12" t="str">
        <f>_xlfn.XLOOKUP($B1007,M_YT_LIVE!$A:$A,M_YT_LIVE!$D:$D)</f>
        <v>https://www.youtube.com/live/TLhHmBIm5rI?si=VIh-Mx1TlTgHASX4</v>
      </c>
      <c r="Z1007" s="16" t="str">
        <f>HYPERLINK($X1007&amp;SUBSTITUTE(マスタ!$C$3,"XXXXX",$W1007))</f>
        <v>https://www.youtube.com/live/TLhHmBIm5rI?si=VIh-Mx1TlTgHASX4&amp;t=4765s</v>
      </c>
      <c r="AA1007" s="12" t="str">
        <f t="shared" si="48"/>
        <v>EGOISTAll Alone With You</v>
      </c>
    </row>
    <row r="1008" spans="1:27" x14ac:dyDescent="0.4">
      <c r="A1008" s="14">
        <f t="shared" si="49"/>
        <v>1007</v>
      </c>
      <c r="B1008" s="14">
        <v>131</v>
      </c>
      <c r="C1008" s="21" t="s">
        <v>2220</v>
      </c>
      <c r="D1008" s="14" t="s">
        <v>2221</v>
      </c>
      <c r="E1008" s="14" t="s">
        <v>135</v>
      </c>
      <c r="G1008" s="1" t="str">
        <f>_xlfn.XLOOKUP(B1008,M_YT_LIVE!A:A,M_YT_LIVE!F:F,"ERROR",0,1)</f>
        <v>弾き語り</v>
      </c>
      <c r="W1008" s="13">
        <f t="shared" si="47"/>
        <v>5258</v>
      </c>
      <c r="X1008" s="12" t="str">
        <f>_xlfn.XLOOKUP($B1008,M_YT_LIVE!$A:$A,M_YT_LIVE!$D:$D)</f>
        <v>https://www.youtube.com/live/TLhHmBIm5rI?si=VIh-Mx1TlTgHASX4</v>
      </c>
      <c r="Z1008" s="16" t="str">
        <f>HYPERLINK($X1008&amp;SUBSTITUTE(マスタ!$C$3,"XXXXX",$W1008))</f>
        <v>https://www.youtube.com/live/TLhHmBIm5rI?si=VIh-Mx1TlTgHASX4&amp;t=5258s</v>
      </c>
      <c r="AA1008" s="12" t="str">
        <f t="shared" si="48"/>
        <v>EGOISTDepartures ～あなたにおくるアイの歌～</v>
      </c>
    </row>
    <row r="1009" spans="1:27" x14ac:dyDescent="0.4">
      <c r="A1009" s="14">
        <f t="shared" si="49"/>
        <v>1008</v>
      </c>
      <c r="B1009" s="14">
        <v>131</v>
      </c>
      <c r="C1009" s="21" t="s">
        <v>2222</v>
      </c>
      <c r="D1009" s="14" t="s">
        <v>234</v>
      </c>
      <c r="E1009" s="14" t="s">
        <v>135</v>
      </c>
      <c r="G1009" s="1" t="str">
        <f>_xlfn.XLOOKUP(B1009,M_YT_LIVE!A:A,M_YT_LIVE!F:F,"ERROR",0,1)</f>
        <v>弾き語り</v>
      </c>
      <c r="W1009" s="13">
        <f t="shared" si="47"/>
        <v>5674.9999999999991</v>
      </c>
      <c r="X1009" s="12" t="str">
        <f>_xlfn.XLOOKUP($B1009,M_YT_LIVE!$A:$A,M_YT_LIVE!$D:$D)</f>
        <v>https://www.youtube.com/live/TLhHmBIm5rI?si=VIh-Mx1TlTgHASX4</v>
      </c>
      <c r="Z1009" s="16" t="str">
        <f>HYPERLINK($X1009&amp;SUBSTITUTE(マスタ!$C$3,"XXXXX",$W1009))</f>
        <v>https://www.youtube.com/live/TLhHmBIm5rI?si=VIh-Mx1TlTgHASX4&amp;t=5675s</v>
      </c>
      <c r="AA1009" s="12" t="str">
        <f t="shared" si="48"/>
        <v>EGOISTPlanetes</v>
      </c>
    </row>
    <row r="1010" spans="1:27" x14ac:dyDescent="0.4">
      <c r="A1010" s="14">
        <f t="shared" si="49"/>
        <v>1009</v>
      </c>
      <c r="B1010" s="14">
        <v>131</v>
      </c>
      <c r="C1010" s="21" t="s">
        <v>2223</v>
      </c>
      <c r="D1010" s="14" t="s">
        <v>194</v>
      </c>
      <c r="E1010" s="14" t="s">
        <v>195</v>
      </c>
      <c r="G1010" s="1" t="str">
        <f>_xlfn.XLOOKUP(B1010,M_YT_LIVE!A:A,M_YT_LIVE!F:F,"ERROR",0,1)</f>
        <v>弾き語り</v>
      </c>
      <c r="W1010" s="13">
        <f t="shared" si="47"/>
        <v>6186.0000000000009</v>
      </c>
      <c r="X1010" s="12" t="str">
        <f>_xlfn.XLOOKUP($B1010,M_YT_LIVE!$A:$A,M_YT_LIVE!$D:$D)</f>
        <v>https://www.youtube.com/live/TLhHmBIm5rI?si=VIh-Mx1TlTgHASX4</v>
      </c>
      <c r="Z1010" s="16" t="str">
        <f>HYPERLINK($X1010&amp;SUBSTITUTE(マスタ!$C$3,"XXXXX",$W1010))</f>
        <v>https://www.youtube.com/live/TLhHmBIm5rI?si=VIh-Mx1TlTgHASX4&amp;t=6186s</v>
      </c>
      <c r="AA1010" s="12" t="str">
        <f t="shared" si="48"/>
        <v>やなぎなぎユキトキ</v>
      </c>
    </row>
    <row r="1011" spans="1:27" x14ac:dyDescent="0.4">
      <c r="A1011" s="14">
        <f t="shared" si="49"/>
        <v>1010</v>
      </c>
      <c r="B1011" s="14">
        <v>131</v>
      </c>
      <c r="C1011" s="21" t="s">
        <v>2224</v>
      </c>
      <c r="D1011" s="14" t="s">
        <v>1397</v>
      </c>
      <c r="E1011" s="14" t="s">
        <v>2225</v>
      </c>
      <c r="G1011" s="1" t="str">
        <f>_xlfn.XLOOKUP(B1011,M_YT_LIVE!A:A,M_YT_LIVE!F:F,"ERROR",0,1)</f>
        <v>弾き語り</v>
      </c>
      <c r="W1011" s="13">
        <f t="shared" si="47"/>
        <v>6696</v>
      </c>
      <c r="X1011" s="12" t="str">
        <f>_xlfn.XLOOKUP($B1011,M_YT_LIVE!$A:$A,M_YT_LIVE!$D:$D)</f>
        <v>https://www.youtube.com/live/TLhHmBIm5rI?si=VIh-Mx1TlTgHASX4</v>
      </c>
      <c r="Z1011" s="16" t="str">
        <f>HYPERLINK($X1011&amp;SUBSTITUTE(マスタ!$C$3,"XXXXX",$W1011))</f>
        <v>https://www.youtube.com/live/TLhHmBIm5rI?si=VIh-Mx1TlTgHASX4&amp;t=6696s</v>
      </c>
      <c r="AA1011" s="12" t="str">
        <f t="shared" si="48"/>
        <v>［Alexandros］SNOW SOUND</v>
      </c>
    </row>
    <row r="1012" spans="1:27" x14ac:dyDescent="0.4">
      <c r="A1012" s="14">
        <f t="shared" si="49"/>
        <v>1011</v>
      </c>
      <c r="B1012" s="14">
        <v>131</v>
      </c>
      <c r="C1012" s="21" t="s">
        <v>2226</v>
      </c>
      <c r="D1012" s="14" t="s">
        <v>114</v>
      </c>
      <c r="E1012" s="14" t="s">
        <v>115</v>
      </c>
      <c r="G1012" s="1" t="str">
        <f>_xlfn.XLOOKUP(B1012,M_YT_LIVE!A:A,M_YT_LIVE!F:F,"ERROR",0,1)</f>
        <v>弾き語り</v>
      </c>
      <c r="W1012" s="13">
        <f t="shared" si="47"/>
        <v>7114</v>
      </c>
      <c r="X1012" s="12" t="str">
        <f>_xlfn.XLOOKUP($B1012,M_YT_LIVE!$A:$A,M_YT_LIVE!$D:$D)</f>
        <v>https://www.youtube.com/live/TLhHmBIm5rI?si=VIh-Mx1TlTgHASX4</v>
      </c>
      <c r="Z1012" s="16" t="str">
        <f>HYPERLINK($X1012&amp;SUBSTITUTE(マスタ!$C$3,"XXXXX",$W1012))</f>
        <v>https://www.youtube.com/live/TLhHmBIm5rI?si=VIh-Mx1TlTgHASX4&amp;t=7114s</v>
      </c>
      <c r="AA1012" s="12" t="str">
        <f t="shared" si="48"/>
        <v>ジミーサムP feat.初音ミクCalc.</v>
      </c>
    </row>
    <row r="1013" spans="1:27" x14ac:dyDescent="0.4">
      <c r="A1013" s="14">
        <f t="shared" si="49"/>
        <v>1012</v>
      </c>
      <c r="B1013" s="14">
        <v>131</v>
      </c>
      <c r="C1013" s="21" t="s">
        <v>2227</v>
      </c>
      <c r="D1013" s="14" t="s">
        <v>165</v>
      </c>
      <c r="E1013" s="14" t="s">
        <v>118</v>
      </c>
      <c r="G1013" s="1" t="str">
        <f>_xlfn.XLOOKUP(B1013,M_YT_LIVE!A:A,M_YT_LIVE!F:F,"ERROR",0,1)</f>
        <v>弾き語り</v>
      </c>
      <c r="W1013" s="13">
        <f t="shared" si="47"/>
        <v>7513</v>
      </c>
      <c r="X1013" s="12" t="str">
        <f>_xlfn.XLOOKUP($B1013,M_YT_LIVE!$A:$A,M_YT_LIVE!$D:$D)</f>
        <v>https://www.youtube.com/live/TLhHmBIm5rI?si=VIh-Mx1TlTgHASX4</v>
      </c>
      <c r="Z1013" s="16" t="str">
        <f>HYPERLINK($X1013&amp;SUBSTITUTE(マスタ!$C$3,"XXXXX",$W1013))</f>
        <v>https://www.youtube.com/live/TLhHmBIm5rI?si=VIh-Mx1TlTgHASX4&amp;t=7513s</v>
      </c>
      <c r="AA1013" s="12" t="str">
        <f t="shared" si="48"/>
        <v>Orangestar feat.初音ミク回る空うさぎ</v>
      </c>
    </row>
    <row r="1014" spans="1:27" x14ac:dyDescent="0.4">
      <c r="A1014" s="14">
        <f t="shared" si="49"/>
        <v>1013</v>
      </c>
      <c r="B1014" s="14">
        <v>132</v>
      </c>
      <c r="C1014" s="21" t="s">
        <v>2206</v>
      </c>
      <c r="D1014" s="14" t="s">
        <v>2042</v>
      </c>
      <c r="E1014" s="14" t="s">
        <v>138</v>
      </c>
      <c r="G1014" s="1" t="str">
        <f>_xlfn.XLOOKUP(B1014,M_YT_LIVE!A:A,M_YT_LIVE!F:F,"ERROR",0,1)</f>
        <v>弾き語り</v>
      </c>
      <c r="W1014" s="13">
        <f t="shared" si="47"/>
        <v>313</v>
      </c>
      <c r="X1014" s="12" t="str">
        <f>_xlfn.XLOOKUP($B1014,M_YT_LIVE!$A:$A,M_YT_LIVE!$D:$D)</f>
        <v>https://www.youtube.com/live/svcUFFcJrHE?si=j83cuHNyk6QwuYkQ</v>
      </c>
      <c r="Z1014" s="16" t="str">
        <f>HYPERLINK($X1014&amp;SUBSTITUTE(マスタ!$C$3,"XXXXX",$W1014))</f>
        <v>https://www.youtube.com/live/svcUFFcJrHE?si=j83cuHNyk6QwuYkQ&amp;t=313s</v>
      </c>
      <c r="AA1014" s="12" t="str">
        <f t="shared" si="48"/>
        <v>ポルカドットスティングレイ阿吽</v>
      </c>
    </row>
    <row r="1015" spans="1:27" x14ac:dyDescent="0.4">
      <c r="A1015" s="14">
        <f t="shared" si="49"/>
        <v>1014</v>
      </c>
      <c r="B1015" s="14">
        <v>132</v>
      </c>
      <c r="C1015" s="21" t="s">
        <v>2230</v>
      </c>
      <c r="D1015" s="14" t="s">
        <v>1833</v>
      </c>
      <c r="E1015" s="14" t="s">
        <v>138</v>
      </c>
      <c r="G1015" s="1" t="str">
        <f>_xlfn.XLOOKUP(B1015,M_YT_LIVE!A:A,M_YT_LIVE!F:F,"ERROR",0,1)</f>
        <v>弾き語り</v>
      </c>
      <c r="W1015" s="13">
        <f t="shared" si="47"/>
        <v>679.99999999999989</v>
      </c>
      <c r="X1015" s="12" t="str">
        <f>_xlfn.XLOOKUP($B1015,M_YT_LIVE!$A:$A,M_YT_LIVE!$D:$D)</f>
        <v>https://www.youtube.com/live/svcUFFcJrHE?si=j83cuHNyk6QwuYkQ</v>
      </c>
      <c r="Z1015" s="16" t="str">
        <f>HYPERLINK($X1015&amp;SUBSTITUTE(マスタ!$C$3,"XXXXX",$W1015))</f>
        <v>https://www.youtube.com/live/svcUFFcJrHE?si=j83cuHNyk6QwuYkQ&amp;t=680s</v>
      </c>
      <c r="AA1015" s="12" t="str">
        <f t="shared" si="48"/>
        <v>ポルカドットスティングレイ化身</v>
      </c>
    </row>
    <row r="1016" spans="1:27" x14ac:dyDescent="0.4">
      <c r="A1016" s="14">
        <f t="shared" si="49"/>
        <v>1015</v>
      </c>
      <c r="B1016" s="14">
        <v>132</v>
      </c>
      <c r="C1016" s="21" t="s">
        <v>2231</v>
      </c>
      <c r="D1016" s="14" t="s">
        <v>363</v>
      </c>
      <c r="E1016" s="14" t="s">
        <v>298</v>
      </c>
      <c r="G1016" s="1" t="str">
        <f>_xlfn.XLOOKUP(B1016,M_YT_LIVE!A:A,M_YT_LIVE!F:F,"ERROR",0,1)</f>
        <v>弾き語り</v>
      </c>
      <c r="W1016" s="13">
        <f t="shared" si="47"/>
        <v>1038</v>
      </c>
      <c r="X1016" s="12" t="str">
        <f>_xlfn.XLOOKUP($B1016,M_YT_LIVE!$A:$A,M_YT_LIVE!$D:$D)</f>
        <v>https://www.youtube.com/live/svcUFFcJrHE?si=j83cuHNyk6QwuYkQ</v>
      </c>
      <c r="Z1016" s="16" t="str">
        <f>HYPERLINK($X1016&amp;SUBSTITUTE(マスタ!$C$3,"XXXXX",$W1016))</f>
        <v>https://www.youtube.com/live/svcUFFcJrHE?si=j83cuHNyk6QwuYkQ&amp;t=1038s</v>
      </c>
      <c r="AA1016" s="12" t="str">
        <f t="shared" si="48"/>
        <v>あいみょんハルノヒ</v>
      </c>
    </row>
    <row r="1017" spans="1:27" x14ac:dyDescent="0.4">
      <c r="A1017" s="14">
        <f t="shared" si="49"/>
        <v>1016</v>
      </c>
      <c r="B1017" s="14">
        <v>132</v>
      </c>
      <c r="C1017" s="21" t="s">
        <v>2232</v>
      </c>
      <c r="D1017" s="14" t="s">
        <v>199</v>
      </c>
      <c r="E1017" s="14" t="s">
        <v>200</v>
      </c>
      <c r="G1017" s="1" t="str">
        <f>_xlfn.XLOOKUP(B1017,M_YT_LIVE!A:A,M_YT_LIVE!F:F,"ERROR",0,1)</f>
        <v>弾き語り</v>
      </c>
      <c r="W1017" s="13">
        <f t="shared" si="47"/>
        <v>1565</v>
      </c>
      <c r="X1017" s="12" t="str">
        <f>_xlfn.XLOOKUP($B1017,M_YT_LIVE!$A:$A,M_YT_LIVE!$D:$D)</f>
        <v>https://www.youtube.com/live/svcUFFcJrHE?si=j83cuHNyk6QwuYkQ</v>
      </c>
      <c r="Z1017" s="16" t="str">
        <f>HYPERLINK($X1017&amp;SUBSTITUTE(マスタ!$C$3,"XXXXX",$W1017))</f>
        <v>https://www.youtube.com/live/svcUFFcJrHE?si=j83cuHNyk6QwuYkQ&amp;t=1565s</v>
      </c>
      <c r="AA1017" s="12" t="str">
        <f t="shared" si="48"/>
        <v>緑黄色社会sabotage</v>
      </c>
    </row>
    <row r="1018" spans="1:27" x14ac:dyDescent="0.4">
      <c r="A1018" s="14">
        <f t="shared" si="49"/>
        <v>1017</v>
      </c>
      <c r="B1018" s="14">
        <v>132</v>
      </c>
      <c r="C1018" s="21" t="s">
        <v>2233</v>
      </c>
      <c r="D1018" s="14" t="s">
        <v>2234</v>
      </c>
      <c r="E1018" s="14" t="s">
        <v>183</v>
      </c>
      <c r="G1018" s="1" t="str">
        <f>_xlfn.XLOOKUP(B1018,M_YT_LIVE!A:A,M_YT_LIVE!F:F,"ERROR",0,1)</f>
        <v>弾き語り</v>
      </c>
      <c r="W1018" s="13">
        <f t="shared" si="47"/>
        <v>1978</v>
      </c>
      <c r="X1018" s="12" t="str">
        <f>_xlfn.XLOOKUP($B1018,M_YT_LIVE!$A:$A,M_YT_LIVE!$D:$D)</f>
        <v>https://www.youtube.com/live/svcUFFcJrHE?si=j83cuHNyk6QwuYkQ</v>
      </c>
      <c r="Z1018" s="16" t="str">
        <f>HYPERLINK($X1018&amp;SUBSTITUTE(マスタ!$C$3,"XXXXX",$W1018))</f>
        <v>https://www.youtube.com/live/svcUFFcJrHE?si=j83cuHNyk6QwuYkQ&amp;t=1978s</v>
      </c>
      <c r="AA1018" s="12" t="str">
        <f t="shared" si="48"/>
        <v>クリープハイプ寝癖</v>
      </c>
    </row>
    <row r="1019" spans="1:27" x14ac:dyDescent="0.4">
      <c r="A1019" s="14">
        <f t="shared" si="49"/>
        <v>1018</v>
      </c>
      <c r="B1019" s="14">
        <v>132</v>
      </c>
      <c r="C1019" s="21" t="s">
        <v>2235</v>
      </c>
      <c r="D1019" s="14" t="s">
        <v>29</v>
      </c>
      <c r="E1019" s="14" t="s">
        <v>183</v>
      </c>
      <c r="G1019" s="1" t="str">
        <f>_xlfn.XLOOKUP(B1019,M_YT_LIVE!A:A,M_YT_LIVE!F:F,"ERROR",0,1)</f>
        <v>弾き語り</v>
      </c>
      <c r="W1019" s="13">
        <f t="shared" si="47"/>
        <v>2448</v>
      </c>
      <c r="X1019" s="12" t="str">
        <f>_xlfn.XLOOKUP($B1019,M_YT_LIVE!$A:$A,M_YT_LIVE!$D:$D)</f>
        <v>https://www.youtube.com/live/svcUFFcJrHE?si=j83cuHNyk6QwuYkQ</v>
      </c>
      <c r="Z1019" s="16" t="str">
        <f>HYPERLINK($X1019&amp;SUBSTITUTE(マスタ!$C$3,"XXXXX",$W1019))</f>
        <v>https://www.youtube.com/live/svcUFFcJrHE?si=j83cuHNyk6QwuYkQ&amp;t=2448s</v>
      </c>
      <c r="AA1019" s="12" t="str">
        <f t="shared" si="48"/>
        <v>クリープハイプ憂、燦々</v>
      </c>
    </row>
    <row r="1020" spans="1:27" x14ac:dyDescent="0.4">
      <c r="A1020" s="14">
        <f t="shared" si="49"/>
        <v>1019</v>
      </c>
      <c r="B1020" s="14">
        <v>132</v>
      </c>
      <c r="C1020" s="21" t="s">
        <v>1154</v>
      </c>
      <c r="D1020" s="14" t="s">
        <v>1035</v>
      </c>
      <c r="E1020" s="14" t="s">
        <v>1036</v>
      </c>
      <c r="G1020" s="1" t="str">
        <f>_xlfn.XLOOKUP(B1020,M_YT_LIVE!A:A,M_YT_LIVE!F:F,"ERROR",0,1)</f>
        <v>弾き語り</v>
      </c>
      <c r="W1020" s="13">
        <f t="shared" si="47"/>
        <v>2951</v>
      </c>
      <c r="X1020" s="12" t="str">
        <f>_xlfn.XLOOKUP($B1020,M_YT_LIVE!$A:$A,M_YT_LIVE!$D:$D)</f>
        <v>https://www.youtube.com/live/svcUFFcJrHE?si=j83cuHNyk6QwuYkQ</v>
      </c>
      <c r="Z1020" s="16" t="str">
        <f>HYPERLINK($X1020&amp;SUBSTITUTE(マスタ!$C$3,"XXXXX",$W1020))</f>
        <v>https://www.youtube.com/live/svcUFFcJrHE?si=j83cuHNyk6QwuYkQ&amp;t=2951s</v>
      </c>
      <c r="AA1020" s="12" t="str">
        <f t="shared" si="48"/>
        <v>Ayase feat.初音ミク幽霊東京</v>
      </c>
    </row>
    <row r="1021" spans="1:27" x14ac:dyDescent="0.4">
      <c r="A1021" s="14">
        <f t="shared" si="49"/>
        <v>1020</v>
      </c>
      <c r="B1021" s="14">
        <v>132</v>
      </c>
      <c r="C1021" s="21" t="s">
        <v>2236</v>
      </c>
      <c r="D1021" s="14" t="s">
        <v>829</v>
      </c>
      <c r="E1021" s="14" t="s">
        <v>208</v>
      </c>
      <c r="G1021" s="1" t="str">
        <f>_xlfn.XLOOKUP(B1021,M_YT_LIVE!A:A,M_YT_LIVE!F:F,"ERROR",0,1)</f>
        <v>弾き語り</v>
      </c>
      <c r="W1021" s="13">
        <f t="shared" si="47"/>
        <v>3455</v>
      </c>
      <c r="X1021" s="12" t="str">
        <f>_xlfn.XLOOKUP($B1021,M_YT_LIVE!$A:$A,M_YT_LIVE!$D:$D)</f>
        <v>https://www.youtube.com/live/svcUFFcJrHE?si=j83cuHNyk6QwuYkQ</v>
      </c>
      <c r="Z1021" s="16" t="str">
        <f>HYPERLINK($X1021&amp;SUBSTITUTE(マスタ!$C$3,"XXXXX",$W1021))</f>
        <v>https://www.youtube.com/live/svcUFFcJrHE?si=j83cuHNyk6QwuYkQ&amp;t=3455s</v>
      </c>
      <c r="AA1021" s="12" t="str">
        <f t="shared" si="48"/>
        <v>supercellLove&amp;Roll</v>
      </c>
    </row>
    <row r="1022" spans="1:27" x14ac:dyDescent="0.4">
      <c r="A1022" s="14">
        <f t="shared" si="49"/>
        <v>1021</v>
      </c>
      <c r="B1022" s="14">
        <v>132</v>
      </c>
      <c r="C1022" s="21" t="s">
        <v>2237</v>
      </c>
      <c r="D1022" s="14" t="s">
        <v>789</v>
      </c>
      <c r="E1022" s="14" t="s">
        <v>790</v>
      </c>
      <c r="G1022" s="1" t="str">
        <f>_xlfn.XLOOKUP(B1022,M_YT_LIVE!A:A,M_YT_LIVE!F:F,"ERROR",0,1)</f>
        <v>弾き語り</v>
      </c>
      <c r="W1022" s="13">
        <f t="shared" si="47"/>
        <v>3892.0000000000005</v>
      </c>
      <c r="X1022" s="12" t="str">
        <f>_xlfn.XLOOKUP($B1022,M_YT_LIVE!$A:$A,M_YT_LIVE!$D:$D)</f>
        <v>https://www.youtube.com/live/svcUFFcJrHE?si=j83cuHNyk6QwuYkQ</v>
      </c>
      <c r="Z1022" s="16" t="str">
        <f>HYPERLINK($X1022&amp;SUBSTITUTE(マスタ!$C$3,"XXXXX",$W1022))</f>
        <v>https://www.youtube.com/live/svcUFFcJrHE?si=j83cuHNyk6QwuYkQ&amp;t=3892s</v>
      </c>
      <c r="AA1022" s="12" t="str">
        <f t="shared" si="48"/>
        <v>CHiCO with HoneyWorksカヌレ</v>
      </c>
    </row>
    <row r="1023" spans="1:27" x14ac:dyDescent="0.4">
      <c r="A1023" s="14">
        <f t="shared" si="49"/>
        <v>1022</v>
      </c>
      <c r="B1023" s="14">
        <v>132</v>
      </c>
      <c r="C1023" s="21" t="s">
        <v>2238</v>
      </c>
      <c r="D1023" s="14" t="s">
        <v>312</v>
      </c>
      <c r="E1023" s="14" t="s">
        <v>208</v>
      </c>
      <c r="G1023" s="1" t="str">
        <f>_xlfn.XLOOKUP(B1023,M_YT_LIVE!A:A,M_YT_LIVE!F:F,"ERROR",0,1)</f>
        <v>弾き語り</v>
      </c>
      <c r="W1023" s="13">
        <f t="shared" si="47"/>
        <v>4350</v>
      </c>
      <c r="X1023" s="12" t="str">
        <f>_xlfn.XLOOKUP($B1023,M_YT_LIVE!$A:$A,M_YT_LIVE!$D:$D)</f>
        <v>https://www.youtube.com/live/svcUFFcJrHE?si=j83cuHNyk6QwuYkQ</v>
      </c>
      <c r="Z1023" s="16" t="str">
        <f>HYPERLINK($X1023&amp;SUBSTITUTE(マスタ!$C$3,"XXXXX",$W1023))</f>
        <v>https://www.youtube.com/live/svcUFFcJrHE?si=j83cuHNyk6QwuYkQ&amp;t=4350s</v>
      </c>
      <c r="AA1023" s="12" t="str">
        <f t="shared" si="48"/>
        <v>supercellリルモア</v>
      </c>
    </row>
    <row r="1024" spans="1:27" x14ac:dyDescent="0.4">
      <c r="A1024" s="14">
        <f t="shared" si="49"/>
        <v>1023</v>
      </c>
      <c r="B1024" s="14">
        <v>132</v>
      </c>
      <c r="C1024" s="21" t="s">
        <v>2239</v>
      </c>
      <c r="D1024" s="14" t="s">
        <v>1457</v>
      </c>
      <c r="E1024" s="14" t="s">
        <v>1193</v>
      </c>
      <c r="G1024" s="1" t="str">
        <f>_xlfn.XLOOKUP(B1024,M_YT_LIVE!A:A,M_YT_LIVE!F:F,"ERROR",0,1)</f>
        <v>弾き語り</v>
      </c>
      <c r="W1024" s="13">
        <f t="shared" si="47"/>
        <v>4906</v>
      </c>
      <c r="X1024" s="12" t="str">
        <f>_xlfn.XLOOKUP($B1024,M_YT_LIVE!$A:$A,M_YT_LIVE!$D:$D)</f>
        <v>https://www.youtube.com/live/svcUFFcJrHE?si=j83cuHNyk6QwuYkQ</v>
      </c>
      <c r="Z1024" s="16" t="str">
        <f>HYPERLINK($X1024&amp;SUBSTITUTE(マスタ!$C$3,"XXXXX",$W1024))</f>
        <v>https://www.youtube.com/live/svcUFFcJrHE?si=j83cuHNyk6QwuYkQ&amp;t=4906s</v>
      </c>
      <c r="AA1024" s="12" t="str">
        <f t="shared" si="48"/>
        <v>サカナクションミュージック</v>
      </c>
    </row>
    <row r="1025" spans="1:27" x14ac:dyDescent="0.4">
      <c r="A1025" s="14">
        <f t="shared" si="49"/>
        <v>1024</v>
      </c>
      <c r="B1025" s="14">
        <v>132</v>
      </c>
      <c r="C1025" s="21" t="s">
        <v>2240</v>
      </c>
      <c r="D1025" s="14" t="s">
        <v>831</v>
      </c>
      <c r="E1025" s="14" t="s">
        <v>832</v>
      </c>
      <c r="G1025" s="1" t="str">
        <f>_xlfn.XLOOKUP(B1025,M_YT_LIVE!A:A,M_YT_LIVE!F:F,"ERROR",0,1)</f>
        <v>弾き語り</v>
      </c>
      <c r="W1025" s="13">
        <f t="shared" si="47"/>
        <v>5583</v>
      </c>
      <c r="X1025" s="12" t="str">
        <f>_xlfn.XLOOKUP($B1025,M_YT_LIVE!$A:$A,M_YT_LIVE!$D:$D)</f>
        <v>https://www.youtube.com/live/svcUFFcJrHE?si=j83cuHNyk6QwuYkQ</v>
      </c>
      <c r="Z1025" s="16" t="str">
        <f>HYPERLINK($X1025&amp;SUBSTITUTE(マスタ!$C$3,"XXXXX",$W1025))</f>
        <v>https://www.youtube.com/live/svcUFFcJrHE?si=j83cuHNyk6QwuYkQ&amp;t=5583s</v>
      </c>
      <c r="AA1025" s="12" t="str">
        <f t="shared" si="48"/>
        <v>ryo feat.chellyGreat distance</v>
      </c>
    </row>
    <row r="1026" spans="1:27" x14ac:dyDescent="0.4">
      <c r="A1026" s="14">
        <f t="shared" si="49"/>
        <v>1025</v>
      </c>
      <c r="B1026" s="14">
        <v>132</v>
      </c>
      <c r="C1026" s="21" t="s">
        <v>2241</v>
      </c>
      <c r="D1026" s="14" t="s">
        <v>1697</v>
      </c>
      <c r="E1026" s="14" t="s">
        <v>1698</v>
      </c>
      <c r="G1026" s="1" t="str">
        <f>_xlfn.XLOOKUP(B1026,M_YT_LIVE!A:A,M_YT_LIVE!F:F,"ERROR",0,1)</f>
        <v>弾き語り</v>
      </c>
      <c r="W1026" s="13">
        <f t="shared" si="47"/>
        <v>6446</v>
      </c>
      <c r="X1026" s="12" t="str">
        <f>_xlfn.XLOOKUP($B1026,M_YT_LIVE!$A:$A,M_YT_LIVE!$D:$D)</f>
        <v>https://www.youtube.com/live/svcUFFcJrHE?si=j83cuHNyk6QwuYkQ</v>
      </c>
      <c r="Z1026" s="16" t="str">
        <f>HYPERLINK($X1026&amp;SUBSTITUTE(マスタ!$C$3,"XXXXX",$W1026))</f>
        <v>https://www.youtube.com/live/svcUFFcJrHE?si=j83cuHNyk6QwuYkQ&amp;t=6446s</v>
      </c>
      <c r="AA1026" s="12" t="str">
        <f t="shared" si="48"/>
        <v>AKINO創聖のアクエリオン</v>
      </c>
    </row>
    <row r="1027" spans="1:27" x14ac:dyDescent="0.4">
      <c r="A1027" s="14">
        <f t="shared" si="49"/>
        <v>1026</v>
      </c>
      <c r="B1027" s="14">
        <v>132</v>
      </c>
      <c r="C1027" s="21" t="s">
        <v>2242</v>
      </c>
      <c r="D1027" s="14" t="s">
        <v>751</v>
      </c>
      <c r="E1027" s="14" t="s">
        <v>183</v>
      </c>
      <c r="G1027" s="1" t="str">
        <f>_xlfn.XLOOKUP(B1027,M_YT_LIVE!A:A,M_YT_LIVE!F:F,"ERROR",0,1)</f>
        <v>弾き語り</v>
      </c>
      <c r="W1027" s="13">
        <f t="shared" si="47"/>
        <v>6931</v>
      </c>
      <c r="X1027" s="12" t="str">
        <f>_xlfn.XLOOKUP($B1027,M_YT_LIVE!$A:$A,M_YT_LIVE!$D:$D)</f>
        <v>https://www.youtube.com/live/svcUFFcJrHE?si=j83cuHNyk6QwuYkQ</v>
      </c>
      <c r="Z1027" s="16" t="str">
        <f>HYPERLINK($X1027&amp;SUBSTITUTE(マスタ!$C$3,"XXXXX",$W1027))</f>
        <v>https://www.youtube.com/live/svcUFFcJrHE?si=j83cuHNyk6QwuYkQ&amp;t=6931s</v>
      </c>
      <c r="AA1027" s="12" t="str">
        <f t="shared" si="48"/>
        <v>クリープハイプ社会の窓</v>
      </c>
    </row>
    <row r="1028" spans="1:27" x14ac:dyDescent="0.4">
      <c r="A1028" s="14">
        <f t="shared" si="49"/>
        <v>1027</v>
      </c>
      <c r="B1028" s="14">
        <v>134</v>
      </c>
      <c r="C1028" s="21" t="s">
        <v>2247</v>
      </c>
      <c r="D1028" s="14" t="s">
        <v>71</v>
      </c>
      <c r="E1028" s="14" t="s">
        <v>72</v>
      </c>
      <c r="G1028" s="1" t="str">
        <f>_xlfn.XLOOKUP(B1028,M_YT_LIVE!A:A,M_YT_LIVE!F:F,"ERROR",0,1)</f>
        <v>弾き語り</v>
      </c>
      <c r="W1028" s="13">
        <f t="shared" ref="W1028:W1091" si="50">TIMEVALUE($C1028)*86400</f>
        <v>229</v>
      </c>
      <c r="X1028" s="12" t="str">
        <f>_xlfn.XLOOKUP($B1028,M_YT_LIVE!$A:$A,M_YT_LIVE!$D:$D)</f>
        <v>https://www.youtube.com/live/0AqoHfYD46E?si=mWOedgt9iLzf5zoc</v>
      </c>
      <c r="Z1028" s="16" t="str">
        <f>HYPERLINK($X1028&amp;SUBSTITUTE(マスタ!$C$3,"XXXXX",$W1028))</f>
        <v>https://www.youtube.com/live/0AqoHfYD46E?si=mWOedgt9iLzf5zoc&amp;t=229s</v>
      </c>
      <c r="AA1028" s="12" t="str">
        <f t="shared" si="48"/>
        <v>優里ドライフラワー</v>
      </c>
    </row>
    <row r="1029" spans="1:27" x14ac:dyDescent="0.4">
      <c r="A1029" s="14">
        <f t="shared" si="49"/>
        <v>1028</v>
      </c>
      <c r="B1029" s="14">
        <v>134</v>
      </c>
      <c r="C1029" s="21" t="s">
        <v>2248</v>
      </c>
      <c r="D1029" s="14" t="s">
        <v>1427</v>
      </c>
      <c r="E1029" s="14" t="s">
        <v>228</v>
      </c>
      <c r="G1029" s="1" t="str">
        <f>_xlfn.XLOOKUP(B1029,M_YT_LIVE!A:A,M_YT_LIVE!F:F,"ERROR",0,1)</f>
        <v>弾き語り</v>
      </c>
      <c r="W1029" s="13">
        <f t="shared" si="50"/>
        <v>731</v>
      </c>
      <c r="X1029" s="12" t="str">
        <f>_xlfn.XLOOKUP($B1029,M_YT_LIVE!$A:$A,M_YT_LIVE!$D:$D)</f>
        <v>https://www.youtube.com/live/0AqoHfYD46E?si=mWOedgt9iLzf5zoc</v>
      </c>
      <c r="Z1029" s="16" t="str">
        <f>HYPERLINK($X1029&amp;SUBSTITUTE(マスタ!$C$3,"XXXXX",$W1029))</f>
        <v>https://www.youtube.com/live/0AqoHfYD46E?si=mWOedgt9iLzf5zoc&amp;t=731s</v>
      </c>
      <c r="AA1029" s="12" t="str">
        <f t="shared" ref="AA1029:AA1092" si="51">TRIM(E1029)&amp;TRIM(D1029)</f>
        <v>ずっと真夜中でいいのに。Ham</v>
      </c>
    </row>
    <row r="1030" spans="1:27" x14ac:dyDescent="0.4">
      <c r="A1030" s="14">
        <f t="shared" ref="A1030:A1093" si="52">ROW()-1</f>
        <v>1029</v>
      </c>
      <c r="B1030" s="14">
        <v>134</v>
      </c>
      <c r="C1030" s="21" t="s">
        <v>2249</v>
      </c>
      <c r="D1030" s="14" t="s">
        <v>602</v>
      </c>
      <c r="E1030" s="14" t="s">
        <v>603</v>
      </c>
      <c r="G1030" s="1" t="str">
        <f>_xlfn.XLOOKUP(B1030,M_YT_LIVE!A:A,M_YT_LIVE!F:F,"ERROR",0,1)</f>
        <v>弾き語り</v>
      </c>
      <c r="W1030" s="13">
        <f t="shared" si="50"/>
        <v>1125</v>
      </c>
      <c r="X1030" s="12" t="str">
        <f>_xlfn.XLOOKUP($B1030,M_YT_LIVE!$A:$A,M_YT_LIVE!$D:$D)</f>
        <v>https://www.youtube.com/live/0AqoHfYD46E?si=mWOedgt9iLzf5zoc</v>
      </c>
      <c r="Z1030" s="16" t="str">
        <f>HYPERLINK($X1030&amp;SUBSTITUTE(マスタ!$C$3,"XXXXX",$W1030))</f>
        <v>https://www.youtube.com/live/0AqoHfYD46E?si=mWOedgt9iLzf5zoc&amp;t=1125s</v>
      </c>
      <c r="AA1030" s="12" t="str">
        <f t="shared" si="51"/>
        <v>茅原実里境界の彼方</v>
      </c>
    </row>
    <row r="1031" spans="1:27" x14ac:dyDescent="0.4">
      <c r="A1031" s="14">
        <f t="shared" si="52"/>
        <v>1030</v>
      </c>
      <c r="B1031" s="14">
        <v>134</v>
      </c>
      <c r="C1031" s="21" t="s">
        <v>2250</v>
      </c>
      <c r="D1031" s="14" t="s">
        <v>770</v>
      </c>
      <c r="E1031" s="14" t="s">
        <v>771</v>
      </c>
      <c r="G1031" s="1" t="str">
        <f>_xlfn.XLOOKUP(B1031,M_YT_LIVE!A:A,M_YT_LIVE!F:F,"ERROR",0,1)</f>
        <v>弾き語り</v>
      </c>
      <c r="W1031" s="13">
        <f t="shared" si="50"/>
        <v>1582</v>
      </c>
      <c r="X1031" s="12" t="str">
        <f>_xlfn.XLOOKUP($B1031,M_YT_LIVE!$A:$A,M_YT_LIVE!$D:$D)</f>
        <v>https://www.youtube.com/live/0AqoHfYD46E?si=mWOedgt9iLzf5zoc</v>
      </c>
      <c r="Z1031" s="16" t="str">
        <f>HYPERLINK($X1031&amp;SUBSTITUTE(マスタ!$C$3,"XXXXX",$W1031))</f>
        <v>https://www.youtube.com/live/0AqoHfYD46E?si=mWOedgt9iLzf5zoc&amp;t=1582s</v>
      </c>
      <c r="AA1031" s="12" t="str">
        <f t="shared" si="51"/>
        <v>(K)NoW_NAMEHarvest</v>
      </c>
    </row>
    <row r="1032" spans="1:27" x14ac:dyDescent="0.4">
      <c r="A1032" s="14">
        <f t="shared" si="52"/>
        <v>1031</v>
      </c>
      <c r="B1032" s="14">
        <v>134</v>
      </c>
      <c r="C1032" s="21" t="s">
        <v>2251</v>
      </c>
      <c r="D1032" s="14" t="s">
        <v>624</v>
      </c>
      <c r="E1032" s="14" t="s">
        <v>625</v>
      </c>
      <c r="G1032" s="1" t="str">
        <f>_xlfn.XLOOKUP(B1032,M_YT_LIVE!A:A,M_YT_LIVE!F:F,"ERROR",0,1)</f>
        <v>弾き語り</v>
      </c>
      <c r="W1032" s="13">
        <f t="shared" si="50"/>
        <v>2004</v>
      </c>
      <c r="X1032" s="12" t="str">
        <f>_xlfn.XLOOKUP($B1032,M_YT_LIVE!$A:$A,M_YT_LIVE!$D:$D)</f>
        <v>https://www.youtube.com/live/0AqoHfYD46E?si=mWOedgt9iLzf5zoc</v>
      </c>
      <c r="Z1032" s="16" t="str">
        <f>HYPERLINK($X1032&amp;SUBSTITUTE(マスタ!$C$3,"XXXXX",$W1032))</f>
        <v>https://www.youtube.com/live/0AqoHfYD46E?si=mWOedgt9iLzf5zoc&amp;t=2004s</v>
      </c>
      <c r="AA1032" s="12" t="str">
        <f t="shared" si="51"/>
        <v>Rayebb and flow</v>
      </c>
    </row>
    <row r="1033" spans="1:27" x14ac:dyDescent="0.4">
      <c r="A1033" s="14">
        <f t="shared" si="52"/>
        <v>1032</v>
      </c>
      <c r="B1033" s="14">
        <v>134</v>
      </c>
      <c r="C1033" s="21" t="s">
        <v>2252</v>
      </c>
      <c r="D1033" s="14" t="s">
        <v>2253</v>
      </c>
      <c r="E1033" s="14" t="s">
        <v>135</v>
      </c>
      <c r="G1033" s="1" t="str">
        <f>_xlfn.XLOOKUP(B1033,M_YT_LIVE!A:A,M_YT_LIVE!F:F,"ERROR",0,1)</f>
        <v>弾き語り</v>
      </c>
      <c r="W1033" s="13">
        <f t="shared" si="50"/>
        <v>2405</v>
      </c>
      <c r="X1033" s="12" t="str">
        <f>_xlfn.XLOOKUP($B1033,M_YT_LIVE!$A:$A,M_YT_LIVE!$D:$D)</f>
        <v>https://www.youtube.com/live/0AqoHfYD46E?si=mWOedgt9iLzf5zoc</v>
      </c>
      <c r="Z1033" s="16" t="str">
        <f>HYPERLINK($X1033&amp;SUBSTITUTE(マスタ!$C$3,"XXXXX",$W1033))</f>
        <v>https://www.youtube.com/live/0AqoHfYD46E?si=mWOedgt9iLzf5zoc&amp;t=2405s</v>
      </c>
      <c r="AA1033" s="12" t="str">
        <f t="shared" si="51"/>
        <v>EGOISTエウテルペ</v>
      </c>
    </row>
    <row r="1034" spans="1:27" x14ac:dyDescent="0.4">
      <c r="A1034" s="14">
        <f t="shared" si="52"/>
        <v>1033</v>
      </c>
      <c r="B1034" s="14">
        <v>134</v>
      </c>
      <c r="C1034" s="21" t="s">
        <v>2254</v>
      </c>
      <c r="D1034" s="14" t="s">
        <v>2255</v>
      </c>
      <c r="E1034" s="14" t="s">
        <v>1450</v>
      </c>
      <c r="G1034" s="1" t="str">
        <f>_xlfn.XLOOKUP(B1034,M_YT_LIVE!A:A,M_YT_LIVE!F:F,"ERROR",0,1)</f>
        <v>弾き語り</v>
      </c>
      <c r="W1034" s="13">
        <f t="shared" si="50"/>
        <v>2749.0000000000005</v>
      </c>
      <c r="X1034" s="12" t="str">
        <f>_xlfn.XLOOKUP($B1034,M_YT_LIVE!$A:$A,M_YT_LIVE!$D:$D)</f>
        <v>https://www.youtube.com/live/0AqoHfYD46E?si=mWOedgt9iLzf5zoc</v>
      </c>
      <c r="Z1034" s="16" t="str">
        <f>HYPERLINK($X1034&amp;SUBSTITUTE(マスタ!$C$3,"XXXXX",$W1034))</f>
        <v>https://www.youtube.com/live/0AqoHfYD46E?si=mWOedgt9iLzf5zoc&amp;t=2749s</v>
      </c>
      <c r="AA1034" s="12" t="str">
        <f t="shared" si="51"/>
        <v>とあ feat.初音ミクツギハギスタッカート</v>
      </c>
    </row>
    <row r="1035" spans="1:27" x14ac:dyDescent="0.4">
      <c r="A1035" s="14">
        <f t="shared" si="52"/>
        <v>1034</v>
      </c>
      <c r="B1035" s="14">
        <v>134</v>
      </c>
      <c r="C1035" s="21" t="s">
        <v>2256</v>
      </c>
      <c r="D1035" s="14" t="s">
        <v>1811</v>
      </c>
      <c r="E1035" s="14" t="s">
        <v>1193</v>
      </c>
      <c r="G1035" s="1" t="str">
        <f>_xlfn.XLOOKUP(B1035,M_YT_LIVE!A:A,M_YT_LIVE!F:F,"ERROR",0,1)</f>
        <v>弾き語り</v>
      </c>
      <c r="W1035" s="13">
        <f t="shared" si="50"/>
        <v>3126</v>
      </c>
      <c r="X1035" s="12" t="str">
        <f>_xlfn.XLOOKUP($B1035,M_YT_LIVE!$A:$A,M_YT_LIVE!$D:$D)</f>
        <v>https://www.youtube.com/live/0AqoHfYD46E?si=mWOedgt9iLzf5zoc</v>
      </c>
      <c r="Z1035" s="16" t="str">
        <f>HYPERLINK($X1035&amp;SUBSTITUTE(マスタ!$C$3,"XXXXX",$W1035))</f>
        <v>https://www.youtube.com/live/0AqoHfYD46E?si=mWOedgt9iLzf5zoc&amp;t=3126s</v>
      </c>
      <c r="AA1035" s="12" t="str">
        <f t="shared" si="51"/>
        <v>サカナクショングッドバイ</v>
      </c>
    </row>
    <row r="1036" spans="1:27" x14ac:dyDescent="0.4">
      <c r="A1036" s="14">
        <f t="shared" si="52"/>
        <v>1035</v>
      </c>
      <c r="B1036" s="14">
        <v>134</v>
      </c>
      <c r="C1036" s="21" t="s">
        <v>2257</v>
      </c>
      <c r="D1036" s="14" t="s">
        <v>2258</v>
      </c>
      <c r="E1036" s="14" t="s">
        <v>1396</v>
      </c>
      <c r="G1036" s="1" t="str">
        <f>_xlfn.XLOOKUP(B1036,M_YT_LIVE!A:A,M_YT_LIVE!F:F,"ERROR",0,1)</f>
        <v>弾き語り</v>
      </c>
      <c r="W1036" s="13">
        <f t="shared" si="50"/>
        <v>3584</v>
      </c>
      <c r="X1036" s="12" t="str">
        <f>_xlfn.XLOOKUP($B1036,M_YT_LIVE!$A:$A,M_YT_LIVE!$D:$D)</f>
        <v>https://www.youtube.com/live/0AqoHfYD46E?si=mWOedgt9iLzf5zoc</v>
      </c>
      <c r="Z1036" s="16" t="str">
        <f>HYPERLINK($X1036&amp;SUBSTITUTE(マスタ!$C$3,"XXXXX",$W1036))</f>
        <v>https://www.youtube.com/live/0AqoHfYD46E?si=mWOedgt9iLzf5zoc&amp;t=3584s</v>
      </c>
      <c r="AA1036" s="12" t="str">
        <f t="shared" si="51"/>
        <v>三月のパンタシア街路、ライトの灯りだけ</v>
      </c>
    </row>
    <row r="1037" spans="1:27" x14ac:dyDescent="0.4">
      <c r="A1037" s="14">
        <f t="shared" si="52"/>
        <v>1036</v>
      </c>
      <c r="B1037" s="14">
        <v>134</v>
      </c>
      <c r="C1037" s="21" t="s">
        <v>2259</v>
      </c>
      <c r="D1037" s="14" t="s">
        <v>2260</v>
      </c>
      <c r="E1037" s="14" t="s">
        <v>547</v>
      </c>
      <c r="G1037" s="1" t="str">
        <f>_xlfn.XLOOKUP(B1037,M_YT_LIVE!A:A,M_YT_LIVE!F:F,"ERROR",0,1)</f>
        <v>弾き語り</v>
      </c>
      <c r="W1037" s="13">
        <f t="shared" si="50"/>
        <v>3975.0000000000005</v>
      </c>
      <c r="X1037" s="12" t="str">
        <f>_xlfn.XLOOKUP($B1037,M_YT_LIVE!$A:$A,M_YT_LIVE!$D:$D)</f>
        <v>https://www.youtube.com/live/0AqoHfYD46E?si=mWOedgt9iLzf5zoc</v>
      </c>
      <c r="Z1037" s="16" t="str">
        <f>HYPERLINK($X1037&amp;SUBSTITUTE(マスタ!$C$3,"XXXXX",$W1037))</f>
        <v>https://www.youtube.com/live/0AqoHfYD46E?si=mWOedgt9iLzf5zoc&amp;t=3975s</v>
      </c>
      <c r="AA1037" s="12" t="str">
        <f t="shared" si="51"/>
        <v>米津玄師vivi</v>
      </c>
    </row>
    <row r="1038" spans="1:27" x14ac:dyDescent="0.4">
      <c r="A1038" s="14">
        <f t="shared" si="52"/>
        <v>1037</v>
      </c>
      <c r="B1038" s="14">
        <v>134</v>
      </c>
      <c r="C1038" s="21" t="s">
        <v>1500</v>
      </c>
      <c r="D1038" s="14" t="s">
        <v>318</v>
      </c>
      <c r="E1038" s="14" t="s">
        <v>1759</v>
      </c>
      <c r="G1038" s="1" t="str">
        <f>_xlfn.XLOOKUP(B1038,M_YT_LIVE!A:A,M_YT_LIVE!F:F,"ERROR",0,1)</f>
        <v>弾き語り</v>
      </c>
      <c r="W1038" s="13">
        <f t="shared" si="50"/>
        <v>4486</v>
      </c>
      <c r="X1038" s="12" t="str">
        <f>_xlfn.XLOOKUP($B1038,M_YT_LIVE!$A:$A,M_YT_LIVE!$D:$D)</f>
        <v>https://www.youtube.com/live/0AqoHfYD46E?si=mWOedgt9iLzf5zoc</v>
      </c>
      <c r="Z1038" s="16" t="str">
        <f>HYPERLINK($X1038&amp;SUBSTITUTE(マスタ!$C$3,"XXXXX",$W1038))</f>
        <v>https://www.youtube.com/live/0AqoHfYD46E?si=mWOedgt9iLzf5zoc&amp;t=4486s</v>
      </c>
      <c r="AA1038" s="12" t="str">
        <f t="shared" si="51"/>
        <v>じん feat.IA少年ブレイヴ</v>
      </c>
    </row>
    <row r="1039" spans="1:27" x14ac:dyDescent="0.4">
      <c r="A1039" s="14">
        <f t="shared" si="52"/>
        <v>1038</v>
      </c>
      <c r="B1039" s="14">
        <v>134</v>
      </c>
      <c r="C1039" s="21" t="s">
        <v>2261</v>
      </c>
      <c r="D1039" s="14" t="s">
        <v>2262</v>
      </c>
      <c r="E1039" s="14" t="s">
        <v>2263</v>
      </c>
      <c r="G1039" s="1" t="str">
        <f>_xlfn.XLOOKUP(B1039,M_YT_LIVE!A:A,M_YT_LIVE!F:F,"ERROR",0,1)</f>
        <v>弾き語り</v>
      </c>
      <c r="W1039" s="13">
        <f t="shared" si="50"/>
        <v>4942</v>
      </c>
      <c r="X1039" s="12" t="str">
        <f>_xlfn.XLOOKUP($B1039,M_YT_LIVE!$A:$A,M_YT_LIVE!$D:$D)</f>
        <v>https://www.youtube.com/live/0AqoHfYD46E?si=mWOedgt9iLzf5zoc</v>
      </c>
      <c r="Z1039" s="16" t="str">
        <f>HYPERLINK($X1039&amp;SUBSTITUTE(マスタ!$C$3,"XXXXX",$W1039))</f>
        <v>https://www.youtube.com/live/0AqoHfYD46E?si=mWOedgt9iLzf5zoc&amp;t=4942s</v>
      </c>
      <c r="AA1039" s="12" t="str">
        <f t="shared" si="51"/>
        <v>じん feat.初音ミク失想ワアド</v>
      </c>
    </row>
    <row r="1040" spans="1:27" x14ac:dyDescent="0.4">
      <c r="A1040" s="14">
        <f t="shared" si="52"/>
        <v>1039</v>
      </c>
      <c r="B1040" s="14">
        <v>134</v>
      </c>
      <c r="C1040" s="21" t="s">
        <v>2264</v>
      </c>
      <c r="D1040" s="14" t="s">
        <v>1544</v>
      </c>
      <c r="E1040" s="14" t="s">
        <v>125</v>
      </c>
      <c r="G1040" s="1" t="str">
        <f>_xlfn.XLOOKUP(B1040,M_YT_LIVE!A:A,M_YT_LIVE!F:F,"ERROR",0,1)</f>
        <v>弾き語り</v>
      </c>
      <c r="W1040" s="13">
        <f t="shared" si="50"/>
        <v>5454</v>
      </c>
      <c r="X1040" s="12" t="str">
        <f>_xlfn.XLOOKUP($B1040,M_YT_LIVE!$A:$A,M_YT_LIVE!$D:$D)</f>
        <v>https://www.youtube.com/live/0AqoHfYD46E?si=mWOedgt9iLzf5zoc</v>
      </c>
      <c r="Z1040" s="16" t="str">
        <f>HYPERLINK($X1040&amp;SUBSTITUTE(マスタ!$C$3,"XXXXX",$W1040))</f>
        <v>https://www.youtube.com/live/0AqoHfYD46E?si=mWOedgt9iLzf5zoc&amp;t=5454s</v>
      </c>
      <c r="AA1040" s="12" t="str">
        <f t="shared" si="51"/>
        <v>Orangestar feat.IAノクティルーカ</v>
      </c>
    </row>
    <row r="1041" spans="1:27" x14ac:dyDescent="0.4">
      <c r="A1041" s="14">
        <f t="shared" si="52"/>
        <v>1040</v>
      </c>
      <c r="B1041" s="14">
        <v>134</v>
      </c>
      <c r="C1041" s="21" t="s">
        <v>2265</v>
      </c>
      <c r="D1041" s="14" t="s">
        <v>1837</v>
      </c>
      <c r="E1041" s="14" t="s">
        <v>547</v>
      </c>
      <c r="G1041" s="1" t="str">
        <f>_xlfn.XLOOKUP(B1041,M_YT_LIVE!A:A,M_YT_LIVE!F:F,"ERROR",0,1)</f>
        <v>弾き語り</v>
      </c>
      <c r="W1041" s="13">
        <f t="shared" si="50"/>
        <v>5903</v>
      </c>
      <c r="X1041" s="12" t="str">
        <f>_xlfn.XLOOKUP($B1041,M_YT_LIVE!$A:$A,M_YT_LIVE!$D:$D)</f>
        <v>https://www.youtube.com/live/0AqoHfYD46E?si=mWOedgt9iLzf5zoc</v>
      </c>
      <c r="Z1041" s="16" t="str">
        <f>HYPERLINK($X1041&amp;SUBSTITUTE(マスタ!$C$3,"XXXXX",$W1041))</f>
        <v>https://www.youtube.com/live/0AqoHfYD46E?si=mWOedgt9iLzf5zoc&amp;t=5903s</v>
      </c>
      <c r="AA1041" s="12" t="str">
        <f t="shared" si="51"/>
        <v>米津玄師春雷</v>
      </c>
    </row>
    <row r="1042" spans="1:27" x14ac:dyDescent="0.4">
      <c r="A1042" s="14">
        <f t="shared" si="52"/>
        <v>1041</v>
      </c>
      <c r="B1042" s="14">
        <v>134</v>
      </c>
      <c r="C1042" s="21" t="s">
        <v>2266</v>
      </c>
      <c r="D1042" s="14" t="s">
        <v>470</v>
      </c>
      <c r="E1042" s="14" t="s">
        <v>118</v>
      </c>
      <c r="G1042" s="1" t="str">
        <f>_xlfn.XLOOKUP(B1042,M_YT_LIVE!A:A,M_YT_LIVE!F:F,"ERROR",0,1)</f>
        <v>弾き語り</v>
      </c>
      <c r="W1042" s="13">
        <f t="shared" si="50"/>
        <v>6424</v>
      </c>
      <c r="X1042" s="12" t="str">
        <f>_xlfn.XLOOKUP($B1042,M_YT_LIVE!$A:$A,M_YT_LIVE!$D:$D)</f>
        <v>https://www.youtube.com/live/0AqoHfYD46E?si=mWOedgt9iLzf5zoc</v>
      </c>
      <c r="Z1042" s="16" t="str">
        <f>HYPERLINK($X1042&amp;SUBSTITUTE(マスタ!$C$3,"XXXXX",$W1042))</f>
        <v>https://www.youtube.com/live/0AqoHfYD46E?si=mWOedgt9iLzf5zoc&amp;t=6424s</v>
      </c>
      <c r="AA1042" s="12" t="str">
        <f t="shared" si="51"/>
        <v>Orangestar feat.初音ミク霽れを待つ</v>
      </c>
    </row>
    <row r="1043" spans="1:27" x14ac:dyDescent="0.4">
      <c r="A1043" s="14">
        <f t="shared" si="52"/>
        <v>1042</v>
      </c>
      <c r="B1043" s="14">
        <v>134</v>
      </c>
      <c r="C1043" s="21" t="s">
        <v>1581</v>
      </c>
      <c r="D1043" s="14" t="s">
        <v>2267</v>
      </c>
      <c r="E1043" s="14" t="s">
        <v>84</v>
      </c>
      <c r="G1043" s="1" t="str">
        <f>_xlfn.XLOOKUP(B1043,M_YT_LIVE!A:A,M_YT_LIVE!F:F,"ERROR",0,1)</f>
        <v>弾き語り</v>
      </c>
      <c r="W1043" s="13">
        <f t="shared" si="50"/>
        <v>6858.9999999999991</v>
      </c>
      <c r="X1043" s="12" t="str">
        <f>_xlfn.XLOOKUP($B1043,M_YT_LIVE!$A:$A,M_YT_LIVE!$D:$D)</f>
        <v>https://www.youtube.com/live/0AqoHfYD46E?si=mWOedgt9iLzf5zoc</v>
      </c>
      <c r="Z1043" s="16" t="str">
        <f>HYPERLINK($X1043&amp;SUBSTITUTE(マスタ!$C$3,"XXXXX",$W1043))</f>
        <v>https://www.youtube.com/live/0AqoHfYD46E?si=mWOedgt9iLzf5zoc&amp;t=6859s</v>
      </c>
      <c r="AA1043" s="12" t="str">
        <f t="shared" si="51"/>
        <v>木村弓いつも何度でも</v>
      </c>
    </row>
    <row r="1044" spans="1:27" x14ac:dyDescent="0.4">
      <c r="A1044" s="14">
        <f t="shared" si="52"/>
        <v>1043</v>
      </c>
      <c r="B1044" s="14">
        <v>135</v>
      </c>
      <c r="C1044" s="21" t="s">
        <v>2270</v>
      </c>
      <c r="D1044" s="14" t="s">
        <v>2271</v>
      </c>
      <c r="E1044" s="14" t="s">
        <v>2272</v>
      </c>
      <c r="G1044" s="1" t="str">
        <f>_xlfn.XLOOKUP(B1044,M_YT_LIVE!A:A,M_YT_LIVE!F:F,"ERROR",0,1)</f>
        <v>弾き語り</v>
      </c>
      <c r="W1044" s="13">
        <f t="shared" si="50"/>
        <v>307</v>
      </c>
      <c r="X1044" s="12" t="str">
        <f>_xlfn.XLOOKUP($B1044,M_YT_LIVE!$A:$A,M_YT_LIVE!$D:$D)</f>
        <v>https://www.youtube.com/live/xp0K3WVssKY?si=LZW-N2O4nOZbWeQk</v>
      </c>
      <c r="Z1044" s="16" t="str">
        <f>HYPERLINK($X1044&amp;SUBSTITUTE(マスタ!$C$3,"XXXXX",$W1044))</f>
        <v>https://www.youtube.com/live/xp0K3WVssKY?si=LZW-N2O4nOZbWeQk&amp;t=307s</v>
      </c>
      <c r="AA1044" s="12" t="str">
        <f t="shared" si="51"/>
        <v>Back numberクリスマスソング</v>
      </c>
    </row>
    <row r="1045" spans="1:27" x14ac:dyDescent="0.4">
      <c r="A1045" s="14">
        <f t="shared" si="52"/>
        <v>1044</v>
      </c>
      <c r="B1045" s="14">
        <v>135</v>
      </c>
      <c r="C1045" s="21" t="s">
        <v>2273</v>
      </c>
      <c r="D1045" s="14" t="s">
        <v>2274</v>
      </c>
      <c r="E1045" s="14" t="s">
        <v>2275</v>
      </c>
      <c r="G1045" s="1" t="str">
        <f>_xlfn.XLOOKUP(B1045,M_YT_LIVE!A:A,M_YT_LIVE!F:F,"ERROR",0,1)</f>
        <v>弾き語り</v>
      </c>
      <c r="W1045" s="13">
        <f t="shared" si="50"/>
        <v>745</v>
      </c>
      <c r="X1045" s="12" t="str">
        <f>_xlfn.XLOOKUP($B1045,M_YT_LIVE!$A:$A,M_YT_LIVE!$D:$D)</f>
        <v>https://www.youtube.com/live/xp0K3WVssKY?si=LZW-N2O4nOZbWeQk</v>
      </c>
      <c r="Z1045" s="16" t="str">
        <f>HYPERLINK($X1045&amp;SUBSTITUTE(マスタ!$C$3,"XXXXX",$W1045))</f>
        <v>https://www.youtube.com/live/xp0K3WVssKY?si=LZW-N2O4nOZbWeQk&amp;t=745s</v>
      </c>
      <c r="AA1045" s="12" t="str">
        <f t="shared" si="51"/>
        <v>田中星児etc…あわてんぼうのサンタクロース</v>
      </c>
    </row>
    <row r="1046" spans="1:27" x14ac:dyDescent="0.4">
      <c r="A1046" s="14">
        <f t="shared" si="52"/>
        <v>1045</v>
      </c>
      <c r="B1046" s="14">
        <v>135</v>
      </c>
      <c r="C1046" s="21" t="s">
        <v>1442</v>
      </c>
      <c r="D1046" s="14" t="s">
        <v>2276</v>
      </c>
      <c r="E1046" s="14" t="s">
        <v>2277</v>
      </c>
      <c r="G1046" s="1" t="str">
        <f>_xlfn.XLOOKUP(B1046,M_YT_LIVE!A:A,M_YT_LIVE!F:F,"ERROR",0,1)</f>
        <v>弾き語り</v>
      </c>
      <c r="W1046" s="13">
        <f t="shared" si="50"/>
        <v>1212</v>
      </c>
      <c r="X1046" s="12" t="str">
        <f>_xlfn.XLOOKUP($B1046,M_YT_LIVE!$A:$A,M_YT_LIVE!$D:$D)</f>
        <v>https://www.youtube.com/live/xp0K3WVssKY?si=LZW-N2O4nOZbWeQk</v>
      </c>
      <c r="Z1046" s="16" t="str">
        <f>HYPERLINK($X1046&amp;SUBSTITUTE(マスタ!$C$3,"XXXXX",$W1046))</f>
        <v>https://www.youtube.com/live/xp0K3WVssKY?si=LZW-N2O4nOZbWeQk&amp;t=1212s</v>
      </c>
      <c r="AA1046" s="12" t="str">
        <f t="shared" si="51"/>
        <v>James Lord Pierpontジングルベル</v>
      </c>
    </row>
    <row r="1047" spans="1:27" x14ac:dyDescent="0.4">
      <c r="A1047" s="14">
        <f t="shared" si="52"/>
        <v>1046</v>
      </c>
      <c r="B1047" s="14">
        <v>135</v>
      </c>
      <c r="C1047" s="21" t="s">
        <v>2278</v>
      </c>
      <c r="D1047" s="23" t="s">
        <v>2293</v>
      </c>
      <c r="E1047" s="14" t="s">
        <v>57</v>
      </c>
      <c r="G1047" s="1" t="str">
        <f>_xlfn.XLOOKUP(B1047,M_YT_LIVE!A:A,M_YT_LIVE!F:F,"ERROR",0,1)</f>
        <v>弾き語り</v>
      </c>
      <c r="W1047" s="13">
        <f t="shared" si="50"/>
        <v>1420</v>
      </c>
      <c r="X1047" s="12" t="str">
        <f>_xlfn.XLOOKUP($B1047,M_YT_LIVE!$A:$A,M_YT_LIVE!$D:$D)</f>
        <v>https://www.youtube.com/live/xp0K3WVssKY?si=LZW-N2O4nOZbWeQk</v>
      </c>
      <c r="Z1047" s="16" t="str">
        <f>HYPERLINK($X1047&amp;SUBSTITUTE(マスタ!$C$3,"XXXXX",$W1047))</f>
        <v>https://www.youtube.com/live/xp0K3WVssKY?si=LZW-N2O4nOZbWeQk&amp;t=1420s</v>
      </c>
      <c r="AA1047" s="12" t="str">
        <f t="shared" si="51"/>
        <v>羊文学1999</v>
      </c>
    </row>
    <row r="1048" spans="1:27" x14ac:dyDescent="0.4">
      <c r="A1048" s="14">
        <f t="shared" si="52"/>
        <v>1047</v>
      </c>
      <c r="B1048" s="14">
        <v>135</v>
      </c>
      <c r="C1048" s="21" t="s">
        <v>2279</v>
      </c>
      <c r="D1048" s="14" t="s">
        <v>39</v>
      </c>
      <c r="E1048" s="14" t="s">
        <v>276</v>
      </c>
      <c r="G1048" s="1" t="str">
        <f>_xlfn.XLOOKUP(B1048,M_YT_LIVE!A:A,M_YT_LIVE!F:F,"ERROR",0,1)</f>
        <v>弾き語り</v>
      </c>
      <c r="W1048" s="13">
        <f t="shared" si="50"/>
        <v>1817</v>
      </c>
      <c r="X1048" s="12" t="str">
        <f>_xlfn.XLOOKUP($B1048,M_YT_LIVE!$A:$A,M_YT_LIVE!$D:$D)</f>
        <v>https://www.youtube.com/live/xp0K3WVssKY?si=LZW-N2O4nOZbWeQk</v>
      </c>
      <c r="Z1048" s="16" t="str">
        <f>HYPERLINK($X1048&amp;SUBSTITUTE(マスタ!$C$3,"XXXXX",$W1048))</f>
        <v>https://www.youtube.com/live/xp0K3WVssKY?si=LZW-N2O4nOZbWeQk&amp;t=1817s</v>
      </c>
      <c r="AA1048" s="12" t="str">
        <f t="shared" si="51"/>
        <v>YUICHE.R.RY</v>
      </c>
    </row>
    <row r="1049" spans="1:27" x14ac:dyDescent="0.4">
      <c r="A1049" s="14">
        <f t="shared" si="52"/>
        <v>1048</v>
      </c>
      <c r="B1049" s="14">
        <v>135</v>
      </c>
      <c r="C1049" s="21" t="s">
        <v>2280</v>
      </c>
      <c r="D1049" s="14" t="s">
        <v>61</v>
      </c>
      <c r="E1049" s="14" t="s">
        <v>276</v>
      </c>
      <c r="G1049" s="1" t="str">
        <f>_xlfn.XLOOKUP(B1049,M_YT_LIVE!A:A,M_YT_LIVE!F:F,"ERROR",0,1)</f>
        <v>弾き語り</v>
      </c>
      <c r="W1049" s="13">
        <f t="shared" si="50"/>
        <v>2211</v>
      </c>
      <c r="X1049" s="12" t="str">
        <f>_xlfn.XLOOKUP($B1049,M_YT_LIVE!$A:$A,M_YT_LIVE!$D:$D)</f>
        <v>https://www.youtube.com/live/xp0K3WVssKY?si=LZW-N2O4nOZbWeQk</v>
      </c>
      <c r="Z1049" s="16" t="str">
        <f>HYPERLINK($X1049&amp;SUBSTITUTE(マスタ!$C$3,"XXXXX",$W1049))</f>
        <v>https://www.youtube.com/live/xp0K3WVssKY?si=LZW-N2O4nOZbWeQk&amp;t=2211s</v>
      </c>
      <c r="AA1049" s="12" t="str">
        <f t="shared" si="51"/>
        <v>YUILaugh away</v>
      </c>
    </row>
    <row r="1050" spans="1:27" x14ac:dyDescent="0.4">
      <c r="A1050" s="14">
        <f t="shared" si="52"/>
        <v>1049</v>
      </c>
      <c r="B1050" s="14">
        <v>135</v>
      </c>
      <c r="C1050" s="21" t="s">
        <v>2281</v>
      </c>
      <c r="D1050" s="14" t="s">
        <v>185</v>
      </c>
      <c r="E1050" s="14" t="s">
        <v>186</v>
      </c>
      <c r="G1050" s="1" t="str">
        <f>_xlfn.XLOOKUP(B1050,M_YT_LIVE!A:A,M_YT_LIVE!F:F,"ERROR",0,1)</f>
        <v>弾き語り</v>
      </c>
      <c r="W1050" s="13">
        <f t="shared" si="50"/>
        <v>2625</v>
      </c>
      <c r="X1050" s="12" t="str">
        <f>_xlfn.XLOOKUP($B1050,M_YT_LIVE!$A:$A,M_YT_LIVE!$D:$D)</f>
        <v>https://www.youtube.com/live/xp0K3WVssKY?si=LZW-N2O4nOZbWeQk</v>
      </c>
      <c r="Z1050" s="16" t="str">
        <f>HYPERLINK($X1050&amp;SUBSTITUTE(マスタ!$C$3,"XXXXX",$W1050))</f>
        <v>https://www.youtube.com/live/xp0K3WVssKY?si=LZW-N2O4nOZbWeQk&amp;t=2625s</v>
      </c>
      <c r="AA1050" s="12" t="str">
        <f t="shared" si="51"/>
        <v>YUI for 雨音薫Good-bye days</v>
      </c>
    </row>
    <row r="1051" spans="1:27" x14ac:dyDescent="0.4">
      <c r="A1051" s="14">
        <f t="shared" si="52"/>
        <v>1050</v>
      </c>
      <c r="B1051" s="14">
        <v>135</v>
      </c>
      <c r="C1051" s="21" t="s">
        <v>2282</v>
      </c>
      <c r="D1051" s="14" t="s">
        <v>2283</v>
      </c>
      <c r="E1051" s="14" t="s">
        <v>2284</v>
      </c>
      <c r="G1051" s="1" t="str">
        <f>_xlfn.XLOOKUP(B1051,M_YT_LIVE!A:A,M_YT_LIVE!F:F,"ERROR",0,1)</f>
        <v>弾き語り</v>
      </c>
      <c r="W1051" s="13">
        <f t="shared" si="50"/>
        <v>3059</v>
      </c>
      <c r="X1051" s="12" t="str">
        <f>_xlfn.XLOOKUP($B1051,M_YT_LIVE!$A:$A,M_YT_LIVE!$D:$D)</f>
        <v>https://www.youtube.com/live/xp0K3WVssKY?si=LZW-N2O4nOZbWeQk</v>
      </c>
      <c r="Z1051" s="16" t="str">
        <f>HYPERLINK($X1051&amp;SUBSTITUTE(マスタ!$C$3,"XXXXX",$W1051))</f>
        <v>https://www.youtube.com/live/xp0K3WVssKY?si=LZW-N2O4nOZbWeQk&amp;t=3059s</v>
      </c>
      <c r="AA1051" s="12" t="str">
        <f t="shared" si="51"/>
        <v>秦基博ひまわりの約束</v>
      </c>
    </row>
    <row r="1052" spans="1:27" x14ac:dyDescent="0.4">
      <c r="A1052" s="14">
        <f t="shared" si="52"/>
        <v>1051</v>
      </c>
      <c r="B1052" s="14">
        <v>135</v>
      </c>
      <c r="C1052" s="21" t="s">
        <v>2285</v>
      </c>
      <c r="D1052" s="14" t="s">
        <v>1650</v>
      </c>
      <c r="E1052" s="14" t="s">
        <v>260</v>
      </c>
      <c r="G1052" s="1" t="str">
        <f>_xlfn.XLOOKUP(B1052,M_YT_LIVE!A:A,M_YT_LIVE!F:F,"ERROR",0,1)</f>
        <v>弾き語り</v>
      </c>
      <c r="W1052" s="13">
        <f t="shared" si="50"/>
        <v>3526</v>
      </c>
      <c r="X1052" s="12" t="str">
        <f>_xlfn.XLOOKUP($B1052,M_YT_LIVE!$A:$A,M_YT_LIVE!$D:$D)</f>
        <v>https://www.youtube.com/live/xp0K3WVssKY?si=LZW-N2O4nOZbWeQk</v>
      </c>
      <c r="Z1052" s="16" t="str">
        <f>HYPERLINK($X1052&amp;SUBSTITUTE(マスタ!$C$3,"XXXXX",$W1052))</f>
        <v>https://www.youtube.com/live/xp0K3WVssKY?si=LZW-N2O4nOZbWeQk&amp;t=3526s</v>
      </c>
      <c r="AA1052" s="12" t="str">
        <f t="shared" si="51"/>
        <v>Official髭男dismPretender</v>
      </c>
    </row>
    <row r="1053" spans="1:27" x14ac:dyDescent="0.4">
      <c r="A1053" s="14">
        <f t="shared" si="52"/>
        <v>1052</v>
      </c>
      <c r="B1053" s="14">
        <v>135</v>
      </c>
      <c r="C1053" s="21" t="s">
        <v>2286</v>
      </c>
      <c r="D1053" s="14" t="s">
        <v>1185</v>
      </c>
      <c r="E1053" s="14" t="s">
        <v>742</v>
      </c>
      <c r="G1053" s="1" t="str">
        <f>_xlfn.XLOOKUP(B1053,M_YT_LIVE!A:A,M_YT_LIVE!F:F,"ERROR",0,1)</f>
        <v>弾き語り</v>
      </c>
      <c r="W1053" s="13">
        <f t="shared" si="50"/>
        <v>4095</v>
      </c>
      <c r="X1053" s="12" t="str">
        <f>_xlfn.XLOOKUP($B1053,M_YT_LIVE!$A:$A,M_YT_LIVE!$D:$D)</f>
        <v>https://www.youtube.com/live/xp0K3WVssKY?si=LZW-N2O4nOZbWeQk</v>
      </c>
      <c r="Z1053" s="16" t="str">
        <f>HYPERLINK($X1053&amp;SUBSTITUTE(マスタ!$C$3,"XXXXX",$W1053))</f>
        <v>https://www.youtube.com/live/xp0K3WVssKY?si=LZW-N2O4nOZbWeQk&amp;t=4095s</v>
      </c>
      <c r="AA1053" s="12" t="str">
        <f t="shared" si="51"/>
        <v>KANA-BOONシルエット</v>
      </c>
    </row>
    <row r="1054" spans="1:27" x14ac:dyDescent="0.4">
      <c r="A1054" s="14">
        <f t="shared" si="52"/>
        <v>1053</v>
      </c>
      <c r="B1054" s="14">
        <v>135</v>
      </c>
      <c r="C1054" s="21" t="s">
        <v>2287</v>
      </c>
      <c r="D1054" s="14" t="s">
        <v>851</v>
      </c>
      <c r="E1054" s="14" t="s">
        <v>847</v>
      </c>
      <c r="G1054" s="1" t="str">
        <f>_xlfn.XLOOKUP(B1054,M_YT_LIVE!A:A,M_YT_LIVE!F:F,"ERROR",0,1)</f>
        <v>弾き語り</v>
      </c>
      <c r="W1054" s="13">
        <f t="shared" si="50"/>
        <v>4453</v>
      </c>
      <c r="X1054" s="12" t="str">
        <f>_xlfn.XLOOKUP($B1054,M_YT_LIVE!$A:$A,M_YT_LIVE!$D:$D)</f>
        <v>https://www.youtube.com/live/xp0K3WVssKY?si=LZW-N2O4nOZbWeQk</v>
      </c>
      <c r="Z1054" s="16" t="str">
        <f>HYPERLINK($X1054&amp;SUBSTITUTE(マスタ!$C$3,"XXXXX",$W1054))</f>
        <v>https://www.youtube.com/live/xp0K3WVssKY?si=LZW-N2O4nOZbWeQk&amp;t=4453s</v>
      </c>
      <c r="AA1054" s="12" t="str">
        <f t="shared" si="51"/>
        <v>スキマスイッチ奏</v>
      </c>
    </row>
    <row r="1055" spans="1:27" x14ac:dyDescent="0.4">
      <c r="A1055" s="14">
        <f t="shared" si="52"/>
        <v>1054</v>
      </c>
      <c r="B1055" s="14">
        <v>135</v>
      </c>
      <c r="C1055" s="21" t="s">
        <v>2288</v>
      </c>
      <c r="D1055" s="14" t="s">
        <v>849</v>
      </c>
      <c r="E1055" s="14" t="s">
        <v>847</v>
      </c>
      <c r="G1055" s="1" t="str">
        <f>_xlfn.XLOOKUP(B1055,M_YT_LIVE!A:A,M_YT_LIVE!F:F,"ERROR",0,1)</f>
        <v>弾き語り</v>
      </c>
      <c r="W1055" s="13">
        <f t="shared" si="50"/>
        <v>4884</v>
      </c>
      <c r="X1055" s="12" t="str">
        <f>_xlfn.XLOOKUP($B1055,M_YT_LIVE!$A:$A,M_YT_LIVE!$D:$D)</f>
        <v>https://www.youtube.com/live/xp0K3WVssKY?si=LZW-N2O4nOZbWeQk</v>
      </c>
      <c r="Z1055" s="16" t="str">
        <f>HYPERLINK($X1055&amp;SUBSTITUTE(マスタ!$C$3,"XXXXX",$W1055))</f>
        <v>https://www.youtube.com/live/xp0K3WVssKY?si=LZW-N2O4nOZbWeQk&amp;t=4884s</v>
      </c>
      <c r="AA1055" s="12" t="str">
        <f t="shared" si="51"/>
        <v>スキマスイッチ全力少年</v>
      </c>
    </row>
    <row r="1056" spans="1:27" x14ac:dyDescent="0.4">
      <c r="A1056" s="14">
        <f t="shared" si="52"/>
        <v>1055</v>
      </c>
      <c r="B1056" s="14">
        <v>135</v>
      </c>
      <c r="C1056" s="21" t="s">
        <v>2289</v>
      </c>
      <c r="D1056" s="14" t="s">
        <v>2143</v>
      </c>
      <c r="E1056" s="14" t="s">
        <v>847</v>
      </c>
      <c r="G1056" s="1" t="str">
        <f>_xlfn.XLOOKUP(B1056,M_YT_LIVE!A:A,M_YT_LIVE!F:F,"ERROR",0,1)</f>
        <v>弾き語り</v>
      </c>
      <c r="W1056" s="13">
        <f t="shared" si="50"/>
        <v>5393</v>
      </c>
      <c r="X1056" s="12" t="str">
        <f>_xlfn.XLOOKUP($B1056,M_YT_LIVE!$A:$A,M_YT_LIVE!$D:$D)</f>
        <v>https://www.youtube.com/live/xp0K3WVssKY?si=LZW-N2O4nOZbWeQk</v>
      </c>
      <c r="Z1056" s="16" t="str">
        <f>HYPERLINK($X1056&amp;SUBSTITUTE(マスタ!$C$3,"XXXXX",$W1056))</f>
        <v>https://www.youtube.com/live/xp0K3WVssKY?si=LZW-N2O4nOZbWeQk&amp;t=5393s</v>
      </c>
      <c r="AA1056" s="12" t="str">
        <f t="shared" si="51"/>
        <v>スキマスイッチアイスクリーム シンドローム</v>
      </c>
    </row>
    <row r="1057" spans="1:27" x14ac:dyDescent="0.4">
      <c r="A1057" s="14">
        <f t="shared" si="52"/>
        <v>1056</v>
      </c>
      <c r="B1057" s="14">
        <v>135</v>
      </c>
      <c r="C1057" s="21" t="s">
        <v>2290</v>
      </c>
      <c r="D1057" s="14" t="s">
        <v>622</v>
      </c>
      <c r="E1057" s="14" t="s">
        <v>2291</v>
      </c>
      <c r="G1057" s="1" t="str">
        <f>_xlfn.XLOOKUP(B1057,M_YT_LIVE!A:A,M_YT_LIVE!F:F,"ERROR",0,1)</f>
        <v>弾き語り</v>
      </c>
      <c r="W1057" s="13">
        <f t="shared" si="50"/>
        <v>5892</v>
      </c>
      <c r="X1057" s="12" t="str">
        <f>_xlfn.XLOOKUP($B1057,M_YT_LIVE!$A:$A,M_YT_LIVE!$D:$D)</f>
        <v>https://www.youtube.com/live/xp0K3WVssKY?si=LZW-N2O4nOZbWeQk</v>
      </c>
      <c r="Z1057" s="16" t="str">
        <f>HYPERLINK($X1057&amp;SUBSTITUTE(マスタ!$C$3,"XXXXX",$W1057))</f>
        <v>https://www.youtube.com/live/xp0K3WVssKY?si=LZW-N2O4nOZbWeQk&amp;t=5892s</v>
      </c>
      <c r="AA1057" s="12" t="str">
        <f t="shared" si="51"/>
        <v>シェリル・ノームstarring May'nダイアモンドクレバス</v>
      </c>
    </row>
    <row r="1058" spans="1:27" x14ac:dyDescent="0.4">
      <c r="A1058" s="14">
        <f t="shared" si="52"/>
        <v>1057</v>
      </c>
      <c r="B1058" s="14">
        <v>135</v>
      </c>
      <c r="C1058" s="21" t="s">
        <v>2292</v>
      </c>
      <c r="D1058" s="14" t="s">
        <v>1483</v>
      </c>
      <c r="E1058" s="14" t="s">
        <v>924</v>
      </c>
      <c r="G1058" s="1" t="str">
        <f>_xlfn.XLOOKUP(B1058,M_YT_LIVE!A:A,M_YT_LIVE!F:F,"ERROR",0,1)</f>
        <v>弾き語り</v>
      </c>
      <c r="W1058" s="13">
        <f t="shared" si="50"/>
        <v>6427</v>
      </c>
      <c r="X1058" s="12" t="str">
        <f>_xlfn.XLOOKUP($B1058,M_YT_LIVE!$A:$A,M_YT_LIVE!$D:$D)</f>
        <v>https://www.youtube.com/live/xp0K3WVssKY?si=LZW-N2O4nOZbWeQk</v>
      </c>
      <c r="Z1058" s="16" t="str">
        <f>HYPERLINK($X1058&amp;SUBSTITUTE(マスタ!$C$3,"XXXXX",$W1058))</f>
        <v>https://www.youtube.com/live/xp0K3WVssKY?si=LZW-N2O4nOZbWeQk&amp;t=6427s</v>
      </c>
      <c r="AA1058" s="12" t="str">
        <f t="shared" si="51"/>
        <v>幽音しのFrom now on</v>
      </c>
    </row>
    <row r="1059" spans="1:27" x14ac:dyDescent="0.4">
      <c r="A1059" s="14">
        <f t="shared" si="52"/>
        <v>1058</v>
      </c>
      <c r="B1059" s="14">
        <v>137</v>
      </c>
      <c r="C1059" s="21" t="s">
        <v>1588</v>
      </c>
      <c r="D1059" s="14" t="s">
        <v>2297</v>
      </c>
      <c r="E1059" s="14" t="s">
        <v>716</v>
      </c>
      <c r="G1059" s="1" t="str">
        <f>_xlfn.XLOOKUP(B1059,M_YT_LIVE!A:A,M_YT_LIVE!F:F,"ERROR",0,1)</f>
        <v>弾き語り</v>
      </c>
      <c r="W1059" s="13">
        <f t="shared" si="50"/>
        <v>367</v>
      </c>
      <c r="X1059" s="12" t="str">
        <f>_xlfn.XLOOKUP($B1059,M_YT_LIVE!$A:$A,M_YT_LIVE!$D:$D)</f>
        <v>https://www.youtube.com/live/OColkUKqs90?si=u_QJLT5Paxmg4Fbl</v>
      </c>
      <c r="Z1059" s="16" t="str">
        <f>HYPERLINK($X1059&amp;SUBSTITUTE(マスタ!$C$3,"XXXXX",$W1059))</f>
        <v>https://www.youtube.com/live/OColkUKqs90?si=u_QJLT5Paxmg4Fbl&amp;t=367s</v>
      </c>
      <c r="AA1059" s="12" t="str">
        <f t="shared" si="51"/>
        <v>RADWIMPS正解</v>
      </c>
    </row>
    <row r="1060" spans="1:27" x14ac:dyDescent="0.4">
      <c r="A1060" s="14">
        <f t="shared" si="52"/>
        <v>1059</v>
      </c>
      <c r="B1060" s="14">
        <v>137</v>
      </c>
      <c r="C1060" s="21" t="s">
        <v>1149</v>
      </c>
      <c r="D1060" s="14" t="s">
        <v>2298</v>
      </c>
      <c r="E1060" s="14" t="s">
        <v>716</v>
      </c>
      <c r="G1060" s="1" t="str">
        <f>_xlfn.XLOOKUP(B1060,M_YT_LIVE!A:A,M_YT_LIVE!F:F,"ERROR",0,1)</f>
        <v>弾き語り</v>
      </c>
      <c r="W1060" s="13">
        <f t="shared" si="50"/>
        <v>1240</v>
      </c>
      <c r="X1060" s="12" t="str">
        <f>_xlfn.XLOOKUP($B1060,M_YT_LIVE!$A:$A,M_YT_LIVE!$D:$D)</f>
        <v>https://www.youtube.com/live/OColkUKqs90?si=u_QJLT5Paxmg4Fbl</v>
      </c>
      <c r="Z1060" s="16" t="str">
        <f>HYPERLINK($X1060&amp;SUBSTITUTE(マスタ!$C$3,"XXXXX",$W1060))</f>
        <v>https://www.youtube.com/live/OColkUKqs90?si=u_QJLT5Paxmg4Fbl&amp;t=1240s</v>
      </c>
      <c r="AA1060" s="12" t="str">
        <f t="shared" si="51"/>
        <v>RADWIMPSそっけない</v>
      </c>
    </row>
    <row r="1061" spans="1:27" x14ac:dyDescent="0.4">
      <c r="A1061" s="14">
        <f t="shared" si="52"/>
        <v>1060</v>
      </c>
      <c r="B1061" s="14">
        <v>137</v>
      </c>
      <c r="C1061" s="21" t="s">
        <v>2299</v>
      </c>
      <c r="D1061" s="14" t="s">
        <v>2300</v>
      </c>
      <c r="E1061" s="14" t="s">
        <v>716</v>
      </c>
      <c r="G1061" s="1" t="str">
        <f>_xlfn.XLOOKUP(B1061,M_YT_LIVE!A:A,M_YT_LIVE!F:F,"ERROR",0,1)</f>
        <v>弾き語り</v>
      </c>
      <c r="W1061" s="13">
        <f t="shared" si="50"/>
        <v>1972</v>
      </c>
      <c r="X1061" s="12" t="str">
        <f>_xlfn.XLOOKUP($B1061,M_YT_LIVE!$A:$A,M_YT_LIVE!$D:$D)</f>
        <v>https://www.youtube.com/live/OColkUKqs90?si=u_QJLT5Paxmg4Fbl</v>
      </c>
      <c r="Z1061" s="16" t="str">
        <f>HYPERLINK($X1061&amp;SUBSTITUTE(マスタ!$C$3,"XXXXX",$W1061))</f>
        <v>https://www.youtube.com/live/OColkUKqs90?si=u_QJLT5Paxmg4Fbl&amp;t=1972s</v>
      </c>
      <c r="AA1061" s="12" t="str">
        <f t="shared" si="51"/>
        <v>RADWIMPSおしゃかしゃま</v>
      </c>
    </row>
    <row r="1062" spans="1:27" x14ac:dyDescent="0.4">
      <c r="A1062" s="14">
        <f t="shared" si="52"/>
        <v>1061</v>
      </c>
      <c r="B1062" s="14">
        <v>137</v>
      </c>
      <c r="C1062" s="21" t="s">
        <v>2301</v>
      </c>
      <c r="D1062" s="14" t="s">
        <v>1454</v>
      </c>
      <c r="E1062" s="14" t="s">
        <v>716</v>
      </c>
      <c r="G1062" s="1" t="str">
        <f>_xlfn.XLOOKUP(B1062,M_YT_LIVE!A:A,M_YT_LIVE!F:F,"ERROR",0,1)</f>
        <v>弾き語り</v>
      </c>
      <c r="W1062" s="13">
        <f t="shared" si="50"/>
        <v>2870</v>
      </c>
      <c r="X1062" s="12" t="str">
        <f>_xlfn.XLOOKUP($B1062,M_YT_LIVE!$A:$A,M_YT_LIVE!$D:$D)</f>
        <v>https://www.youtube.com/live/OColkUKqs90?si=u_QJLT5Paxmg4Fbl</v>
      </c>
      <c r="Z1062" s="16" t="str">
        <f>HYPERLINK($X1062&amp;SUBSTITUTE(マスタ!$C$3,"XXXXX",$W1062))</f>
        <v>https://www.youtube.com/live/OColkUKqs90?si=u_QJLT5Paxmg4Fbl&amp;t=2870s</v>
      </c>
      <c r="AA1062" s="12" t="str">
        <f t="shared" si="51"/>
        <v>RADWIMPS夢灯篭</v>
      </c>
    </row>
    <row r="1063" spans="1:27" x14ac:dyDescent="0.4">
      <c r="A1063" s="14">
        <f t="shared" si="52"/>
        <v>1062</v>
      </c>
      <c r="B1063" s="14">
        <v>137</v>
      </c>
      <c r="C1063" s="21" t="s">
        <v>2302</v>
      </c>
      <c r="D1063" s="14" t="s">
        <v>1194</v>
      </c>
      <c r="E1063" s="14" t="s">
        <v>716</v>
      </c>
      <c r="G1063" s="1" t="str">
        <f>_xlfn.XLOOKUP(B1063,M_YT_LIVE!A:A,M_YT_LIVE!F:F,"ERROR",0,1)</f>
        <v>弾き語り</v>
      </c>
      <c r="W1063" s="13">
        <f t="shared" si="50"/>
        <v>3169</v>
      </c>
      <c r="X1063" s="12" t="str">
        <f>_xlfn.XLOOKUP($B1063,M_YT_LIVE!$A:$A,M_YT_LIVE!$D:$D)</f>
        <v>https://www.youtube.com/live/OColkUKqs90?si=u_QJLT5Paxmg4Fbl</v>
      </c>
      <c r="Z1063" s="16" t="str">
        <f>HYPERLINK($X1063&amp;SUBSTITUTE(マスタ!$C$3,"XXXXX",$W1063))</f>
        <v>https://www.youtube.com/live/OColkUKqs90?si=u_QJLT5Paxmg4Fbl&amp;t=3169s</v>
      </c>
      <c r="AA1063" s="12" t="str">
        <f t="shared" si="51"/>
        <v>RADWIMPS前前前世</v>
      </c>
    </row>
    <row r="1064" spans="1:27" x14ac:dyDescent="0.4">
      <c r="A1064" s="14">
        <f t="shared" si="52"/>
        <v>1063</v>
      </c>
      <c r="B1064" s="14">
        <v>137</v>
      </c>
      <c r="C1064" s="21" t="s">
        <v>2303</v>
      </c>
      <c r="D1064" s="14" t="s">
        <v>1557</v>
      </c>
      <c r="E1064" s="14" t="s">
        <v>716</v>
      </c>
      <c r="G1064" s="1" t="str">
        <f>_xlfn.XLOOKUP(B1064,M_YT_LIVE!A:A,M_YT_LIVE!F:F,"ERROR",0,1)</f>
        <v>弾き語り</v>
      </c>
      <c r="W1064" s="13">
        <f t="shared" si="50"/>
        <v>3648</v>
      </c>
      <c r="X1064" s="12" t="str">
        <f>_xlfn.XLOOKUP($B1064,M_YT_LIVE!$A:$A,M_YT_LIVE!$D:$D)</f>
        <v>https://www.youtube.com/live/OColkUKqs90?si=u_QJLT5Paxmg4Fbl</v>
      </c>
      <c r="Z1064" s="16" t="str">
        <f>HYPERLINK($X1064&amp;SUBSTITUTE(マスタ!$C$3,"XXXXX",$W1064))</f>
        <v>https://www.youtube.com/live/OColkUKqs90?si=u_QJLT5Paxmg4Fbl&amp;t=3648s</v>
      </c>
      <c r="AA1064" s="12" t="str">
        <f t="shared" si="51"/>
        <v>RADWIMPSスパークル</v>
      </c>
    </row>
    <row r="1065" spans="1:27" x14ac:dyDescent="0.4">
      <c r="A1065" s="14">
        <f t="shared" si="52"/>
        <v>1064</v>
      </c>
      <c r="B1065" s="14">
        <v>137</v>
      </c>
      <c r="C1065" s="21" t="s">
        <v>833</v>
      </c>
      <c r="D1065" s="14" t="s">
        <v>715</v>
      </c>
      <c r="E1065" s="14" t="s">
        <v>716</v>
      </c>
      <c r="G1065" s="1" t="str">
        <f>_xlfn.XLOOKUP(B1065,M_YT_LIVE!A:A,M_YT_LIVE!F:F,"ERROR",0,1)</f>
        <v>弾き語り</v>
      </c>
      <c r="W1065" s="13">
        <f t="shared" si="50"/>
        <v>4245</v>
      </c>
      <c r="X1065" s="12" t="str">
        <f>_xlfn.XLOOKUP($B1065,M_YT_LIVE!$A:$A,M_YT_LIVE!$D:$D)</f>
        <v>https://www.youtube.com/live/OColkUKqs90?si=u_QJLT5Paxmg4Fbl</v>
      </c>
      <c r="Z1065" s="16" t="str">
        <f>HYPERLINK($X1065&amp;SUBSTITUTE(マスタ!$C$3,"XXXXX",$W1065))</f>
        <v>https://www.youtube.com/live/OColkUKqs90?si=u_QJLT5Paxmg4Fbl&amp;t=4245s</v>
      </c>
      <c r="AA1065" s="12" t="str">
        <f t="shared" si="51"/>
        <v>RADWIMPSなんでもないや</v>
      </c>
    </row>
    <row r="1066" spans="1:27" x14ac:dyDescent="0.4">
      <c r="A1066" s="14">
        <f t="shared" si="52"/>
        <v>1065</v>
      </c>
      <c r="B1066" s="14">
        <v>140</v>
      </c>
      <c r="C1066" s="21" t="s">
        <v>2311</v>
      </c>
      <c r="D1066" s="14" t="s">
        <v>2312</v>
      </c>
      <c r="E1066" s="14" t="s">
        <v>2313</v>
      </c>
      <c r="G1066" s="1" t="str">
        <f>_xlfn.XLOOKUP(B1066,M_YT_LIVE!A:A,M_YT_LIVE!F:F,"ERROR",0,1)</f>
        <v>弾き語り</v>
      </c>
      <c r="W1066" s="13">
        <f t="shared" si="50"/>
        <v>299</v>
      </c>
      <c r="X1066" s="12" t="str">
        <f>_xlfn.XLOOKUP($B1066,M_YT_LIVE!$A:$A,M_YT_LIVE!$D:$D)</f>
        <v>https://www.youtube.com/live/MRm5RirWRTc?si=-La1GXnNoxw2IMQH</v>
      </c>
      <c r="Z1066" s="16" t="str">
        <f>HYPERLINK($X1066&amp;SUBSTITUTE(マスタ!$C$3,"XXXXX",$W1066))</f>
        <v>https://www.youtube.com/live/MRm5RirWRTc?si=-La1GXnNoxw2IMQH&amp;t=299s</v>
      </c>
      <c r="AA1066" s="12" t="str">
        <f t="shared" si="51"/>
        <v>神戸孝夫(日本)サンタが街にやってくる</v>
      </c>
    </row>
    <row r="1067" spans="1:27" x14ac:dyDescent="0.4">
      <c r="A1067" s="14">
        <f t="shared" si="52"/>
        <v>1066</v>
      </c>
      <c r="B1067" s="14">
        <v>140</v>
      </c>
      <c r="C1067" s="21" t="s">
        <v>405</v>
      </c>
      <c r="D1067" s="14" t="s">
        <v>2188</v>
      </c>
      <c r="E1067" s="14" t="s">
        <v>2189</v>
      </c>
      <c r="G1067" s="1" t="str">
        <f>_xlfn.XLOOKUP(B1067,M_YT_LIVE!A:A,M_YT_LIVE!F:F,"ERROR",0,1)</f>
        <v>弾き語り</v>
      </c>
      <c r="W1067" s="13">
        <f t="shared" si="50"/>
        <v>677.00000000000011</v>
      </c>
      <c r="X1067" s="12" t="str">
        <f>_xlfn.XLOOKUP($B1067,M_YT_LIVE!$A:$A,M_YT_LIVE!$D:$D)</f>
        <v>https://www.youtube.com/live/MRm5RirWRTc?si=-La1GXnNoxw2IMQH</v>
      </c>
      <c r="Z1067" s="16" t="str">
        <f>HYPERLINK($X1067&amp;SUBSTITUTE(マスタ!$C$3,"XXXXX",$W1067))</f>
        <v>https://www.youtube.com/live/MRm5RirWRTc?si=-La1GXnNoxw2IMQH&amp;t=677s</v>
      </c>
      <c r="AA1067" s="12" t="str">
        <f t="shared" si="51"/>
        <v>コレサワたばこ</v>
      </c>
    </row>
    <row r="1068" spans="1:27" x14ac:dyDescent="0.4">
      <c r="A1068" s="14">
        <f t="shared" si="52"/>
        <v>1067</v>
      </c>
      <c r="B1068" s="14">
        <v>140</v>
      </c>
      <c r="C1068" s="21" t="s">
        <v>2314</v>
      </c>
      <c r="D1068" s="14" t="s">
        <v>29</v>
      </c>
      <c r="E1068" s="14" t="s">
        <v>183</v>
      </c>
      <c r="G1068" s="1" t="str">
        <f>_xlfn.XLOOKUP(B1068,M_YT_LIVE!A:A,M_YT_LIVE!F:F,"ERROR",0,1)</f>
        <v>弾き語り</v>
      </c>
      <c r="W1068" s="13">
        <f t="shared" si="50"/>
        <v>1716</v>
      </c>
      <c r="X1068" s="12" t="str">
        <f>_xlfn.XLOOKUP($B1068,M_YT_LIVE!$A:$A,M_YT_LIVE!$D:$D)</f>
        <v>https://www.youtube.com/live/MRm5RirWRTc?si=-La1GXnNoxw2IMQH</v>
      </c>
      <c r="Z1068" s="16" t="str">
        <f>HYPERLINK($X1068&amp;SUBSTITUTE(マスタ!$C$3,"XXXXX",$W1068))</f>
        <v>https://www.youtube.com/live/MRm5RirWRTc?si=-La1GXnNoxw2IMQH&amp;t=1716s</v>
      </c>
      <c r="AA1068" s="12" t="str">
        <f t="shared" si="51"/>
        <v>クリープハイプ憂、燦々</v>
      </c>
    </row>
    <row r="1069" spans="1:27" x14ac:dyDescent="0.4">
      <c r="A1069" s="14">
        <f t="shared" si="52"/>
        <v>1068</v>
      </c>
      <c r="B1069" s="14">
        <v>140</v>
      </c>
      <c r="C1069" s="21" t="s">
        <v>2315</v>
      </c>
      <c r="D1069" s="14" t="s">
        <v>1672</v>
      </c>
      <c r="E1069" s="14" t="s">
        <v>790</v>
      </c>
      <c r="G1069" s="1" t="str">
        <f>_xlfn.XLOOKUP(B1069,M_YT_LIVE!A:A,M_YT_LIVE!F:F,"ERROR",0,1)</f>
        <v>弾き語り</v>
      </c>
      <c r="W1069" s="13">
        <f t="shared" si="50"/>
        <v>2201</v>
      </c>
      <c r="X1069" s="12" t="str">
        <f>_xlfn.XLOOKUP($B1069,M_YT_LIVE!$A:$A,M_YT_LIVE!$D:$D)</f>
        <v>https://www.youtube.com/live/MRm5RirWRTc?si=-La1GXnNoxw2IMQH</v>
      </c>
      <c r="Z1069" s="16" t="str">
        <f>HYPERLINK($X1069&amp;SUBSTITUTE(マスタ!$C$3,"XXXXX",$W1069))</f>
        <v>https://www.youtube.com/live/MRm5RirWRTc?si=-La1GXnNoxw2IMQH&amp;t=2201s</v>
      </c>
      <c r="AA1069" s="12" t="str">
        <f t="shared" si="51"/>
        <v>CHiCO with HoneyWorks世界は恋に落ちている</v>
      </c>
    </row>
    <row r="1070" spans="1:27" x14ac:dyDescent="0.4">
      <c r="A1070" s="14">
        <f t="shared" si="52"/>
        <v>1069</v>
      </c>
      <c r="B1070" s="14">
        <v>140</v>
      </c>
      <c r="C1070" s="21" t="s">
        <v>2316</v>
      </c>
      <c r="D1070" s="14" t="s">
        <v>2317</v>
      </c>
      <c r="E1070" s="14" t="s">
        <v>2318</v>
      </c>
      <c r="G1070" s="1" t="str">
        <f>_xlfn.XLOOKUP(B1070,M_YT_LIVE!A:A,M_YT_LIVE!F:F,"ERROR",0,1)</f>
        <v>弾き語り</v>
      </c>
      <c r="W1070" s="13">
        <f t="shared" si="50"/>
        <v>2722.0000000000005</v>
      </c>
      <c r="X1070" s="12" t="str">
        <f>_xlfn.XLOOKUP($B1070,M_YT_LIVE!$A:$A,M_YT_LIVE!$D:$D)</f>
        <v>https://www.youtube.com/live/MRm5RirWRTc?si=-La1GXnNoxw2IMQH</v>
      </c>
      <c r="Z1070" s="16" t="str">
        <f>HYPERLINK($X1070&amp;SUBSTITUTE(マスタ!$C$3,"XXXXX",$W1070))</f>
        <v>https://www.youtube.com/live/MRm5RirWRTc?si=-La1GXnNoxw2IMQH&amp;t=2722s</v>
      </c>
      <c r="AA1070" s="12" t="str">
        <f t="shared" si="51"/>
        <v>想太 feat.歌愛ユキいかないで</v>
      </c>
    </row>
    <row r="1071" spans="1:27" x14ac:dyDescent="0.4">
      <c r="A1071" s="14">
        <f t="shared" si="52"/>
        <v>1070</v>
      </c>
      <c r="B1071" s="14">
        <v>140</v>
      </c>
      <c r="C1071" s="21" t="s">
        <v>2319</v>
      </c>
      <c r="D1071" s="14" t="s">
        <v>2276</v>
      </c>
      <c r="E1071" s="14" t="s">
        <v>2277</v>
      </c>
      <c r="G1071" s="1" t="str">
        <f>_xlfn.XLOOKUP(B1071,M_YT_LIVE!A:A,M_YT_LIVE!F:F,"ERROR",0,1)</f>
        <v>弾き語り</v>
      </c>
      <c r="W1071" s="13">
        <f t="shared" si="50"/>
        <v>3093.0000000000005</v>
      </c>
      <c r="X1071" s="12" t="str">
        <f>_xlfn.XLOOKUP($B1071,M_YT_LIVE!$A:$A,M_YT_LIVE!$D:$D)</f>
        <v>https://www.youtube.com/live/MRm5RirWRTc?si=-La1GXnNoxw2IMQH</v>
      </c>
      <c r="Z1071" s="16" t="str">
        <f>HYPERLINK($X1071&amp;SUBSTITUTE(マスタ!$C$3,"XXXXX",$W1071))</f>
        <v>https://www.youtube.com/live/MRm5RirWRTc?si=-La1GXnNoxw2IMQH&amp;t=3093s</v>
      </c>
      <c r="AA1071" s="12" t="str">
        <f t="shared" si="51"/>
        <v>James Lord Pierpontジングルベル</v>
      </c>
    </row>
    <row r="1072" spans="1:27" x14ac:dyDescent="0.4">
      <c r="A1072" s="14">
        <f t="shared" si="52"/>
        <v>1071</v>
      </c>
      <c r="B1072" s="14">
        <v>140</v>
      </c>
      <c r="C1072" s="21" t="s">
        <v>2320</v>
      </c>
      <c r="D1072" s="14" t="s">
        <v>2321</v>
      </c>
      <c r="E1072" s="14" t="s">
        <v>2322</v>
      </c>
      <c r="G1072" s="1" t="str">
        <f>_xlfn.XLOOKUP(B1072,M_YT_LIVE!A:A,M_YT_LIVE!F:F,"ERROR",0,1)</f>
        <v>弾き語り</v>
      </c>
      <c r="W1072" s="13">
        <f t="shared" si="50"/>
        <v>3367.9999999999995</v>
      </c>
      <c r="X1072" s="12" t="str">
        <f>_xlfn.XLOOKUP($B1072,M_YT_LIVE!$A:$A,M_YT_LIVE!$D:$D)</f>
        <v>https://www.youtube.com/live/MRm5RirWRTc?si=-La1GXnNoxw2IMQH</v>
      </c>
      <c r="Z1072" s="16" t="str">
        <f>HYPERLINK($X1072&amp;SUBSTITUTE(マスタ!$C$3,"XXXXX",$W1072))</f>
        <v>https://www.youtube.com/live/MRm5RirWRTc?si=-La1GXnNoxw2IMQH&amp;t=3368s</v>
      </c>
      <c r="AA1072" s="12" t="str">
        <f t="shared" si="51"/>
        <v>瀧廉太郎お正月</v>
      </c>
    </row>
    <row r="1073" spans="1:27" x14ac:dyDescent="0.4">
      <c r="A1073" s="14">
        <f t="shared" si="52"/>
        <v>1072</v>
      </c>
      <c r="B1073" s="14">
        <v>140</v>
      </c>
      <c r="C1073" s="21" t="s">
        <v>2323</v>
      </c>
      <c r="D1073" s="14" t="s">
        <v>2324</v>
      </c>
      <c r="E1073" s="14" t="s">
        <v>2325</v>
      </c>
      <c r="G1073" s="1" t="str">
        <f>_xlfn.XLOOKUP(B1073,M_YT_LIVE!A:A,M_YT_LIVE!F:F,"ERROR",0,1)</f>
        <v>弾き語り</v>
      </c>
      <c r="W1073" s="13">
        <f t="shared" si="50"/>
        <v>3805</v>
      </c>
      <c r="X1073" s="12" t="str">
        <f>_xlfn.XLOOKUP($B1073,M_YT_LIVE!$A:$A,M_YT_LIVE!$D:$D)</f>
        <v>https://www.youtube.com/live/MRm5RirWRTc?si=-La1GXnNoxw2IMQH</v>
      </c>
      <c r="Z1073" s="16" t="str">
        <f>HYPERLINK($X1073&amp;SUBSTITUTE(マスタ!$C$3,"XXXXX",$W1073))</f>
        <v>https://www.youtube.com/live/MRm5RirWRTc?si=-La1GXnNoxw2IMQH&amp;t=3805s</v>
      </c>
      <c r="AA1073" s="12" t="str">
        <f t="shared" si="51"/>
        <v>Rudolph the Red-Nosed Reindeer赤鼻のトナカイ</v>
      </c>
    </row>
    <row r="1074" spans="1:27" x14ac:dyDescent="0.4">
      <c r="A1074" s="14">
        <f t="shared" si="52"/>
        <v>1073</v>
      </c>
      <c r="B1074" s="14">
        <v>140</v>
      </c>
      <c r="C1074" s="21" t="s">
        <v>2326</v>
      </c>
      <c r="D1074" s="14" t="s">
        <v>326</v>
      </c>
      <c r="E1074" s="14" t="s">
        <v>327</v>
      </c>
      <c r="G1074" s="1" t="str">
        <f>_xlfn.XLOOKUP(B1074,M_YT_LIVE!A:A,M_YT_LIVE!F:F,"ERROR",0,1)</f>
        <v>弾き語り</v>
      </c>
      <c r="W1074" s="13">
        <f t="shared" si="50"/>
        <v>4914</v>
      </c>
      <c r="X1074" s="12" t="str">
        <f>_xlfn.XLOOKUP($B1074,M_YT_LIVE!$A:$A,M_YT_LIVE!$D:$D)</f>
        <v>https://www.youtube.com/live/MRm5RirWRTc?si=-La1GXnNoxw2IMQH</v>
      </c>
      <c r="Z1074" s="16" t="str">
        <f>HYPERLINK($X1074&amp;SUBSTITUTE(マスタ!$C$3,"XXXXX",$W1074))</f>
        <v>https://www.youtube.com/live/MRm5RirWRTc?si=-La1GXnNoxw2IMQH&amp;t=4914s</v>
      </c>
      <c r="AA1074" s="12" t="str">
        <f t="shared" si="51"/>
        <v>レミオロメン粉雪</v>
      </c>
    </row>
    <row r="1075" spans="1:27" x14ac:dyDescent="0.4">
      <c r="A1075" s="14">
        <f t="shared" si="52"/>
        <v>1074</v>
      </c>
      <c r="B1075" s="14">
        <v>140</v>
      </c>
      <c r="C1075" s="21" t="s">
        <v>2327</v>
      </c>
      <c r="D1075" s="14" t="s">
        <v>2321</v>
      </c>
      <c r="E1075" s="14" t="s">
        <v>2322</v>
      </c>
      <c r="G1075" s="1" t="str">
        <f>_xlfn.XLOOKUP(B1075,M_YT_LIVE!A:A,M_YT_LIVE!F:F,"ERROR",0,1)</f>
        <v>弾き語り</v>
      </c>
      <c r="W1075" s="13">
        <f t="shared" si="50"/>
        <v>5411</v>
      </c>
      <c r="X1075" s="12" t="str">
        <f>_xlfn.XLOOKUP($B1075,M_YT_LIVE!$A:$A,M_YT_LIVE!$D:$D)</f>
        <v>https://www.youtube.com/live/MRm5RirWRTc?si=-La1GXnNoxw2IMQH</v>
      </c>
      <c r="Z1075" s="16" t="str">
        <f>HYPERLINK($X1075&amp;SUBSTITUTE(マスタ!$C$3,"XXXXX",$W1075))</f>
        <v>https://www.youtube.com/live/MRm5RirWRTc?si=-La1GXnNoxw2IMQH&amp;t=5411s</v>
      </c>
      <c r="AA1075" s="12" t="str">
        <f t="shared" si="51"/>
        <v>瀧廉太郎お正月</v>
      </c>
    </row>
    <row r="1076" spans="1:27" x14ac:dyDescent="0.4">
      <c r="A1076" s="14">
        <f t="shared" si="52"/>
        <v>1075</v>
      </c>
      <c r="B1076" s="14">
        <v>141</v>
      </c>
      <c r="C1076" s="21" t="s">
        <v>535</v>
      </c>
      <c r="D1076" s="14" t="s">
        <v>179</v>
      </c>
      <c r="E1076" s="14" t="s">
        <v>180</v>
      </c>
      <c r="G1076" s="1" t="str">
        <f>_xlfn.XLOOKUP(B1076,M_YT_LIVE!A:A,M_YT_LIVE!F:F,"ERROR",0,1)</f>
        <v>弾き語り</v>
      </c>
      <c r="W1076" s="13">
        <f t="shared" si="50"/>
        <v>272</v>
      </c>
      <c r="X1076" s="12" t="str">
        <f>_xlfn.XLOOKUP($B1076,M_YT_LIVE!$A:$A,M_YT_LIVE!$D:$D)</f>
        <v>https://www.youtube.com/live/oAyJDZdA6tE?si=2WnKccc2rn5H72au</v>
      </c>
      <c r="Z1076" s="16" t="str">
        <f>HYPERLINK($X1076&amp;SUBSTITUTE(マスタ!$C$3,"XXXXX",$W1076))</f>
        <v>https://www.youtube.com/live/oAyJDZdA6tE?si=2WnKccc2rn5H72au&amp;t=272s</v>
      </c>
      <c r="AA1076" s="12" t="str">
        <f t="shared" si="51"/>
        <v>40mP feat.初音ミクからくりピエロ</v>
      </c>
    </row>
    <row r="1077" spans="1:27" x14ac:dyDescent="0.4">
      <c r="A1077" s="14">
        <f t="shared" si="52"/>
        <v>1076</v>
      </c>
      <c r="B1077" s="14">
        <v>141</v>
      </c>
      <c r="C1077" s="21" t="s">
        <v>960</v>
      </c>
      <c r="D1077" s="14" t="s">
        <v>155</v>
      </c>
      <c r="E1077" s="14" t="s">
        <v>156</v>
      </c>
      <c r="G1077" s="1" t="str">
        <f>_xlfn.XLOOKUP(B1077,M_YT_LIVE!A:A,M_YT_LIVE!F:F,"ERROR",0,1)</f>
        <v>弾き語り</v>
      </c>
      <c r="W1077" s="13">
        <f t="shared" si="50"/>
        <v>758.99999999999989</v>
      </c>
      <c r="X1077" s="12" t="str">
        <f>_xlfn.XLOOKUP($B1077,M_YT_LIVE!$A:$A,M_YT_LIVE!$D:$D)</f>
        <v>https://www.youtube.com/live/oAyJDZdA6tE?si=2WnKccc2rn5H72au</v>
      </c>
      <c r="Z1077" s="16" t="str">
        <f>HYPERLINK($X1077&amp;SUBSTITUTE(マスタ!$C$3,"XXXXX",$W1077))</f>
        <v>https://www.youtube.com/live/oAyJDZdA6tE?si=2WnKccc2rn5H72au&amp;t=759s</v>
      </c>
      <c r="AA1077" s="12" t="str">
        <f t="shared" si="51"/>
        <v>DECO*27 feat.GUMI弱虫モンブラン</v>
      </c>
    </row>
    <row r="1078" spans="1:27" x14ac:dyDescent="0.4">
      <c r="A1078" s="14">
        <f t="shared" si="52"/>
        <v>1077</v>
      </c>
      <c r="B1078" s="14">
        <v>141</v>
      </c>
      <c r="C1078" s="21" t="s">
        <v>2330</v>
      </c>
      <c r="D1078" s="14" t="s">
        <v>109</v>
      </c>
      <c r="E1078" s="14" t="s">
        <v>44</v>
      </c>
      <c r="G1078" s="1" t="str">
        <f>_xlfn.XLOOKUP(B1078,M_YT_LIVE!A:A,M_YT_LIVE!F:F,"ERROR",0,1)</f>
        <v>弾き語り</v>
      </c>
      <c r="W1078" s="13">
        <f t="shared" si="50"/>
        <v>1165</v>
      </c>
      <c r="X1078" s="12" t="str">
        <f>_xlfn.XLOOKUP($B1078,M_YT_LIVE!$A:$A,M_YT_LIVE!$D:$D)</f>
        <v>https://www.youtube.com/live/oAyJDZdA6tE?si=2WnKccc2rn5H72au</v>
      </c>
      <c r="Z1078" s="16" t="str">
        <f>HYPERLINK($X1078&amp;SUBSTITUTE(マスタ!$C$3,"XXXXX",$W1078))</f>
        <v>https://www.youtube.com/live/oAyJDZdA6tE?si=2WnKccc2rn5H72au&amp;t=1165s</v>
      </c>
      <c r="AA1078" s="12" t="str">
        <f t="shared" si="51"/>
        <v>メル feat.初音ミク翡翠のまち</v>
      </c>
    </row>
    <row r="1079" spans="1:27" x14ac:dyDescent="0.4">
      <c r="A1079" s="14">
        <f t="shared" si="52"/>
        <v>1078</v>
      </c>
      <c r="B1079" s="14">
        <v>141</v>
      </c>
      <c r="C1079" s="21" t="s">
        <v>2331</v>
      </c>
      <c r="D1079" s="14" t="s">
        <v>906</v>
      </c>
      <c r="E1079" s="14" t="s">
        <v>150</v>
      </c>
      <c r="G1079" s="1" t="str">
        <f>_xlfn.XLOOKUP(B1079,M_YT_LIVE!A:A,M_YT_LIVE!F:F,"ERROR",0,1)</f>
        <v>弾き語り</v>
      </c>
      <c r="W1079" s="13">
        <f t="shared" si="50"/>
        <v>1493</v>
      </c>
      <c r="X1079" s="12" t="str">
        <f>_xlfn.XLOOKUP($B1079,M_YT_LIVE!$A:$A,M_YT_LIVE!$D:$D)</f>
        <v>https://www.youtube.com/live/oAyJDZdA6tE?si=2WnKccc2rn5H72au</v>
      </c>
      <c r="Z1079" s="16" t="str">
        <f>HYPERLINK($X1079&amp;SUBSTITUTE(マスタ!$C$3,"XXXXX",$W1079))</f>
        <v>https://www.youtube.com/live/oAyJDZdA6tE?si=2WnKccc2rn5H72au&amp;t=1493s</v>
      </c>
      <c r="AA1079" s="12" t="str">
        <f t="shared" si="51"/>
        <v>みきとP feat.初音ミク小夜子</v>
      </c>
    </row>
    <row r="1080" spans="1:27" x14ac:dyDescent="0.4">
      <c r="A1080" s="14">
        <f t="shared" si="52"/>
        <v>1079</v>
      </c>
      <c r="B1080" s="14">
        <v>141</v>
      </c>
      <c r="C1080" s="21" t="s">
        <v>2332</v>
      </c>
      <c r="D1080" s="14" t="s">
        <v>908</v>
      </c>
      <c r="E1080" s="14" t="s">
        <v>150</v>
      </c>
      <c r="G1080" s="1" t="str">
        <f>_xlfn.XLOOKUP(B1080,M_YT_LIVE!A:A,M_YT_LIVE!F:F,"ERROR",0,1)</f>
        <v>弾き語り</v>
      </c>
      <c r="W1080" s="13">
        <f t="shared" si="50"/>
        <v>1923</v>
      </c>
      <c r="X1080" s="12" t="str">
        <f>_xlfn.XLOOKUP($B1080,M_YT_LIVE!$A:$A,M_YT_LIVE!$D:$D)</f>
        <v>https://www.youtube.com/live/oAyJDZdA6tE?si=2WnKccc2rn5H72au</v>
      </c>
      <c r="Z1080" s="16" t="str">
        <f>HYPERLINK($X1080&amp;SUBSTITUTE(マスタ!$C$3,"XXXXX",$W1080))</f>
        <v>https://www.youtube.com/live/oAyJDZdA6tE?si=2WnKccc2rn5H72au&amp;t=1923s</v>
      </c>
      <c r="AA1080" s="12" t="str">
        <f t="shared" si="51"/>
        <v>みきとP feat.初音ミクサリシノハラ</v>
      </c>
    </row>
    <row r="1081" spans="1:27" x14ac:dyDescent="0.4">
      <c r="A1081" s="14">
        <f t="shared" si="52"/>
        <v>1080</v>
      </c>
      <c r="B1081" s="14">
        <v>141</v>
      </c>
      <c r="C1081" s="21" t="s">
        <v>2333</v>
      </c>
      <c r="D1081" s="14" t="s">
        <v>146</v>
      </c>
      <c r="E1081" s="14" t="s">
        <v>147</v>
      </c>
      <c r="G1081" s="1" t="str">
        <f>_xlfn.XLOOKUP(B1081,M_YT_LIVE!A:A,M_YT_LIVE!F:F,"ERROR",0,1)</f>
        <v>弾き語り</v>
      </c>
      <c r="W1081" s="13">
        <f t="shared" si="50"/>
        <v>2364</v>
      </c>
      <c r="X1081" s="12" t="str">
        <f>_xlfn.XLOOKUP($B1081,M_YT_LIVE!$A:$A,M_YT_LIVE!$D:$D)</f>
        <v>https://www.youtube.com/live/oAyJDZdA6tE?si=2WnKccc2rn5H72au</v>
      </c>
      <c r="Z1081" s="16" t="str">
        <f>HYPERLINK($X1081&amp;SUBSTITUTE(マスタ!$C$3,"XXXXX",$W1081))</f>
        <v>https://www.youtube.com/live/oAyJDZdA6tE?si=2WnKccc2rn5H72au&amp;t=2364s</v>
      </c>
      <c r="AA1081" s="12" t="str">
        <f t="shared" si="51"/>
        <v>ジミーサムP feat.初音ミク＆巡音ルカ(コーラス)from Y to Y</v>
      </c>
    </row>
    <row r="1082" spans="1:27" x14ac:dyDescent="0.4">
      <c r="A1082" s="14">
        <f t="shared" si="52"/>
        <v>1081</v>
      </c>
      <c r="B1082" s="14">
        <v>141</v>
      </c>
      <c r="C1082" s="21" t="s">
        <v>2334</v>
      </c>
      <c r="D1082" s="14" t="s">
        <v>2217</v>
      </c>
      <c r="E1082" s="14" t="s">
        <v>2218</v>
      </c>
      <c r="G1082" s="1" t="str">
        <f>_xlfn.XLOOKUP(B1082,M_YT_LIVE!A:A,M_YT_LIVE!F:F,"ERROR",0,1)</f>
        <v>弾き語り</v>
      </c>
      <c r="W1082" s="13">
        <f t="shared" si="50"/>
        <v>2819</v>
      </c>
      <c r="X1082" s="12" t="str">
        <f>_xlfn.XLOOKUP($B1082,M_YT_LIVE!$A:$A,M_YT_LIVE!$D:$D)</f>
        <v>https://www.youtube.com/live/oAyJDZdA6tE?si=2WnKccc2rn5H72au</v>
      </c>
      <c r="Z1082" s="16" t="str">
        <f>HYPERLINK($X1082&amp;SUBSTITUTE(マスタ!$C$3,"XXXXX",$W1082))</f>
        <v>https://www.youtube.com/live/oAyJDZdA6tE?si=2WnKccc2rn5H72au&amp;t=2819s</v>
      </c>
      <c r="AA1082" s="12" t="str">
        <f t="shared" si="51"/>
        <v>keeno feat.初音ミクglow</v>
      </c>
    </row>
    <row r="1083" spans="1:27" x14ac:dyDescent="0.4">
      <c r="A1083" s="14">
        <f t="shared" si="52"/>
        <v>1082</v>
      </c>
      <c r="B1083" s="14">
        <v>141</v>
      </c>
      <c r="C1083" s="21" t="s">
        <v>2335</v>
      </c>
      <c r="D1083" s="14" t="s">
        <v>266</v>
      </c>
      <c r="E1083" s="14" t="s">
        <v>2336</v>
      </c>
      <c r="G1083" s="1" t="str">
        <f>_xlfn.XLOOKUP(B1083,M_YT_LIVE!A:A,M_YT_LIVE!F:F,"ERROR",0,1)</f>
        <v>弾き語り</v>
      </c>
      <c r="W1083" s="13">
        <f t="shared" si="50"/>
        <v>3369.0000000000005</v>
      </c>
      <c r="X1083" s="12" t="str">
        <f>_xlfn.XLOOKUP($B1083,M_YT_LIVE!$A:$A,M_YT_LIVE!$D:$D)</f>
        <v>https://www.youtube.com/live/oAyJDZdA6tE?si=2WnKccc2rn5H72au</v>
      </c>
      <c r="Z1083" s="16" t="str">
        <f>HYPERLINK($X1083&amp;SUBSTITUTE(マスタ!$C$3,"XXXXX",$W1083))</f>
        <v>https://www.youtube.com/live/oAyJDZdA6tE?si=2WnKccc2rn5H72au&amp;t=3369s</v>
      </c>
      <c r="AA1083" s="12" t="str">
        <f t="shared" si="51"/>
        <v>バルーン(須田景凪)feat.flowerシャルル</v>
      </c>
    </row>
    <row r="1084" spans="1:27" x14ac:dyDescent="0.4">
      <c r="A1084" s="14">
        <f t="shared" si="52"/>
        <v>1083</v>
      </c>
      <c r="B1084" s="14">
        <v>141</v>
      </c>
      <c r="C1084" s="21" t="s">
        <v>2337</v>
      </c>
      <c r="D1084" s="14" t="s">
        <v>197</v>
      </c>
      <c r="E1084" s="14" t="s">
        <v>125</v>
      </c>
      <c r="G1084" s="1" t="str">
        <f>_xlfn.XLOOKUP(B1084,M_YT_LIVE!A:A,M_YT_LIVE!F:F,"ERROR",0,1)</f>
        <v>弾き語り</v>
      </c>
      <c r="W1084" s="13">
        <f t="shared" si="50"/>
        <v>3825</v>
      </c>
      <c r="X1084" s="12" t="str">
        <f>_xlfn.XLOOKUP($B1084,M_YT_LIVE!$A:$A,M_YT_LIVE!$D:$D)</f>
        <v>https://www.youtube.com/live/oAyJDZdA6tE?si=2WnKccc2rn5H72au</v>
      </c>
      <c r="Z1084" s="16" t="str">
        <f>HYPERLINK($X1084&amp;SUBSTITUTE(マスタ!$C$3,"XXXXX",$W1084))</f>
        <v>https://www.youtube.com/live/oAyJDZdA6tE?si=2WnKccc2rn5H72au&amp;t=3825s</v>
      </c>
      <c r="AA1084" s="12" t="str">
        <f t="shared" si="51"/>
        <v>Orangestar feat.IADAYBREAK FRONTLINE</v>
      </c>
    </row>
    <row r="1085" spans="1:27" x14ac:dyDescent="0.4">
      <c r="A1085" s="14">
        <f t="shared" si="52"/>
        <v>1084</v>
      </c>
      <c r="B1085" s="14">
        <v>141</v>
      </c>
      <c r="C1085" s="21" t="s">
        <v>2338</v>
      </c>
      <c r="D1085" s="14" t="s">
        <v>163</v>
      </c>
      <c r="E1085" s="14" t="s">
        <v>125</v>
      </c>
      <c r="G1085" s="1" t="str">
        <f>_xlfn.XLOOKUP(B1085,M_YT_LIVE!A:A,M_YT_LIVE!F:F,"ERROR",0,1)</f>
        <v>弾き語り</v>
      </c>
      <c r="W1085" s="13">
        <f t="shared" si="50"/>
        <v>4170</v>
      </c>
      <c r="X1085" s="12" t="str">
        <f>_xlfn.XLOOKUP($B1085,M_YT_LIVE!$A:$A,M_YT_LIVE!$D:$D)</f>
        <v>https://www.youtube.com/live/oAyJDZdA6tE?si=2WnKccc2rn5H72au</v>
      </c>
      <c r="Z1085" s="16" t="str">
        <f>HYPERLINK($X1085&amp;SUBSTITUTE(マスタ!$C$3,"XXXXX",$W1085))</f>
        <v>https://www.youtube.com/live/oAyJDZdA6tE?si=2WnKccc2rn5H72au&amp;t=4170s</v>
      </c>
      <c r="AA1085" s="12" t="str">
        <f t="shared" si="51"/>
        <v>Orangestar feat.IAAlice in 冷凍庫</v>
      </c>
    </row>
    <row r="1086" spans="1:27" x14ac:dyDescent="0.4">
      <c r="A1086" s="14">
        <f t="shared" si="52"/>
        <v>1085</v>
      </c>
      <c r="B1086" s="14">
        <v>141</v>
      </c>
      <c r="C1086" s="21" t="s">
        <v>2115</v>
      </c>
      <c r="D1086" s="14" t="s">
        <v>300</v>
      </c>
      <c r="E1086" s="14" t="s">
        <v>125</v>
      </c>
      <c r="G1086" s="1" t="str">
        <f>_xlfn.XLOOKUP(B1086,M_YT_LIVE!A:A,M_YT_LIVE!F:F,"ERROR",0,1)</f>
        <v>弾き語り</v>
      </c>
      <c r="W1086" s="13">
        <f t="shared" si="50"/>
        <v>4536</v>
      </c>
      <c r="X1086" s="12" t="str">
        <f>_xlfn.XLOOKUP($B1086,M_YT_LIVE!$A:$A,M_YT_LIVE!$D:$D)</f>
        <v>https://www.youtube.com/live/oAyJDZdA6tE?si=2WnKccc2rn5H72au</v>
      </c>
      <c r="Z1086" s="16" t="str">
        <f>HYPERLINK($X1086&amp;SUBSTITUTE(マスタ!$C$3,"XXXXX",$W1086))</f>
        <v>https://www.youtube.com/live/oAyJDZdA6tE?si=2WnKccc2rn5H72au&amp;t=4536s</v>
      </c>
      <c r="AA1086" s="12" t="str">
        <f t="shared" si="51"/>
        <v>Orangestar feat.IAHenceforth</v>
      </c>
    </row>
    <row r="1087" spans="1:27" x14ac:dyDescent="0.4">
      <c r="A1087" s="14">
        <f t="shared" si="52"/>
        <v>1086</v>
      </c>
      <c r="B1087" s="14">
        <v>141</v>
      </c>
      <c r="C1087" s="21" t="s">
        <v>2339</v>
      </c>
      <c r="D1087" s="14" t="s">
        <v>204</v>
      </c>
      <c r="E1087" s="14" t="s">
        <v>205</v>
      </c>
      <c r="G1087" s="1" t="str">
        <f>_xlfn.XLOOKUP(B1087,M_YT_LIVE!A:A,M_YT_LIVE!F:F,"ERROR",0,1)</f>
        <v>弾き語り</v>
      </c>
      <c r="W1087" s="13">
        <f t="shared" si="50"/>
        <v>4960</v>
      </c>
      <c r="X1087" s="12" t="str">
        <f>_xlfn.XLOOKUP($B1087,M_YT_LIVE!$A:$A,M_YT_LIVE!$D:$D)</f>
        <v>https://www.youtube.com/live/oAyJDZdA6tE?si=2WnKccc2rn5H72au</v>
      </c>
      <c r="Z1087" s="16" t="str">
        <f>HYPERLINK($X1087&amp;SUBSTITUTE(マスタ!$C$3,"XXXXX",$W1087))</f>
        <v>https://www.youtube.com/live/oAyJDZdA6tE?si=2WnKccc2rn5H72au&amp;t=4960s</v>
      </c>
      <c r="AA1087" s="12" t="str">
        <f t="shared" si="51"/>
        <v>164P feat.GUMI天ノ弱</v>
      </c>
    </row>
    <row r="1088" spans="1:27" x14ac:dyDescent="0.4">
      <c r="A1088" s="14">
        <f t="shared" si="52"/>
        <v>1087</v>
      </c>
      <c r="B1088" s="14">
        <v>141</v>
      </c>
      <c r="C1088" s="21" t="s">
        <v>2340</v>
      </c>
      <c r="D1088" s="14" t="s">
        <v>149</v>
      </c>
      <c r="E1088" s="14" t="s">
        <v>150</v>
      </c>
      <c r="G1088" s="1" t="str">
        <f>_xlfn.XLOOKUP(B1088,M_YT_LIVE!A:A,M_YT_LIVE!F:F,"ERROR",0,1)</f>
        <v>弾き語り</v>
      </c>
      <c r="W1088" s="13">
        <f t="shared" si="50"/>
        <v>5341</v>
      </c>
      <c r="X1088" s="12" t="str">
        <f>_xlfn.XLOOKUP($B1088,M_YT_LIVE!$A:$A,M_YT_LIVE!$D:$D)</f>
        <v>https://www.youtube.com/live/oAyJDZdA6tE?si=2WnKccc2rn5H72au</v>
      </c>
      <c r="Z1088" s="16" t="str">
        <f>HYPERLINK($X1088&amp;SUBSTITUTE(マスタ!$C$3,"XXXXX",$W1088))</f>
        <v>https://www.youtube.com/live/oAyJDZdA6tE?si=2WnKccc2rn5H72au&amp;t=5341s</v>
      </c>
      <c r="AA1088" s="12" t="str">
        <f t="shared" si="51"/>
        <v>みきとP feat.初音ミク少女レイ</v>
      </c>
    </row>
    <row r="1089" spans="1:27" x14ac:dyDescent="0.4">
      <c r="A1089" s="14">
        <f t="shared" si="52"/>
        <v>1088</v>
      </c>
      <c r="B1089" s="14">
        <v>141</v>
      </c>
      <c r="C1089" s="21" t="s">
        <v>2341</v>
      </c>
      <c r="D1089" s="14" t="s">
        <v>433</v>
      </c>
      <c r="E1089" s="14" t="s">
        <v>180</v>
      </c>
      <c r="G1089" s="1" t="str">
        <f>_xlfn.XLOOKUP(B1089,M_YT_LIVE!A:A,M_YT_LIVE!F:F,"ERROR",0,1)</f>
        <v>弾き語り</v>
      </c>
      <c r="W1089" s="13">
        <f t="shared" si="50"/>
        <v>5804</v>
      </c>
      <c r="X1089" s="12" t="str">
        <f>_xlfn.XLOOKUP($B1089,M_YT_LIVE!$A:$A,M_YT_LIVE!$D:$D)</f>
        <v>https://www.youtube.com/live/oAyJDZdA6tE?si=2WnKccc2rn5H72au</v>
      </c>
      <c r="Z1089" s="16" t="str">
        <f>HYPERLINK($X1089&amp;SUBSTITUTE(マスタ!$C$3,"XXXXX",$W1089))</f>
        <v>https://www.youtube.com/live/oAyJDZdA6tE?si=2WnKccc2rn5H72au&amp;t=5804s</v>
      </c>
      <c r="AA1089" s="12" t="str">
        <f t="shared" si="51"/>
        <v>40mP feat.初音ミク恋愛裁判</v>
      </c>
    </row>
    <row r="1090" spans="1:27" x14ac:dyDescent="0.4">
      <c r="A1090" s="14">
        <f t="shared" si="52"/>
        <v>1089</v>
      </c>
      <c r="B1090" s="14">
        <v>141</v>
      </c>
      <c r="C1090" s="21" t="s">
        <v>2342</v>
      </c>
      <c r="D1090" s="14" t="s">
        <v>1468</v>
      </c>
      <c r="E1090" s="14" t="s">
        <v>1469</v>
      </c>
      <c r="G1090" s="1" t="str">
        <f>_xlfn.XLOOKUP(B1090,M_YT_LIVE!A:A,M_YT_LIVE!F:F,"ERROR",0,1)</f>
        <v>弾き語り</v>
      </c>
      <c r="W1090" s="13">
        <f t="shared" si="50"/>
        <v>6179</v>
      </c>
      <c r="X1090" s="12" t="str">
        <f>_xlfn.XLOOKUP($B1090,M_YT_LIVE!$A:$A,M_YT_LIVE!$D:$D)</f>
        <v>https://www.youtube.com/live/oAyJDZdA6tE?si=2WnKccc2rn5H72au</v>
      </c>
      <c r="Z1090" s="16" t="str">
        <f>HYPERLINK($X1090&amp;SUBSTITUTE(マスタ!$C$3,"XXXXX",$W1090))</f>
        <v>https://www.youtube.com/live/oAyJDZdA6tE?si=2WnKccc2rn5H72au&amp;t=6179s</v>
      </c>
      <c r="AA1090" s="12" t="str">
        <f t="shared" si="51"/>
        <v>TOKOTOKO feat.GUMI夜もすがら君想ふ</v>
      </c>
    </row>
    <row r="1091" spans="1:27" x14ac:dyDescent="0.4">
      <c r="A1091" s="14">
        <f t="shared" si="52"/>
        <v>1090</v>
      </c>
      <c r="B1091" s="14">
        <v>141</v>
      </c>
      <c r="C1091" s="21" t="s">
        <v>2343</v>
      </c>
      <c r="D1091" s="14" t="s">
        <v>1445</v>
      </c>
      <c r="E1091" s="14" t="s">
        <v>1446</v>
      </c>
      <c r="G1091" s="1" t="str">
        <f>_xlfn.XLOOKUP(B1091,M_YT_LIVE!A:A,M_YT_LIVE!F:F,"ERROR",0,1)</f>
        <v>弾き語り</v>
      </c>
      <c r="W1091" s="13">
        <f t="shared" si="50"/>
        <v>6663</v>
      </c>
      <c r="X1091" s="12" t="str">
        <f>_xlfn.XLOOKUP($B1091,M_YT_LIVE!$A:$A,M_YT_LIVE!$D:$D)</f>
        <v>https://www.youtube.com/live/oAyJDZdA6tE?si=2WnKccc2rn5H72au</v>
      </c>
      <c r="Z1091" s="16" t="str">
        <f>HYPERLINK($X1091&amp;SUBSTITUTE(マスタ!$C$3,"XXXXX",$W1091))</f>
        <v>https://www.youtube.com/live/oAyJDZdA6tE?si=2WnKccc2rn5H72au&amp;t=6663s</v>
      </c>
      <c r="AA1091" s="12" t="str">
        <f t="shared" si="51"/>
        <v>蝶々P feat.GUMI心做し</v>
      </c>
    </row>
    <row r="1092" spans="1:27" x14ac:dyDescent="0.4">
      <c r="A1092" s="14">
        <f t="shared" si="52"/>
        <v>1091</v>
      </c>
      <c r="B1092" s="14">
        <v>141</v>
      </c>
      <c r="C1092" s="21" t="s">
        <v>2344</v>
      </c>
      <c r="D1092" s="14" t="s">
        <v>224</v>
      </c>
      <c r="E1092" s="14" t="s">
        <v>225</v>
      </c>
      <c r="G1092" s="1" t="str">
        <f>_xlfn.XLOOKUP(B1092,M_YT_LIVE!A:A,M_YT_LIVE!F:F,"ERROR",0,1)</f>
        <v>弾き語り</v>
      </c>
      <c r="W1092" s="13">
        <f t="shared" ref="W1092:W1155" si="53">TIMEVALUE($C1092)*86400</f>
        <v>7199</v>
      </c>
      <c r="X1092" s="12" t="str">
        <f>_xlfn.XLOOKUP($B1092,M_YT_LIVE!$A:$A,M_YT_LIVE!$D:$D)</f>
        <v>https://www.youtube.com/live/oAyJDZdA6tE?si=2WnKccc2rn5H72au</v>
      </c>
      <c r="Z1092" s="16" t="str">
        <f>HYPERLINK($X1092&amp;SUBSTITUTE(マスタ!$C$3,"XXXXX",$W1092))</f>
        <v>https://www.youtube.com/live/oAyJDZdA6tE?si=2WnKccc2rn5H72au&amp;t=7199s</v>
      </c>
      <c r="AA1092" s="12" t="str">
        <f t="shared" si="51"/>
        <v>ryo(supercell) feat.初音ミクメルト</v>
      </c>
    </row>
    <row r="1093" spans="1:27" x14ac:dyDescent="0.4">
      <c r="A1093" s="14">
        <f t="shared" si="52"/>
        <v>1092</v>
      </c>
      <c r="B1093" s="14">
        <v>142</v>
      </c>
      <c r="C1093" s="21" t="s">
        <v>2347</v>
      </c>
      <c r="D1093" s="14" t="s">
        <v>71</v>
      </c>
      <c r="E1093" s="14" t="s">
        <v>72</v>
      </c>
      <c r="G1093" s="1" t="str">
        <f>_xlfn.XLOOKUP(B1093,M_YT_LIVE!A:A,M_YT_LIVE!F:F,"ERROR",0,1)</f>
        <v>弾き語り</v>
      </c>
      <c r="W1093" s="13">
        <f t="shared" si="53"/>
        <v>328</v>
      </c>
      <c r="X1093" s="12" t="str">
        <f>_xlfn.XLOOKUP($B1093,M_YT_LIVE!$A:$A,M_YT_LIVE!$D:$D)</f>
        <v>https://www.youtube.com/live/-LFW7tNdmHY?si=GPUnndjVLQ00wOIS</v>
      </c>
      <c r="Z1093" s="16" t="str">
        <f>HYPERLINK($X1093&amp;SUBSTITUTE(マスタ!$C$3,"XXXXX",$W1093))</f>
        <v>https://www.youtube.com/live/-LFW7tNdmHY?si=GPUnndjVLQ00wOIS&amp;t=328s</v>
      </c>
      <c r="AA1093" s="12" t="str">
        <f t="shared" ref="AA1093:AA1156" si="54">TRIM(E1093)&amp;TRIM(D1093)</f>
        <v>優里ドライフラワー</v>
      </c>
    </row>
    <row r="1094" spans="1:27" x14ac:dyDescent="0.4">
      <c r="A1094" s="14">
        <f t="shared" ref="A1094:A1157" si="55">ROW()-1</f>
        <v>1093</v>
      </c>
      <c r="B1094" s="14">
        <v>142</v>
      </c>
      <c r="C1094" s="21" t="s">
        <v>2348</v>
      </c>
      <c r="D1094" s="14" t="s">
        <v>29</v>
      </c>
      <c r="E1094" s="14" t="s">
        <v>183</v>
      </c>
      <c r="G1094" s="1" t="str">
        <f>_xlfn.XLOOKUP(B1094,M_YT_LIVE!A:A,M_YT_LIVE!F:F,"ERROR",0,1)</f>
        <v>弾き語り</v>
      </c>
      <c r="W1094" s="13">
        <f t="shared" si="53"/>
        <v>858.99999999999989</v>
      </c>
      <c r="X1094" s="12" t="str">
        <f>_xlfn.XLOOKUP($B1094,M_YT_LIVE!$A:$A,M_YT_LIVE!$D:$D)</f>
        <v>https://www.youtube.com/live/-LFW7tNdmHY?si=GPUnndjVLQ00wOIS</v>
      </c>
      <c r="Z1094" s="16" t="str">
        <f>HYPERLINK($X1094&amp;SUBSTITUTE(マスタ!$C$3,"XXXXX",$W1094))</f>
        <v>https://www.youtube.com/live/-LFW7tNdmHY?si=GPUnndjVLQ00wOIS&amp;t=859s</v>
      </c>
      <c r="AA1094" s="12" t="str">
        <f t="shared" si="54"/>
        <v>クリープハイプ憂、燦々</v>
      </c>
    </row>
    <row r="1095" spans="1:27" x14ac:dyDescent="0.4">
      <c r="A1095" s="14">
        <f t="shared" si="55"/>
        <v>1094</v>
      </c>
      <c r="B1095" s="14">
        <v>142</v>
      </c>
      <c r="C1095" s="21" t="s">
        <v>2170</v>
      </c>
      <c r="D1095" s="14" t="s">
        <v>64</v>
      </c>
      <c r="E1095" s="14" t="s">
        <v>65</v>
      </c>
      <c r="G1095" s="1" t="str">
        <f>_xlfn.XLOOKUP(B1095,M_YT_LIVE!A:A,M_YT_LIVE!F:F,"ERROR",0,1)</f>
        <v>弾き語り</v>
      </c>
      <c r="W1095" s="13">
        <f t="shared" si="53"/>
        <v>1398</v>
      </c>
      <c r="X1095" s="12" t="str">
        <f>_xlfn.XLOOKUP($B1095,M_YT_LIVE!$A:$A,M_YT_LIVE!$D:$D)</f>
        <v>https://www.youtube.com/live/-LFW7tNdmHY?si=GPUnndjVLQ00wOIS</v>
      </c>
      <c r="Z1095" s="16" t="str">
        <f>HYPERLINK($X1095&amp;SUBSTITUTE(マスタ!$C$3,"XXXXX",$W1095))</f>
        <v>https://www.youtube.com/live/-LFW7tNdmHY?si=GPUnndjVLQ00wOIS&amp;t=1398s</v>
      </c>
      <c r="AA1095" s="12" t="str">
        <f t="shared" si="54"/>
        <v>R Sound Design feat.初音ミクflos</v>
      </c>
    </row>
    <row r="1096" spans="1:27" x14ac:dyDescent="0.4">
      <c r="A1096" s="14">
        <f t="shared" si="55"/>
        <v>1095</v>
      </c>
      <c r="B1096" s="14">
        <v>142</v>
      </c>
      <c r="C1096" s="21" t="s">
        <v>2349</v>
      </c>
      <c r="D1096" s="14" t="s">
        <v>202</v>
      </c>
      <c r="E1096" s="14" t="s">
        <v>141</v>
      </c>
      <c r="G1096" s="1" t="str">
        <f>_xlfn.XLOOKUP(B1096,M_YT_LIVE!A:A,M_YT_LIVE!F:F,"ERROR",0,1)</f>
        <v>弾き語り</v>
      </c>
      <c r="W1096" s="13">
        <f t="shared" si="53"/>
        <v>1838</v>
      </c>
      <c r="X1096" s="12" t="str">
        <f>_xlfn.XLOOKUP($B1096,M_YT_LIVE!$A:$A,M_YT_LIVE!$D:$D)</f>
        <v>https://www.youtube.com/live/-LFW7tNdmHY?si=GPUnndjVLQ00wOIS</v>
      </c>
      <c r="Z1096" s="16" t="str">
        <f>HYPERLINK($X1096&amp;SUBSTITUTE(マスタ!$C$3,"XXXXX",$W1096))</f>
        <v>https://www.youtube.com/live/-LFW7tNdmHY?si=GPUnndjVLQ00wOIS&amp;t=1838s</v>
      </c>
      <c r="AA1096" s="12" t="str">
        <f t="shared" si="54"/>
        <v>ヨルシカノーチラス</v>
      </c>
    </row>
    <row r="1097" spans="1:27" x14ac:dyDescent="0.4">
      <c r="A1097" s="14">
        <f t="shared" si="55"/>
        <v>1096</v>
      </c>
      <c r="B1097" s="14">
        <v>142</v>
      </c>
      <c r="C1097" s="21" t="s">
        <v>2350</v>
      </c>
      <c r="D1097" s="14" t="s">
        <v>19</v>
      </c>
      <c r="E1097" s="14" t="s">
        <v>20</v>
      </c>
      <c r="G1097" s="1" t="str">
        <f>_xlfn.XLOOKUP(B1097,M_YT_LIVE!A:A,M_YT_LIVE!F:F,"ERROR",0,1)</f>
        <v>弾き語り</v>
      </c>
      <c r="W1097" s="13">
        <f t="shared" si="53"/>
        <v>2224</v>
      </c>
      <c r="X1097" s="12" t="str">
        <f>_xlfn.XLOOKUP($B1097,M_YT_LIVE!$A:$A,M_YT_LIVE!$D:$D)</f>
        <v>https://www.youtube.com/live/-LFW7tNdmHY?si=GPUnndjVLQ00wOIS</v>
      </c>
      <c r="Z1097" s="16" t="str">
        <f>HYPERLINK($X1097&amp;SUBSTITUTE(マスタ!$C$3,"XXXXX",$W1097))</f>
        <v>https://www.youtube.com/live/-LFW7tNdmHY?si=GPUnndjVLQ00wOIS&amp;t=2224s</v>
      </c>
      <c r="AA1097" s="12" t="str">
        <f t="shared" si="54"/>
        <v>Vaundy怪獣の花唄</v>
      </c>
    </row>
    <row r="1098" spans="1:27" x14ac:dyDescent="0.4">
      <c r="A1098" s="14">
        <f t="shared" si="55"/>
        <v>1097</v>
      </c>
      <c r="B1098" s="14">
        <v>142</v>
      </c>
      <c r="C1098" s="21" t="s">
        <v>2351</v>
      </c>
      <c r="D1098" s="14" t="s">
        <v>143</v>
      </c>
      <c r="E1098" s="14" t="s">
        <v>144</v>
      </c>
      <c r="G1098" s="1" t="str">
        <f>_xlfn.XLOOKUP(B1098,M_YT_LIVE!A:A,M_YT_LIVE!F:F,"ERROR",0,1)</f>
        <v>弾き語り</v>
      </c>
      <c r="W1098" s="13">
        <f t="shared" si="53"/>
        <v>2649</v>
      </c>
      <c r="X1098" s="12" t="str">
        <f>_xlfn.XLOOKUP($B1098,M_YT_LIVE!$A:$A,M_YT_LIVE!$D:$D)</f>
        <v>https://www.youtube.com/live/-LFW7tNdmHY?si=GPUnndjVLQ00wOIS</v>
      </c>
      <c r="Z1098" s="16" t="str">
        <f>HYPERLINK($X1098&amp;SUBSTITUTE(マスタ!$C$3,"XXXXX",$W1098))</f>
        <v>https://www.youtube.com/live/-LFW7tNdmHY?si=GPUnndjVLQ00wOIS&amp;t=2649s</v>
      </c>
      <c r="AA1098" s="12" t="str">
        <f t="shared" si="54"/>
        <v>マカロニえんぴつブルーベリー・ナイツ</v>
      </c>
    </row>
    <row r="1099" spans="1:27" x14ac:dyDescent="0.4">
      <c r="A1099" s="14">
        <f t="shared" si="55"/>
        <v>1098</v>
      </c>
      <c r="B1099" s="14">
        <v>142</v>
      </c>
      <c r="C1099" s="21" t="s">
        <v>2352</v>
      </c>
      <c r="D1099" s="14" t="s">
        <v>56</v>
      </c>
      <c r="E1099" s="14" t="s">
        <v>57</v>
      </c>
      <c r="G1099" s="1" t="str">
        <f>_xlfn.XLOOKUP(B1099,M_YT_LIVE!A:A,M_YT_LIVE!F:F,"ERROR",0,1)</f>
        <v>弾き語り</v>
      </c>
      <c r="W1099" s="13">
        <f t="shared" si="53"/>
        <v>3136</v>
      </c>
      <c r="X1099" s="12" t="str">
        <f>_xlfn.XLOOKUP($B1099,M_YT_LIVE!$A:$A,M_YT_LIVE!$D:$D)</f>
        <v>https://www.youtube.com/live/-LFW7tNdmHY?si=GPUnndjVLQ00wOIS</v>
      </c>
      <c r="Z1099" s="16" t="str">
        <f>HYPERLINK($X1099&amp;SUBSTITUTE(マスタ!$C$3,"XXXXX",$W1099))</f>
        <v>https://www.youtube.com/live/-LFW7tNdmHY?si=GPUnndjVLQ00wOIS&amp;t=3136s</v>
      </c>
      <c r="AA1099" s="12" t="str">
        <f t="shared" si="54"/>
        <v>羊文学more than words</v>
      </c>
    </row>
    <row r="1100" spans="1:27" x14ac:dyDescent="0.4">
      <c r="A1100" s="14">
        <f t="shared" si="55"/>
        <v>1099</v>
      </c>
      <c r="B1100" s="14">
        <v>142</v>
      </c>
      <c r="C1100" s="21" t="s">
        <v>2353</v>
      </c>
      <c r="D1100" s="14" t="s">
        <v>185</v>
      </c>
      <c r="E1100" s="14" t="s">
        <v>186</v>
      </c>
      <c r="G1100" s="1" t="str">
        <f>_xlfn.XLOOKUP(B1100,M_YT_LIVE!A:A,M_YT_LIVE!F:F,"ERROR",0,1)</f>
        <v>弾き語り</v>
      </c>
      <c r="W1100" s="13">
        <f t="shared" si="53"/>
        <v>3715</v>
      </c>
      <c r="X1100" s="12" t="str">
        <f>_xlfn.XLOOKUP($B1100,M_YT_LIVE!$A:$A,M_YT_LIVE!$D:$D)</f>
        <v>https://www.youtube.com/live/-LFW7tNdmHY?si=GPUnndjVLQ00wOIS</v>
      </c>
      <c r="Z1100" s="16" t="str">
        <f>HYPERLINK($X1100&amp;SUBSTITUTE(マスタ!$C$3,"XXXXX",$W1100))</f>
        <v>https://www.youtube.com/live/-LFW7tNdmHY?si=GPUnndjVLQ00wOIS&amp;t=3715s</v>
      </c>
      <c r="AA1100" s="12" t="str">
        <f t="shared" si="54"/>
        <v>YUI for 雨音薫Good-bye days</v>
      </c>
    </row>
    <row r="1101" spans="1:27" x14ac:dyDescent="0.4">
      <c r="A1101" s="14">
        <f t="shared" si="55"/>
        <v>1100</v>
      </c>
      <c r="B1101" s="14">
        <v>142</v>
      </c>
      <c r="C1101" s="21" t="s">
        <v>2354</v>
      </c>
      <c r="D1101" s="14" t="s">
        <v>80</v>
      </c>
      <c r="E1101" s="14" t="s">
        <v>81</v>
      </c>
      <c r="G1101" s="1" t="str">
        <f>_xlfn.XLOOKUP(B1101,M_YT_LIVE!A:A,M_YT_LIVE!F:F,"ERROR",0,1)</f>
        <v>弾き語り</v>
      </c>
      <c r="W1101" s="13">
        <f t="shared" si="53"/>
        <v>4044.0000000000005</v>
      </c>
      <c r="X1101" s="12" t="str">
        <f>_xlfn.XLOOKUP($B1101,M_YT_LIVE!$A:$A,M_YT_LIVE!$D:$D)</f>
        <v>https://www.youtube.com/live/-LFW7tNdmHY?si=GPUnndjVLQ00wOIS</v>
      </c>
      <c r="Z1101" s="16" t="str">
        <f>HYPERLINK($X1101&amp;SUBSTITUTE(マスタ!$C$3,"XXXXX",$W1101))</f>
        <v>https://www.youtube.com/live/-LFW7tNdmHY?si=GPUnndjVLQ00wOIS&amp;t=4044s</v>
      </c>
      <c r="AA1101" s="12" t="str">
        <f t="shared" si="54"/>
        <v>じん(自然の敵P) feat.IA想像フォレスト</v>
      </c>
    </row>
    <row r="1102" spans="1:27" x14ac:dyDescent="0.4">
      <c r="A1102" s="14">
        <f t="shared" si="55"/>
        <v>1101</v>
      </c>
      <c r="B1102" s="14">
        <v>142</v>
      </c>
      <c r="C1102" s="21" t="s">
        <v>2355</v>
      </c>
      <c r="D1102" s="14" t="s">
        <v>370</v>
      </c>
      <c r="E1102" s="14" t="s">
        <v>208</v>
      </c>
      <c r="G1102" s="1" t="str">
        <f>_xlfn.XLOOKUP(B1102,M_YT_LIVE!A:A,M_YT_LIVE!F:F,"ERROR",0,1)</f>
        <v>弾き語り</v>
      </c>
      <c r="W1102" s="13">
        <f t="shared" si="53"/>
        <v>4653</v>
      </c>
      <c r="X1102" s="12" t="str">
        <f>_xlfn.XLOOKUP($B1102,M_YT_LIVE!$A:$A,M_YT_LIVE!$D:$D)</f>
        <v>https://www.youtube.com/live/-LFW7tNdmHY?si=GPUnndjVLQ00wOIS</v>
      </c>
      <c r="Z1102" s="16" t="str">
        <f>HYPERLINK($X1102&amp;SUBSTITUTE(マスタ!$C$3,"XXXXX",$W1102))</f>
        <v>https://www.youtube.com/live/-LFW7tNdmHY?si=GPUnndjVLQ00wOIS&amp;t=4653s</v>
      </c>
      <c r="AA1102" s="12" t="str">
        <f t="shared" si="54"/>
        <v>supercellMy Dearest</v>
      </c>
    </row>
    <row r="1103" spans="1:27" x14ac:dyDescent="0.4">
      <c r="A1103" s="14">
        <f t="shared" si="55"/>
        <v>1102</v>
      </c>
      <c r="B1103" s="14">
        <v>142</v>
      </c>
      <c r="C1103" s="21" t="s">
        <v>2356</v>
      </c>
      <c r="D1103" s="14" t="s">
        <v>1483</v>
      </c>
      <c r="E1103" s="14" t="s">
        <v>924</v>
      </c>
      <c r="G1103" s="1" t="str">
        <f>_xlfn.XLOOKUP(B1103,M_YT_LIVE!A:A,M_YT_LIVE!F:F,"ERROR",0,1)</f>
        <v>弾き語り</v>
      </c>
      <c r="W1103" s="13">
        <f t="shared" si="53"/>
        <v>5296</v>
      </c>
      <c r="X1103" s="12" t="str">
        <f>_xlfn.XLOOKUP($B1103,M_YT_LIVE!$A:$A,M_YT_LIVE!$D:$D)</f>
        <v>https://www.youtube.com/live/-LFW7tNdmHY?si=GPUnndjVLQ00wOIS</v>
      </c>
      <c r="Z1103" s="16" t="str">
        <f>HYPERLINK($X1103&amp;SUBSTITUTE(マスタ!$C$3,"XXXXX",$W1103))</f>
        <v>https://www.youtube.com/live/-LFW7tNdmHY?si=GPUnndjVLQ00wOIS&amp;t=5296s</v>
      </c>
      <c r="AA1103" s="12" t="str">
        <f t="shared" si="54"/>
        <v>幽音しのFrom now on</v>
      </c>
    </row>
    <row r="1104" spans="1:27" x14ac:dyDescent="0.4">
      <c r="A1104" s="14">
        <f t="shared" si="55"/>
        <v>1103</v>
      </c>
      <c r="B1104" s="14">
        <v>142</v>
      </c>
      <c r="C1104" s="21" t="s">
        <v>2342</v>
      </c>
      <c r="D1104" s="14" t="s">
        <v>2357</v>
      </c>
      <c r="E1104" s="14" t="s">
        <v>347</v>
      </c>
      <c r="G1104" s="1" t="str">
        <f>_xlfn.XLOOKUP(B1104,M_YT_LIVE!A:A,M_YT_LIVE!F:F,"ERROR",0,1)</f>
        <v>弾き語り</v>
      </c>
      <c r="W1104" s="13">
        <f t="shared" si="53"/>
        <v>6179</v>
      </c>
      <c r="X1104" s="12" t="str">
        <f>_xlfn.XLOOKUP($B1104,M_YT_LIVE!$A:$A,M_YT_LIVE!$D:$D)</f>
        <v>https://www.youtube.com/live/-LFW7tNdmHY?si=GPUnndjVLQ00wOIS</v>
      </c>
      <c r="Z1104" s="16" t="str">
        <f>HYPERLINK($X1104&amp;SUBSTITUTE(マスタ!$C$3,"XXXXX",$W1104))</f>
        <v>https://www.youtube.com/live/-LFW7tNdmHY?si=GPUnndjVLQ00wOIS&amp;t=6179s</v>
      </c>
      <c r="AA1104" s="12" t="str">
        <f t="shared" si="54"/>
        <v>幽音しの(即興)来年も一緒だよ！</v>
      </c>
    </row>
    <row r="1105" spans="1:27" x14ac:dyDescent="0.4">
      <c r="A1105" s="14">
        <f t="shared" si="55"/>
        <v>1104</v>
      </c>
      <c r="B1105" s="14">
        <v>144</v>
      </c>
      <c r="C1105" s="18" t="s">
        <v>2364</v>
      </c>
      <c r="D1105" s="14" t="s">
        <v>2368</v>
      </c>
      <c r="E1105" s="14" t="s">
        <v>1477</v>
      </c>
      <c r="G1105" s="30" t="s">
        <v>2365</v>
      </c>
      <c r="W1105" s="13">
        <f t="shared" si="53"/>
        <v>1598</v>
      </c>
      <c r="X1105" s="12" t="str">
        <f>_xlfn.XLOOKUP($B1105,M_YT_LIVE!$A:$A,M_YT_LIVE!$D:$D)</f>
        <v>https://www.youtube.com/live/CRuz_3IGzcI?si=4zCSejhZNR_9LYe8</v>
      </c>
      <c r="Z1105" s="16" t="str">
        <f>HYPERLINK($X1105&amp;SUBSTITUTE(マスタ!$C$3,"XXXXX",$W1105))</f>
        <v>https://www.youtube.com/live/CRuz_3IGzcI?si=4zCSejhZNR_9LYe8&amp;t=1598s</v>
      </c>
      <c r="AA1105" s="12" t="str">
        <f t="shared" si="54"/>
        <v>Mrs. GREEN APPLE feat.井上苑子点描の唄(1chorus)</v>
      </c>
    </row>
    <row r="1106" spans="1:27" x14ac:dyDescent="0.4">
      <c r="A1106" s="14">
        <f t="shared" si="55"/>
        <v>1105</v>
      </c>
      <c r="B1106" s="14">
        <v>144</v>
      </c>
      <c r="C1106" s="18" t="s">
        <v>2367</v>
      </c>
      <c r="D1106" s="14" t="s">
        <v>2369</v>
      </c>
      <c r="E1106" s="14" t="s">
        <v>573</v>
      </c>
      <c r="G1106" s="30" t="s">
        <v>2366</v>
      </c>
      <c r="W1106" s="13">
        <f t="shared" si="53"/>
        <v>1675</v>
      </c>
      <c r="X1106" s="12" t="str">
        <f>_xlfn.XLOOKUP($B1106,M_YT_LIVE!$A:$A,M_YT_LIVE!$D:$D)</f>
        <v>https://www.youtube.com/live/CRuz_3IGzcI?si=4zCSejhZNR_9LYe8</v>
      </c>
      <c r="Z1106" s="16" t="str">
        <f>HYPERLINK($X1106&amp;SUBSTITUTE(マスタ!$C$3,"XXXXX",$W1106))</f>
        <v>https://www.youtube.com/live/CRuz_3IGzcI?si=4zCSejhZNR_9LYe8&amp;t=1675s</v>
      </c>
      <c r="AA1106" s="12" t="str">
        <f t="shared" si="54"/>
        <v>なきそ feat.歌愛ユキド屑(1chorus)</v>
      </c>
    </row>
    <row r="1107" spans="1:27" x14ac:dyDescent="0.4">
      <c r="A1107" s="14">
        <f t="shared" si="55"/>
        <v>1106</v>
      </c>
      <c r="B1107" s="14">
        <v>145</v>
      </c>
      <c r="C1107" s="21" t="s">
        <v>2371</v>
      </c>
      <c r="D1107" s="14" t="s">
        <v>2370</v>
      </c>
      <c r="E1107" s="14" t="s">
        <v>2372</v>
      </c>
      <c r="G1107" s="1" t="str">
        <f>_xlfn.XLOOKUP(B1107,M_YT_LIVE!A:A,M_YT_LIVE!F:F,"ERROR",0,1)</f>
        <v>他</v>
      </c>
      <c r="W1107" s="13">
        <f t="shared" si="53"/>
        <v>2018</v>
      </c>
      <c r="X1107" s="12" t="str">
        <f>_xlfn.XLOOKUP($B1107,M_YT_LIVE!$A:$A,M_YT_LIVE!$D:$D)</f>
        <v>https://www.youtube.com/live/IJunTLDD7I0?si=lhLUIzdM_Rtfr1c2</v>
      </c>
      <c r="Z1107" s="16" t="str">
        <f>HYPERLINK($X1107&amp;SUBSTITUTE(マスタ!$C$3,"XXXXX",$W1107))</f>
        <v>https://www.youtube.com/live/IJunTLDD7I0?si=lhLUIzdM_Rtfr1c2&amp;t=2018s</v>
      </c>
      <c r="AA1107" s="12" t="str">
        <f t="shared" si="54"/>
        <v>ダンディさん(幽音しの(即興))レッツダンディ</v>
      </c>
    </row>
    <row r="1108" spans="1:27" x14ac:dyDescent="0.4">
      <c r="A1108" s="14">
        <f t="shared" si="55"/>
        <v>1107</v>
      </c>
      <c r="B1108" s="14">
        <v>147</v>
      </c>
      <c r="C1108" s="21" t="s">
        <v>1868</v>
      </c>
      <c r="D1108" s="14" t="s">
        <v>443</v>
      </c>
      <c r="E1108" s="14" t="s">
        <v>441</v>
      </c>
      <c r="G1108" s="1" t="str">
        <f>_xlfn.XLOOKUP(B1108,M_YT_LIVE!A:A,M_YT_LIVE!F:F,"ERROR",0,1)</f>
        <v>弾き語り</v>
      </c>
      <c r="W1108" s="13">
        <f t="shared" si="53"/>
        <v>320</v>
      </c>
      <c r="X1108" s="12" t="str">
        <f>_xlfn.XLOOKUP($B1108,M_YT_LIVE!$A:$A,M_YT_LIVE!$D:$D)</f>
        <v>https://www.youtube.com/live/ivps1kBiaZY?si=JYr8YoP36SUYaFiy</v>
      </c>
      <c r="Z1108" s="16" t="str">
        <f>HYPERLINK($X1108&amp;SUBSTITUTE(マスタ!$C$3,"XXXXX",$W1108))</f>
        <v>https://www.youtube.com/live/ivps1kBiaZY?si=JYr8YoP36SUYaFiy&amp;t=320s</v>
      </c>
      <c r="AA1108" s="12" t="str">
        <f t="shared" si="54"/>
        <v>梅とら feat. 巡音ルカ&amp;初音ミク&amp;GUMI&amp;IA&amp;鏡音リン威風堂々</v>
      </c>
    </row>
    <row r="1109" spans="1:27" x14ac:dyDescent="0.4">
      <c r="A1109" s="14">
        <f t="shared" si="55"/>
        <v>1108</v>
      </c>
      <c r="B1109" s="14">
        <v>147</v>
      </c>
      <c r="C1109" s="21" t="s">
        <v>2377</v>
      </c>
      <c r="D1109" s="14" t="s">
        <v>2378</v>
      </c>
      <c r="E1109" s="14" t="s">
        <v>2379</v>
      </c>
      <c r="G1109" s="1" t="str">
        <f>_xlfn.XLOOKUP(B1109,M_YT_LIVE!A:A,M_YT_LIVE!F:F,"ERROR",0,1)</f>
        <v>弾き語り</v>
      </c>
      <c r="W1109" s="13">
        <f t="shared" si="53"/>
        <v>640</v>
      </c>
      <c r="X1109" s="12" t="str">
        <f>_xlfn.XLOOKUP($B1109,M_YT_LIVE!$A:$A,M_YT_LIVE!$D:$D)</f>
        <v>https://www.youtube.com/live/ivps1kBiaZY?si=JYr8YoP36SUYaFiy</v>
      </c>
      <c r="Z1109" s="16" t="str">
        <f>HYPERLINK($X1109&amp;SUBSTITUTE(マスタ!$C$3,"XXXXX",$W1109))</f>
        <v>https://www.youtube.com/live/ivps1kBiaZY?si=JYr8YoP36SUYaFiy&amp;t=640s</v>
      </c>
      <c r="AA1109" s="12" t="str">
        <f t="shared" si="54"/>
        <v>れるりり&amp;もじゃ feat .鏡音リン聖槍爆裂ボーイ</v>
      </c>
    </row>
    <row r="1110" spans="1:27" x14ac:dyDescent="0.4">
      <c r="A1110" s="14">
        <f t="shared" si="55"/>
        <v>1109</v>
      </c>
      <c r="B1110" s="14">
        <v>147</v>
      </c>
      <c r="C1110" s="21" t="s">
        <v>2380</v>
      </c>
      <c r="D1110" s="14" t="s">
        <v>1747</v>
      </c>
      <c r="E1110" s="14" t="s">
        <v>1748</v>
      </c>
      <c r="G1110" s="1" t="str">
        <f>_xlfn.XLOOKUP(B1110,M_YT_LIVE!A:A,M_YT_LIVE!F:F,"ERROR",0,1)</f>
        <v>弾き語り</v>
      </c>
      <c r="W1110" s="13">
        <f t="shared" si="53"/>
        <v>989</v>
      </c>
      <c r="X1110" s="12" t="str">
        <f>_xlfn.XLOOKUP($B1110,M_YT_LIVE!$A:$A,M_YT_LIVE!$D:$D)</f>
        <v>https://www.youtube.com/live/ivps1kBiaZY?si=JYr8YoP36SUYaFiy</v>
      </c>
      <c r="Z1110" s="16" t="str">
        <f>HYPERLINK($X1110&amp;SUBSTITUTE(マスタ!$C$3,"XXXXX",$W1110))</f>
        <v>https://www.youtube.com/live/ivps1kBiaZY?si=JYr8YoP36SUYaFiy&amp;t=989s</v>
      </c>
      <c r="AA1110" s="12" t="str">
        <f t="shared" si="54"/>
        <v>れるりり feat.GUMIヤミタイガール</v>
      </c>
    </row>
    <row r="1111" spans="1:27" x14ac:dyDescent="0.4">
      <c r="A1111" s="14">
        <f t="shared" si="55"/>
        <v>1110</v>
      </c>
      <c r="B1111" s="14">
        <v>147</v>
      </c>
      <c r="C1111" s="21" t="s">
        <v>2381</v>
      </c>
      <c r="D1111" s="14" t="s">
        <v>2382</v>
      </c>
      <c r="E1111" s="14" t="s">
        <v>2383</v>
      </c>
      <c r="G1111" s="1" t="str">
        <f>_xlfn.XLOOKUP(B1111,M_YT_LIVE!A:A,M_YT_LIVE!F:F,"ERROR",0,1)</f>
        <v>弾き語り</v>
      </c>
      <c r="W1111" s="13">
        <f t="shared" si="53"/>
        <v>1369</v>
      </c>
      <c r="X1111" s="12" t="str">
        <f>_xlfn.XLOOKUP($B1111,M_YT_LIVE!$A:$A,M_YT_LIVE!$D:$D)</f>
        <v>https://www.youtube.com/live/ivps1kBiaZY?si=JYr8YoP36SUYaFiy</v>
      </c>
      <c r="Z1111" s="16" t="str">
        <f>HYPERLINK($X1111&amp;SUBSTITUTE(マスタ!$C$3,"XXXXX",$W1111))</f>
        <v>https://www.youtube.com/live/ivps1kBiaZY?si=JYr8YoP36SUYaFiy&amp;t=1369s</v>
      </c>
      <c r="AA1111" s="12" t="str">
        <f t="shared" si="54"/>
        <v>ギガ&amp;q*Left feat.GUMIMasked bitcH</v>
      </c>
    </row>
    <row r="1112" spans="1:27" x14ac:dyDescent="0.4">
      <c r="A1112" s="14">
        <f t="shared" si="55"/>
        <v>1111</v>
      </c>
      <c r="B1112" s="14">
        <v>147</v>
      </c>
      <c r="C1112" s="21" t="s">
        <v>2384</v>
      </c>
      <c r="D1112" s="14" t="s">
        <v>1750</v>
      </c>
      <c r="E1112" s="14" t="s">
        <v>1751</v>
      </c>
      <c r="G1112" s="1" t="str">
        <f>_xlfn.XLOOKUP(B1112,M_YT_LIVE!A:A,M_YT_LIVE!F:F,"ERROR",0,1)</f>
        <v>弾き語り</v>
      </c>
      <c r="W1112" s="13">
        <f t="shared" si="53"/>
        <v>1700</v>
      </c>
      <c r="X1112" s="12" t="str">
        <f>_xlfn.XLOOKUP($B1112,M_YT_LIVE!$A:$A,M_YT_LIVE!$D:$D)</f>
        <v>https://www.youtube.com/live/ivps1kBiaZY?si=JYr8YoP36SUYaFiy</v>
      </c>
      <c r="Z1112" s="16" t="str">
        <f>HYPERLINK($X1112&amp;SUBSTITUTE(マスタ!$C$3,"XXXXX",$W1112))</f>
        <v>https://www.youtube.com/live/ivps1kBiaZY?si=JYr8YoP36SUYaFiy&amp;t=1700s</v>
      </c>
      <c r="AA1112" s="12" t="str">
        <f t="shared" si="54"/>
        <v>蝶々P feat.初音ミクえ？あぁ、そう。</v>
      </c>
    </row>
    <row r="1113" spans="1:27" x14ac:dyDescent="0.4">
      <c r="A1113" s="14">
        <f t="shared" si="55"/>
        <v>1112</v>
      </c>
      <c r="B1113" s="14">
        <v>147</v>
      </c>
      <c r="C1113" s="21" t="s">
        <v>2385</v>
      </c>
      <c r="D1113" s="14" t="s">
        <v>2386</v>
      </c>
      <c r="E1113" s="14" t="s">
        <v>2387</v>
      </c>
      <c r="G1113" s="1" t="str">
        <f>_xlfn.XLOOKUP(B1113,M_YT_LIVE!A:A,M_YT_LIVE!F:F,"ERROR",0,1)</f>
        <v>弾き語り</v>
      </c>
      <c r="W1113" s="13">
        <f t="shared" si="53"/>
        <v>2089</v>
      </c>
      <c r="X1113" s="12" t="str">
        <f>_xlfn.XLOOKUP($B1113,M_YT_LIVE!$A:$A,M_YT_LIVE!$D:$D)</f>
        <v>https://www.youtube.com/live/ivps1kBiaZY?si=JYr8YoP36SUYaFiy</v>
      </c>
      <c r="Z1113" s="16" t="str">
        <f>HYPERLINK($X1113&amp;SUBSTITUTE(マスタ!$C$3,"XXXXX",$W1113))</f>
        <v>https://www.youtube.com/live/ivps1kBiaZY?si=JYr8YoP36SUYaFiy&amp;t=2089s</v>
      </c>
      <c r="AA1113" s="12" t="str">
        <f t="shared" si="54"/>
        <v>みきとP feat.GUMIバレリーコ</v>
      </c>
    </row>
    <row r="1114" spans="1:27" x14ac:dyDescent="0.4">
      <c r="A1114" s="14">
        <f t="shared" si="55"/>
        <v>1113</v>
      </c>
      <c r="B1114" s="14">
        <v>147</v>
      </c>
      <c r="C1114" s="21" t="s">
        <v>2388</v>
      </c>
      <c r="D1114" s="14" t="s">
        <v>512</v>
      </c>
      <c r="E1114" s="14" t="s">
        <v>528</v>
      </c>
      <c r="G1114" s="1" t="str">
        <f>_xlfn.XLOOKUP(B1114,M_YT_LIVE!A:A,M_YT_LIVE!F:F,"ERROR",0,1)</f>
        <v>弾き語り</v>
      </c>
      <c r="W1114" s="13">
        <f t="shared" si="53"/>
        <v>2480</v>
      </c>
      <c r="X1114" s="12" t="str">
        <f>_xlfn.XLOOKUP($B1114,M_YT_LIVE!$A:$A,M_YT_LIVE!$D:$D)</f>
        <v>https://www.youtube.com/live/ivps1kBiaZY?si=JYr8YoP36SUYaFiy</v>
      </c>
      <c r="Z1114" s="16" t="str">
        <f>HYPERLINK($X1114&amp;SUBSTITUTE(マスタ!$C$3,"XXXXX",$W1114))</f>
        <v>https://www.youtube.com/live/ivps1kBiaZY?si=JYr8YoP36SUYaFiy&amp;t=2480s</v>
      </c>
      <c r="AA1114" s="12" t="str">
        <f t="shared" si="54"/>
        <v>みきとP feat.MAYU夕立のりぼん</v>
      </c>
    </row>
    <row r="1115" spans="1:27" x14ac:dyDescent="0.4">
      <c r="A1115" s="14">
        <f t="shared" si="55"/>
        <v>1114</v>
      </c>
      <c r="B1115" s="14">
        <v>147</v>
      </c>
      <c r="C1115" s="21" t="s">
        <v>2389</v>
      </c>
      <c r="D1115" s="14" t="s">
        <v>440</v>
      </c>
      <c r="E1115" s="14" t="s">
        <v>441</v>
      </c>
      <c r="G1115" s="1" t="str">
        <f>_xlfn.XLOOKUP(B1115,M_YT_LIVE!A:A,M_YT_LIVE!F:F,"ERROR",0,1)</f>
        <v>弾き語り</v>
      </c>
      <c r="W1115" s="13">
        <f t="shared" si="53"/>
        <v>2985</v>
      </c>
      <c r="X1115" s="12" t="str">
        <f>_xlfn.XLOOKUP($B1115,M_YT_LIVE!$A:$A,M_YT_LIVE!$D:$D)</f>
        <v>https://www.youtube.com/live/ivps1kBiaZY?si=JYr8YoP36SUYaFiy</v>
      </c>
      <c r="Z1115" s="16" t="str">
        <f>HYPERLINK($X1115&amp;SUBSTITUTE(マスタ!$C$3,"XXXXX",$W1115))</f>
        <v>https://www.youtube.com/live/ivps1kBiaZY?si=JYr8YoP36SUYaFiy&amp;t=2985s</v>
      </c>
      <c r="AA1115" s="12" t="str">
        <f t="shared" si="54"/>
        <v>梅とら feat. 巡音ルカ&amp;初音ミク&amp;GUMI&amp;IA&amp;鏡音リン虎視眈々</v>
      </c>
    </row>
    <row r="1116" spans="1:27" x14ac:dyDescent="0.4">
      <c r="A1116" s="14">
        <f t="shared" si="55"/>
        <v>1115</v>
      </c>
      <c r="B1116" s="14">
        <v>147</v>
      </c>
      <c r="C1116" s="21" t="s">
        <v>2390</v>
      </c>
      <c r="D1116" s="14" t="s">
        <v>2391</v>
      </c>
      <c r="E1116" s="14" t="s">
        <v>112</v>
      </c>
      <c r="G1116" s="1" t="str">
        <f>_xlfn.XLOOKUP(B1116,M_YT_LIVE!A:A,M_YT_LIVE!F:F,"ERROR",0,1)</f>
        <v>弾き語り</v>
      </c>
      <c r="W1116" s="13">
        <f t="shared" si="53"/>
        <v>3722</v>
      </c>
      <c r="X1116" s="12" t="str">
        <f>_xlfn.XLOOKUP($B1116,M_YT_LIVE!$A:$A,M_YT_LIVE!$D:$D)</f>
        <v>https://www.youtube.com/live/ivps1kBiaZY?si=JYr8YoP36SUYaFiy</v>
      </c>
      <c r="Z1116" s="16" t="str">
        <f>HYPERLINK($X1116&amp;SUBSTITUTE(マスタ!$C$3,"XXXXX",$W1116))</f>
        <v>https://www.youtube.com/live/ivps1kBiaZY?si=JYr8YoP36SUYaFiy&amp;t=3722s</v>
      </c>
      <c r="AA1116" s="12" t="str">
        <f t="shared" si="54"/>
        <v>DECO*27 feat.初音ミクモニタリング</v>
      </c>
    </row>
    <row r="1117" spans="1:27" x14ac:dyDescent="0.4">
      <c r="A1117" s="14">
        <f t="shared" si="55"/>
        <v>1116</v>
      </c>
      <c r="B1117" s="14">
        <v>147</v>
      </c>
      <c r="C1117" s="21" t="s">
        <v>2392</v>
      </c>
      <c r="D1117" s="14" t="s">
        <v>572</v>
      </c>
      <c r="E1117" s="14" t="s">
        <v>573</v>
      </c>
      <c r="G1117" s="1" t="str">
        <f>_xlfn.XLOOKUP(B1117,M_YT_LIVE!A:A,M_YT_LIVE!F:F,"ERROR",0,1)</f>
        <v>弾き語り</v>
      </c>
      <c r="W1117" s="13">
        <f t="shared" si="53"/>
        <v>4172</v>
      </c>
      <c r="X1117" s="12" t="str">
        <f>_xlfn.XLOOKUP($B1117,M_YT_LIVE!$A:$A,M_YT_LIVE!$D:$D)</f>
        <v>https://www.youtube.com/live/ivps1kBiaZY?si=JYr8YoP36SUYaFiy</v>
      </c>
      <c r="Z1117" s="16" t="str">
        <f>HYPERLINK($X1117&amp;SUBSTITUTE(マスタ!$C$3,"XXXXX",$W1117))</f>
        <v>https://www.youtube.com/live/ivps1kBiaZY?si=JYr8YoP36SUYaFiy&amp;t=4172s</v>
      </c>
      <c r="AA1117" s="12" t="str">
        <f t="shared" si="54"/>
        <v>なきそ feat.歌愛ユキド屑</v>
      </c>
    </row>
    <row r="1118" spans="1:27" x14ac:dyDescent="0.4">
      <c r="A1118" s="14">
        <f t="shared" si="55"/>
        <v>1117</v>
      </c>
      <c r="B1118" s="14">
        <v>147</v>
      </c>
      <c r="C1118" s="21" t="s">
        <v>2393</v>
      </c>
      <c r="D1118" s="14" t="s">
        <v>1579</v>
      </c>
      <c r="E1118" s="14" t="s">
        <v>1580</v>
      </c>
      <c r="G1118" s="1" t="str">
        <f>_xlfn.XLOOKUP(B1118,M_YT_LIVE!A:A,M_YT_LIVE!F:F,"ERROR",0,1)</f>
        <v>弾き語り</v>
      </c>
      <c r="W1118" s="13">
        <f t="shared" si="53"/>
        <v>4479</v>
      </c>
      <c r="X1118" s="12" t="str">
        <f>_xlfn.XLOOKUP($B1118,M_YT_LIVE!$A:$A,M_YT_LIVE!$D:$D)</f>
        <v>https://www.youtube.com/live/ivps1kBiaZY?si=JYr8YoP36SUYaFiy</v>
      </c>
      <c r="Z1118" s="16" t="str">
        <f>HYPERLINK($X1118&amp;SUBSTITUTE(マスタ!$C$3,"XXXXX",$W1118))</f>
        <v>https://www.youtube.com/live/ivps1kBiaZY?si=JYr8YoP36SUYaFiy&amp;t=4479s</v>
      </c>
      <c r="AA1118" s="12" t="str">
        <f t="shared" si="54"/>
        <v>25時、ナイトコードで。×KAITO化けの花</v>
      </c>
    </row>
    <row r="1119" spans="1:27" x14ac:dyDescent="0.4">
      <c r="A1119" s="14">
        <f t="shared" si="55"/>
        <v>1118</v>
      </c>
      <c r="B1119" s="14">
        <v>147</v>
      </c>
      <c r="C1119" s="21" t="s">
        <v>2394</v>
      </c>
      <c r="D1119" s="14" t="s">
        <v>1768</v>
      </c>
      <c r="E1119" s="14" t="s">
        <v>1769</v>
      </c>
      <c r="G1119" s="1" t="str">
        <f>_xlfn.XLOOKUP(B1119,M_YT_LIVE!A:A,M_YT_LIVE!F:F,"ERROR",0,1)</f>
        <v>弾き語り</v>
      </c>
      <c r="W1119" s="13">
        <f t="shared" si="53"/>
        <v>4900</v>
      </c>
      <c r="X1119" s="12" t="str">
        <f>_xlfn.XLOOKUP($B1119,M_YT_LIVE!$A:$A,M_YT_LIVE!$D:$D)</f>
        <v>https://www.youtube.com/live/ivps1kBiaZY?si=JYr8YoP36SUYaFiy</v>
      </c>
      <c r="Z1119" s="16" t="str">
        <f>HYPERLINK($X1119&amp;SUBSTITUTE(マスタ!$C$3,"XXXXX",$W1119))</f>
        <v>https://www.youtube.com/live/ivps1kBiaZY?si=JYr8YoP36SUYaFiy&amp;t=4900s</v>
      </c>
      <c r="AA1119" s="12" t="str">
        <f t="shared" si="54"/>
        <v>いよわ feat.可不きゅうくらりん</v>
      </c>
    </row>
    <row r="1120" spans="1:27" x14ac:dyDescent="0.4">
      <c r="A1120" s="14">
        <f t="shared" si="55"/>
        <v>1119</v>
      </c>
      <c r="B1120" s="14">
        <v>147</v>
      </c>
      <c r="C1120" s="21" t="s">
        <v>2395</v>
      </c>
      <c r="D1120" s="14" t="s">
        <v>2396</v>
      </c>
      <c r="E1120" s="14" t="s">
        <v>112</v>
      </c>
      <c r="G1120" s="1" t="str">
        <f>_xlfn.XLOOKUP(B1120,M_YT_LIVE!A:A,M_YT_LIVE!F:F,"ERROR",0,1)</f>
        <v>弾き語り</v>
      </c>
      <c r="W1120" s="13">
        <f t="shared" si="53"/>
        <v>5656</v>
      </c>
      <c r="X1120" s="12" t="str">
        <f>_xlfn.XLOOKUP($B1120,M_YT_LIVE!$A:$A,M_YT_LIVE!$D:$D)</f>
        <v>https://www.youtube.com/live/ivps1kBiaZY?si=JYr8YoP36SUYaFiy</v>
      </c>
      <c r="Z1120" s="16" t="str">
        <f>HYPERLINK($X1120&amp;SUBSTITUTE(マスタ!$C$3,"XXXXX",$W1120))</f>
        <v>https://www.youtube.com/live/ivps1kBiaZY?si=JYr8YoP36SUYaFiy&amp;t=5656s</v>
      </c>
      <c r="AA1120" s="12" t="str">
        <f t="shared" si="54"/>
        <v>DECO*27 feat.初音ミク乙女解剖</v>
      </c>
    </row>
    <row r="1121" spans="1:27" x14ac:dyDescent="0.4">
      <c r="A1121" s="14">
        <f t="shared" si="55"/>
        <v>1120</v>
      </c>
      <c r="B1121" s="14">
        <v>148</v>
      </c>
      <c r="C1121" s="21" t="s">
        <v>2399</v>
      </c>
      <c r="D1121" s="14" t="s">
        <v>363</v>
      </c>
      <c r="E1121" s="14" t="s">
        <v>298</v>
      </c>
      <c r="G1121" s="1" t="str">
        <f>_xlfn.XLOOKUP(B1121,M_YT_LIVE!A:A,M_YT_LIVE!F:F,"ERROR",0,1)</f>
        <v>弾き語り</v>
      </c>
      <c r="W1121" s="13">
        <f t="shared" si="53"/>
        <v>260</v>
      </c>
      <c r="X1121" s="12" t="str">
        <f>_xlfn.XLOOKUP($B1121,M_YT_LIVE!$A:$A,M_YT_LIVE!$D:$D)</f>
        <v>https://www.youtube.com/live/eoOU4nEz4Yk?si=whVwZgpMk4twa4IR</v>
      </c>
      <c r="Z1121" s="16" t="str">
        <f>HYPERLINK($X1121&amp;SUBSTITUTE(マスタ!$C$3,"XXXXX",$W1121))</f>
        <v>https://www.youtube.com/live/eoOU4nEz4Yk?si=whVwZgpMk4twa4IR&amp;t=260s</v>
      </c>
      <c r="AA1121" s="12" t="str">
        <f t="shared" si="54"/>
        <v>あいみょんハルノヒ</v>
      </c>
    </row>
    <row r="1122" spans="1:27" x14ac:dyDescent="0.4">
      <c r="A1122" s="14">
        <f t="shared" si="55"/>
        <v>1121</v>
      </c>
      <c r="B1122" s="14">
        <v>148</v>
      </c>
      <c r="C1122" s="21" t="s">
        <v>2400</v>
      </c>
      <c r="D1122" s="14" t="s">
        <v>2260</v>
      </c>
      <c r="E1122" s="14" t="s">
        <v>547</v>
      </c>
      <c r="G1122" s="1" t="str">
        <f>_xlfn.XLOOKUP(B1122,M_YT_LIVE!A:A,M_YT_LIVE!F:F,"ERROR",0,1)</f>
        <v>弾き語り</v>
      </c>
      <c r="W1122" s="13">
        <f t="shared" si="53"/>
        <v>820.99999999999989</v>
      </c>
      <c r="X1122" s="12" t="str">
        <f>_xlfn.XLOOKUP($B1122,M_YT_LIVE!$A:$A,M_YT_LIVE!$D:$D)</f>
        <v>https://www.youtube.com/live/eoOU4nEz4Yk?si=whVwZgpMk4twa4IR</v>
      </c>
      <c r="Z1122" s="16" t="str">
        <f>HYPERLINK($X1122&amp;SUBSTITUTE(マスタ!$C$3,"XXXXX",$W1122))</f>
        <v>https://www.youtube.com/live/eoOU4nEz4Yk?si=whVwZgpMk4twa4IR&amp;t=821s</v>
      </c>
      <c r="AA1122" s="12" t="str">
        <f t="shared" si="54"/>
        <v>米津玄師vivi</v>
      </c>
    </row>
    <row r="1123" spans="1:27" x14ac:dyDescent="0.4">
      <c r="A1123" s="14">
        <f t="shared" si="55"/>
        <v>1122</v>
      </c>
      <c r="B1123" s="14">
        <v>148</v>
      </c>
      <c r="C1123" s="21" t="s">
        <v>962</v>
      </c>
      <c r="D1123" s="14" t="s">
        <v>968</v>
      </c>
      <c r="E1123" s="14" t="s">
        <v>547</v>
      </c>
      <c r="G1123" s="1" t="str">
        <f>_xlfn.XLOOKUP(B1123,M_YT_LIVE!A:A,M_YT_LIVE!F:F,"ERROR",0,1)</f>
        <v>弾き語り</v>
      </c>
      <c r="W1123" s="13">
        <f t="shared" si="53"/>
        <v>1275</v>
      </c>
      <c r="X1123" s="12" t="str">
        <f>_xlfn.XLOOKUP($B1123,M_YT_LIVE!$A:$A,M_YT_LIVE!$D:$D)</f>
        <v>https://www.youtube.com/live/eoOU4nEz4Yk?si=whVwZgpMk4twa4IR</v>
      </c>
      <c r="Z1123" s="16" t="str">
        <f>HYPERLINK($X1123&amp;SUBSTITUTE(マスタ!$C$3,"XXXXX",$W1123))</f>
        <v>https://www.youtube.com/live/eoOU4nEz4Yk?si=whVwZgpMk4twa4IR&amp;t=1275s</v>
      </c>
      <c r="AA1123" s="12" t="str">
        <f t="shared" si="54"/>
        <v>米津玄師Lemon</v>
      </c>
    </row>
    <row r="1124" spans="1:27" x14ac:dyDescent="0.4">
      <c r="A1124" s="14">
        <f t="shared" si="55"/>
        <v>1123</v>
      </c>
      <c r="B1124" s="14">
        <v>148</v>
      </c>
      <c r="C1124" s="21" t="s">
        <v>2401</v>
      </c>
      <c r="D1124" s="14" t="s">
        <v>1476</v>
      </c>
      <c r="E1124" s="14" t="s">
        <v>1477</v>
      </c>
      <c r="G1124" s="1" t="str">
        <f>_xlfn.XLOOKUP(B1124,M_YT_LIVE!A:A,M_YT_LIVE!F:F,"ERROR",0,1)</f>
        <v>弾き語り</v>
      </c>
      <c r="W1124" s="13">
        <f t="shared" si="53"/>
        <v>1733.0000000000002</v>
      </c>
      <c r="X1124" s="12" t="str">
        <f>_xlfn.XLOOKUP($B1124,M_YT_LIVE!$A:$A,M_YT_LIVE!$D:$D)</f>
        <v>https://www.youtube.com/live/eoOU4nEz4Yk?si=whVwZgpMk4twa4IR</v>
      </c>
      <c r="Z1124" s="16" t="str">
        <f>HYPERLINK($X1124&amp;SUBSTITUTE(マスタ!$C$3,"XXXXX",$W1124))</f>
        <v>https://www.youtube.com/live/eoOU4nEz4Yk?si=whVwZgpMk4twa4IR&amp;t=1733s</v>
      </c>
      <c r="AA1124" s="12" t="str">
        <f t="shared" si="54"/>
        <v>Mrs. GREEN APPLE feat.井上苑子点描の唄</v>
      </c>
    </row>
    <row r="1125" spans="1:27" x14ac:dyDescent="0.4">
      <c r="A1125" s="14">
        <f t="shared" si="55"/>
        <v>1124</v>
      </c>
      <c r="B1125" s="14">
        <v>148</v>
      </c>
      <c r="C1125" s="21" t="s">
        <v>2280</v>
      </c>
      <c r="D1125" s="14" t="s">
        <v>1912</v>
      </c>
      <c r="E1125" s="14" t="s">
        <v>141</v>
      </c>
      <c r="G1125" s="1" t="str">
        <f>_xlfn.XLOOKUP(B1125,M_YT_LIVE!A:A,M_YT_LIVE!F:F,"ERROR",0,1)</f>
        <v>弾き語り</v>
      </c>
      <c r="W1125" s="13">
        <f t="shared" si="53"/>
        <v>2211</v>
      </c>
      <c r="X1125" s="12" t="str">
        <f>_xlfn.XLOOKUP($B1125,M_YT_LIVE!$A:$A,M_YT_LIVE!$D:$D)</f>
        <v>https://www.youtube.com/live/eoOU4nEz4Yk?si=whVwZgpMk4twa4IR</v>
      </c>
      <c r="Z1125" s="16" t="str">
        <f>HYPERLINK($X1125&amp;SUBSTITUTE(マスタ!$C$3,"XXXXX",$W1125))</f>
        <v>https://www.youtube.com/live/eoOU4nEz4Yk?si=whVwZgpMk4twa4IR&amp;t=2211s</v>
      </c>
      <c r="AA1125" s="12" t="str">
        <f t="shared" si="54"/>
        <v>ヨルシカ忘れてください</v>
      </c>
    </row>
    <row r="1126" spans="1:27" x14ac:dyDescent="0.4">
      <c r="A1126" s="14">
        <f t="shared" si="55"/>
        <v>1125</v>
      </c>
      <c r="B1126" s="14">
        <v>148</v>
      </c>
      <c r="C1126" s="21" t="s">
        <v>2402</v>
      </c>
      <c r="D1126" s="14" t="s">
        <v>1656</v>
      </c>
      <c r="E1126" s="14" t="s">
        <v>72</v>
      </c>
      <c r="G1126" s="1" t="str">
        <f>_xlfn.XLOOKUP(B1126,M_YT_LIVE!A:A,M_YT_LIVE!F:F,"ERROR",0,1)</f>
        <v>弾き語り</v>
      </c>
      <c r="W1126" s="13">
        <f t="shared" si="53"/>
        <v>2609</v>
      </c>
      <c r="X1126" s="12" t="str">
        <f>_xlfn.XLOOKUP($B1126,M_YT_LIVE!$A:$A,M_YT_LIVE!$D:$D)</f>
        <v>https://www.youtube.com/live/eoOU4nEz4Yk?si=whVwZgpMk4twa4IR</v>
      </c>
      <c r="Z1126" s="16" t="str">
        <f>HYPERLINK($X1126&amp;SUBSTITUTE(マスタ!$C$3,"XXXXX",$W1126))</f>
        <v>https://www.youtube.com/live/eoOU4nEz4Yk?si=whVwZgpMk4twa4IR&amp;t=2609s</v>
      </c>
      <c r="AA1126" s="12" t="str">
        <f t="shared" si="54"/>
        <v>優里ベテルギウス</v>
      </c>
    </row>
    <row r="1127" spans="1:27" x14ac:dyDescent="0.4">
      <c r="A1127" s="14">
        <f t="shared" si="55"/>
        <v>1126</v>
      </c>
      <c r="B1127" s="14">
        <v>148</v>
      </c>
      <c r="C1127" s="21" t="s">
        <v>2403</v>
      </c>
      <c r="D1127" s="14" t="s">
        <v>2188</v>
      </c>
      <c r="E1127" s="14" t="s">
        <v>2189</v>
      </c>
      <c r="G1127" s="1" t="str">
        <f>_xlfn.XLOOKUP(B1127,M_YT_LIVE!A:A,M_YT_LIVE!F:F,"ERROR",0,1)</f>
        <v>弾き語り</v>
      </c>
      <c r="W1127" s="13">
        <f t="shared" si="53"/>
        <v>3008</v>
      </c>
      <c r="X1127" s="12" t="str">
        <f>_xlfn.XLOOKUP($B1127,M_YT_LIVE!$A:$A,M_YT_LIVE!$D:$D)</f>
        <v>https://www.youtube.com/live/eoOU4nEz4Yk?si=whVwZgpMk4twa4IR</v>
      </c>
      <c r="Z1127" s="16" t="str">
        <f>HYPERLINK($X1127&amp;SUBSTITUTE(マスタ!$C$3,"XXXXX",$W1127))</f>
        <v>https://www.youtube.com/live/eoOU4nEz4Yk?si=whVwZgpMk4twa4IR&amp;t=3008s</v>
      </c>
      <c r="AA1127" s="12" t="str">
        <f t="shared" si="54"/>
        <v>コレサワたばこ</v>
      </c>
    </row>
    <row r="1128" spans="1:27" x14ac:dyDescent="0.4">
      <c r="A1128" s="14">
        <f t="shared" si="55"/>
        <v>1127</v>
      </c>
      <c r="B1128" s="14">
        <v>148</v>
      </c>
      <c r="C1128" s="21" t="s">
        <v>151</v>
      </c>
      <c r="D1128" s="14" t="s">
        <v>851</v>
      </c>
      <c r="E1128" s="14" t="s">
        <v>847</v>
      </c>
      <c r="G1128" s="1" t="str">
        <f>_xlfn.XLOOKUP(B1128,M_YT_LIVE!A:A,M_YT_LIVE!F:F,"ERROR",0,1)</f>
        <v>弾き語り</v>
      </c>
      <c r="W1128" s="13">
        <f t="shared" si="53"/>
        <v>3425</v>
      </c>
      <c r="X1128" s="12" t="str">
        <f>_xlfn.XLOOKUP($B1128,M_YT_LIVE!$A:$A,M_YT_LIVE!$D:$D)</f>
        <v>https://www.youtube.com/live/eoOU4nEz4Yk?si=whVwZgpMk4twa4IR</v>
      </c>
      <c r="Z1128" s="16" t="str">
        <f>HYPERLINK($X1128&amp;SUBSTITUTE(マスタ!$C$3,"XXXXX",$W1128))</f>
        <v>https://www.youtube.com/live/eoOU4nEz4Yk?si=whVwZgpMk4twa4IR&amp;t=3425s</v>
      </c>
      <c r="AA1128" s="12" t="str">
        <f t="shared" si="54"/>
        <v>スキマスイッチ奏</v>
      </c>
    </row>
    <row r="1129" spans="1:27" x14ac:dyDescent="0.4">
      <c r="A1129" s="14">
        <f t="shared" si="55"/>
        <v>1128</v>
      </c>
      <c r="B1129" s="14">
        <v>148</v>
      </c>
      <c r="C1129" s="21" t="s">
        <v>1157</v>
      </c>
      <c r="D1129" s="14" t="s">
        <v>35</v>
      </c>
      <c r="E1129" s="14" t="s">
        <v>20</v>
      </c>
      <c r="G1129" s="1" t="str">
        <f>_xlfn.XLOOKUP(B1129,M_YT_LIVE!A:A,M_YT_LIVE!F:F,"ERROR",0,1)</f>
        <v>弾き語り</v>
      </c>
      <c r="W1129" s="13">
        <f t="shared" si="53"/>
        <v>3930</v>
      </c>
      <c r="X1129" s="12" t="str">
        <f>_xlfn.XLOOKUP($B1129,M_YT_LIVE!$A:$A,M_YT_LIVE!$D:$D)</f>
        <v>https://www.youtube.com/live/eoOU4nEz4Yk?si=whVwZgpMk4twa4IR</v>
      </c>
      <c r="Z1129" s="16" t="str">
        <f>HYPERLINK($X1129&amp;SUBSTITUTE(マスタ!$C$3,"XXXXX",$W1129))</f>
        <v>https://www.youtube.com/live/eoOU4nEz4Yk?si=whVwZgpMk4twa4IR&amp;t=3930s</v>
      </c>
      <c r="AA1129" s="12" t="str">
        <f t="shared" si="54"/>
        <v>Vaundy踊り子</v>
      </c>
    </row>
    <row r="1130" spans="1:27" x14ac:dyDescent="0.4">
      <c r="A1130" s="14">
        <f t="shared" si="55"/>
        <v>1129</v>
      </c>
      <c r="B1130" s="14">
        <v>149</v>
      </c>
      <c r="C1130" s="21" t="s">
        <v>2409</v>
      </c>
      <c r="D1130" s="14" t="s">
        <v>675</v>
      </c>
      <c r="E1130" s="14" t="s">
        <v>2406</v>
      </c>
      <c r="G1130" s="1" t="str">
        <f>_xlfn.XLOOKUP(B1130,M_YT_LIVE!A:A,M_YT_LIVE!F:F,"ERROR",0,1)</f>
        <v>他</v>
      </c>
      <c r="W1130" s="13">
        <f t="shared" si="53"/>
        <v>53</v>
      </c>
      <c r="X1130" s="12" t="str">
        <f>_xlfn.XLOOKUP($B1130,M_YT_LIVE!$A:$A,M_YT_LIVE!$D:$D)</f>
        <v>https://www.youtube.com/live/TQC6YXjwtgA?si=BdfZ9GrSmS7Xrso8</v>
      </c>
      <c r="Z1130" s="16" t="str">
        <f>HYPERLINK($X1130&amp;SUBSTITUTE(マスタ!$C$3,"XXXXX",$W1130))</f>
        <v>https://www.youtube.com/live/TQC6YXjwtgA?si=BdfZ9GrSmS7Xrso8&amp;t=53s</v>
      </c>
      <c r="AA1130" s="12" t="str">
        <f t="shared" si="54"/>
        <v>ランカ・リー＝中島愛星間飛行</v>
      </c>
    </row>
    <row r="1131" spans="1:27" x14ac:dyDescent="0.4">
      <c r="A1131" s="14">
        <f t="shared" si="55"/>
        <v>1130</v>
      </c>
      <c r="B1131" s="14">
        <v>149</v>
      </c>
      <c r="C1131" s="21" t="s">
        <v>2410</v>
      </c>
      <c r="D1131" s="14" t="s">
        <v>2407</v>
      </c>
      <c r="E1131" s="14" t="s">
        <v>2408</v>
      </c>
      <c r="G1131" s="1" t="str">
        <f>_xlfn.XLOOKUP(B1131,M_YT_LIVE!A:A,M_YT_LIVE!F:F,"ERROR",0,1)</f>
        <v>他</v>
      </c>
      <c r="W1131" s="13">
        <f t="shared" si="53"/>
        <v>302</v>
      </c>
      <c r="X1131" s="12" t="str">
        <f>_xlfn.XLOOKUP($B1131,M_YT_LIVE!$A:$A,M_YT_LIVE!$D:$D)</f>
        <v>https://www.youtube.com/live/TQC6YXjwtgA?si=BdfZ9GrSmS7Xrso8</v>
      </c>
      <c r="Z1131" s="16" t="str">
        <f>HYPERLINK($X1131&amp;SUBSTITUTE(マスタ!$C$3,"XXXXX",$W1131))</f>
        <v>https://www.youtube.com/live/TQC6YXjwtgA?si=BdfZ9GrSmS7Xrso8&amp;t=302s</v>
      </c>
      <c r="AA1131" s="12" t="str">
        <f t="shared" si="54"/>
        <v>れるりり神のまにまに</v>
      </c>
    </row>
    <row r="1132" spans="1:27" x14ac:dyDescent="0.4">
      <c r="A1132" s="14">
        <f t="shared" si="55"/>
        <v>1131</v>
      </c>
      <c r="B1132" s="14">
        <v>149</v>
      </c>
      <c r="C1132" s="21" t="s">
        <v>2411</v>
      </c>
      <c r="D1132" s="14" t="s">
        <v>326</v>
      </c>
      <c r="E1132" s="14" t="s">
        <v>327</v>
      </c>
      <c r="G1132" s="1" t="str">
        <f>_xlfn.XLOOKUP(B1132,M_YT_LIVE!A:A,M_YT_LIVE!F:F,"ERROR",0,1)</f>
        <v>他</v>
      </c>
      <c r="W1132" s="13">
        <f t="shared" si="53"/>
        <v>792</v>
      </c>
      <c r="X1132" s="12" t="str">
        <f>_xlfn.XLOOKUP($B1132,M_YT_LIVE!$A:$A,M_YT_LIVE!$D:$D)</f>
        <v>https://www.youtube.com/live/TQC6YXjwtgA?si=BdfZ9GrSmS7Xrso8</v>
      </c>
      <c r="Z1132" s="16" t="str">
        <f>HYPERLINK($X1132&amp;SUBSTITUTE(マスタ!$C$3,"XXXXX",$W1132))</f>
        <v>https://www.youtube.com/live/TQC6YXjwtgA?si=BdfZ9GrSmS7Xrso8&amp;t=792s</v>
      </c>
      <c r="AA1132" s="12" t="str">
        <f t="shared" si="54"/>
        <v>レミオロメン粉雪</v>
      </c>
    </row>
    <row r="1133" spans="1:27" x14ac:dyDescent="0.4">
      <c r="A1133" s="14">
        <f t="shared" si="55"/>
        <v>1132</v>
      </c>
      <c r="B1133" s="14">
        <v>149</v>
      </c>
      <c r="C1133" s="21" t="s">
        <v>2412</v>
      </c>
      <c r="D1133" s="14" t="s">
        <v>194</v>
      </c>
      <c r="E1133" s="14" t="s">
        <v>195</v>
      </c>
      <c r="G1133" s="1" t="str">
        <f>_xlfn.XLOOKUP(B1133,M_YT_LIVE!A:A,M_YT_LIVE!F:F,"ERROR",0,1)</f>
        <v>他</v>
      </c>
      <c r="W1133" s="13">
        <f t="shared" si="53"/>
        <v>1201</v>
      </c>
      <c r="X1133" s="12" t="str">
        <f>_xlfn.XLOOKUP($B1133,M_YT_LIVE!$A:$A,M_YT_LIVE!$D:$D)</f>
        <v>https://www.youtube.com/live/TQC6YXjwtgA?si=BdfZ9GrSmS7Xrso8</v>
      </c>
      <c r="Z1133" s="16" t="str">
        <f>HYPERLINK($X1133&amp;SUBSTITUTE(マスタ!$C$3,"XXXXX",$W1133))</f>
        <v>https://www.youtube.com/live/TQC6YXjwtgA?si=BdfZ9GrSmS7Xrso8&amp;t=1201s</v>
      </c>
      <c r="AA1133" s="12" t="str">
        <f t="shared" si="54"/>
        <v>やなぎなぎユキトキ</v>
      </c>
    </row>
    <row r="1134" spans="1:27" x14ac:dyDescent="0.4">
      <c r="A1134" s="14">
        <f t="shared" si="55"/>
        <v>1133</v>
      </c>
      <c r="B1134" s="14">
        <v>149</v>
      </c>
      <c r="C1134" s="21" t="s">
        <v>2413</v>
      </c>
      <c r="D1134" s="14" t="s">
        <v>1483</v>
      </c>
      <c r="E1134" s="14" t="s">
        <v>924</v>
      </c>
      <c r="G1134" s="1" t="str">
        <f>_xlfn.XLOOKUP(B1134,M_YT_LIVE!A:A,M_YT_LIVE!F:F,"ERROR",0,1)</f>
        <v>他</v>
      </c>
      <c r="W1134" s="13">
        <f t="shared" si="53"/>
        <v>1537</v>
      </c>
      <c r="X1134" s="12" t="str">
        <f>_xlfn.XLOOKUP($B1134,M_YT_LIVE!$A:$A,M_YT_LIVE!$D:$D)</f>
        <v>https://www.youtube.com/live/TQC6YXjwtgA?si=BdfZ9GrSmS7Xrso8</v>
      </c>
      <c r="Z1134" s="16" t="str">
        <f>HYPERLINK($X1134&amp;SUBSTITUTE(マスタ!$C$3,"XXXXX",$W1134))</f>
        <v>https://www.youtube.com/live/TQC6YXjwtgA?si=BdfZ9GrSmS7Xrso8&amp;t=1537s</v>
      </c>
      <c r="AA1134" s="12" t="str">
        <f t="shared" si="54"/>
        <v>幽音しのFrom now on</v>
      </c>
    </row>
    <row r="1135" spans="1:27" x14ac:dyDescent="0.4">
      <c r="A1135" s="14">
        <f t="shared" si="55"/>
        <v>1134</v>
      </c>
      <c r="B1135" s="14">
        <v>151</v>
      </c>
      <c r="C1135" s="21" t="s">
        <v>2418</v>
      </c>
      <c r="D1135" s="14" t="s">
        <v>2126</v>
      </c>
      <c r="E1135" s="14" t="s">
        <v>730</v>
      </c>
      <c r="G1135" s="1" t="str">
        <f>_xlfn.XLOOKUP(B1135,M_YT_LIVE!A:A,M_YT_LIVE!F:F,"ERROR",0,1)</f>
        <v>弾き語り</v>
      </c>
      <c r="W1135" s="13">
        <f t="shared" si="53"/>
        <v>264</v>
      </c>
      <c r="X1135" s="12" t="str">
        <f>_xlfn.XLOOKUP($B1135,M_YT_LIVE!$A:$A,M_YT_LIVE!$D:$D)</f>
        <v>https://www.youtube.com/live/PeAN2eEh-ug?si=Q76LwLkKs-5oX2lF</v>
      </c>
      <c r="Z1135" s="16" t="str">
        <f>HYPERLINK($X1135&amp;SUBSTITUTE(マスタ!$C$3,"XXXXX",$W1135))</f>
        <v>https://www.youtube.com/live/PeAN2eEh-ug?si=Q76LwLkKs-5oX2lF&amp;t=264s</v>
      </c>
      <c r="AA1135" s="12" t="str">
        <f t="shared" si="54"/>
        <v>Mrs. GREEN APPLEWanteD! WanteD!</v>
      </c>
    </row>
    <row r="1136" spans="1:27" x14ac:dyDescent="0.4">
      <c r="A1136" s="14">
        <f t="shared" si="55"/>
        <v>1135</v>
      </c>
      <c r="B1136" s="14">
        <v>151</v>
      </c>
      <c r="C1136" s="21" t="s">
        <v>2419</v>
      </c>
      <c r="D1136" s="14" t="s">
        <v>242</v>
      </c>
      <c r="E1136" s="14" t="s">
        <v>20</v>
      </c>
      <c r="G1136" s="1" t="str">
        <f>_xlfn.XLOOKUP(B1136,M_YT_LIVE!A:A,M_YT_LIVE!F:F,"ERROR",0,1)</f>
        <v>弾き語り</v>
      </c>
      <c r="W1136" s="13">
        <f t="shared" si="53"/>
        <v>626</v>
      </c>
      <c r="X1136" s="12" t="str">
        <f>_xlfn.XLOOKUP($B1136,M_YT_LIVE!$A:$A,M_YT_LIVE!$D:$D)</f>
        <v>https://www.youtube.com/live/PeAN2eEh-ug?si=Q76LwLkKs-5oX2lF</v>
      </c>
      <c r="Z1136" s="16" t="str">
        <f>HYPERLINK($X1136&amp;SUBSTITUTE(マスタ!$C$3,"XXXXX",$W1136))</f>
        <v>https://www.youtube.com/live/PeAN2eEh-ug?si=Q76LwLkKs-5oX2lF&amp;t=626s</v>
      </c>
      <c r="AA1136" s="12" t="str">
        <f t="shared" si="54"/>
        <v>Vaundy花占い</v>
      </c>
    </row>
    <row r="1137" spans="1:27" x14ac:dyDescent="0.4">
      <c r="A1137" s="14">
        <f t="shared" si="55"/>
        <v>1136</v>
      </c>
      <c r="B1137" s="14">
        <v>151</v>
      </c>
      <c r="C1137" s="21" t="s">
        <v>2055</v>
      </c>
      <c r="D1137" s="14" t="s">
        <v>1194</v>
      </c>
      <c r="E1137" s="14" t="s">
        <v>716</v>
      </c>
      <c r="G1137" s="1" t="str">
        <f>_xlfn.XLOOKUP(B1137,M_YT_LIVE!A:A,M_YT_LIVE!F:F,"ERROR",0,1)</f>
        <v>弾き語り</v>
      </c>
      <c r="W1137" s="13">
        <f t="shared" si="53"/>
        <v>1083</v>
      </c>
      <c r="X1137" s="12" t="str">
        <f>_xlfn.XLOOKUP($B1137,M_YT_LIVE!$A:$A,M_YT_LIVE!$D:$D)</f>
        <v>https://www.youtube.com/live/PeAN2eEh-ug?si=Q76LwLkKs-5oX2lF</v>
      </c>
      <c r="Z1137" s="16" t="str">
        <f>HYPERLINK($X1137&amp;SUBSTITUTE(マスタ!$C$3,"XXXXX",$W1137))</f>
        <v>https://www.youtube.com/live/PeAN2eEh-ug?si=Q76LwLkKs-5oX2lF&amp;t=1083s</v>
      </c>
      <c r="AA1137" s="12" t="str">
        <f t="shared" si="54"/>
        <v>RADWIMPS前前前世</v>
      </c>
    </row>
    <row r="1138" spans="1:27" x14ac:dyDescent="0.4">
      <c r="A1138" s="14">
        <f t="shared" si="55"/>
        <v>1137</v>
      </c>
      <c r="B1138" s="14">
        <v>151</v>
      </c>
      <c r="C1138" s="21" t="s">
        <v>2420</v>
      </c>
      <c r="D1138" s="14" t="s">
        <v>1025</v>
      </c>
      <c r="E1138" s="14" t="s">
        <v>1026</v>
      </c>
      <c r="G1138" s="1" t="str">
        <f>_xlfn.XLOOKUP(B1138,M_YT_LIVE!A:A,M_YT_LIVE!F:F,"ERROR",0,1)</f>
        <v>弾き語り</v>
      </c>
      <c r="W1138" s="13">
        <f t="shared" si="53"/>
        <v>1513</v>
      </c>
      <c r="X1138" s="12" t="str">
        <f>_xlfn.XLOOKUP($B1138,M_YT_LIVE!$A:$A,M_YT_LIVE!$D:$D)</f>
        <v>https://www.youtube.com/live/PeAN2eEh-ug?si=Q76LwLkKs-5oX2lF</v>
      </c>
      <c r="Z1138" s="16" t="str">
        <f>HYPERLINK($X1138&amp;SUBSTITUTE(マスタ!$C$3,"XXXXX",$W1138))</f>
        <v>https://www.youtube.com/live/PeAN2eEh-ug?si=Q76LwLkKs-5oX2lF&amp;t=1513s</v>
      </c>
      <c r="AA1138" s="12" t="str">
        <f t="shared" si="54"/>
        <v>BUMP OF CHICKEN天体観測</v>
      </c>
    </row>
    <row r="1139" spans="1:27" x14ac:dyDescent="0.4">
      <c r="A1139" s="14">
        <f t="shared" si="55"/>
        <v>1138</v>
      </c>
      <c r="B1139" s="14">
        <v>151</v>
      </c>
      <c r="C1139" s="21" t="s">
        <v>500</v>
      </c>
      <c r="D1139" s="14" t="s">
        <v>2421</v>
      </c>
      <c r="E1139" s="14" t="s">
        <v>1193</v>
      </c>
      <c r="G1139" s="1" t="str">
        <f>_xlfn.XLOOKUP(B1139,M_YT_LIVE!A:A,M_YT_LIVE!F:F,"ERROR",0,1)</f>
        <v>弾き語り</v>
      </c>
      <c r="W1139" s="13">
        <f t="shared" si="53"/>
        <v>2050</v>
      </c>
      <c r="X1139" s="12" t="str">
        <f>_xlfn.XLOOKUP($B1139,M_YT_LIVE!$A:$A,M_YT_LIVE!$D:$D)</f>
        <v>https://www.youtube.com/live/PeAN2eEh-ug?si=Q76LwLkKs-5oX2lF</v>
      </c>
      <c r="Z1139" s="16" t="str">
        <f>HYPERLINK($X1139&amp;SUBSTITUTE(マスタ!$C$3,"XXXXX",$W1139))</f>
        <v>https://www.youtube.com/live/PeAN2eEh-ug?si=Q76LwLkKs-5oX2lF&amp;t=2050s</v>
      </c>
      <c r="AA1139" s="12" t="str">
        <f t="shared" si="54"/>
        <v>サカナクション夜の踊り子</v>
      </c>
    </row>
    <row r="1140" spans="1:27" x14ac:dyDescent="0.4">
      <c r="A1140" s="14">
        <f t="shared" si="55"/>
        <v>1139</v>
      </c>
      <c r="B1140" s="14">
        <v>151</v>
      </c>
      <c r="C1140" s="21" t="s">
        <v>2422</v>
      </c>
      <c r="D1140" s="14" t="s">
        <v>1740</v>
      </c>
      <c r="E1140" s="14" t="s">
        <v>1741</v>
      </c>
      <c r="G1140" s="1" t="str">
        <f>_xlfn.XLOOKUP(B1140,M_YT_LIVE!A:A,M_YT_LIVE!F:F,"ERROR",0,1)</f>
        <v>弾き語り</v>
      </c>
      <c r="W1140" s="13">
        <f t="shared" si="53"/>
        <v>2464</v>
      </c>
      <c r="X1140" s="12" t="str">
        <f>_xlfn.XLOOKUP($B1140,M_YT_LIVE!$A:$A,M_YT_LIVE!$D:$D)</f>
        <v>https://www.youtube.com/live/PeAN2eEh-ug?si=Q76LwLkKs-5oX2lF</v>
      </c>
      <c r="Z1140" s="16" t="str">
        <f>HYPERLINK($X1140&amp;SUBSTITUTE(マスタ!$C$3,"XXXXX",$W1140))</f>
        <v>https://www.youtube.com/live/PeAN2eEh-ug?si=Q76LwLkKs-5oX2lF&amp;t=2464s</v>
      </c>
      <c r="AA1140" s="12" t="str">
        <f t="shared" si="54"/>
        <v>Mr.ChildrenHANABI</v>
      </c>
    </row>
    <row r="1141" spans="1:27" x14ac:dyDescent="0.4">
      <c r="A1141" s="14">
        <f t="shared" si="55"/>
        <v>1140</v>
      </c>
      <c r="B1141" s="14">
        <v>151</v>
      </c>
      <c r="C1141" s="21" t="s">
        <v>2423</v>
      </c>
      <c r="D1141" s="14" t="s">
        <v>1729</v>
      </c>
      <c r="E1141" s="14" t="s">
        <v>1851</v>
      </c>
      <c r="G1141" s="1" t="str">
        <f>_xlfn.XLOOKUP(B1141,M_YT_LIVE!A:A,M_YT_LIVE!F:F,"ERROR",0,1)</f>
        <v>弾き語り</v>
      </c>
      <c r="W1141" s="13">
        <f t="shared" si="53"/>
        <v>2930</v>
      </c>
      <c r="X1141" s="12" t="str">
        <f>_xlfn.XLOOKUP($B1141,M_YT_LIVE!$A:$A,M_YT_LIVE!$D:$D)</f>
        <v>https://www.youtube.com/live/PeAN2eEh-ug?si=Q76LwLkKs-5oX2lF</v>
      </c>
      <c r="Z1141" s="16" t="str">
        <f>HYPERLINK($X1141&amp;SUBSTITUTE(マスタ!$C$3,"XXXXX",$W1141))</f>
        <v>https://www.youtube.com/live/PeAN2eEh-ug?si=Q76LwLkKs-5oX2lF&amp;t=2930s</v>
      </c>
      <c r="AA1141" s="12" t="str">
        <f t="shared" si="54"/>
        <v>flumpool君に届け</v>
      </c>
    </row>
    <row r="1142" spans="1:27" x14ac:dyDescent="0.4">
      <c r="A1142" s="14">
        <f t="shared" si="55"/>
        <v>1141</v>
      </c>
      <c r="B1142" s="14">
        <v>151</v>
      </c>
      <c r="C1142" s="21" t="s">
        <v>2424</v>
      </c>
      <c r="D1142" s="14" t="s">
        <v>259</v>
      </c>
      <c r="E1142" s="14" t="s">
        <v>260</v>
      </c>
      <c r="G1142" s="1" t="str">
        <f>_xlfn.XLOOKUP(B1142,M_YT_LIVE!A:A,M_YT_LIVE!F:F,"ERROR",0,1)</f>
        <v>弾き語り</v>
      </c>
      <c r="W1142" s="13">
        <f t="shared" si="53"/>
        <v>3325</v>
      </c>
      <c r="X1142" s="12" t="str">
        <f>_xlfn.XLOOKUP($B1142,M_YT_LIVE!$A:$A,M_YT_LIVE!$D:$D)</f>
        <v>https://www.youtube.com/live/PeAN2eEh-ug?si=Q76LwLkKs-5oX2lF</v>
      </c>
      <c r="Z1142" s="16" t="str">
        <f>HYPERLINK($X1142&amp;SUBSTITUTE(マスタ!$C$3,"XXXXX",$W1142))</f>
        <v>https://www.youtube.com/live/PeAN2eEh-ug?si=Q76LwLkKs-5oX2lF&amp;t=3325s</v>
      </c>
      <c r="AA1142" s="12" t="str">
        <f t="shared" si="54"/>
        <v>Official髭男dismノーダウト</v>
      </c>
    </row>
    <row r="1143" spans="1:27" x14ac:dyDescent="0.4">
      <c r="A1143" s="14">
        <f t="shared" si="55"/>
        <v>1142</v>
      </c>
      <c r="B1143" s="14">
        <v>151</v>
      </c>
      <c r="C1143" s="21" t="s">
        <v>2390</v>
      </c>
      <c r="D1143" s="14" t="s">
        <v>340</v>
      </c>
      <c r="E1143" s="14" t="s">
        <v>2425</v>
      </c>
      <c r="G1143" s="1" t="str">
        <f>_xlfn.XLOOKUP(B1143,M_YT_LIVE!A:A,M_YT_LIVE!F:F,"ERROR",0,1)</f>
        <v>弾き語り</v>
      </c>
      <c r="W1143" s="13">
        <f t="shared" si="53"/>
        <v>3722</v>
      </c>
      <c r="X1143" s="12" t="str">
        <f>_xlfn.XLOOKUP($B1143,M_YT_LIVE!$A:$A,M_YT_LIVE!$D:$D)</f>
        <v>https://www.youtube.com/live/PeAN2eEh-ug?si=Q76LwLkKs-5oX2lF</v>
      </c>
      <c r="Z1143" s="16" t="str">
        <f>HYPERLINK($X1143&amp;SUBSTITUTE(マスタ!$C$3,"XXXXX",$W1143))</f>
        <v>https://www.youtube.com/live/PeAN2eEh-ug?si=Q76LwLkKs-5oX2lF&amp;t=3722s</v>
      </c>
      <c r="AA1143" s="12" t="str">
        <f t="shared" si="54"/>
        <v>TK from 凛として時雨unravel</v>
      </c>
    </row>
    <row r="1144" spans="1:27" x14ac:dyDescent="0.4">
      <c r="A1144" s="14">
        <f t="shared" si="55"/>
        <v>1143</v>
      </c>
      <c r="B1144" s="14">
        <v>151</v>
      </c>
      <c r="C1144" s="21" t="s">
        <v>2426</v>
      </c>
      <c r="D1144" s="14" t="s">
        <v>176</v>
      </c>
      <c r="E1144" s="14" t="s">
        <v>177</v>
      </c>
      <c r="G1144" s="1" t="str">
        <f>_xlfn.XLOOKUP(B1144,M_YT_LIVE!A:A,M_YT_LIVE!F:F,"ERROR",0,1)</f>
        <v>弾き語り</v>
      </c>
      <c r="W1144" s="13">
        <f t="shared" si="53"/>
        <v>4198</v>
      </c>
      <c r="X1144" s="12" t="str">
        <f>_xlfn.XLOOKUP($B1144,M_YT_LIVE!$A:$A,M_YT_LIVE!$D:$D)</f>
        <v>https://www.youtube.com/live/PeAN2eEh-ug?si=Q76LwLkKs-5oX2lF</v>
      </c>
      <c r="Z1144" s="16" t="str">
        <f>HYPERLINK($X1144&amp;SUBSTITUTE(マスタ!$C$3,"XXXXX",$W1144))</f>
        <v>https://www.youtube.com/live/PeAN2eEh-ug?si=Q76LwLkKs-5oX2lF&amp;t=4198s</v>
      </c>
      <c r="AA1144" s="12" t="str">
        <f t="shared" si="54"/>
        <v>Saucy Dogシンデレラボーイ</v>
      </c>
    </row>
    <row r="1145" spans="1:27" x14ac:dyDescent="0.4">
      <c r="A1145" s="14">
        <f t="shared" si="55"/>
        <v>1144</v>
      </c>
      <c r="B1145" s="14">
        <v>151</v>
      </c>
      <c r="C1145" s="21" t="s">
        <v>2427</v>
      </c>
      <c r="D1145" s="14" t="s">
        <v>2439</v>
      </c>
      <c r="E1145" s="14" t="s">
        <v>393</v>
      </c>
      <c r="G1145" s="30" t="s">
        <v>629</v>
      </c>
      <c r="W1145" s="13">
        <f t="shared" si="53"/>
        <v>4612</v>
      </c>
      <c r="X1145" s="12" t="str">
        <f>_xlfn.XLOOKUP($B1145,M_YT_LIVE!$A:$A,M_YT_LIVE!$D:$D)</f>
        <v>https://www.youtube.com/live/PeAN2eEh-ug?si=Q76LwLkKs-5oX2lF</v>
      </c>
      <c r="Z1145" s="16" t="str">
        <f>HYPERLINK($X1145&amp;SUBSTITUTE(マスタ!$C$3,"XXXXX",$W1145))</f>
        <v>https://www.youtube.com/live/PeAN2eEh-ug?si=Q76LwLkKs-5oX2lF&amp;t=4612s</v>
      </c>
      <c r="AA1145" s="12" t="str">
        <f t="shared" si="54"/>
        <v>ONE OK ROCK完全感覚Dreamer</v>
      </c>
    </row>
    <row r="1146" spans="1:27" x14ac:dyDescent="0.4">
      <c r="A1146" s="14">
        <f t="shared" si="55"/>
        <v>1145</v>
      </c>
      <c r="B1146" s="14">
        <v>151</v>
      </c>
      <c r="C1146" s="21" t="s">
        <v>2428</v>
      </c>
      <c r="D1146" s="14" t="s">
        <v>681</v>
      </c>
      <c r="E1146" s="14" t="s">
        <v>682</v>
      </c>
      <c r="G1146" s="1" t="str">
        <f>_xlfn.XLOOKUP(B1146,M_YT_LIVE!A:A,M_YT_LIVE!F:F,"ERROR",0,1)</f>
        <v>弾き語り</v>
      </c>
      <c r="W1146" s="13">
        <f t="shared" si="53"/>
        <v>5098</v>
      </c>
      <c r="X1146" s="12" t="str">
        <f>_xlfn.XLOOKUP($B1146,M_YT_LIVE!$A:$A,M_YT_LIVE!$D:$D)</f>
        <v>https://www.youtube.com/live/PeAN2eEh-ug?si=Q76LwLkKs-5oX2lF</v>
      </c>
      <c r="Z1146" s="16" t="str">
        <f>HYPERLINK($X1146&amp;SUBSTITUTE(マスタ!$C$3,"XXXXX",$W1146))</f>
        <v>https://www.youtube.com/live/PeAN2eEh-ug?si=Q76LwLkKs-5oX2lF&amp;t=5098s</v>
      </c>
      <c r="AA1146" s="12" t="str">
        <f t="shared" si="54"/>
        <v>THE ORAL CIGARETTES狂乱 Hey Kids!!</v>
      </c>
    </row>
    <row r="1147" spans="1:27" x14ac:dyDescent="0.4">
      <c r="A1147" s="14">
        <f t="shared" si="55"/>
        <v>1146</v>
      </c>
      <c r="B1147" s="14">
        <v>151</v>
      </c>
      <c r="C1147" s="21" t="s">
        <v>2429</v>
      </c>
      <c r="D1147" s="14" t="s">
        <v>2430</v>
      </c>
      <c r="E1147" s="14" t="s">
        <v>2431</v>
      </c>
      <c r="G1147" s="1" t="str">
        <f>_xlfn.XLOOKUP(B1147,M_YT_LIVE!A:A,M_YT_LIVE!F:F,"ERROR",0,1)</f>
        <v>弾き語り</v>
      </c>
      <c r="W1147" s="13">
        <f t="shared" si="53"/>
        <v>5433</v>
      </c>
      <c r="X1147" s="12" t="str">
        <f>_xlfn.XLOOKUP($B1147,M_YT_LIVE!$A:$A,M_YT_LIVE!$D:$D)</f>
        <v>https://www.youtube.com/live/PeAN2eEh-ug?si=Q76LwLkKs-5oX2lF</v>
      </c>
      <c r="Z1147" s="16" t="str">
        <f>HYPERLINK($X1147&amp;SUBSTITUTE(マスタ!$C$3,"XXXXX",$W1147))</f>
        <v>https://www.youtube.com/live/PeAN2eEh-ug?si=Q76LwLkKs-5oX2lF&amp;t=5433s</v>
      </c>
      <c r="AA1147" s="12" t="str">
        <f t="shared" si="54"/>
        <v>The BeatlesHelp! (1chorus)</v>
      </c>
    </row>
    <row r="1148" spans="1:27" x14ac:dyDescent="0.4">
      <c r="A1148" s="14">
        <f t="shared" si="55"/>
        <v>1147</v>
      </c>
      <c r="B1148" s="14">
        <v>151</v>
      </c>
      <c r="C1148" s="21" t="s">
        <v>2432</v>
      </c>
      <c r="D1148" s="14" t="s">
        <v>2433</v>
      </c>
      <c r="E1148" s="14" t="s">
        <v>2434</v>
      </c>
      <c r="G1148" s="1" t="str">
        <f>_xlfn.XLOOKUP(B1148,M_YT_LIVE!A:A,M_YT_LIVE!F:F,"ERROR",0,1)</f>
        <v>弾き語り</v>
      </c>
      <c r="W1148" s="13">
        <f t="shared" si="53"/>
        <v>5706</v>
      </c>
      <c r="X1148" s="12" t="str">
        <f>_xlfn.XLOOKUP($B1148,M_YT_LIVE!$A:$A,M_YT_LIVE!$D:$D)</f>
        <v>https://www.youtube.com/live/PeAN2eEh-ug?si=Q76LwLkKs-5oX2lF</v>
      </c>
      <c r="Z1148" s="16" t="str">
        <f>HYPERLINK($X1148&amp;SUBSTITUTE(マスタ!$C$3,"XXXXX",$W1148))</f>
        <v>https://www.youtube.com/live/PeAN2eEh-ug?si=Q76LwLkKs-5oX2lF&amp;t=5706s</v>
      </c>
      <c r="AA1148" s="12" t="str">
        <f t="shared" si="54"/>
        <v>SEKAI NO OWARIスターライトパレード</v>
      </c>
    </row>
    <row r="1149" spans="1:27" x14ac:dyDescent="0.4">
      <c r="A1149" s="14">
        <f t="shared" si="55"/>
        <v>1148</v>
      </c>
      <c r="B1149" s="14">
        <v>151</v>
      </c>
      <c r="C1149" s="21" t="s">
        <v>2435</v>
      </c>
      <c r="D1149" s="14" t="s">
        <v>2436</v>
      </c>
      <c r="E1149" s="14" t="s">
        <v>2437</v>
      </c>
      <c r="G1149" s="1" t="str">
        <f>_xlfn.XLOOKUP(B1149,M_YT_LIVE!A:A,M_YT_LIVE!F:F,"ERROR",0,1)</f>
        <v>弾き語り</v>
      </c>
      <c r="W1149" s="13">
        <f t="shared" si="53"/>
        <v>6113</v>
      </c>
      <c r="X1149" s="12" t="str">
        <f>_xlfn.XLOOKUP($B1149,M_YT_LIVE!$A:$A,M_YT_LIVE!$D:$D)</f>
        <v>https://www.youtube.com/live/PeAN2eEh-ug?si=Q76LwLkKs-5oX2lF</v>
      </c>
      <c r="Z1149" s="16" t="str">
        <f>HYPERLINK($X1149&amp;SUBSTITUTE(マスタ!$C$3,"XXXXX",$W1149))</f>
        <v>https://www.youtube.com/live/PeAN2eEh-ug?si=Q76LwLkKs-5oX2lF&amp;t=6113s</v>
      </c>
      <c r="AA1149" s="12" t="str">
        <f t="shared" si="54"/>
        <v>松平健マツケンサンバⅡ (1chorus)</v>
      </c>
    </row>
    <row r="1150" spans="1:27" x14ac:dyDescent="0.4">
      <c r="A1150" s="14">
        <f t="shared" si="55"/>
        <v>1149</v>
      </c>
      <c r="B1150" s="14">
        <v>151</v>
      </c>
      <c r="C1150" s="21" t="s">
        <v>2438</v>
      </c>
      <c r="D1150" s="14" t="s">
        <v>2436</v>
      </c>
      <c r="E1150" s="14" t="s">
        <v>2437</v>
      </c>
      <c r="G1150" s="1" t="str">
        <f>_xlfn.XLOOKUP(B1150,M_YT_LIVE!A:A,M_YT_LIVE!F:F,"ERROR",0,1)</f>
        <v>弾き語り</v>
      </c>
      <c r="W1150" s="13">
        <f t="shared" si="53"/>
        <v>6436.0000000000009</v>
      </c>
      <c r="X1150" s="12" t="str">
        <f>_xlfn.XLOOKUP($B1150,M_YT_LIVE!$A:$A,M_YT_LIVE!$D:$D)</f>
        <v>https://www.youtube.com/live/PeAN2eEh-ug?si=Q76LwLkKs-5oX2lF</v>
      </c>
      <c r="Z1150" s="16" t="str">
        <f>HYPERLINK($X1150&amp;SUBSTITUTE(マスタ!$C$3,"XXXXX",$W1150))</f>
        <v>https://www.youtube.com/live/PeAN2eEh-ug?si=Q76LwLkKs-5oX2lF&amp;t=6436s</v>
      </c>
      <c r="AA1150" s="12" t="str">
        <f t="shared" si="54"/>
        <v>松平健マツケンサンバⅡ (1chorus)</v>
      </c>
    </row>
    <row r="1151" spans="1:27" x14ac:dyDescent="0.4">
      <c r="A1151" s="14">
        <f t="shared" si="55"/>
        <v>1150</v>
      </c>
      <c r="B1151" s="14">
        <v>151</v>
      </c>
      <c r="C1151" s="21" t="s">
        <v>659</v>
      </c>
      <c r="D1151" s="14" t="s">
        <v>2440</v>
      </c>
      <c r="E1151" s="14" t="s">
        <v>2437</v>
      </c>
      <c r="G1151" s="30" t="s">
        <v>629</v>
      </c>
      <c r="W1151" s="13">
        <f t="shared" si="53"/>
        <v>6543</v>
      </c>
      <c r="X1151" s="12" t="str">
        <f>_xlfn.XLOOKUP($B1151,M_YT_LIVE!$A:$A,M_YT_LIVE!$D:$D)</f>
        <v>https://www.youtube.com/live/PeAN2eEh-ug?si=Q76LwLkKs-5oX2lF</v>
      </c>
      <c r="Z1151" s="16" t="str">
        <f>HYPERLINK($X1151&amp;SUBSTITUTE(マスタ!$C$3,"XXXXX",$W1151))</f>
        <v>https://www.youtube.com/live/PeAN2eEh-ug?si=Q76LwLkKs-5oX2lF&amp;t=6543s</v>
      </c>
      <c r="AA1151" s="12" t="str">
        <f t="shared" si="54"/>
        <v>松平健マツケンサンバⅡ (1chorus)</v>
      </c>
    </row>
    <row r="1152" spans="1:27" x14ac:dyDescent="0.4">
      <c r="A1152" s="14">
        <f t="shared" si="55"/>
        <v>1151</v>
      </c>
      <c r="B1152" s="14">
        <v>153</v>
      </c>
      <c r="C1152" s="21" t="s">
        <v>2445</v>
      </c>
      <c r="D1152" s="14" t="s">
        <v>1627</v>
      </c>
      <c r="E1152" s="14" t="s">
        <v>168</v>
      </c>
      <c r="G1152" s="1" t="str">
        <f>_xlfn.XLOOKUP(B1152,M_YT_LIVE!A:A,M_YT_LIVE!F:F,"ERROR",0,1)</f>
        <v>音源</v>
      </c>
      <c r="W1152" s="13">
        <f t="shared" si="53"/>
        <v>243.99999999999997</v>
      </c>
      <c r="X1152" s="12" t="str">
        <f>_xlfn.XLOOKUP($B1152,M_YT_LIVE!$A:$A,M_YT_LIVE!$D:$D)</f>
        <v>https://www.youtube.com/live/5WLpYh7ET8Q?si=U6vokm2OYMw3HwVF</v>
      </c>
      <c r="Z1152" s="16" t="str">
        <f>HYPERLINK($X1152&amp;SUBSTITUTE(マスタ!$C$3,"XXXXX",$W1152))</f>
        <v>https://www.youtube.com/live/5WLpYh7ET8Q?si=U6vokm2OYMw3HwVF&amp;t=244s</v>
      </c>
      <c r="AA1152" s="12" t="str">
        <f t="shared" si="54"/>
        <v>Aimer残響散歌</v>
      </c>
    </row>
    <row r="1153" spans="1:27" x14ac:dyDescent="0.4">
      <c r="A1153" s="14">
        <f t="shared" si="55"/>
        <v>1152</v>
      </c>
      <c r="B1153" s="14">
        <v>153</v>
      </c>
      <c r="C1153" s="21" t="s">
        <v>2446</v>
      </c>
      <c r="D1153" s="14" t="s">
        <v>543</v>
      </c>
      <c r="E1153" s="14" t="s">
        <v>544</v>
      </c>
      <c r="G1153" s="1" t="str">
        <f>_xlfn.XLOOKUP(B1153,M_YT_LIVE!A:A,M_YT_LIVE!F:F,"ERROR",0,1)</f>
        <v>音源</v>
      </c>
      <c r="W1153" s="13">
        <f t="shared" si="53"/>
        <v>686</v>
      </c>
      <c r="X1153" s="12" t="str">
        <f>_xlfn.XLOOKUP($B1153,M_YT_LIVE!$A:$A,M_YT_LIVE!$D:$D)</f>
        <v>https://www.youtube.com/live/5WLpYh7ET8Q?si=U6vokm2OYMw3HwVF</v>
      </c>
      <c r="Z1153" s="16" t="str">
        <f>HYPERLINK($X1153&amp;SUBSTITUTE(マスタ!$C$3,"XXXXX",$W1153))</f>
        <v>https://www.youtube.com/live/5WLpYh7ET8Q?si=U6vokm2OYMw3HwVF&amp;t=686s</v>
      </c>
      <c r="AA1153" s="12" t="str">
        <f t="shared" si="54"/>
        <v>椎名林檎丸の内サディスティック</v>
      </c>
    </row>
    <row r="1154" spans="1:27" x14ac:dyDescent="0.4">
      <c r="A1154" s="14">
        <f t="shared" si="55"/>
        <v>1153</v>
      </c>
      <c r="B1154" s="14">
        <v>153</v>
      </c>
      <c r="C1154" s="21" t="s">
        <v>102</v>
      </c>
      <c r="D1154" s="14" t="s">
        <v>2447</v>
      </c>
      <c r="E1154" s="14" t="s">
        <v>2448</v>
      </c>
      <c r="G1154" s="1" t="str">
        <f>_xlfn.XLOOKUP(B1154,M_YT_LIVE!A:A,M_YT_LIVE!F:F,"ERROR",0,1)</f>
        <v>音源</v>
      </c>
      <c r="W1154" s="13">
        <f t="shared" si="53"/>
        <v>995</v>
      </c>
      <c r="X1154" s="12" t="str">
        <f>_xlfn.XLOOKUP($B1154,M_YT_LIVE!$A:$A,M_YT_LIVE!$D:$D)</f>
        <v>https://www.youtube.com/live/5WLpYh7ET8Q?si=U6vokm2OYMw3HwVF</v>
      </c>
      <c r="Z1154" s="16" t="str">
        <f>HYPERLINK($X1154&amp;SUBSTITUTE(マスタ!$C$3,"XXXXX",$W1154))</f>
        <v>https://www.youtube.com/live/5WLpYh7ET8Q?si=U6vokm2OYMw3HwVF&amp;t=995s</v>
      </c>
      <c r="AA1154" s="12" t="str">
        <f t="shared" si="54"/>
        <v>富田伊知郎(ミラクル・ヴォウス)ヤマダ電機の歌</v>
      </c>
    </row>
    <row r="1155" spans="1:27" x14ac:dyDescent="0.4">
      <c r="A1155" s="14">
        <f t="shared" si="55"/>
        <v>1154</v>
      </c>
      <c r="B1155" s="14">
        <v>153</v>
      </c>
      <c r="C1155" s="21" t="s">
        <v>2449</v>
      </c>
      <c r="D1155" s="14" t="s">
        <v>2450</v>
      </c>
      <c r="E1155" s="14" t="s">
        <v>2451</v>
      </c>
      <c r="G1155" s="1" t="str">
        <f>_xlfn.XLOOKUP(B1155,M_YT_LIVE!A:A,M_YT_LIVE!F:F,"ERROR",0,1)</f>
        <v>音源</v>
      </c>
      <c r="W1155" s="13">
        <f t="shared" si="53"/>
        <v>1130</v>
      </c>
      <c r="X1155" s="12" t="str">
        <f>_xlfn.XLOOKUP($B1155,M_YT_LIVE!$A:$A,M_YT_LIVE!$D:$D)</f>
        <v>https://www.youtube.com/live/5WLpYh7ET8Q?si=U6vokm2OYMw3HwVF</v>
      </c>
      <c r="Z1155" s="16" t="str">
        <f>HYPERLINK($X1155&amp;SUBSTITUTE(マスタ!$C$3,"XXXXX",$W1155))</f>
        <v>https://www.youtube.com/live/5WLpYh7ET8Q?si=U6vokm2OYMw3HwVF&amp;t=1130s</v>
      </c>
      <c r="AA1155" s="12" t="str">
        <f t="shared" si="54"/>
        <v>ヨドバシカメラヨドバシカメラの歌</v>
      </c>
    </row>
    <row r="1156" spans="1:27" x14ac:dyDescent="0.4">
      <c r="A1156" s="14">
        <f t="shared" si="55"/>
        <v>1155</v>
      </c>
      <c r="B1156" s="14">
        <v>153</v>
      </c>
      <c r="C1156" s="21" t="s">
        <v>2452</v>
      </c>
      <c r="D1156" s="14" t="s">
        <v>2453</v>
      </c>
      <c r="E1156" s="14" t="s">
        <v>2454</v>
      </c>
      <c r="G1156" s="1" t="str">
        <f>_xlfn.XLOOKUP(B1156,M_YT_LIVE!A:A,M_YT_LIVE!F:F,"ERROR",0,1)</f>
        <v>音源</v>
      </c>
      <c r="W1156" s="13">
        <f t="shared" ref="W1156:W1201" si="56">TIMEVALUE($C1156)*86400</f>
        <v>1352.9999999999998</v>
      </c>
      <c r="X1156" s="12" t="str">
        <f>_xlfn.XLOOKUP($B1156,M_YT_LIVE!$A:$A,M_YT_LIVE!$D:$D)</f>
        <v>https://www.youtube.com/live/5WLpYh7ET8Q?si=U6vokm2OYMw3HwVF</v>
      </c>
      <c r="Z1156" s="16" t="str">
        <f>HYPERLINK($X1156&amp;SUBSTITUTE(マスタ!$C$3,"XXXXX",$W1156))</f>
        <v>https://www.youtube.com/live/5WLpYh7ET8Q?si=U6vokm2OYMw3HwVF&amp;t=1353s</v>
      </c>
      <c r="AA1156" s="12" t="str">
        <f t="shared" si="54"/>
        <v>田中マイミMIRACLE SHOPPING〜ドン・キホーテのテーマ〜</v>
      </c>
    </row>
    <row r="1157" spans="1:27" x14ac:dyDescent="0.4">
      <c r="A1157" s="14">
        <f t="shared" si="55"/>
        <v>1156</v>
      </c>
      <c r="B1157" s="14">
        <v>153</v>
      </c>
      <c r="C1157" s="21" t="s">
        <v>2455</v>
      </c>
      <c r="D1157" s="14" t="s">
        <v>149</v>
      </c>
      <c r="E1157" s="14" t="s">
        <v>150</v>
      </c>
      <c r="G1157" s="1" t="str">
        <f>_xlfn.XLOOKUP(B1157,M_YT_LIVE!A:A,M_YT_LIVE!F:F,"ERROR",0,1)</f>
        <v>音源</v>
      </c>
      <c r="W1157" s="13">
        <f t="shared" si="56"/>
        <v>1658</v>
      </c>
      <c r="X1157" s="12" t="str">
        <f>_xlfn.XLOOKUP($B1157,M_YT_LIVE!$A:$A,M_YT_LIVE!$D:$D)</f>
        <v>https://www.youtube.com/live/5WLpYh7ET8Q?si=U6vokm2OYMw3HwVF</v>
      </c>
      <c r="Z1157" s="16" t="str">
        <f>HYPERLINK($X1157&amp;SUBSTITUTE(マスタ!$C$3,"XXXXX",$W1157))</f>
        <v>https://www.youtube.com/live/5WLpYh7ET8Q?si=U6vokm2OYMw3HwVF&amp;t=1658s</v>
      </c>
      <c r="AA1157" s="12" t="str">
        <f t="shared" ref="AA1157:AA1201" si="57">TRIM(E1157)&amp;TRIM(D1157)</f>
        <v>みきとP feat.初音ミク少女レイ</v>
      </c>
    </row>
    <row r="1158" spans="1:27" x14ac:dyDescent="0.4">
      <c r="A1158" s="14">
        <f t="shared" ref="A1158:A1201" si="58">ROW()-1</f>
        <v>1157</v>
      </c>
      <c r="B1158" s="14">
        <v>153</v>
      </c>
      <c r="C1158" s="21" t="s">
        <v>2456</v>
      </c>
      <c r="D1158" s="14" t="s">
        <v>1524</v>
      </c>
      <c r="E1158" s="14" t="s">
        <v>273</v>
      </c>
      <c r="G1158" s="1" t="str">
        <f>_xlfn.XLOOKUP(B1158,M_YT_LIVE!A:A,M_YT_LIVE!F:F,"ERROR",0,1)</f>
        <v>音源</v>
      </c>
      <c r="W1158" s="13">
        <f t="shared" si="56"/>
        <v>2130</v>
      </c>
      <c r="X1158" s="12" t="str">
        <f>_xlfn.XLOOKUP($B1158,M_YT_LIVE!$A:$A,M_YT_LIVE!$D:$D)</f>
        <v>https://www.youtube.com/live/5WLpYh7ET8Q?si=U6vokm2OYMw3HwVF</v>
      </c>
      <c r="Z1158" s="16" t="str">
        <f>HYPERLINK($X1158&amp;SUBSTITUTE(マスタ!$C$3,"XXXXX",$W1158))</f>
        <v>https://www.youtube.com/live/5WLpYh7ET8Q?si=U6vokm2OYMw3HwVF&amp;t=2130s</v>
      </c>
      <c r="AA1158" s="12" t="str">
        <f t="shared" si="57"/>
        <v>Adoギラギラ</v>
      </c>
    </row>
    <row r="1159" spans="1:27" x14ac:dyDescent="0.4">
      <c r="A1159" s="14">
        <f t="shared" si="58"/>
        <v>1158</v>
      </c>
      <c r="B1159" s="14">
        <v>153</v>
      </c>
      <c r="C1159" s="21" t="s">
        <v>2172</v>
      </c>
      <c r="D1159" s="14" t="s">
        <v>2457</v>
      </c>
      <c r="E1159" s="14" t="s">
        <v>2458</v>
      </c>
      <c r="G1159" s="1" t="str">
        <f>_xlfn.XLOOKUP(B1159,M_YT_LIVE!A:A,M_YT_LIVE!F:F,"ERROR",0,1)</f>
        <v>音源</v>
      </c>
      <c r="W1159" s="13">
        <f t="shared" si="56"/>
        <v>2496</v>
      </c>
      <c r="X1159" s="12" t="str">
        <f>_xlfn.XLOOKUP($B1159,M_YT_LIVE!$A:$A,M_YT_LIVE!$D:$D)</f>
        <v>https://www.youtube.com/live/5WLpYh7ET8Q?si=U6vokm2OYMw3HwVF</v>
      </c>
      <c r="Z1159" s="16" t="str">
        <f>HYPERLINK($X1159&amp;SUBSTITUTE(マスタ!$C$3,"XXXXX",$W1159))</f>
        <v>https://www.youtube.com/live/5WLpYh7ET8Q?si=U6vokm2OYMw3HwVF&amp;t=2496s</v>
      </c>
      <c r="AA1159" s="12" t="str">
        <f t="shared" si="57"/>
        <v>Tani YuukiW/X/Y</v>
      </c>
    </row>
    <row r="1160" spans="1:27" x14ac:dyDescent="0.4">
      <c r="A1160" s="14">
        <f t="shared" si="58"/>
        <v>1159</v>
      </c>
      <c r="B1160" s="14">
        <v>153</v>
      </c>
      <c r="C1160" s="21" t="s">
        <v>2459</v>
      </c>
      <c r="D1160" s="14" t="s">
        <v>2460</v>
      </c>
      <c r="E1160" s="14" t="s">
        <v>667</v>
      </c>
      <c r="G1160" s="1" t="str">
        <f>_xlfn.XLOOKUP(B1160,M_YT_LIVE!A:A,M_YT_LIVE!F:F,"ERROR",0,1)</f>
        <v>音源</v>
      </c>
      <c r="W1160" s="13">
        <f t="shared" si="56"/>
        <v>2925.9999999999995</v>
      </c>
      <c r="X1160" s="12" t="str">
        <f>_xlfn.XLOOKUP($B1160,M_YT_LIVE!$A:$A,M_YT_LIVE!$D:$D)</f>
        <v>https://www.youtube.com/live/5WLpYh7ET8Q?si=U6vokm2OYMw3HwVF</v>
      </c>
      <c r="Z1160" s="16" t="str">
        <f>HYPERLINK($X1160&amp;SUBSTITUTE(マスタ!$C$3,"XXXXX",$W1160))</f>
        <v>https://www.youtube.com/live/5WLpYh7ET8Q?si=U6vokm2OYMw3HwVF&amp;t=2926s</v>
      </c>
      <c r="AA1160" s="12" t="str">
        <f t="shared" si="57"/>
        <v>UNISON SQUARE GARDENシュガーソングとビターステップ (リクエスト)</v>
      </c>
    </row>
    <row r="1161" spans="1:27" x14ac:dyDescent="0.4">
      <c r="A1161" s="14">
        <f t="shared" si="58"/>
        <v>1160</v>
      </c>
      <c r="B1161" s="14">
        <v>153</v>
      </c>
      <c r="C1161" s="21" t="s">
        <v>2461</v>
      </c>
      <c r="D1161" s="14" t="s">
        <v>1000</v>
      </c>
      <c r="E1161" s="14" t="s">
        <v>276</v>
      </c>
      <c r="G1161" s="1" t="str">
        <f>_xlfn.XLOOKUP(B1161,M_YT_LIVE!A:A,M_YT_LIVE!F:F,"ERROR",0,1)</f>
        <v>音源</v>
      </c>
      <c r="W1161" s="13">
        <f t="shared" si="56"/>
        <v>3324</v>
      </c>
      <c r="X1161" s="12" t="str">
        <f>_xlfn.XLOOKUP($B1161,M_YT_LIVE!$A:$A,M_YT_LIVE!$D:$D)</f>
        <v>https://www.youtube.com/live/5WLpYh7ET8Q?si=U6vokm2OYMw3HwVF</v>
      </c>
      <c r="Z1161" s="16" t="str">
        <f>HYPERLINK($X1161&amp;SUBSTITUTE(マスタ!$C$3,"XXXXX",$W1161))</f>
        <v>https://www.youtube.com/live/5WLpYh7ET8Q?si=U6vokm2OYMw3HwVF&amp;t=3324s</v>
      </c>
      <c r="AA1161" s="12" t="str">
        <f t="shared" si="57"/>
        <v>YUIRolling star</v>
      </c>
    </row>
    <row r="1162" spans="1:27" x14ac:dyDescent="0.4">
      <c r="A1162" s="14">
        <f t="shared" si="58"/>
        <v>1161</v>
      </c>
      <c r="B1162" s="14">
        <v>153</v>
      </c>
      <c r="C1162" s="21" t="s">
        <v>2462</v>
      </c>
      <c r="D1162" s="14" t="s">
        <v>2463</v>
      </c>
      <c r="E1162" s="14" t="s">
        <v>390</v>
      </c>
      <c r="G1162" s="1" t="str">
        <f>_xlfn.XLOOKUP(B1162,M_YT_LIVE!A:A,M_YT_LIVE!F:F,"ERROR",0,1)</f>
        <v>音源</v>
      </c>
      <c r="W1162" s="13">
        <f t="shared" si="56"/>
        <v>3615.9999999999995</v>
      </c>
      <c r="X1162" s="12" t="str">
        <f>_xlfn.XLOOKUP($B1162,M_YT_LIVE!$A:$A,M_YT_LIVE!$D:$D)</f>
        <v>https://www.youtube.com/live/5WLpYh7ET8Q?si=U6vokm2OYMw3HwVF</v>
      </c>
      <c r="Z1162" s="16" t="str">
        <f>HYPERLINK($X1162&amp;SUBSTITUTE(マスタ!$C$3,"XXXXX",$W1162))</f>
        <v>https://www.youtube.com/live/5WLpYh7ET8Q?si=U6vokm2OYMw3HwVF&amp;t=3616s</v>
      </c>
      <c r="AA1162" s="12" t="str">
        <f t="shared" si="57"/>
        <v>LiSAunlasting (Tv size)</v>
      </c>
    </row>
    <row r="1163" spans="1:27" x14ac:dyDescent="0.4">
      <c r="A1163" s="14">
        <f t="shared" si="58"/>
        <v>1162</v>
      </c>
      <c r="B1163" s="14">
        <v>153</v>
      </c>
      <c r="C1163" s="21" t="s">
        <v>2464</v>
      </c>
      <c r="D1163" s="14" t="s">
        <v>888</v>
      </c>
      <c r="E1163" s="14" t="s">
        <v>889</v>
      </c>
      <c r="G1163" s="1" t="str">
        <f>_xlfn.XLOOKUP(B1163,M_YT_LIVE!A:A,M_YT_LIVE!F:F,"ERROR",0,1)</f>
        <v>音源</v>
      </c>
      <c r="W1163" s="13">
        <f t="shared" si="56"/>
        <v>3806</v>
      </c>
      <c r="X1163" s="12" t="str">
        <f>_xlfn.XLOOKUP($B1163,M_YT_LIVE!$A:$A,M_YT_LIVE!$D:$D)</f>
        <v>https://www.youtube.com/live/5WLpYh7ET8Q?si=U6vokm2OYMw3HwVF</v>
      </c>
      <c r="Z1163" s="16" t="str">
        <f>HYPERLINK($X1163&amp;SUBSTITUTE(マスタ!$C$3,"XXXXX",$W1163))</f>
        <v>https://www.youtube.com/live/5WLpYh7ET8Q?si=U6vokm2OYMw3HwVF&amp;t=3806s</v>
      </c>
      <c r="AA1163" s="12" t="str">
        <f t="shared" si="57"/>
        <v>Superfly愛をこめて花束を</v>
      </c>
    </row>
    <row r="1164" spans="1:27" x14ac:dyDescent="0.4">
      <c r="A1164" s="14">
        <f t="shared" si="58"/>
        <v>1163</v>
      </c>
      <c r="B1164" s="14">
        <v>153</v>
      </c>
      <c r="C1164" s="21" t="s">
        <v>2426</v>
      </c>
      <c r="D1164" s="14" t="s">
        <v>1022</v>
      </c>
      <c r="E1164" s="14" t="s">
        <v>390</v>
      </c>
      <c r="G1164" s="1" t="str">
        <f>_xlfn.XLOOKUP(B1164,M_YT_LIVE!A:A,M_YT_LIVE!F:F,"ERROR",0,1)</f>
        <v>音源</v>
      </c>
      <c r="W1164" s="13">
        <f t="shared" si="56"/>
        <v>4198</v>
      </c>
      <c r="X1164" s="12" t="str">
        <f>_xlfn.XLOOKUP($B1164,M_YT_LIVE!$A:$A,M_YT_LIVE!$D:$D)</f>
        <v>https://www.youtube.com/live/5WLpYh7ET8Q?si=U6vokm2OYMw3HwVF</v>
      </c>
      <c r="Z1164" s="16" t="str">
        <f>HYPERLINK($X1164&amp;SUBSTITUTE(マスタ!$C$3,"XXXXX",$W1164))</f>
        <v>https://www.youtube.com/live/5WLpYh7ET8Q?si=U6vokm2OYMw3HwVF&amp;t=4198s</v>
      </c>
      <c r="AA1164" s="12" t="str">
        <f t="shared" si="57"/>
        <v>LiSARising Hope</v>
      </c>
    </row>
    <row r="1165" spans="1:27" x14ac:dyDescent="0.4">
      <c r="A1165" s="14">
        <f t="shared" si="58"/>
        <v>1164</v>
      </c>
      <c r="B1165" s="14">
        <v>153</v>
      </c>
      <c r="C1165" s="21" t="s">
        <v>2465</v>
      </c>
      <c r="D1165" s="14" t="s">
        <v>2466</v>
      </c>
      <c r="E1165" s="14" t="s">
        <v>966</v>
      </c>
      <c r="G1165" s="1" t="str">
        <f>_xlfn.XLOOKUP(B1165,M_YT_LIVE!A:A,M_YT_LIVE!F:F,"ERROR",0,1)</f>
        <v>音源</v>
      </c>
      <c r="W1165" s="13">
        <f t="shared" si="56"/>
        <v>4600</v>
      </c>
      <c r="X1165" s="12" t="str">
        <f>_xlfn.XLOOKUP($B1165,M_YT_LIVE!$A:$A,M_YT_LIVE!$D:$D)</f>
        <v>https://www.youtube.com/live/5WLpYh7ET8Q?si=U6vokm2OYMw3HwVF</v>
      </c>
      <c r="Z1165" s="16" t="str">
        <f>HYPERLINK($X1165&amp;SUBSTITUTE(マスタ!$C$3,"XXXXX",$W1165))</f>
        <v>https://www.youtube.com/live/5WLpYh7ET8Q?si=U6vokm2OYMw3HwVF&amp;t=4600s</v>
      </c>
      <c r="AA1165" s="12" t="str">
        <f t="shared" si="57"/>
        <v>the peggies君のせい (Tv size)</v>
      </c>
    </row>
    <row r="1166" spans="1:27" x14ac:dyDescent="0.4">
      <c r="A1166" s="14">
        <f t="shared" si="58"/>
        <v>1165</v>
      </c>
      <c r="B1166" s="14">
        <v>153</v>
      </c>
      <c r="C1166" s="21" t="s">
        <v>2467</v>
      </c>
      <c r="D1166" s="14" t="s">
        <v>2468</v>
      </c>
      <c r="E1166" s="14" t="s">
        <v>390</v>
      </c>
      <c r="G1166" s="1" t="str">
        <f>_xlfn.XLOOKUP(B1166,M_YT_LIVE!A:A,M_YT_LIVE!F:F,"ERROR",0,1)</f>
        <v>音源</v>
      </c>
      <c r="W1166" s="13">
        <f t="shared" si="56"/>
        <v>4947</v>
      </c>
      <c r="X1166" s="12" t="str">
        <f>_xlfn.XLOOKUP($B1166,M_YT_LIVE!$A:$A,M_YT_LIVE!$D:$D)</f>
        <v>https://www.youtube.com/live/5WLpYh7ET8Q?si=U6vokm2OYMw3HwVF</v>
      </c>
      <c r="Z1166" s="16" t="str">
        <f>HYPERLINK($X1166&amp;SUBSTITUTE(マスタ!$C$3,"XXXXX",$W1166))</f>
        <v>https://www.youtube.com/live/5WLpYh7ET8Q?si=U6vokm2OYMw3HwVF&amp;t=4947s</v>
      </c>
      <c r="AA1166" s="12" t="str">
        <f t="shared" si="57"/>
        <v>LiSAADAMAS</v>
      </c>
    </row>
    <row r="1167" spans="1:27" x14ac:dyDescent="0.4">
      <c r="A1167" s="14">
        <f t="shared" si="58"/>
        <v>1166</v>
      </c>
      <c r="B1167" s="14">
        <v>153</v>
      </c>
      <c r="C1167" s="21" t="s">
        <v>1728</v>
      </c>
      <c r="D1167" s="14" t="s">
        <v>611</v>
      </c>
      <c r="E1167" s="14" t="s">
        <v>390</v>
      </c>
      <c r="G1167" s="1" t="str">
        <f>_xlfn.XLOOKUP(B1167,M_YT_LIVE!A:A,M_YT_LIVE!F:F,"ERROR",0,1)</f>
        <v>音源</v>
      </c>
      <c r="W1167" s="13">
        <f t="shared" si="56"/>
        <v>5386</v>
      </c>
      <c r="X1167" s="12" t="str">
        <f>_xlfn.XLOOKUP($B1167,M_YT_LIVE!$A:$A,M_YT_LIVE!$D:$D)</f>
        <v>https://www.youtube.com/live/5WLpYh7ET8Q?si=U6vokm2OYMw3HwVF</v>
      </c>
      <c r="Z1167" s="16" t="str">
        <f>HYPERLINK($X1167&amp;SUBSTITUTE(マスタ!$C$3,"XXXXX",$W1167))</f>
        <v>https://www.youtube.com/live/5WLpYh7ET8Q?si=U6vokm2OYMw3HwVF&amp;t=5386s</v>
      </c>
      <c r="AA1167" s="12" t="str">
        <f t="shared" si="57"/>
        <v>LiSA紅蓮華</v>
      </c>
    </row>
    <row r="1168" spans="1:27" x14ac:dyDescent="0.4">
      <c r="A1168" s="14">
        <f t="shared" si="58"/>
        <v>1167</v>
      </c>
      <c r="B1168" s="14">
        <v>154</v>
      </c>
      <c r="C1168" s="21" t="s">
        <v>2471</v>
      </c>
      <c r="D1168" s="14" t="s">
        <v>67</v>
      </c>
      <c r="E1168" s="14" t="s">
        <v>20</v>
      </c>
      <c r="G1168" s="1" t="str">
        <f>_xlfn.XLOOKUP(B1168,M_YT_LIVE!A:A,M_YT_LIVE!F:F,"ERROR",0,1)</f>
        <v>弾き語り</v>
      </c>
      <c r="W1168" s="13">
        <f t="shared" si="56"/>
        <v>419</v>
      </c>
      <c r="X1168" s="12" t="str">
        <f>_xlfn.XLOOKUP($B1168,M_YT_LIVE!$A:$A,M_YT_LIVE!$D:$D)</f>
        <v>https://www.youtube.com/live/lZby81fWXVY?si=_wcXehm3GgvfsGSB</v>
      </c>
      <c r="Z1168" s="16" t="str">
        <f>HYPERLINK($X1168&amp;SUBSTITUTE(マスタ!$C$3,"XXXXX",$W1168))</f>
        <v>https://www.youtube.com/live/lZby81fWXVY?si=_wcXehm3GgvfsGSB&amp;t=419s</v>
      </c>
      <c r="AA1168" s="12" t="str">
        <f t="shared" si="57"/>
        <v>Vaundy灯火</v>
      </c>
    </row>
    <row r="1169" spans="1:27" x14ac:dyDescent="0.4">
      <c r="A1169" s="14">
        <f t="shared" si="58"/>
        <v>1168</v>
      </c>
      <c r="B1169" s="14">
        <v>154</v>
      </c>
      <c r="C1169" s="21" t="s">
        <v>2472</v>
      </c>
      <c r="D1169" s="14" t="s">
        <v>702</v>
      </c>
      <c r="E1169" s="14" t="s">
        <v>703</v>
      </c>
      <c r="G1169" s="1" t="str">
        <f>_xlfn.XLOOKUP(B1169,M_YT_LIVE!A:A,M_YT_LIVE!F:F,"ERROR",0,1)</f>
        <v>弾き語り</v>
      </c>
      <c r="W1169" s="13">
        <f t="shared" si="56"/>
        <v>778</v>
      </c>
      <c r="X1169" s="12" t="str">
        <f>_xlfn.XLOOKUP($B1169,M_YT_LIVE!$A:$A,M_YT_LIVE!$D:$D)</f>
        <v>https://www.youtube.com/live/lZby81fWXVY?si=_wcXehm3GgvfsGSB</v>
      </c>
      <c r="Z1169" s="16" t="str">
        <f>HYPERLINK($X1169&amp;SUBSTITUTE(マスタ!$C$3,"XXXXX",$W1169))</f>
        <v>https://www.youtube.com/live/lZby81fWXVY?si=_wcXehm3GgvfsGSB&amp;t=778s</v>
      </c>
      <c r="AA1169" s="12" t="str">
        <f t="shared" si="57"/>
        <v>aikomilk</v>
      </c>
    </row>
    <row r="1170" spans="1:27" x14ac:dyDescent="0.4">
      <c r="A1170" s="14">
        <f t="shared" si="58"/>
        <v>1169</v>
      </c>
      <c r="B1170" s="14">
        <v>154</v>
      </c>
      <c r="C1170" s="21" t="s">
        <v>2190</v>
      </c>
      <c r="D1170" s="14" t="s">
        <v>2473</v>
      </c>
      <c r="E1170" s="14" t="s">
        <v>924</v>
      </c>
      <c r="G1170" s="1" t="str">
        <f>_xlfn.XLOOKUP(B1170,M_YT_LIVE!A:A,M_YT_LIVE!F:F,"ERROR",0,1)</f>
        <v>弾き語り</v>
      </c>
      <c r="W1170" s="13">
        <f t="shared" si="56"/>
        <v>1279</v>
      </c>
      <c r="X1170" s="12" t="str">
        <f>_xlfn.XLOOKUP($B1170,M_YT_LIVE!$A:$A,M_YT_LIVE!$D:$D)</f>
        <v>https://www.youtube.com/live/lZby81fWXVY?si=_wcXehm3GgvfsGSB</v>
      </c>
      <c r="Z1170" s="16" t="str">
        <f>HYPERLINK($X1170&amp;SUBSTITUTE(マスタ!$C$3,"XXXXX",$W1170))</f>
        <v>https://www.youtube.com/live/lZby81fWXVY?si=_wcXehm3GgvfsGSB&amp;t=1279s</v>
      </c>
      <c r="AA1170" s="12" t="str">
        <f t="shared" si="57"/>
        <v>幽音しの久しぶりだねの歌</v>
      </c>
    </row>
    <row r="1171" spans="1:27" x14ac:dyDescent="0.4">
      <c r="A1171" s="14">
        <f t="shared" si="58"/>
        <v>1170</v>
      </c>
      <c r="B1171" s="14">
        <v>154</v>
      </c>
      <c r="C1171" s="21" t="s">
        <v>2474</v>
      </c>
      <c r="D1171" s="14" t="s">
        <v>368</v>
      </c>
      <c r="E1171" s="14" t="s">
        <v>208</v>
      </c>
      <c r="G1171" s="1" t="str">
        <f>_xlfn.XLOOKUP(B1171,M_YT_LIVE!A:A,M_YT_LIVE!F:F,"ERROR",0,1)</f>
        <v>弾き語り</v>
      </c>
      <c r="W1171" s="13">
        <f t="shared" si="56"/>
        <v>1472</v>
      </c>
      <c r="X1171" s="12" t="str">
        <f>_xlfn.XLOOKUP($B1171,M_YT_LIVE!$A:$A,M_YT_LIVE!$D:$D)</f>
        <v>https://www.youtube.com/live/lZby81fWXVY?si=_wcXehm3GgvfsGSB</v>
      </c>
      <c r="Z1171" s="16" t="str">
        <f>HYPERLINK($X1171&amp;SUBSTITUTE(マスタ!$C$3,"XXXXX",$W1171))</f>
        <v>https://www.youtube.com/live/lZby81fWXVY?si=_wcXehm3GgvfsGSB&amp;t=1472s</v>
      </c>
      <c r="AA1171" s="12" t="str">
        <f t="shared" si="57"/>
        <v>supercell星が瞬くこんな夜に</v>
      </c>
    </row>
    <row r="1172" spans="1:27" x14ac:dyDescent="0.4">
      <c r="A1172" s="14">
        <f t="shared" si="58"/>
        <v>1171</v>
      </c>
      <c r="B1172" s="14">
        <v>154</v>
      </c>
      <c r="C1172" s="21" t="s">
        <v>2475</v>
      </c>
      <c r="D1172" s="14" t="s">
        <v>312</v>
      </c>
      <c r="E1172" s="14" t="s">
        <v>208</v>
      </c>
      <c r="G1172" s="1" t="str">
        <f>_xlfn.XLOOKUP(B1172,M_YT_LIVE!A:A,M_YT_LIVE!F:F,"ERROR",0,1)</f>
        <v>弾き語り</v>
      </c>
      <c r="W1172" s="13">
        <f t="shared" si="56"/>
        <v>1830</v>
      </c>
      <c r="X1172" s="12" t="str">
        <f>_xlfn.XLOOKUP($B1172,M_YT_LIVE!$A:$A,M_YT_LIVE!$D:$D)</f>
        <v>https://www.youtube.com/live/lZby81fWXVY?si=_wcXehm3GgvfsGSB</v>
      </c>
      <c r="Z1172" s="16" t="str">
        <f>HYPERLINK($X1172&amp;SUBSTITUTE(マスタ!$C$3,"XXXXX",$W1172))</f>
        <v>https://www.youtube.com/live/lZby81fWXVY?si=_wcXehm3GgvfsGSB&amp;t=1830s</v>
      </c>
      <c r="AA1172" s="12" t="str">
        <f t="shared" si="57"/>
        <v>supercellリルモア</v>
      </c>
    </row>
    <row r="1173" spans="1:27" x14ac:dyDescent="0.4">
      <c r="A1173" s="14">
        <f t="shared" si="58"/>
        <v>1172</v>
      </c>
      <c r="B1173" s="14">
        <v>154</v>
      </c>
      <c r="C1173" s="21" t="s">
        <v>2476</v>
      </c>
      <c r="D1173" s="14" t="s">
        <v>913</v>
      </c>
      <c r="E1173" s="14" t="s">
        <v>914</v>
      </c>
      <c r="G1173" s="1" t="str">
        <f>_xlfn.XLOOKUP(B1173,M_YT_LIVE!A:A,M_YT_LIVE!F:F,"ERROR",0,1)</f>
        <v>弾き語り</v>
      </c>
      <c r="W1173" s="13">
        <f t="shared" si="56"/>
        <v>2230</v>
      </c>
      <c r="X1173" s="12" t="str">
        <f>_xlfn.XLOOKUP($B1173,M_YT_LIVE!$A:$A,M_YT_LIVE!$D:$D)</f>
        <v>https://www.youtube.com/live/lZby81fWXVY?si=_wcXehm3GgvfsGSB</v>
      </c>
      <c r="Z1173" s="16" t="str">
        <f>HYPERLINK($X1173&amp;SUBSTITUTE(マスタ!$C$3,"XXXXX",$W1173))</f>
        <v>https://www.youtube.com/live/lZby81fWXVY?si=_wcXehm3GgvfsGSB&amp;t=2230s</v>
      </c>
      <c r="AA1173" s="12" t="str">
        <f t="shared" si="57"/>
        <v>赤い公園サイダー</v>
      </c>
    </row>
    <row r="1174" spans="1:27" x14ac:dyDescent="0.4">
      <c r="A1174" s="14">
        <f t="shared" si="58"/>
        <v>1173</v>
      </c>
      <c r="B1174" s="14">
        <v>154</v>
      </c>
      <c r="C1174" s="21" t="s">
        <v>2477</v>
      </c>
      <c r="D1174" s="14" t="s">
        <v>289</v>
      </c>
      <c r="E1174" s="14" t="s">
        <v>135</v>
      </c>
      <c r="G1174" s="1" t="str">
        <f>_xlfn.XLOOKUP(B1174,M_YT_LIVE!A:A,M_YT_LIVE!F:F,"ERROR",0,1)</f>
        <v>弾き語り</v>
      </c>
      <c r="W1174" s="13">
        <f t="shared" si="56"/>
        <v>2613</v>
      </c>
      <c r="X1174" s="12" t="str">
        <f>_xlfn.XLOOKUP($B1174,M_YT_LIVE!$A:$A,M_YT_LIVE!$D:$D)</f>
        <v>https://www.youtube.com/live/lZby81fWXVY?si=_wcXehm3GgvfsGSB</v>
      </c>
      <c r="Z1174" s="16" t="str">
        <f>HYPERLINK($X1174&amp;SUBSTITUTE(マスタ!$C$3,"XXXXX",$W1174))</f>
        <v>https://www.youtube.com/live/lZby81fWXVY?si=_wcXehm3GgvfsGSB&amp;t=2613s</v>
      </c>
      <c r="AA1174" s="12" t="str">
        <f t="shared" si="57"/>
        <v>EGOIST雨、キミを連れて</v>
      </c>
    </row>
    <row r="1175" spans="1:27" x14ac:dyDescent="0.4">
      <c r="A1175" s="14">
        <f t="shared" si="58"/>
        <v>1174</v>
      </c>
      <c r="B1175" s="14">
        <v>154</v>
      </c>
      <c r="C1175" s="21" t="s">
        <v>2478</v>
      </c>
      <c r="D1175" s="14" t="s">
        <v>374</v>
      </c>
      <c r="E1175" s="14" t="s">
        <v>135</v>
      </c>
      <c r="G1175" s="1" t="str">
        <f>_xlfn.XLOOKUP(B1175,M_YT_LIVE!A:A,M_YT_LIVE!F:F,"ERROR",0,1)</f>
        <v>弾き語り</v>
      </c>
      <c r="W1175" s="13">
        <f t="shared" si="56"/>
        <v>2992</v>
      </c>
      <c r="X1175" s="12" t="str">
        <f>_xlfn.XLOOKUP($B1175,M_YT_LIVE!$A:$A,M_YT_LIVE!$D:$D)</f>
        <v>https://www.youtube.com/live/lZby81fWXVY?si=_wcXehm3GgvfsGSB</v>
      </c>
      <c r="Z1175" s="16" t="str">
        <f>HYPERLINK($X1175&amp;SUBSTITUTE(マスタ!$C$3,"XXXXX",$W1175))</f>
        <v>https://www.youtube.com/live/lZby81fWXVY?si=_wcXehm3GgvfsGSB&amp;t=2992s</v>
      </c>
      <c r="AA1175" s="12" t="str">
        <f t="shared" si="57"/>
        <v>EGOISTDepartures 〜あなたにおくるアイの歌〜</v>
      </c>
    </row>
    <row r="1176" spans="1:27" x14ac:dyDescent="0.4">
      <c r="A1176" s="14">
        <f t="shared" si="58"/>
        <v>1175</v>
      </c>
      <c r="B1176" s="14">
        <v>154</v>
      </c>
      <c r="C1176" s="21" t="s">
        <v>2479</v>
      </c>
      <c r="D1176" s="14" t="s">
        <v>134</v>
      </c>
      <c r="E1176" s="14" t="s">
        <v>135</v>
      </c>
      <c r="G1176" s="1" t="str">
        <f>_xlfn.XLOOKUP(B1176,M_YT_LIVE!A:A,M_YT_LIVE!F:F,"ERROR",0,1)</f>
        <v>弾き語り</v>
      </c>
      <c r="W1176" s="13">
        <f t="shared" si="56"/>
        <v>3355.0000000000005</v>
      </c>
      <c r="X1176" s="12" t="str">
        <f>_xlfn.XLOOKUP($B1176,M_YT_LIVE!$A:$A,M_YT_LIVE!$D:$D)</f>
        <v>https://www.youtube.com/live/lZby81fWXVY?si=_wcXehm3GgvfsGSB</v>
      </c>
      <c r="Z1176" s="16" t="str">
        <f>HYPERLINK($X1176&amp;SUBSTITUTE(マスタ!$C$3,"XXXXX",$W1176))</f>
        <v>https://www.youtube.com/live/lZby81fWXVY?si=_wcXehm3GgvfsGSB&amp;t=3355s</v>
      </c>
      <c r="AA1176" s="12" t="str">
        <f t="shared" si="57"/>
        <v>EGOISTGhost of a smile</v>
      </c>
    </row>
    <row r="1177" spans="1:27" x14ac:dyDescent="0.4">
      <c r="A1177" s="14">
        <f t="shared" si="58"/>
        <v>1176</v>
      </c>
      <c r="B1177" s="14">
        <v>154</v>
      </c>
      <c r="C1177" s="21" t="s">
        <v>2480</v>
      </c>
      <c r="D1177" s="14" t="s">
        <v>637</v>
      </c>
      <c r="E1177" s="14" t="s">
        <v>135</v>
      </c>
      <c r="G1177" s="1" t="str">
        <f>_xlfn.XLOOKUP(B1177,M_YT_LIVE!A:A,M_YT_LIVE!F:F,"ERROR",0,1)</f>
        <v>弾き語り</v>
      </c>
      <c r="W1177" s="13">
        <f t="shared" si="56"/>
        <v>3942</v>
      </c>
      <c r="X1177" s="12" t="str">
        <f>_xlfn.XLOOKUP($B1177,M_YT_LIVE!$A:$A,M_YT_LIVE!$D:$D)</f>
        <v>https://www.youtube.com/live/lZby81fWXVY?si=_wcXehm3GgvfsGSB</v>
      </c>
      <c r="Z1177" s="16" t="str">
        <f>HYPERLINK($X1177&amp;SUBSTITUTE(マスタ!$C$3,"XXXXX",$W1177))</f>
        <v>https://www.youtube.com/live/lZby81fWXVY?si=_wcXehm3GgvfsGSB&amp;t=3942s</v>
      </c>
      <c r="AA1177" s="12" t="str">
        <f t="shared" si="57"/>
        <v>EGOISTAll Alone With You</v>
      </c>
    </row>
    <row r="1178" spans="1:27" x14ac:dyDescent="0.4">
      <c r="A1178" s="14">
        <f t="shared" si="58"/>
        <v>1177</v>
      </c>
      <c r="B1178" s="14">
        <v>154</v>
      </c>
      <c r="C1178" s="21" t="s">
        <v>2481</v>
      </c>
      <c r="D1178" s="14" t="s">
        <v>218</v>
      </c>
      <c r="E1178" s="14" t="s">
        <v>208</v>
      </c>
      <c r="G1178" s="1" t="str">
        <f>_xlfn.XLOOKUP(B1178,M_YT_LIVE!A:A,M_YT_LIVE!F:F,"ERROR",0,1)</f>
        <v>弾き語り</v>
      </c>
      <c r="W1178" s="13">
        <f t="shared" si="56"/>
        <v>4425</v>
      </c>
      <c r="X1178" s="12" t="str">
        <f>_xlfn.XLOOKUP($B1178,M_YT_LIVE!$A:$A,M_YT_LIVE!$D:$D)</f>
        <v>https://www.youtube.com/live/lZby81fWXVY?si=_wcXehm3GgvfsGSB</v>
      </c>
      <c r="Z1178" s="16" t="str">
        <f>HYPERLINK($X1178&amp;SUBSTITUTE(マスタ!$C$3,"XXXXX",$W1178))</f>
        <v>https://www.youtube.com/live/lZby81fWXVY?si=_wcXehm3GgvfsGSB&amp;t=4425s</v>
      </c>
      <c r="AA1178" s="12" t="str">
        <f t="shared" si="57"/>
        <v>supercell君の知らない物語</v>
      </c>
    </row>
    <row r="1179" spans="1:27" x14ac:dyDescent="0.4">
      <c r="A1179" s="14">
        <f t="shared" si="58"/>
        <v>1178</v>
      </c>
      <c r="B1179" s="14">
        <v>154</v>
      </c>
      <c r="C1179" s="21" t="s">
        <v>2482</v>
      </c>
      <c r="D1179" s="14" t="s">
        <v>222</v>
      </c>
      <c r="E1179" s="14" t="s">
        <v>57</v>
      </c>
      <c r="G1179" s="1" t="str">
        <f>_xlfn.XLOOKUP(B1179,M_YT_LIVE!A:A,M_YT_LIVE!F:F,"ERROR",0,1)</f>
        <v>弾き語り</v>
      </c>
      <c r="W1179" s="13">
        <f t="shared" si="56"/>
        <v>4881</v>
      </c>
      <c r="X1179" s="12" t="str">
        <f>_xlfn.XLOOKUP($B1179,M_YT_LIVE!$A:$A,M_YT_LIVE!$D:$D)</f>
        <v>https://www.youtube.com/live/lZby81fWXVY?si=_wcXehm3GgvfsGSB</v>
      </c>
      <c r="Z1179" s="16" t="str">
        <f>HYPERLINK($X1179&amp;SUBSTITUTE(マスタ!$C$3,"XXXXX",$W1179))</f>
        <v>https://www.youtube.com/live/lZby81fWXVY?si=_wcXehm3GgvfsGSB&amp;t=4881s</v>
      </c>
      <c r="AA1179" s="12" t="str">
        <f t="shared" si="57"/>
        <v>羊文学光るとき</v>
      </c>
    </row>
    <row r="1180" spans="1:27" x14ac:dyDescent="0.4">
      <c r="A1180" s="14">
        <f t="shared" si="58"/>
        <v>1179</v>
      </c>
      <c r="B1180" s="14">
        <v>154</v>
      </c>
      <c r="C1180" s="21" t="s">
        <v>2483</v>
      </c>
      <c r="D1180" s="14" t="s">
        <v>1096</v>
      </c>
      <c r="E1180" s="14" t="s">
        <v>57</v>
      </c>
      <c r="G1180" s="1" t="str">
        <f>_xlfn.XLOOKUP(B1180,M_YT_LIVE!A:A,M_YT_LIVE!F:F,"ERROR",0,1)</f>
        <v>弾き語り</v>
      </c>
      <c r="W1180" s="13">
        <f t="shared" si="56"/>
        <v>5376</v>
      </c>
      <c r="X1180" s="12" t="str">
        <f>_xlfn.XLOOKUP($B1180,M_YT_LIVE!$A:$A,M_YT_LIVE!$D:$D)</f>
        <v>https://www.youtube.com/live/lZby81fWXVY?si=_wcXehm3GgvfsGSB</v>
      </c>
      <c r="Z1180" s="16" t="str">
        <f>HYPERLINK($X1180&amp;SUBSTITUTE(マスタ!$C$3,"XXXXX",$W1180))</f>
        <v>https://www.youtube.com/live/lZby81fWXVY?si=_wcXehm3GgvfsGSB&amp;t=5376s</v>
      </c>
      <c r="AA1180" s="12" t="str">
        <f t="shared" si="57"/>
        <v>羊文学永遠のブルー</v>
      </c>
    </row>
    <row r="1181" spans="1:27" x14ac:dyDescent="0.4">
      <c r="A1181" s="14">
        <f t="shared" si="58"/>
        <v>1180</v>
      </c>
      <c r="B1181" s="14">
        <v>154</v>
      </c>
      <c r="C1181" s="21" t="s">
        <v>2484</v>
      </c>
      <c r="D1181" s="14" t="s">
        <v>83</v>
      </c>
      <c r="E1181" s="14" t="s">
        <v>84</v>
      </c>
      <c r="G1181" s="1" t="str">
        <f>_xlfn.XLOOKUP(B1181,M_YT_LIVE!A:A,M_YT_LIVE!F:F,"ERROR",0,1)</f>
        <v>弾き語り</v>
      </c>
      <c r="W1181" s="13">
        <f t="shared" si="56"/>
        <v>5763</v>
      </c>
      <c r="X1181" s="12" t="str">
        <f>_xlfn.XLOOKUP($B1181,M_YT_LIVE!$A:$A,M_YT_LIVE!$D:$D)</f>
        <v>https://www.youtube.com/live/lZby81fWXVY?si=_wcXehm3GgvfsGSB</v>
      </c>
      <c r="Z1181" s="16" t="str">
        <f>HYPERLINK($X1181&amp;SUBSTITUTE(マスタ!$C$3,"XXXXX",$W1181))</f>
        <v>https://www.youtube.com/live/lZby81fWXVY?si=_wcXehm3GgvfsGSB&amp;t=5763s</v>
      </c>
      <c r="AA1181" s="12" t="str">
        <f t="shared" si="57"/>
        <v>木村弓いのちの名前</v>
      </c>
    </row>
    <row r="1182" spans="1:27" x14ac:dyDescent="0.4">
      <c r="A1182" s="14">
        <f t="shared" si="58"/>
        <v>1181</v>
      </c>
      <c r="B1182" s="14">
        <v>154</v>
      </c>
      <c r="C1182" s="21" t="s">
        <v>2485</v>
      </c>
      <c r="D1182" s="14" t="s">
        <v>477</v>
      </c>
      <c r="E1182" s="14" t="s">
        <v>478</v>
      </c>
      <c r="G1182" s="1" t="str">
        <f>_xlfn.XLOOKUP(B1182,M_YT_LIVE!A:A,M_YT_LIVE!F:F,"ERROR",0,1)</f>
        <v>弾き語り</v>
      </c>
      <c r="W1182" s="13">
        <f t="shared" si="56"/>
        <v>6276</v>
      </c>
      <c r="X1182" s="12" t="str">
        <f>_xlfn.XLOOKUP($B1182,M_YT_LIVE!$A:$A,M_YT_LIVE!$D:$D)</f>
        <v>https://www.youtube.com/live/lZby81fWXVY?si=_wcXehm3GgvfsGSB</v>
      </c>
      <c r="Z1182" s="16" t="str">
        <f>HYPERLINK($X1182&amp;SUBSTITUTE(マスタ!$C$3,"XXXXX",$W1182))</f>
        <v>https://www.youtube.com/live/lZby81fWXVY?si=_wcXehm3GgvfsGSB&amp;t=6276s</v>
      </c>
      <c r="AA1182" s="12" t="str">
        <f t="shared" si="57"/>
        <v>煮ル果実 feat.可不ナイトルール</v>
      </c>
    </row>
    <row r="1183" spans="1:27" x14ac:dyDescent="0.4">
      <c r="A1183" s="14">
        <f t="shared" si="58"/>
        <v>1182</v>
      </c>
      <c r="B1183" s="14">
        <v>154</v>
      </c>
      <c r="C1183" s="21" t="s">
        <v>2486</v>
      </c>
      <c r="D1183" s="14" t="s">
        <v>1837</v>
      </c>
      <c r="E1183" s="14" t="s">
        <v>547</v>
      </c>
      <c r="G1183" s="1" t="str">
        <f>_xlfn.XLOOKUP(B1183,M_YT_LIVE!A:A,M_YT_LIVE!F:F,"ERROR",0,1)</f>
        <v>弾き語り</v>
      </c>
      <c r="W1183" s="13">
        <f t="shared" si="56"/>
        <v>6769</v>
      </c>
      <c r="X1183" s="12" t="str">
        <f>_xlfn.XLOOKUP($B1183,M_YT_LIVE!$A:$A,M_YT_LIVE!$D:$D)</f>
        <v>https://www.youtube.com/live/lZby81fWXVY?si=_wcXehm3GgvfsGSB</v>
      </c>
      <c r="Z1183" s="16" t="str">
        <f>HYPERLINK($X1183&amp;SUBSTITUTE(マスタ!$C$3,"XXXXX",$W1183))</f>
        <v>https://www.youtube.com/live/lZby81fWXVY?si=_wcXehm3GgvfsGSB&amp;t=6769s</v>
      </c>
      <c r="AA1183" s="12" t="str">
        <f t="shared" si="57"/>
        <v>米津玄師春雷</v>
      </c>
    </row>
    <row r="1184" spans="1:27" x14ac:dyDescent="0.4">
      <c r="A1184" s="14">
        <f t="shared" si="58"/>
        <v>1183</v>
      </c>
      <c r="B1184" s="14"/>
      <c r="C1184" s="18"/>
      <c r="D1184" s="14"/>
      <c r="E1184" s="14"/>
      <c r="G1184" s="1">
        <f>_xlfn.XLOOKUP(B1184,M_YT_LIVE!A:A,M_YT_LIVE!F:F,"ERROR",0,1)</f>
        <v>0</v>
      </c>
      <c r="W1184" s="13" t="e">
        <f t="shared" si="56"/>
        <v>#VALUE!</v>
      </c>
      <c r="X1184" s="12">
        <f>_xlfn.XLOOKUP($B1184,M_YT_LIVE!$A:$A,M_YT_LIVE!$D:$D)</f>
        <v>0</v>
      </c>
      <c r="Z1184" s="16" t="e">
        <f>HYPERLINK($X1184&amp;SUBSTITUTE(マスタ!$C$3,"XXXXX",$W1184))</f>
        <v>#VALUE!</v>
      </c>
      <c r="AA1184" s="12" t="str">
        <f t="shared" si="57"/>
        <v/>
      </c>
    </row>
    <row r="1185" spans="1:27" x14ac:dyDescent="0.4">
      <c r="A1185" s="14">
        <f t="shared" si="58"/>
        <v>1184</v>
      </c>
      <c r="B1185" s="14"/>
      <c r="C1185" s="18"/>
      <c r="D1185" s="14"/>
      <c r="E1185" s="14"/>
      <c r="G1185" s="1">
        <f>_xlfn.XLOOKUP(B1185,M_YT_LIVE!A:A,M_YT_LIVE!F:F,"ERROR",0,1)</f>
        <v>0</v>
      </c>
      <c r="W1185" s="13" t="e">
        <f t="shared" si="56"/>
        <v>#VALUE!</v>
      </c>
      <c r="X1185" s="12">
        <f>_xlfn.XLOOKUP($B1185,M_YT_LIVE!$A:$A,M_YT_LIVE!$D:$D)</f>
        <v>0</v>
      </c>
      <c r="Z1185" s="16" t="e">
        <f>HYPERLINK($X1185&amp;SUBSTITUTE(マスタ!$C$3,"XXXXX",$W1185))</f>
        <v>#VALUE!</v>
      </c>
      <c r="AA1185" s="12" t="str">
        <f t="shared" si="57"/>
        <v/>
      </c>
    </row>
    <row r="1186" spans="1:27" x14ac:dyDescent="0.4">
      <c r="A1186" s="14">
        <f t="shared" si="58"/>
        <v>1185</v>
      </c>
      <c r="B1186" s="14"/>
      <c r="C1186" s="18"/>
      <c r="D1186" s="14"/>
      <c r="E1186" s="14"/>
      <c r="G1186" s="1">
        <f>_xlfn.XLOOKUP(B1186,M_YT_LIVE!A:A,M_YT_LIVE!F:F,"ERROR",0,1)</f>
        <v>0</v>
      </c>
      <c r="W1186" s="13" t="e">
        <f t="shared" si="56"/>
        <v>#VALUE!</v>
      </c>
      <c r="X1186" s="12">
        <f>_xlfn.XLOOKUP($B1186,M_YT_LIVE!$A:$A,M_YT_LIVE!$D:$D)</f>
        <v>0</v>
      </c>
      <c r="Z1186" s="16" t="e">
        <f>HYPERLINK($X1186&amp;SUBSTITUTE(マスタ!$C$3,"XXXXX",$W1186))</f>
        <v>#VALUE!</v>
      </c>
      <c r="AA1186" s="12" t="str">
        <f t="shared" si="57"/>
        <v/>
      </c>
    </row>
    <row r="1187" spans="1:27" x14ac:dyDescent="0.4">
      <c r="A1187" s="14">
        <f t="shared" si="58"/>
        <v>1186</v>
      </c>
      <c r="B1187" s="14"/>
      <c r="C1187" s="18"/>
      <c r="D1187" s="14"/>
      <c r="E1187" s="14"/>
      <c r="G1187" s="1">
        <f>_xlfn.XLOOKUP(B1187,M_YT_LIVE!A:A,M_YT_LIVE!F:F,"ERROR",0,1)</f>
        <v>0</v>
      </c>
      <c r="W1187" s="13" t="e">
        <f t="shared" si="56"/>
        <v>#VALUE!</v>
      </c>
      <c r="X1187" s="12">
        <f>_xlfn.XLOOKUP($B1187,M_YT_LIVE!$A:$A,M_YT_LIVE!$D:$D)</f>
        <v>0</v>
      </c>
      <c r="Z1187" s="16" t="e">
        <f>HYPERLINK($X1187&amp;SUBSTITUTE(マスタ!$C$3,"XXXXX",$W1187))</f>
        <v>#VALUE!</v>
      </c>
      <c r="AA1187" s="12" t="str">
        <f t="shared" si="57"/>
        <v/>
      </c>
    </row>
    <row r="1188" spans="1:27" x14ac:dyDescent="0.4">
      <c r="A1188" s="14">
        <f t="shared" si="58"/>
        <v>1187</v>
      </c>
      <c r="B1188" s="14"/>
      <c r="C1188" s="18"/>
      <c r="D1188" s="14"/>
      <c r="E1188" s="14"/>
      <c r="G1188" s="1">
        <f>_xlfn.XLOOKUP(B1188,M_YT_LIVE!A:A,M_YT_LIVE!F:F,"ERROR",0,1)</f>
        <v>0</v>
      </c>
      <c r="W1188" s="13" t="e">
        <f t="shared" si="56"/>
        <v>#VALUE!</v>
      </c>
      <c r="X1188" s="12">
        <f>_xlfn.XLOOKUP($B1188,M_YT_LIVE!$A:$A,M_YT_LIVE!$D:$D)</f>
        <v>0</v>
      </c>
      <c r="Z1188" s="16" t="e">
        <f>HYPERLINK($X1188&amp;SUBSTITUTE(マスタ!$C$3,"XXXXX",$W1188))</f>
        <v>#VALUE!</v>
      </c>
      <c r="AA1188" s="12" t="str">
        <f t="shared" si="57"/>
        <v/>
      </c>
    </row>
    <row r="1189" spans="1:27" x14ac:dyDescent="0.4">
      <c r="A1189" s="14">
        <f t="shared" si="58"/>
        <v>1188</v>
      </c>
      <c r="B1189" s="14"/>
      <c r="C1189" s="18"/>
      <c r="D1189" s="14"/>
      <c r="E1189" s="14"/>
      <c r="G1189" s="1">
        <f>_xlfn.XLOOKUP(B1189,M_YT_LIVE!A:A,M_YT_LIVE!F:F,"ERROR",0,1)</f>
        <v>0</v>
      </c>
      <c r="W1189" s="13" t="e">
        <f t="shared" si="56"/>
        <v>#VALUE!</v>
      </c>
      <c r="X1189" s="12">
        <f>_xlfn.XLOOKUP($B1189,M_YT_LIVE!$A:$A,M_YT_LIVE!$D:$D)</f>
        <v>0</v>
      </c>
      <c r="Z1189" s="16" t="e">
        <f>HYPERLINK($X1189&amp;SUBSTITUTE(マスタ!$C$3,"XXXXX",$W1189))</f>
        <v>#VALUE!</v>
      </c>
      <c r="AA1189" s="12" t="str">
        <f t="shared" si="57"/>
        <v/>
      </c>
    </row>
    <row r="1190" spans="1:27" x14ac:dyDescent="0.4">
      <c r="A1190" s="14">
        <f t="shared" si="58"/>
        <v>1189</v>
      </c>
      <c r="B1190" s="14"/>
      <c r="C1190" s="18"/>
      <c r="D1190" s="14"/>
      <c r="E1190" s="14"/>
      <c r="G1190" s="1">
        <f>_xlfn.XLOOKUP(B1190,M_YT_LIVE!A:A,M_YT_LIVE!F:F,"ERROR",0,1)</f>
        <v>0</v>
      </c>
      <c r="W1190" s="13" t="e">
        <f t="shared" si="56"/>
        <v>#VALUE!</v>
      </c>
      <c r="X1190" s="12">
        <f>_xlfn.XLOOKUP($B1190,M_YT_LIVE!$A:$A,M_YT_LIVE!$D:$D)</f>
        <v>0</v>
      </c>
      <c r="Z1190" s="16" t="e">
        <f>HYPERLINK($X1190&amp;SUBSTITUTE(マスタ!$C$3,"XXXXX",$W1190))</f>
        <v>#VALUE!</v>
      </c>
      <c r="AA1190" s="12" t="str">
        <f t="shared" si="57"/>
        <v/>
      </c>
    </row>
    <row r="1191" spans="1:27" x14ac:dyDescent="0.4">
      <c r="A1191" s="14">
        <f t="shared" si="58"/>
        <v>1190</v>
      </c>
      <c r="B1191" s="14"/>
      <c r="C1191" s="18"/>
      <c r="D1191" s="14"/>
      <c r="E1191" s="14"/>
      <c r="G1191" s="1">
        <f>_xlfn.XLOOKUP(B1191,M_YT_LIVE!A:A,M_YT_LIVE!F:F,"ERROR",0,1)</f>
        <v>0</v>
      </c>
      <c r="W1191" s="13" t="e">
        <f t="shared" si="56"/>
        <v>#VALUE!</v>
      </c>
      <c r="X1191" s="12">
        <f>_xlfn.XLOOKUP($B1191,M_YT_LIVE!$A:$A,M_YT_LIVE!$D:$D)</f>
        <v>0</v>
      </c>
      <c r="Z1191" s="16" t="e">
        <f>HYPERLINK($X1191&amp;SUBSTITUTE(マスタ!$C$3,"XXXXX",$W1191))</f>
        <v>#VALUE!</v>
      </c>
      <c r="AA1191" s="12" t="str">
        <f t="shared" si="57"/>
        <v/>
      </c>
    </row>
    <row r="1192" spans="1:27" x14ac:dyDescent="0.4">
      <c r="A1192" s="14">
        <f t="shared" si="58"/>
        <v>1191</v>
      </c>
      <c r="B1192" s="14"/>
      <c r="C1192" s="18"/>
      <c r="D1192" s="14"/>
      <c r="E1192" s="14"/>
      <c r="G1192" s="1">
        <f>_xlfn.XLOOKUP(B1192,M_YT_LIVE!A:A,M_YT_LIVE!F:F,"ERROR",0,1)</f>
        <v>0</v>
      </c>
      <c r="W1192" s="13" t="e">
        <f t="shared" si="56"/>
        <v>#VALUE!</v>
      </c>
      <c r="X1192" s="12">
        <f>_xlfn.XLOOKUP($B1192,M_YT_LIVE!$A:$A,M_YT_LIVE!$D:$D)</f>
        <v>0</v>
      </c>
      <c r="Z1192" s="16" t="e">
        <f>HYPERLINK($X1192&amp;SUBSTITUTE(マスタ!$C$3,"XXXXX",$W1192))</f>
        <v>#VALUE!</v>
      </c>
      <c r="AA1192" s="12" t="str">
        <f t="shared" si="57"/>
        <v/>
      </c>
    </row>
    <row r="1193" spans="1:27" x14ac:dyDescent="0.4">
      <c r="A1193" s="14">
        <f t="shared" si="58"/>
        <v>1192</v>
      </c>
      <c r="B1193" s="14"/>
      <c r="C1193" s="18"/>
      <c r="D1193" s="14"/>
      <c r="E1193" s="14"/>
      <c r="G1193" s="1">
        <f>_xlfn.XLOOKUP(B1193,M_YT_LIVE!A:A,M_YT_LIVE!F:F,"ERROR",0,1)</f>
        <v>0</v>
      </c>
      <c r="W1193" s="13" t="e">
        <f t="shared" si="56"/>
        <v>#VALUE!</v>
      </c>
      <c r="X1193" s="12">
        <f>_xlfn.XLOOKUP($B1193,M_YT_LIVE!$A:$A,M_YT_LIVE!$D:$D)</f>
        <v>0</v>
      </c>
      <c r="Z1193" s="16" t="e">
        <f>HYPERLINK($X1193&amp;SUBSTITUTE(マスタ!$C$3,"XXXXX",$W1193))</f>
        <v>#VALUE!</v>
      </c>
      <c r="AA1193" s="12" t="str">
        <f t="shared" si="57"/>
        <v/>
      </c>
    </row>
    <row r="1194" spans="1:27" x14ac:dyDescent="0.4">
      <c r="A1194" s="14">
        <f t="shared" si="58"/>
        <v>1193</v>
      </c>
      <c r="B1194" s="14"/>
      <c r="C1194" s="18"/>
      <c r="D1194" s="14"/>
      <c r="E1194" s="14"/>
      <c r="G1194" s="1">
        <f>_xlfn.XLOOKUP(B1194,M_YT_LIVE!A:A,M_YT_LIVE!F:F,"ERROR",0,1)</f>
        <v>0</v>
      </c>
      <c r="W1194" s="13" t="e">
        <f t="shared" si="56"/>
        <v>#VALUE!</v>
      </c>
      <c r="X1194" s="12">
        <f>_xlfn.XLOOKUP($B1194,M_YT_LIVE!$A:$A,M_YT_LIVE!$D:$D)</f>
        <v>0</v>
      </c>
      <c r="Z1194" s="16" t="e">
        <f>HYPERLINK($X1194&amp;SUBSTITUTE(マスタ!$C$3,"XXXXX",$W1194))</f>
        <v>#VALUE!</v>
      </c>
      <c r="AA1194" s="12" t="str">
        <f t="shared" si="57"/>
        <v/>
      </c>
    </row>
    <row r="1195" spans="1:27" x14ac:dyDescent="0.4">
      <c r="A1195" s="14">
        <f t="shared" si="58"/>
        <v>1194</v>
      </c>
      <c r="B1195" s="14"/>
      <c r="C1195" s="18"/>
      <c r="D1195" s="14"/>
      <c r="E1195" s="14"/>
      <c r="G1195" s="1">
        <f>_xlfn.XLOOKUP(B1195,M_YT_LIVE!A:A,M_YT_LIVE!F:F,"ERROR",0,1)</f>
        <v>0</v>
      </c>
      <c r="W1195" s="13" t="e">
        <f t="shared" si="56"/>
        <v>#VALUE!</v>
      </c>
      <c r="X1195" s="12">
        <f>_xlfn.XLOOKUP($B1195,M_YT_LIVE!$A:$A,M_YT_LIVE!$D:$D)</f>
        <v>0</v>
      </c>
      <c r="Z1195" s="16" t="e">
        <f>HYPERLINK($X1195&amp;SUBSTITUTE(マスタ!$C$3,"XXXXX",$W1195))</f>
        <v>#VALUE!</v>
      </c>
      <c r="AA1195" s="12" t="str">
        <f t="shared" si="57"/>
        <v/>
      </c>
    </row>
    <row r="1196" spans="1:27" x14ac:dyDescent="0.4">
      <c r="A1196" s="14">
        <f t="shared" si="58"/>
        <v>1195</v>
      </c>
      <c r="B1196" s="14"/>
      <c r="C1196" s="18"/>
      <c r="D1196" s="14"/>
      <c r="E1196" s="14"/>
      <c r="G1196" s="1">
        <f>_xlfn.XLOOKUP(B1196,M_YT_LIVE!A:A,M_YT_LIVE!F:F,"ERROR",0,1)</f>
        <v>0</v>
      </c>
      <c r="W1196" s="13" t="e">
        <f t="shared" si="56"/>
        <v>#VALUE!</v>
      </c>
      <c r="X1196" s="12">
        <f>_xlfn.XLOOKUP($B1196,M_YT_LIVE!$A:$A,M_YT_LIVE!$D:$D)</f>
        <v>0</v>
      </c>
      <c r="Z1196" s="16" t="e">
        <f>HYPERLINK($X1196&amp;SUBSTITUTE(マスタ!$C$3,"XXXXX",$W1196))</f>
        <v>#VALUE!</v>
      </c>
      <c r="AA1196" s="12" t="str">
        <f t="shared" si="57"/>
        <v/>
      </c>
    </row>
    <row r="1197" spans="1:27" x14ac:dyDescent="0.4">
      <c r="A1197" s="14">
        <f t="shared" si="58"/>
        <v>1196</v>
      </c>
      <c r="B1197" s="14"/>
      <c r="C1197" s="18"/>
      <c r="D1197" s="14"/>
      <c r="E1197" s="14"/>
      <c r="G1197" s="1">
        <f>_xlfn.XLOOKUP(B1197,M_YT_LIVE!A:A,M_YT_LIVE!F:F,"ERROR",0,1)</f>
        <v>0</v>
      </c>
      <c r="W1197" s="13" t="e">
        <f t="shared" si="56"/>
        <v>#VALUE!</v>
      </c>
      <c r="X1197" s="12">
        <f>_xlfn.XLOOKUP($B1197,M_YT_LIVE!$A:$A,M_YT_LIVE!$D:$D)</f>
        <v>0</v>
      </c>
      <c r="Z1197" s="16" t="e">
        <f>HYPERLINK($X1197&amp;SUBSTITUTE(マスタ!$C$3,"XXXXX",$W1197))</f>
        <v>#VALUE!</v>
      </c>
      <c r="AA1197" s="12" t="str">
        <f t="shared" si="57"/>
        <v/>
      </c>
    </row>
    <row r="1198" spans="1:27" x14ac:dyDescent="0.4">
      <c r="A1198" s="14">
        <f t="shared" si="58"/>
        <v>1197</v>
      </c>
      <c r="B1198" s="14"/>
      <c r="C1198" s="18"/>
      <c r="D1198" s="14"/>
      <c r="E1198" s="14"/>
      <c r="G1198" s="1">
        <f>_xlfn.XLOOKUP(B1198,M_YT_LIVE!A:A,M_YT_LIVE!F:F,"ERROR",0,1)</f>
        <v>0</v>
      </c>
      <c r="W1198" s="13" t="e">
        <f t="shared" si="56"/>
        <v>#VALUE!</v>
      </c>
      <c r="X1198" s="12">
        <f>_xlfn.XLOOKUP($B1198,M_YT_LIVE!$A:$A,M_YT_LIVE!$D:$D)</f>
        <v>0</v>
      </c>
      <c r="Z1198" s="16" t="e">
        <f>HYPERLINK($X1198&amp;SUBSTITUTE(マスタ!$C$3,"XXXXX",$W1198))</f>
        <v>#VALUE!</v>
      </c>
      <c r="AA1198" s="12" t="str">
        <f t="shared" si="57"/>
        <v/>
      </c>
    </row>
    <row r="1199" spans="1:27" x14ac:dyDescent="0.4">
      <c r="A1199" s="14">
        <f t="shared" si="58"/>
        <v>1198</v>
      </c>
      <c r="B1199" s="14"/>
      <c r="C1199" s="18"/>
      <c r="D1199" s="14"/>
      <c r="E1199" s="14"/>
      <c r="G1199" s="1">
        <f>_xlfn.XLOOKUP(B1199,M_YT_LIVE!A:A,M_YT_LIVE!F:F,"ERROR",0,1)</f>
        <v>0</v>
      </c>
      <c r="W1199" s="13" t="e">
        <f t="shared" si="56"/>
        <v>#VALUE!</v>
      </c>
      <c r="X1199" s="12">
        <f>_xlfn.XLOOKUP($B1199,M_YT_LIVE!$A:$A,M_YT_LIVE!$D:$D)</f>
        <v>0</v>
      </c>
      <c r="Z1199" s="16" t="e">
        <f>HYPERLINK($X1199&amp;SUBSTITUTE(マスタ!$C$3,"XXXXX",$W1199))</f>
        <v>#VALUE!</v>
      </c>
      <c r="AA1199" s="12" t="str">
        <f t="shared" si="57"/>
        <v/>
      </c>
    </row>
    <row r="1200" spans="1:27" x14ac:dyDescent="0.4">
      <c r="A1200" s="14">
        <f t="shared" si="58"/>
        <v>1199</v>
      </c>
      <c r="B1200" s="14"/>
      <c r="C1200" s="18"/>
      <c r="D1200" s="14"/>
      <c r="E1200" s="14"/>
      <c r="G1200" s="1">
        <f>_xlfn.XLOOKUP(B1200,M_YT_LIVE!A:A,M_YT_LIVE!F:F,"ERROR",0,1)</f>
        <v>0</v>
      </c>
      <c r="W1200" s="13" t="e">
        <f t="shared" si="56"/>
        <v>#VALUE!</v>
      </c>
      <c r="X1200" s="12">
        <f>_xlfn.XLOOKUP($B1200,M_YT_LIVE!$A:$A,M_YT_LIVE!$D:$D)</f>
        <v>0</v>
      </c>
      <c r="Z1200" s="16" t="e">
        <f>HYPERLINK($X1200&amp;SUBSTITUTE(マスタ!$C$3,"XXXXX",$W1200))</f>
        <v>#VALUE!</v>
      </c>
      <c r="AA1200" s="12" t="str">
        <f t="shared" si="57"/>
        <v/>
      </c>
    </row>
    <row r="1201" spans="1:27" x14ac:dyDescent="0.4">
      <c r="A1201" s="14">
        <f t="shared" si="58"/>
        <v>1200</v>
      </c>
      <c r="B1201" s="14"/>
      <c r="C1201" s="18"/>
      <c r="D1201" s="14"/>
      <c r="E1201" s="14"/>
      <c r="G1201" s="1">
        <f>_xlfn.XLOOKUP(B1201,M_YT_LIVE!A:A,M_YT_LIVE!F:F,"ERROR",0,1)</f>
        <v>0</v>
      </c>
      <c r="W1201" s="13" t="e">
        <f t="shared" si="56"/>
        <v>#VALUE!</v>
      </c>
      <c r="X1201" s="12">
        <f>_xlfn.XLOOKUP($B1201,M_YT_LIVE!$A:$A,M_YT_LIVE!$D:$D)</f>
        <v>0</v>
      </c>
      <c r="Z1201" s="16" t="e">
        <f>HYPERLINK($X1201&amp;SUBSTITUTE(マスタ!$C$3,"XXXXX",$W1201))</f>
        <v>#VALUE!</v>
      </c>
      <c r="AA1201" s="12" t="str">
        <f t="shared" si="5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zoomScaleNormal="100" workbookViewId="0"/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1228</v>
      </c>
    </row>
    <row r="2" spans="1:2" x14ac:dyDescent="0.4">
      <c r="A2" s="1" t="s">
        <v>771</v>
      </c>
      <c r="B2" s="1" t="s">
        <v>1366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1770</v>
      </c>
      <c r="B4" s="1" t="s">
        <v>1231</v>
      </c>
    </row>
    <row r="5" spans="1:2" x14ac:dyDescent="0.4">
      <c r="A5" s="1" t="s">
        <v>180</v>
      </c>
      <c r="B5" s="1" t="s">
        <v>1232</v>
      </c>
    </row>
    <row r="6" spans="1:2" x14ac:dyDescent="0.4">
      <c r="A6" s="1" t="s">
        <v>1226</v>
      </c>
      <c r="B6" s="1" t="s">
        <v>1233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1234</v>
      </c>
    </row>
    <row r="14" spans="1:2" x14ac:dyDescent="0.4">
      <c r="A14" s="1" t="s">
        <v>1082</v>
      </c>
      <c r="B14" s="1" t="s">
        <v>1235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1236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1237</v>
      </c>
    </row>
    <row r="23" spans="1:2" x14ac:dyDescent="0.4">
      <c r="A23" s="1" t="s">
        <v>156</v>
      </c>
      <c r="B23" s="1" t="s">
        <v>1238</v>
      </c>
    </row>
    <row r="24" spans="1:2" x14ac:dyDescent="0.4">
      <c r="A24" s="1" t="s">
        <v>112</v>
      </c>
      <c r="B24" s="1" t="s">
        <v>1239</v>
      </c>
    </row>
    <row r="25" spans="1:2" x14ac:dyDescent="0.4">
      <c r="A25" s="1" t="s">
        <v>98</v>
      </c>
      <c r="B25" s="1" t="s">
        <v>1240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1241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1242</v>
      </c>
    </row>
    <row r="35" spans="1:2" x14ac:dyDescent="0.4">
      <c r="A35" s="1" t="s">
        <v>708</v>
      </c>
      <c r="B35" s="1" t="s">
        <v>1243</v>
      </c>
    </row>
    <row r="36" spans="1:2" x14ac:dyDescent="0.4">
      <c r="A36" s="1" t="s">
        <v>817</v>
      </c>
      <c r="B36" s="1" t="s">
        <v>1244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1245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1246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1247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1229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1248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1249</v>
      </c>
    </row>
    <row r="54" spans="1:2" x14ac:dyDescent="0.4">
      <c r="A54" s="1" t="s">
        <v>449</v>
      </c>
      <c r="B54" s="1" t="s">
        <v>1250</v>
      </c>
    </row>
    <row r="55" spans="1:2" x14ac:dyDescent="0.4">
      <c r="A55" s="1" t="s">
        <v>260</v>
      </c>
      <c r="B55" s="1" t="s">
        <v>1251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1252</v>
      </c>
    </row>
    <row r="59" spans="1:2" x14ac:dyDescent="0.4">
      <c r="A59" s="1" t="s">
        <v>118</v>
      </c>
      <c r="B59" s="1" t="s">
        <v>1253</v>
      </c>
    </row>
    <row r="60" spans="1:2" x14ac:dyDescent="0.4">
      <c r="A60" s="1" t="s">
        <v>530</v>
      </c>
      <c r="B60" s="1" t="s">
        <v>1254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1255</v>
      </c>
    </row>
    <row r="63" spans="1:2" x14ac:dyDescent="0.4">
      <c r="A63" s="1" t="s">
        <v>65</v>
      </c>
      <c r="B63" s="1" t="s">
        <v>1256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1257</v>
      </c>
    </row>
    <row r="68" spans="1:2" x14ac:dyDescent="0.4">
      <c r="A68" s="1" t="s">
        <v>225</v>
      </c>
      <c r="B68" s="1" t="s">
        <v>1258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1259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1260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1261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1262</v>
      </c>
    </row>
    <row r="90" spans="1:2" x14ac:dyDescent="0.4">
      <c r="A90" s="1" t="s">
        <v>807</v>
      </c>
      <c r="B90" s="1" t="s">
        <v>1263</v>
      </c>
    </row>
    <row r="91" spans="1:2" x14ac:dyDescent="0.4">
      <c r="A91" s="1" t="s">
        <v>1100</v>
      </c>
      <c r="B91" s="1" t="s">
        <v>1264</v>
      </c>
    </row>
    <row r="92" spans="1:2" x14ac:dyDescent="0.4">
      <c r="A92" s="1" t="s">
        <v>183</v>
      </c>
      <c r="B92" s="1" t="s">
        <v>1265</v>
      </c>
    </row>
    <row r="93" spans="1:2" x14ac:dyDescent="0.4">
      <c r="A93" s="1" t="s">
        <v>881</v>
      </c>
      <c r="B93" s="1" t="s">
        <v>1266</v>
      </c>
    </row>
    <row r="94" spans="1:2" x14ac:dyDescent="0.4">
      <c r="A94" s="1" t="s">
        <v>153</v>
      </c>
      <c r="B94" s="1" t="s">
        <v>1267</v>
      </c>
    </row>
    <row r="95" spans="1:2" x14ac:dyDescent="0.4">
      <c r="A95" s="1" t="s">
        <v>1193</v>
      </c>
      <c r="B95" s="1" t="s">
        <v>1268</v>
      </c>
    </row>
    <row r="96" spans="1:2" x14ac:dyDescent="0.4">
      <c r="A96" s="1" t="s">
        <v>455</v>
      </c>
      <c r="B96" s="1" t="s">
        <v>1269</v>
      </c>
    </row>
    <row r="97" spans="1:2" x14ac:dyDescent="0.4">
      <c r="A97" s="1" t="s">
        <v>338</v>
      </c>
      <c r="B97" s="1" t="s">
        <v>1270</v>
      </c>
    </row>
    <row r="98" spans="1:2" x14ac:dyDescent="0.4">
      <c r="A98" s="1" t="s">
        <v>974</v>
      </c>
      <c r="B98" s="1" t="s">
        <v>1271</v>
      </c>
    </row>
    <row r="99" spans="1:2" x14ac:dyDescent="0.4">
      <c r="A99" s="1" t="s">
        <v>1227</v>
      </c>
      <c r="B99" s="1" t="s">
        <v>1272</v>
      </c>
    </row>
    <row r="100" spans="1:2" x14ac:dyDescent="0.4">
      <c r="A100" s="1" t="s">
        <v>650</v>
      </c>
      <c r="B100" s="1" t="s">
        <v>1273</v>
      </c>
    </row>
    <row r="101" spans="1:2" x14ac:dyDescent="0.4">
      <c r="A101" s="1" t="s">
        <v>747</v>
      </c>
      <c r="B101" s="1" t="s">
        <v>1274</v>
      </c>
    </row>
    <row r="102" spans="1:2" x14ac:dyDescent="0.4">
      <c r="A102" s="1" t="s">
        <v>977</v>
      </c>
      <c r="B102" s="1" t="s">
        <v>1275</v>
      </c>
    </row>
    <row r="103" spans="1:2" x14ac:dyDescent="0.4">
      <c r="A103" s="1" t="s">
        <v>115</v>
      </c>
      <c r="B103" s="1" t="s">
        <v>1276</v>
      </c>
    </row>
    <row r="104" spans="1:2" x14ac:dyDescent="0.4">
      <c r="A104" s="1" t="s">
        <v>147</v>
      </c>
      <c r="B104" s="1" t="s">
        <v>1277</v>
      </c>
    </row>
    <row r="105" spans="1:2" x14ac:dyDescent="0.4">
      <c r="A105" s="1" t="s">
        <v>959</v>
      </c>
      <c r="B105" s="1" t="s">
        <v>1278</v>
      </c>
    </row>
    <row r="106" spans="1:2" x14ac:dyDescent="0.4">
      <c r="A106" s="1" t="s">
        <v>81</v>
      </c>
      <c r="B106" s="1" t="s">
        <v>1279</v>
      </c>
    </row>
    <row r="107" spans="1:2" x14ac:dyDescent="0.4">
      <c r="A107" s="1" t="s">
        <v>662</v>
      </c>
      <c r="B107" s="1" t="s">
        <v>1280</v>
      </c>
    </row>
    <row r="108" spans="1:2" x14ac:dyDescent="0.4">
      <c r="A108" s="1" t="s">
        <v>321</v>
      </c>
      <c r="B108" s="1" t="s">
        <v>1281</v>
      </c>
    </row>
    <row r="109" spans="1:2" x14ac:dyDescent="0.4">
      <c r="A109" s="1" t="s">
        <v>847</v>
      </c>
      <c r="B109" s="1" t="s">
        <v>1282</v>
      </c>
    </row>
    <row r="110" spans="1:2" x14ac:dyDescent="0.4">
      <c r="A110" s="1" t="s">
        <v>366</v>
      </c>
      <c r="B110" s="1" t="s">
        <v>1283</v>
      </c>
    </row>
    <row r="111" spans="1:2" x14ac:dyDescent="0.4">
      <c r="A111" s="1" t="s">
        <v>985</v>
      </c>
      <c r="B111" s="1" t="s">
        <v>1284</v>
      </c>
    </row>
    <row r="112" spans="1:2" x14ac:dyDescent="0.4">
      <c r="A112" s="1" t="s">
        <v>75</v>
      </c>
      <c r="B112" s="1" t="s">
        <v>1285</v>
      </c>
    </row>
    <row r="113" spans="1:2" x14ac:dyDescent="0.4">
      <c r="A113" s="1" t="s">
        <v>228</v>
      </c>
      <c r="B113" s="1" t="s">
        <v>1285</v>
      </c>
    </row>
    <row r="114" spans="1:2" x14ac:dyDescent="0.4">
      <c r="A114" s="1" t="s">
        <v>867</v>
      </c>
      <c r="B114" s="1" t="s">
        <v>1286</v>
      </c>
    </row>
    <row r="115" spans="1:2" x14ac:dyDescent="0.4">
      <c r="A115" s="1" t="s">
        <v>673</v>
      </c>
      <c r="B115" s="1" t="s">
        <v>1287</v>
      </c>
    </row>
    <row r="116" spans="1:2" x14ac:dyDescent="0.4">
      <c r="A116" s="1" t="s">
        <v>768</v>
      </c>
      <c r="B116" s="1" t="s">
        <v>1288</v>
      </c>
    </row>
    <row r="117" spans="1:2" x14ac:dyDescent="0.4">
      <c r="A117" s="1" t="s">
        <v>78</v>
      </c>
      <c r="B117" s="1" t="s">
        <v>1289</v>
      </c>
    </row>
    <row r="118" spans="1:2" x14ac:dyDescent="0.4">
      <c r="A118" s="1" t="s">
        <v>1179</v>
      </c>
      <c r="B118" s="1" t="s">
        <v>1290</v>
      </c>
    </row>
    <row r="119" spans="1:2" x14ac:dyDescent="0.4">
      <c r="A119" s="1" t="s">
        <v>424</v>
      </c>
      <c r="B119" s="1" t="s">
        <v>1291</v>
      </c>
    </row>
    <row r="120" spans="1:2" x14ac:dyDescent="0.4">
      <c r="A120" s="1" t="s">
        <v>573</v>
      </c>
      <c r="B120" s="1" t="s">
        <v>1292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1293</v>
      </c>
    </row>
    <row r="123" spans="1:2" x14ac:dyDescent="0.4">
      <c r="A123" s="1" t="s">
        <v>257</v>
      </c>
      <c r="B123" s="1" t="s">
        <v>1294</v>
      </c>
    </row>
    <row r="124" spans="1:2" x14ac:dyDescent="0.4">
      <c r="A124" s="1" t="s">
        <v>1175</v>
      </c>
      <c r="B124" s="1" t="s">
        <v>1295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1296</v>
      </c>
    </row>
    <row r="127" spans="1:2" x14ac:dyDescent="0.4">
      <c r="A127" s="1" t="s">
        <v>970</v>
      </c>
      <c r="B127" s="1" t="s">
        <v>1297</v>
      </c>
    </row>
    <row r="128" spans="1:2" x14ac:dyDescent="0.4">
      <c r="A128" s="1" t="s">
        <v>1140</v>
      </c>
      <c r="B128" s="1" t="s">
        <v>1298</v>
      </c>
    </row>
    <row r="129" spans="1:2" x14ac:dyDescent="0.4">
      <c r="A129" s="1" t="s">
        <v>107</v>
      </c>
      <c r="B129" s="1" t="s">
        <v>1299</v>
      </c>
    </row>
    <row r="130" spans="1:2" x14ac:dyDescent="0.4">
      <c r="A130" s="1" t="s">
        <v>527</v>
      </c>
      <c r="B130" s="1" t="s">
        <v>1300</v>
      </c>
    </row>
    <row r="131" spans="1:2" x14ac:dyDescent="0.4">
      <c r="A131" s="1" t="s">
        <v>460</v>
      </c>
      <c r="B131" s="1" t="s">
        <v>1301</v>
      </c>
    </row>
    <row r="132" spans="1:2" x14ac:dyDescent="0.4">
      <c r="A132" s="1" t="s">
        <v>267</v>
      </c>
      <c r="B132" s="1" t="s">
        <v>1302</v>
      </c>
    </row>
    <row r="133" spans="1:2" x14ac:dyDescent="0.4">
      <c r="A133" s="1" t="s">
        <v>933</v>
      </c>
      <c r="B133" s="1" t="s">
        <v>1303</v>
      </c>
    </row>
    <row r="134" spans="1:2" x14ac:dyDescent="0.4">
      <c r="A134" s="1" t="s">
        <v>1181</v>
      </c>
      <c r="B134" s="1" t="s">
        <v>1304</v>
      </c>
    </row>
    <row r="135" spans="1:2" x14ac:dyDescent="0.4">
      <c r="A135" s="1" t="s">
        <v>1177</v>
      </c>
      <c r="B135" s="1" t="s">
        <v>1305</v>
      </c>
    </row>
    <row r="136" spans="1:2" x14ac:dyDescent="0.4">
      <c r="A136" s="1" t="s">
        <v>138</v>
      </c>
      <c r="B136" s="1" t="s">
        <v>1306</v>
      </c>
    </row>
    <row r="137" spans="1:2" x14ac:dyDescent="0.4">
      <c r="A137" s="1" t="s">
        <v>892</v>
      </c>
      <c r="B137" s="1" t="s">
        <v>1307</v>
      </c>
    </row>
    <row r="138" spans="1:2" x14ac:dyDescent="0.4">
      <c r="A138" s="1" t="s">
        <v>144</v>
      </c>
      <c r="B138" s="1" t="s">
        <v>1308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1309</v>
      </c>
    </row>
    <row r="141" spans="1:2" x14ac:dyDescent="0.4">
      <c r="A141" s="1" t="s">
        <v>150</v>
      </c>
      <c r="B141" s="1" t="s">
        <v>1310</v>
      </c>
    </row>
    <row r="142" spans="1:2" x14ac:dyDescent="0.4">
      <c r="A142" s="1" t="s">
        <v>1046</v>
      </c>
      <c r="B142" s="1" t="s">
        <v>1311</v>
      </c>
    </row>
    <row r="143" spans="1:2" x14ac:dyDescent="0.4">
      <c r="A143" s="1" t="s">
        <v>44</v>
      </c>
      <c r="B143" s="1" t="s">
        <v>1312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1313</v>
      </c>
    </row>
    <row r="146" spans="1:2" x14ac:dyDescent="0.4">
      <c r="A146" s="1" t="s">
        <v>736</v>
      </c>
      <c r="B146" s="1" t="s">
        <v>1314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1315</v>
      </c>
    </row>
    <row r="149" spans="1:2" x14ac:dyDescent="0.4">
      <c r="A149" s="1" t="s">
        <v>1116</v>
      </c>
      <c r="B149" s="1" t="s">
        <v>1316</v>
      </c>
    </row>
    <row r="150" spans="1:2" x14ac:dyDescent="0.4">
      <c r="A150" s="1" t="s">
        <v>327</v>
      </c>
      <c r="B150" s="1" t="s">
        <v>1317</v>
      </c>
    </row>
    <row r="151" spans="1:2" x14ac:dyDescent="0.4">
      <c r="A151" s="1" t="s">
        <v>414</v>
      </c>
      <c r="B151" s="1" t="s">
        <v>1318</v>
      </c>
    </row>
    <row r="152" spans="1:2" x14ac:dyDescent="0.4">
      <c r="A152" s="1" t="s">
        <v>270</v>
      </c>
      <c r="B152" s="1" t="s">
        <v>1319</v>
      </c>
    </row>
    <row r="153" spans="1:2" x14ac:dyDescent="0.4">
      <c r="A153" s="1" t="s">
        <v>713</v>
      </c>
      <c r="B153" s="1" t="s">
        <v>1320</v>
      </c>
    </row>
    <row r="154" spans="1:2" x14ac:dyDescent="0.4">
      <c r="A154" s="1" t="s">
        <v>577</v>
      </c>
      <c r="B154" s="1" t="s">
        <v>1321</v>
      </c>
    </row>
    <row r="155" spans="1:2" x14ac:dyDescent="0.4">
      <c r="A155" s="1" t="s">
        <v>870</v>
      </c>
      <c r="B155" s="1" t="s">
        <v>1322</v>
      </c>
    </row>
    <row r="156" spans="1:2" x14ac:dyDescent="0.4">
      <c r="A156" s="1" t="s">
        <v>295</v>
      </c>
      <c r="B156" s="1" t="s">
        <v>1323</v>
      </c>
    </row>
    <row r="157" spans="1:2" x14ac:dyDescent="0.4">
      <c r="A157" s="1" t="s">
        <v>292</v>
      </c>
      <c r="B157" s="1" t="s">
        <v>1324</v>
      </c>
    </row>
    <row r="158" spans="1:2" x14ac:dyDescent="0.4">
      <c r="A158" s="1" t="s">
        <v>1017</v>
      </c>
      <c r="B158" s="1" t="s">
        <v>1325</v>
      </c>
    </row>
    <row r="159" spans="1:2" x14ac:dyDescent="0.4">
      <c r="A159" s="1" t="s">
        <v>782</v>
      </c>
      <c r="B159" s="1" t="s">
        <v>1326</v>
      </c>
    </row>
    <row r="160" spans="1:2" x14ac:dyDescent="0.4">
      <c r="A160" s="1" t="s">
        <v>603</v>
      </c>
      <c r="B160" s="1" t="s">
        <v>1327</v>
      </c>
    </row>
    <row r="161" spans="1:2" x14ac:dyDescent="0.4">
      <c r="A161" s="1" t="s">
        <v>192</v>
      </c>
      <c r="B161" s="1" t="s">
        <v>1328</v>
      </c>
    </row>
    <row r="162" spans="1:2" x14ac:dyDescent="0.4">
      <c r="A162" s="1" t="s">
        <v>475</v>
      </c>
      <c r="B162" s="1" t="s">
        <v>1329</v>
      </c>
    </row>
    <row r="163" spans="1:2" x14ac:dyDescent="0.4">
      <c r="A163" s="1" t="s">
        <v>614</v>
      </c>
      <c r="B163" s="1" t="s">
        <v>1330</v>
      </c>
    </row>
    <row r="164" spans="1:2" x14ac:dyDescent="0.4">
      <c r="A164" s="1" t="s">
        <v>531</v>
      </c>
      <c r="B164" s="1" t="s">
        <v>1331</v>
      </c>
    </row>
    <row r="165" spans="1:2" x14ac:dyDescent="0.4">
      <c r="A165" s="1" t="s">
        <v>104</v>
      </c>
      <c r="B165" s="1" t="s">
        <v>1332</v>
      </c>
    </row>
    <row r="166" spans="1:2" x14ac:dyDescent="0.4">
      <c r="A166" s="1" t="s">
        <v>935</v>
      </c>
      <c r="B166" s="1" t="s">
        <v>1333</v>
      </c>
    </row>
    <row r="167" spans="1:2" x14ac:dyDescent="0.4">
      <c r="A167" s="1" t="s">
        <v>478</v>
      </c>
      <c r="B167" s="1" t="s">
        <v>1334</v>
      </c>
    </row>
    <row r="168" spans="1:2" x14ac:dyDescent="0.4">
      <c r="A168" s="1" t="s">
        <v>698</v>
      </c>
      <c r="B168" s="1" t="s">
        <v>1335</v>
      </c>
    </row>
    <row r="169" spans="1:2" x14ac:dyDescent="0.4">
      <c r="A169" s="1" t="s">
        <v>938</v>
      </c>
      <c r="B169" s="1" t="s">
        <v>1336</v>
      </c>
    </row>
    <row r="170" spans="1:2" x14ac:dyDescent="0.4">
      <c r="A170" s="1" t="s">
        <v>873</v>
      </c>
      <c r="B170" s="1" t="s">
        <v>1337</v>
      </c>
    </row>
    <row r="171" spans="1:2" x14ac:dyDescent="0.4">
      <c r="A171" s="1" t="s">
        <v>404</v>
      </c>
      <c r="B171" s="1" t="s">
        <v>1338</v>
      </c>
    </row>
    <row r="172" spans="1:2" x14ac:dyDescent="0.4">
      <c r="A172" s="1" t="s">
        <v>254</v>
      </c>
      <c r="B172" s="1" t="s">
        <v>1339</v>
      </c>
    </row>
    <row r="173" spans="1:2" x14ac:dyDescent="0.4">
      <c r="A173" s="1" t="s">
        <v>861</v>
      </c>
      <c r="B173" s="1" t="s">
        <v>1340</v>
      </c>
    </row>
    <row r="174" spans="1:2" x14ac:dyDescent="0.4">
      <c r="A174" s="1" t="s">
        <v>914</v>
      </c>
      <c r="B174" s="1" t="s">
        <v>1341</v>
      </c>
    </row>
    <row r="175" spans="1:2" x14ac:dyDescent="0.4">
      <c r="A175" s="1" t="s">
        <v>692</v>
      </c>
      <c r="B175" s="1" t="s">
        <v>1342</v>
      </c>
    </row>
    <row r="176" spans="1:2" x14ac:dyDescent="0.4">
      <c r="A176" s="1" t="s">
        <v>606</v>
      </c>
      <c r="B176" s="1" t="s">
        <v>1343</v>
      </c>
    </row>
    <row r="177" spans="1:2" x14ac:dyDescent="0.4">
      <c r="A177" s="1" t="s">
        <v>544</v>
      </c>
      <c r="B177" s="1" t="s">
        <v>1344</v>
      </c>
    </row>
    <row r="178" spans="1:2" x14ac:dyDescent="0.4">
      <c r="A178" s="1" t="s">
        <v>441</v>
      </c>
      <c r="B178" s="1" t="s">
        <v>1345</v>
      </c>
    </row>
    <row r="179" spans="1:2" x14ac:dyDescent="0.4">
      <c r="A179" s="1" t="s">
        <v>88</v>
      </c>
      <c r="B179" s="1" t="s">
        <v>1346</v>
      </c>
    </row>
    <row r="180" spans="1:2" x14ac:dyDescent="0.4">
      <c r="A180" s="1" t="s">
        <v>248</v>
      </c>
      <c r="B180" s="1" t="s">
        <v>1347</v>
      </c>
    </row>
    <row r="181" spans="1:2" x14ac:dyDescent="0.4">
      <c r="A181" s="1" t="s">
        <v>876</v>
      </c>
      <c r="B181" s="1" t="s">
        <v>1348</v>
      </c>
    </row>
    <row r="182" spans="1:2" x14ac:dyDescent="0.4">
      <c r="A182" s="1" t="s">
        <v>547</v>
      </c>
      <c r="B182" s="1" t="s">
        <v>1349</v>
      </c>
    </row>
    <row r="183" spans="1:2" x14ac:dyDescent="0.4">
      <c r="A183" s="1" t="s">
        <v>721</v>
      </c>
      <c r="B183" s="1" t="s">
        <v>1350</v>
      </c>
    </row>
    <row r="184" spans="1:2" x14ac:dyDescent="0.4">
      <c r="A184" s="1" t="s">
        <v>84</v>
      </c>
      <c r="B184" s="1" t="s">
        <v>1351</v>
      </c>
    </row>
    <row r="185" spans="1:2" x14ac:dyDescent="0.4">
      <c r="A185" s="1" t="s">
        <v>72</v>
      </c>
      <c r="B185" s="1" t="s">
        <v>1352</v>
      </c>
    </row>
    <row r="186" spans="1:2" x14ac:dyDescent="0.4">
      <c r="A186" s="1" t="s">
        <v>924</v>
      </c>
      <c r="B186" s="1" t="s">
        <v>1353</v>
      </c>
    </row>
    <row r="187" spans="1:2" x14ac:dyDescent="0.4">
      <c r="A187" s="1" t="s">
        <v>279</v>
      </c>
      <c r="B187" s="1" t="s">
        <v>1354</v>
      </c>
    </row>
    <row r="188" spans="1:2" x14ac:dyDescent="0.4">
      <c r="A188" s="1" t="s">
        <v>596</v>
      </c>
      <c r="B188" s="1" t="s">
        <v>1355</v>
      </c>
    </row>
    <row r="189" spans="1:2" x14ac:dyDescent="0.4">
      <c r="A189" s="1" t="s">
        <v>57</v>
      </c>
      <c r="B189" s="1" t="s">
        <v>1356</v>
      </c>
    </row>
    <row r="190" spans="1:2" x14ac:dyDescent="0.4">
      <c r="A190" s="1" t="s">
        <v>1137</v>
      </c>
      <c r="B190" s="1" t="s">
        <v>1357</v>
      </c>
    </row>
    <row r="191" spans="1:2" x14ac:dyDescent="0.4">
      <c r="A191" s="1" t="s">
        <v>988</v>
      </c>
      <c r="B191" s="1" t="s">
        <v>1358</v>
      </c>
    </row>
    <row r="192" spans="1:2" x14ac:dyDescent="0.4">
      <c r="A192" s="1" t="s">
        <v>930</v>
      </c>
      <c r="B192" s="1" t="s">
        <v>1359</v>
      </c>
    </row>
    <row r="193" spans="1:2" x14ac:dyDescent="0.4">
      <c r="A193" s="1" t="s">
        <v>1123</v>
      </c>
      <c r="B193" s="1" t="s">
        <v>1360</v>
      </c>
    </row>
    <row r="194" spans="1:2" x14ac:dyDescent="0.4">
      <c r="A194" s="1" t="s">
        <v>336</v>
      </c>
      <c r="B194" s="1" t="s">
        <v>1361</v>
      </c>
    </row>
    <row r="195" spans="1:2" x14ac:dyDescent="0.4">
      <c r="A195" s="1" t="s">
        <v>333</v>
      </c>
      <c r="B195" s="1" t="s">
        <v>1362</v>
      </c>
    </row>
    <row r="196" spans="1:2" x14ac:dyDescent="0.4">
      <c r="A196" s="1" t="s">
        <v>200</v>
      </c>
      <c r="B196" s="1" t="s">
        <v>1363</v>
      </c>
    </row>
    <row r="197" spans="1:2" x14ac:dyDescent="0.4">
      <c r="A197" s="1" t="s">
        <v>774</v>
      </c>
      <c r="B197" s="1" t="s">
        <v>1364</v>
      </c>
    </row>
    <row r="198" spans="1:2" x14ac:dyDescent="0.4">
      <c r="A198" s="1" t="s">
        <v>330</v>
      </c>
      <c r="B198" s="1" t="s">
        <v>1365</v>
      </c>
    </row>
    <row r="199" spans="1:2" x14ac:dyDescent="0.4">
      <c r="A199" s="1" t="s">
        <v>1414</v>
      </c>
      <c r="B199" s="1" t="s">
        <v>1415</v>
      </c>
    </row>
    <row r="200" spans="1:2" x14ac:dyDescent="0.4">
      <c r="A200" s="1" t="s">
        <v>1416</v>
      </c>
      <c r="B200" s="1" t="s">
        <v>1416</v>
      </c>
    </row>
    <row r="201" spans="1:2" x14ac:dyDescent="0.4">
      <c r="A201" s="1" t="s">
        <v>1396</v>
      </c>
      <c r="B201" s="1" t="s">
        <v>1417</v>
      </c>
    </row>
    <row r="202" spans="1:2" x14ac:dyDescent="0.4">
      <c r="A202" s="1" t="s">
        <v>1472</v>
      </c>
      <c r="B202" s="1" t="s">
        <v>1490</v>
      </c>
    </row>
    <row r="203" spans="1:2" x14ac:dyDescent="0.4">
      <c r="A203" s="1" t="s">
        <v>1477</v>
      </c>
      <c r="B203" s="1" t="s">
        <v>1486</v>
      </c>
    </row>
    <row r="204" spans="1:2" x14ac:dyDescent="0.4">
      <c r="A204" s="1" t="s">
        <v>1469</v>
      </c>
      <c r="B204" s="1" t="s">
        <v>1469</v>
      </c>
    </row>
    <row r="205" spans="1:2" x14ac:dyDescent="0.4">
      <c r="A205" s="1" t="s">
        <v>1450</v>
      </c>
      <c r="B205" s="1" t="s">
        <v>1487</v>
      </c>
    </row>
    <row r="206" spans="1:2" x14ac:dyDescent="0.4">
      <c r="A206" s="1" t="s">
        <v>1480</v>
      </c>
      <c r="B206" s="1" t="s">
        <v>1488</v>
      </c>
    </row>
    <row r="207" spans="1:2" x14ac:dyDescent="0.4">
      <c r="A207" s="1" t="s">
        <v>1446</v>
      </c>
      <c r="B207" s="1" t="s">
        <v>1489</v>
      </c>
    </row>
    <row r="208" spans="1:2" x14ac:dyDescent="0.4">
      <c r="A208" s="1" t="s">
        <v>1431</v>
      </c>
      <c r="B208" s="1" t="s">
        <v>1533</v>
      </c>
    </row>
    <row r="209" spans="1:2" x14ac:dyDescent="0.4">
      <c r="A209" s="1" t="s">
        <v>1519</v>
      </c>
      <c r="B209" s="1" t="s">
        <v>1519</v>
      </c>
    </row>
    <row r="210" spans="1:2" x14ac:dyDescent="0.4">
      <c r="A210" s="1" t="s">
        <v>1516</v>
      </c>
      <c r="B210" s="1" t="s">
        <v>1532</v>
      </c>
    </row>
    <row r="211" spans="1:2" x14ac:dyDescent="0.4">
      <c r="A211" s="1" t="s">
        <v>1512</v>
      </c>
      <c r="B211" s="1" t="s">
        <v>1512</v>
      </c>
    </row>
    <row r="212" spans="1:2" x14ac:dyDescent="0.4">
      <c r="A212" s="1" t="s">
        <v>1522</v>
      </c>
      <c r="B212" s="1" t="s">
        <v>1534</v>
      </c>
    </row>
    <row r="213" spans="1:2" x14ac:dyDescent="0.4">
      <c r="A213" s="1" t="s">
        <v>1698</v>
      </c>
      <c r="B213" s="1" t="s">
        <v>1698</v>
      </c>
    </row>
    <row r="214" spans="1:2" x14ac:dyDescent="0.4">
      <c r="A214" s="1" t="s">
        <v>1604</v>
      </c>
      <c r="B214" s="1" t="s">
        <v>1604</v>
      </c>
    </row>
    <row r="215" spans="1:2" x14ac:dyDescent="0.4">
      <c r="A215" s="1" t="s">
        <v>1713</v>
      </c>
      <c r="B215" s="1" t="s">
        <v>1713</v>
      </c>
    </row>
    <row r="216" spans="1:2" x14ac:dyDescent="0.4">
      <c r="A216" s="1" t="s">
        <v>1616</v>
      </c>
      <c r="B216" s="1" t="s">
        <v>1616</v>
      </c>
    </row>
    <row r="217" spans="1:2" x14ac:dyDescent="0.4">
      <c r="A217" s="1" t="s">
        <v>1646</v>
      </c>
      <c r="B217" s="1" t="s">
        <v>1646</v>
      </c>
    </row>
    <row r="218" spans="1:2" x14ac:dyDescent="0.4">
      <c r="A218" s="1" t="s">
        <v>1730</v>
      </c>
      <c r="B218" s="1" t="s">
        <v>1730</v>
      </c>
    </row>
    <row r="219" spans="1:2" x14ac:dyDescent="0.4">
      <c r="A219" s="1" t="s">
        <v>1710</v>
      </c>
      <c r="B219" s="1" t="s">
        <v>1710</v>
      </c>
    </row>
    <row r="220" spans="1:2" x14ac:dyDescent="0.4">
      <c r="A220" s="1" t="s">
        <v>1567</v>
      </c>
      <c r="B220" s="1" t="s">
        <v>1567</v>
      </c>
    </row>
    <row r="221" spans="1:2" x14ac:dyDescent="0.4">
      <c r="A221" s="1" t="s">
        <v>1681</v>
      </c>
      <c r="B221" s="1" t="s">
        <v>1681</v>
      </c>
    </row>
    <row r="222" spans="1:2" x14ac:dyDescent="0.4">
      <c r="A222" s="1" t="s">
        <v>1733</v>
      </c>
      <c r="B222" s="1" t="s">
        <v>1733</v>
      </c>
    </row>
    <row r="223" spans="1:2" x14ac:dyDescent="0.4">
      <c r="A223" s="1" t="s">
        <v>1741</v>
      </c>
      <c r="B223" s="1" t="s">
        <v>1741</v>
      </c>
    </row>
    <row r="224" spans="1:2" x14ac:dyDescent="0.4">
      <c r="A224" s="1" t="s">
        <v>1685</v>
      </c>
      <c r="B224" s="1" t="s">
        <v>1685</v>
      </c>
    </row>
    <row r="225" spans="1:2" x14ac:dyDescent="0.4">
      <c r="A225" s="1" t="s">
        <v>1688</v>
      </c>
      <c r="B225" s="1" t="s">
        <v>1688</v>
      </c>
    </row>
    <row r="226" spans="1:2" x14ac:dyDescent="0.4">
      <c r="A226" s="1" t="s">
        <v>1654</v>
      </c>
      <c r="B226" s="1" t="s">
        <v>1654</v>
      </c>
    </row>
    <row r="227" spans="1:2" x14ac:dyDescent="0.4">
      <c r="A227" s="1" t="s">
        <v>1670</v>
      </c>
      <c r="B227" s="1" t="s">
        <v>1670</v>
      </c>
    </row>
    <row r="228" spans="1:2" x14ac:dyDescent="0.4">
      <c r="A228" s="1" t="s">
        <v>1664</v>
      </c>
      <c r="B228" s="1" t="s">
        <v>1664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1610</v>
      </c>
      <c r="B230" s="1" t="s">
        <v>1772</v>
      </c>
    </row>
    <row r="231" spans="1:2" x14ac:dyDescent="0.4">
      <c r="A231" s="1" t="s">
        <v>1564</v>
      </c>
      <c r="B231" s="1" t="s">
        <v>1773</v>
      </c>
    </row>
    <row r="232" spans="1:2" x14ac:dyDescent="0.4">
      <c r="A232" s="1" t="s">
        <v>1659</v>
      </c>
      <c r="B232" s="1" t="s">
        <v>1774</v>
      </c>
    </row>
    <row r="233" spans="1:2" x14ac:dyDescent="0.4">
      <c r="A233" s="1" t="s">
        <v>1769</v>
      </c>
      <c r="B233" s="1" t="s">
        <v>1775</v>
      </c>
    </row>
    <row r="234" spans="1:2" x14ac:dyDescent="0.4">
      <c r="A234" s="1" t="s">
        <v>1759</v>
      </c>
      <c r="B234" s="1" t="s">
        <v>1759</v>
      </c>
    </row>
    <row r="235" spans="1:2" x14ac:dyDescent="0.4">
      <c r="A235" s="1" t="s">
        <v>1620</v>
      </c>
      <c r="B235" s="1" t="s">
        <v>1776</v>
      </c>
    </row>
    <row r="236" spans="1:2" x14ac:dyDescent="0.4">
      <c r="A236" s="1" t="s">
        <v>1570</v>
      </c>
      <c r="B236" s="1" t="s">
        <v>1777</v>
      </c>
    </row>
    <row r="237" spans="1:2" x14ac:dyDescent="0.4">
      <c r="A237" s="1" t="s">
        <v>1748</v>
      </c>
      <c r="B237" s="1" t="s">
        <v>1748</v>
      </c>
    </row>
    <row r="238" spans="1:2" x14ac:dyDescent="0.4">
      <c r="A238" s="1" t="s">
        <v>1736</v>
      </c>
      <c r="B238" s="1" t="s">
        <v>1778</v>
      </c>
    </row>
    <row r="239" spans="1:2" x14ac:dyDescent="0.4">
      <c r="A239" s="1" t="s">
        <v>1691</v>
      </c>
      <c r="B239" s="1" t="s">
        <v>1779</v>
      </c>
    </row>
    <row r="240" spans="1:2" x14ac:dyDescent="0.4">
      <c r="A240" s="1" t="s">
        <v>1751</v>
      </c>
      <c r="B240" s="1" t="s">
        <v>1780</v>
      </c>
    </row>
    <row r="241" spans="1:2" x14ac:dyDescent="0.4">
      <c r="A241" s="1" t="s">
        <v>1591</v>
      </c>
      <c r="B241" s="1" t="s">
        <v>1781</v>
      </c>
    </row>
    <row r="242" spans="1:2" x14ac:dyDescent="0.4">
      <c r="A242" s="1" t="s">
        <v>1721</v>
      </c>
      <c r="B242" s="1" t="s">
        <v>1782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M_YT_LIVE</vt:lpstr>
      <vt:lpstr>M_YT_LIVE_TIMESTAMP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2026-02-05T14:18:13Z</dcterms:modified>
</cp:coreProperties>
</file>