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AC0761E9-C6B9-4A51-B231-6306BE555A7D}" xr6:coauthVersionLast="47" xr6:coauthVersionMax="47" xr10:uidLastSave="{00000000-0000-0000-0000-000000000000}"/>
  <bookViews>
    <workbookView xWindow="-120" yWindow="-120" windowWidth="29040" windowHeight="15720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M_YT_LIVE!$A$1:$D$1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2" i="3" l="1"/>
  <c r="G1192" i="3"/>
  <c r="W1192" i="3"/>
  <c r="X1192" i="3"/>
  <c r="Z1192" i="3" s="1"/>
  <c r="AA1192" i="3"/>
  <c r="A1193" i="3"/>
  <c r="G1193" i="3"/>
  <c r="W1193" i="3"/>
  <c r="X1193" i="3"/>
  <c r="AA1193" i="3"/>
  <c r="A1194" i="3"/>
  <c r="G1194" i="3"/>
  <c r="W1194" i="3"/>
  <c r="X1194" i="3"/>
  <c r="AA1194" i="3"/>
  <c r="A1195" i="3"/>
  <c r="G1195" i="3"/>
  <c r="W1195" i="3"/>
  <c r="X1195" i="3"/>
  <c r="AA1195" i="3"/>
  <c r="A1196" i="3"/>
  <c r="G1196" i="3"/>
  <c r="W1196" i="3"/>
  <c r="X1196" i="3"/>
  <c r="AA1196" i="3"/>
  <c r="A1197" i="3"/>
  <c r="G1197" i="3"/>
  <c r="W1197" i="3"/>
  <c r="X1197" i="3"/>
  <c r="AA1197" i="3"/>
  <c r="A1198" i="3"/>
  <c r="G1198" i="3"/>
  <c r="W1198" i="3"/>
  <c r="X1198" i="3"/>
  <c r="Z1198" i="3" s="1"/>
  <c r="AA1198" i="3"/>
  <c r="A1199" i="3"/>
  <c r="G1199" i="3"/>
  <c r="W1199" i="3"/>
  <c r="X1199" i="3"/>
  <c r="Z1199" i="3" s="1"/>
  <c r="AA1199" i="3"/>
  <c r="A1200" i="3"/>
  <c r="G1200" i="3"/>
  <c r="W1200" i="3"/>
  <c r="X1200" i="3"/>
  <c r="Z1200" i="3" s="1"/>
  <c r="AA1200" i="3"/>
  <c r="A1201" i="3"/>
  <c r="G1201" i="3"/>
  <c r="W1201" i="3"/>
  <c r="X1201" i="3"/>
  <c r="AA1201" i="3"/>
  <c r="A1173" i="3"/>
  <c r="G1173" i="3"/>
  <c r="W1173" i="3"/>
  <c r="X1173" i="3"/>
  <c r="AA1173" i="3"/>
  <c r="A1174" i="3"/>
  <c r="G1174" i="3"/>
  <c r="W1174" i="3"/>
  <c r="X1174" i="3"/>
  <c r="AA1174" i="3"/>
  <c r="A1175" i="3"/>
  <c r="G1175" i="3"/>
  <c r="W1175" i="3"/>
  <c r="X1175" i="3"/>
  <c r="AA1175" i="3"/>
  <c r="A1176" i="3"/>
  <c r="G1176" i="3"/>
  <c r="W1176" i="3"/>
  <c r="X1176" i="3"/>
  <c r="AA1176" i="3"/>
  <c r="A1177" i="3"/>
  <c r="G1177" i="3"/>
  <c r="W1177" i="3"/>
  <c r="X1177" i="3"/>
  <c r="Z1177" i="3" s="1"/>
  <c r="AA1177" i="3"/>
  <c r="A1178" i="3"/>
  <c r="G1178" i="3"/>
  <c r="W1178" i="3"/>
  <c r="X1178" i="3"/>
  <c r="AA1178" i="3"/>
  <c r="A1179" i="3"/>
  <c r="G1179" i="3"/>
  <c r="W1179" i="3"/>
  <c r="X1179" i="3"/>
  <c r="Z1179" i="3" s="1"/>
  <c r="AA1179" i="3"/>
  <c r="A1180" i="3"/>
  <c r="G1180" i="3"/>
  <c r="W1180" i="3"/>
  <c r="X1180" i="3"/>
  <c r="AA1180" i="3"/>
  <c r="A1181" i="3"/>
  <c r="G1181" i="3"/>
  <c r="W1181" i="3"/>
  <c r="X1181" i="3"/>
  <c r="AA1181" i="3"/>
  <c r="A1182" i="3"/>
  <c r="G1182" i="3"/>
  <c r="W1182" i="3"/>
  <c r="X1182" i="3"/>
  <c r="AA1182" i="3"/>
  <c r="A1183" i="3"/>
  <c r="G1183" i="3"/>
  <c r="W1183" i="3"/>
  <c r="X1183" i="3"/>
  <c r="AA1183" i="3"/>
  <c r="A1184" i="3"/>
  <c r="G1184" i="3"/>
  <c r="W1184" i="3"/>
  <c r="X1184" i="3"/>
  <c r="AA1184" i="3"/>
  <c r="A1185" i="3"/>
  <c r="G1185" i="3"/>
  <c r="W1185" i="3"/>
  <c r="X1185" i="3"/>
  <c r="Z1185" i="3" s="1"/>
  <c r="AA1185" i="3"/>
  <c r="A1186" i="3"/>
  <c r="G1186" i="3"/>
  <c r="W1186" i="3"/>
  <c r="X1186" i="3"/>
  <c r="AA1186" i="3"/>
  <c r="A1187" i="3"/>
  <c r="G1187" i="3"/>
  <c r="W1187" i="3"/>
  <c r="X1187" i="3"/>
  <c r="AA1187" i="3"/>
  <c r="A1188" i="3"/>
  <c r="G1188" i="3"/>
  <c r="W1188" i="3"/>
  <c r="X1188" i="3"/>
  <c r="Z1188" i="3" s="1"/>
  <c r="AA1188" i="3"/>
  <c r="A1189" i="3"/>
  <c r="G1189" i="3"/>
  <c r="W1189" i="3"/>
  <c r="X1189" i="3"/>
  <c r="AA1189" i="3"/>
  <c r="A1190" i="3"/>
  <c r="G1190" i="3"/>
  <c r="W1190" i="3"/>
  <c r="X1190" i="3"/>
  <c r="Z1190" i="3" s="1"/>
  <c r="AA1190" i="3"/>
  <c r="A1191" i="3"/>
  <c r="G1191" i="3"/>
  <c r="W1191" i="3"/>
  <c r="X1191" i="3"/>
  <c r="AA1191" i="3"/>
  <c r="A901" i="3"/>
  <c r="G901" i="3"/>
  <c r="W901" i="3"/>
  <c r="X901" i="3"/>
  <c r="AA901" i="3"/>
  <c r="A902" i="3"/>
  <c r="G902" i="3"/>
  <c r="W902" i="3"/>
  <c r="X902" i="3"/>
  <c r="AA902" i="3"/>
  <c r="A903" i="3"/>
  <c r="G903" i="3"/>
  <c r="W903" i="3"/>
  <c r="X903" i="3"/>
  <c r="AA903" i="3"/>
  <c r="A904" i="3"/>
  <c r="G904" i="3"/>
  <c r="W904" i="3"/>
  <c r="X904" i="3"/>
  <c r="AA904" i="3"/>
  <c r="A905" i="3"/>
  <c r="G905" i="3"/>
  <c r="W905" i="3"/>
  <c r="X905" i="3"/>
  <c r="AA905" i="3"/>
  <c r="A906" i="3"/>
  <c r="G906" i="3"/>
  <c r="W906" i="3"/>
  <c r="X906" i="3"/>
  <c r="AA906" i="3"/>
  <c r="A907" i="3"/>
  <c r="G907" i="3"/>
  <c r="W907" i="3"/>
  <c r="X907" i="3"/>
  <c r="Z907" i="3" s="1"/>
  <c r="AA907" i="3"/>
  <c r="A908" i="3"/>
  <c r="G908" i="3"/>
  <c r="W908" i="3"/>
  <c r="X908" i="3"/>
  <c r="AA908" i="3"/>
  <c r="A909" i="3"/>
  <c r="G909" i="3"/>
  <c r="W909" i="3"/>
  <c r="X909" i="3"/>
  <c r="AA909" i="3"/>
  <c r="A910" i="3"/>
  <c r="G910" i="3"/>
  <c r="W910" i="3"/>
  <c r="X910" i="3"/>
  <c r="AA910" i="3"/>
  <c r="A911" i="3"/>
  <c r="G911" i="3"/>
  <c r="W911" i="3"/>
  <c r="X911" i="3"/>
  <c r="AA911" i="3"/>
  <c r="A912" i="3"/>
  <c r="G912" i="3"/>
  <c r="W912" i="3"/>
  <c r="X912" i="3"/>
  <c r="AA912" i="3"/>
  <c r="A913" i="3"/>
  <c r="G913" i="3"/>
  <c r="W913" i="3"/>
  <c r="X913" i="3"/>
  <c r="AA913" i="3"/>
  <c r="A914" i="3"/>
  <c r="G914" i="3"/>
  <c r="W914" i="3"/>
  <c r="X914" i="3"/>
  <c r="AA914" i="3"/>
  <c r="A915" i="3"/>
  <c r="G915" i="3"/>
  <c r="W915" i="3"/>
  <c r="X915" i="3"/>
  <c r="Z915" i="3" s="1"/>
  <c r="AA915" i="3"/>
  <c r="A916" i="3"/>
  <c r="G916" i="3"/>
  <c r="W916" i="3"/>
  <c r="X916" i="3"/>
  <c r="AA916" i="3"/>
  <c r="A917" i="3"/>
  <c r="G917" i="3"/>
  <c r="W917" i="3"/>
  <c r="X917" i="3"/>
  <c r="AA917" i="3"/>
  <c r="A918" i="3"/>
  <c r="G918" i="3"/>
  <c r="W918" i="3"/>
  <c r="X918" i="3"/>
  <c r="AA918" i="3"/>
  <c r="A919" i="3"/>
  <c r="G919" i="3"/>
  <c r="W919" i="3"/>
  <c r="X919" i="3"/>
  <c r="AA919" i="3"/>
  <c r="A920" i="3"/>
  <c r="G920" i="3"/>
  <c r="W920" i="3"/>
  <c r="X920" i="3"/>
  <c r="AA920" i="3"/>
  <c r="A921" i="3"/>
  <c r="G921" i="3"/>
  <c r="W921" i="3"/>
  <c r="X921" i="3"/>
  <c r="AA921" i="3"/>
  <c r="A922" i="3"/>
  <c r="G922" i="3"/>
  <c r="W922" i="3"/>
  <c r="X922" i="3"/>
  <c r="AA922" i="3"/>
  <c r="A923" i="3"/>
  <c r="G923" i="3"/>
  <c r="W923" i="3"/>
  <c r="X923" i="3"/>
  <c r="Z923" i="3" s="1"/>
  <c r="AA923" i="3"/>
  <c r="A924" i="3"/>
  <c r="G924" i="3"/>
  <c r="W924" i="3"/>
  <c r="X924" i="3"/>
  <c r="AA924" i="3"/>
  <c r="A925" i="3"/>
  <c r="G925" i="3"/>
  <c r="W925" i="3"/>
  <c r="X925" i="3"/>
  <c r="AA925" i="3"/>
  <c r="A926" i="3"/>
  <c r="G926" i="3"/>
  <c r="W926" i="3"/>
  <c r="X926" i="3"/>
  <c r="AA926" i="3"/>
  <c r="A927" i="3"/>
  <c r="G927" i="3"/>
  <c r="W927" i="3"/>
  <c r="X927" i="3"/>
  <c r="AA927" i="3"/>
  <c r="A928" i="3"/>
  <c r="G928" i="3"/>
  <c r="W928" i="3"/>
  <c r="X928" i="3"/>
  <c r="AA928" i="3"/>
  <c r="A929" i="3"/>
  <c r="G929" i="3"/>
  <c r="W929" i="3"/>
  <c r="X929" i="3"/>
  <c r="Z929" i="3" s="1"/>
  <c r="AA929" i="3"/>
  <c r="A930" i="3"/>
  <c r="G930" i="3"/>
  <c r="W930" i="3"/>
  <c r="X930" i="3"/>
  <c r="AA930" i="3"/>
  <c r="A931" i="3"/>
  <c r="G931" i="3"/>
  <c r="W931" i="3"/>
  <c r="X931" i="3"/>
  <c r="Z931" i="3" s="1"/>
  <c r="AA931" i="3"/>
  <c r="A932" i="3"/>
  <c r="G932" i="3"/>
  <c r="W932" i="3"/>
  <c r="X932" i="3"/>
  <c r="AA932" i="3"/>
  <c r="A933" i="3"/>
  <c r="G933" i="3"/>
  <c r="W933" i="3"/>
  <c r="X933" i="3"/>
  <c r="AA933" i="3"/>
  <c r="A934" i="3"/>
  <c r="G934" i="3"/>
  <c r="W934" i="3"/>
  <c r="X934" i="3"/>
  <c r="AA934" i="3"/>
  <c r="A935" i="3"/>
  <c r="G935" i="3"/>
  <c r="W935" i="3"/>
  <c r="X935" i="3"/>
  <c r="AA935" i="3"/>
  <c r="A936" i="3"/>
  <c r="G936" i="3"/>
  <c r="W936" i="3"/>
  <c r="X936" i="3"/>
  <c r="AA936" i="3"/>
  <c r="A937" i="3"/>
  <c r="G937" i="3"/>
  <c r="W937" i="3"/>
  <c r="X937" i="3"/>
  <c r="Z937" i="3" s="1"/>
  <c r="AA937" i="3"/>
  <c r="A938" i="3"/>
  <c r="G938" i="3"/>
  <c r="W938" i="3"/>
  <c r="X938" i="3"/>
  <c r="AA938" i="3"/>
  <c r="A939" i="3"/>
  <c r="G939" i="3"/>
  <c r="W939" i="3"/>
  <c r="X939" i="3"/>
  <c r="AA939" i="3"/>
  <c r="A940" i="3"/>
  <c r="G940" i="3"/>
  <c r="W940" i="3"/>
  <c r="X940" i="3"/>
  <c r="AA940" i="3"/>
  <c r="A941" i="3"/>
  <c r="G941" i="3"/>
  <c r="W941" i="3"/>
  <c r="X941" i="3"/>
  <c r="AA941" i="3"/>
  <c r="A942" i="3"/>
  <c r="G942" i="3"/>
  <c r="W942" i="3"/>
  <c r="X942" i="3"/>
  <c r="Z942" i="3" s="1"/>
  <c r="AA942" i="3"/>
  <c r="A943" i="3"/>
  <c r="G943" i="3"/>
  <c r="W943" i="3"/>
  <c r="X943" i="3"/>
  <c r="AA943" i="3"/>
  <c r="A944" i="3"/>
  <c r="G944" i="3"/>
  <c r="W944" i="3"/>
  <c r="X944" i="3"/>
  <c r="AA944" i="3"/>
  <c r="A945" i="3"/>
  <c r="G945" i="3"/>
  <c r="W945" i="3"/>
  <c r="X945" i="3"/>
  <c r="AA945" i="3"/>
  <c r="A946" i="3"/>
  <c r="G946" i="3"/>
  <c r="W946" i="3"/>
  <c r="X946" i="3"/>
  <c r="AA946" i="3"/>
  <c r="A947" i="3"/>
  <c r="G947" i="3"/>
  <c r="W947" i="3"/>
  <c r="X947" i="3"/>
  <c r="AA947" i="3"/>
  <c r="A948" i="3"/>
  <c r="G948" i="3"/>
  <c r="W948" i="3"/>
  <c r="X948" i="3"/>
  <c r="AA948" i="3"/>
  <c r="A949" i="3"/>
  <c r="G949" i="3"/>
  <c r="W949" i="3"/>
  <c r="X949" i="3"/>
  <c r="AA949" i="3"/>
  <c r="A950" i="3"/>
  <c r="G950" i="3"/>
  <c r="W950" i="3"/>
  <c r="X950" i="3"/>
  <c r="Z950" i="3" s="1"/>
  <c r="AA950" i="3"/>
  <c r="A951" i="3"/>
  <c r="G951" i="3"/>
  <c r="W951" i="3"/>
  <c r="X951" i="3"/>
  <c r="AA951" i="3"/>
  <c r="A952" i="3"/>
  <c r="G952" i="3"/>
  <c r="W952" i="3"/>
  <c r="X952" i="3"/>
  <c r="AA952" i="3"/>
  <c r="A953" i="3"/>
  <c r="G953" i="3"/>
  <c r="W953" i="3"/>
  <c r="X953" i="3"/>
  <c r="AA953" i="3"/>
  <c r="A954" i="3"/>
  <c r="G954" i="3"/>
  <c r="W954" i="3"/>
  <c r="X954" i="3"/>
  <c r="AA954" i="3"/>
  <c r="A955" i="3"/>
  <c r="G955" i="3"/>
  <c r="W955" i="3"/>
  <c r="X955" i="3"/>
  <c r="AA955" i="3"/>
  <c r="A956" i="3"/>
  <c r="G956" i="3"/>
  <c r="W956" i="3"/>
  <c r="X956" i="3"/>
  <c r="AA956" i="3"/>
  <c r="A957" i="3"/>
  <c r="G957" i="3"/>
  <c r="W957" i="3"/>
  <c r="X957" i="3"/>
  <c r="AA957" i="3"/>
  <c r="A958" i="3"/>
  <c r="G958" i="3"/>
  <c r="W958" i="3"/>
  <c r="X958" i="3"/>
  <c r="AA958" i="3"/>
  <c r="A959" i="3"/>
  <c r="G959" i="3"/>
  <c r="W959" i="3"/>
  <c r="X959" i="3"/>
  <c r="AA959" i="3"/>
  <c r="A960" i="3"/>
  <c r="G960" i="3"/>
  <c r="W960" i="3"/>
  <c r="X960" i="3"/>
  <c r="AA960" i="3"/>
  <c r="A961" i="3"/>
  <c r="G961" i="3"/>
  <c r="W961" i="3"/>
  <c r="X961" i="3"/>
  <c r="AA961" i="3"/>
  <c r="A962" i="3"/>
  <c r="G962" i="3"/>
  <c r="W962" i="3"/>
  <c r="X962" i="3"/>
  <c r="AA962" i="3"/>
  <c r="A963" i="3"/>
  <c r="G963" i="3"/>
  <c r="W963" i="3"/>
  <c r="X963" i="3"/>
  <c r="AA963" i="3"/>
  <c r="A964" i="3"/>
  <c r="G964" i="3"/>
  <c r="W964" i="3"/>
  <c r="X964" i="3"/>
  <c r="AA964" i="3"/>
  <c r="A965" i="3"/>
  <c r="G965" i="3"/>
  <c r="W965" i="3"/>
  <c r="X965" i="3"/>
  <c r="AA965" i="3"/>
  <c r="A966" i="3"/>
  <c r="G966" i="3"/>
  <c r="W966" i="3"/>
  <c r="X966" i="3"/>
  <c r="AA966" i="3"/>
  <c r="A967" i="3"/>
  <c r="G967" i="3"/>
  <c r="W967" i="3"/>
  <c r="X967" i="3"/>
  <c r="AA967" i="3"/>
  <c r="A968" i="3"/>
  <c r="G968" i="3"/>
  <c r="W968" i="3"/>
  <c r="X968" i="3"/>
  <c r="AA968" i="3"/>
  <c r="A969" i="3"/>
  <c r="G969" i="3"/>
  <c r="W969" i="3"/>
  <c r="X969" i="3"/>
  <c r="AA969" i="3"/>
  <c r="A970" i="3"/>
  <c r="G970" i="3"/>
  <c r="W970" i="3"/>
  <c r="X970" i="3"/>
  <c r="AA970" i="3"/>
  <c r="A971" i="3"/>
  <c r="G971" i="3"/>
  <c r="W971" i="3"/>
  <c r="X971" i="3"/>
  <c r="AA971" i="3"/>
  <c r="A972" i="3"/>
  <c r="G972" i="3"/>
  <c r="W972" i="3"/>
  <c r="X972" i="3"/>
  <c r="AA972" i="3"/>
  <c r="A973" i="3"/>
  <c r="G973" i="3"/>
  <c r="W973" i="3"/>
  <c r="X973" i="3"/>
  <c r="AA973" i="3"/>
  <c r="A974" i="3"/>
  <c r="G974" i="3"/>
  <c r="W974" i="3"/>
  <c r="X974" i="3"/>
  <c r="AA974" i="3"/>
  <c r="A975" i="3"/>
  <c r="G975" i="3"/>
  <c r="W975" i="3"/>
  <c r="X975" i="3"/>
  <c r="AA975" i="3"/>
  <c r="A976" i="3"/>
  <c r="G976" i="3"/>
  <c r="W976" i="3"/>
  <c r="X976" i="3"/>
  <c r="Z976" i="3" s="1"/>
  <c r="AA976" i="3"/>
  <c r="A977" i="3"/>
  <c r="G977" i="3"/>
  <c r="W977" i="3"/>
  <c r="X977" i="3"/>
  <c r="Z977" i="3" s="1"/>
  <c r="AA977" i="3"/>
  <c r="A978" i="3"/>
  <c r="G978" i="3"/>
  <c r="W978" i="3"/>
  <c r="X978" i="3"/>
  <c r="AA978" i="3"/>
  <c r="A979" i="3"/>
  <c r="G979" i="3"/>
  <c r="W979" i="3"/>
  <c r="X979" i="3"/>
  <c r="AA979" i="3"/>
  <c r="A980" i="3"/>
  <c r="G980" i="3"/>
  <c r="W980" i="3"/>
  <c r="X980" i="3"/>
  <c r="AA980" i="3"/>
  <c r="A981" i="3"/>
  <c r="G981" i="3"/>
  <c r="W981" i="3"/>
  <c r="X981" i="3"/>
  <c r="AA981" i="3"/>
  <c r="A982" i="3"/>
  <c r="G982" i="3"/>
  <c r="W982" i="3"/>
  <c r="X982" i="3"/>
  <c r="AA982" i="3"/>
  <c r="A983" i="3"/>
  <c r="G983" i="3"/>
  <c r="W983" i="3"/>
  <c r="X983" i="3"/>
  <c r="AA983" i="3"/>
  <c r="A984" i="3"/>
  <c r="G984" i="3"/>
  <c r="W984" i="3"/>
  <c r="X984" i="3"/>
  <c r="Z984" i="3" s="1"/>
  <c r="AA984" i="3"/>
  <c r="A985" i="3"/>
  <c r="G985" i="3"/>
  <c r="W985" i="3"/>
  <c r="X985" i="3"/>
  <c r="AA985" i="3"/>
  <c r="A986" i="3"/>
  <c r="G986" i="3"/>
  <c r="W986" i="3"/>
  <c r="X986" i="3"/>
  <c r="AA986" i="3"/>
  <c r="A987" i="3"/>
  <c r="G987" i="3"/>
  <c r="W987" i="3"/>
  <c r="X987" i="3"/>
  <c r="Z987" i="3" s="1"/>
  <c r="AA987" i="3"/>
  <c r="A988" i="3"/>
  <c r="G988" i="3"/>
  <c r="W988" i="3"/>
  <c r="X988" i="3"/>
  <c r="AA988" i="3"/>
  <c r="A989" i="3"/>
  <c r="G989" i="3"/>
  <c r="W989" i="3"/>
  <c r="X989" i="3"/>
  <c r="AA989" i="3"/>
  <c r="A990" i="3"/>
  <c r="G990" i="3"/>
  <c r="W990" i="3"/>
  <c r="X990" i="3"/>
  <c r="Z990" i="3" s="1"/>
  <c r="AA990" i="3"/>
  <c r="A991" i="3"/>
  <c r="G991" i="3"/>
  <c r="W991" i="3"/>
  <c r="X991" i="3"/>
  <c r="Z991" i="3" s="1"/>
  <c r="AA991" i="3"/>
  <c r="A992" i="3"/>
  <c r="G992" i="3"/>
  <c r="W992" i="3"/>
  <c r="X992" i="3"/>
  <c r="AA992" i="3"/>
  <c r="A993" i="3"/>
  <c r="G993" i="3"/>
  <c r="W993" i="3"/>
  <c r="X993" i="3"/>
  <c r="AA993" i="3"/>
  <c r="A994" i="3"/>
  <c r="G994" i="3"/>
  <c r="W994" i="3"/>
  <c r="X994" i="3"/>
  <c r="AA994" i="3"/>
  <c r="A995" i="3"/>
  <c r="G995" i="3"/>
  <c r="W995" i="3"/>
  <c r="X995" i="3"/>
  <c r="Z995" i="3" s="1"/>
  <c r="AA995" i="3"/>
  <c r="A996" i="3"/>
  <c r="G996" i="3"/>
  <c r="W996" i="3"/>
  <c r="X996" i="3"/>
  <c r="AA996" i="3"/>
  <c r="A997" i="3"/>
  <c r="G997" i="3"/>
  <c r="W997" i="3"/>
  <c r="X997" i="3"/>
  <c r="AA997" i="3"/>
  <c r="A998" i="3"/>
  <c r="G998" i="3"/>
  <c r="W998" i="3"/>
  <c r="X998" i="3"/>
  <c r="Z998" i="3" s="1"/>
  <c r="AA998" i="3"/>
  <c r="A999" i="3"/>
  <c r="G999" i="3"/>
  <c r="W999" i="3"/>
  <c r="X999" i="3"/>
  <c r="Z999" i="3" s="1"/>
  <c r="AA999" i="3"/>
  <c r="A1000" i="3"/>
  <c r="G1000" i="3"/>
  <c r="W1000" i="3"/>
  <c r="X1000" i="3"/>
  <c r="AA1000" i="3"/>
  <c r="A1001" i="3"/>
  <c r="G1001" i="3"/>
  <c r="W1001" i="3"/>
  <c r="X1001" i="3"/>
  <c r="AA1001" i="3"/>
  <c r="A1002" i="3"/>
  <c r="G1002" i="3"/>
  <c r="W1002" i="3"/>
  <c r="X1002" i="3"/>
  <c r="AA1002" i="3"/>
  <c r="A1003" i="3"/>
  <c r="G1003" i="3"/>
  <c r="W1003" i="3"/>
  <c r="X1003" i="3"/>
  <c r="AA1003" i="3"/>
  <c r="A1004" i="3"/>
  <c r="G1004" i="3"/>
  <c r="W1004" i="3"/>
  <c r="X1004" i="3"/>
  <c r="AA1004" i="3"/>
  <c r="A1005" i="3"/>
  <c r="G1005" i="3"/>
  <c r="W1005" i="3"/>
  <c r="X1005" i="3"/>
  <c r="AA1005" i="3"/>
  <c r="A1006" i="3"/>
  <c r="G1006" i="3"/>
  <c r="W1006" i="3"/>
  <c r="X1006" i="3"/>
  <c r="Z1006" i="3" s="1"/>
  <c r="AA1006" i="3"/>
  <c r="A1007" i="3"/>
  <c r="G1007" i="3"/>
  <c r="W1007" i="3"/>
  <c r="X1007" i="3"/>
  <c r="Z1007" i="3" s="1"/>
  <c r="AA1007" i="3"/>
  <c r="A1008" i="3"/>
  <c r="G1008" i="3"/>
  <c r="W1008" i="3"/>
  <c r="X1008" i="3"/>
  <c r="AA1008" i="3"/>
  <c r="A1009" i="3"/>
  <c r="G1009" i="3"/>
  <c r="W1009" i="3"/>
  <c r="X1009" i="3"/>
  <c r="AA1009" i="3"/>
  <c r="A1010" i="3"/>
  <c r="G1010" i="3"/>
  <c r="W1010" i="3"/>
  <c r="X1010" i="3"/>
  <c r="AA1010" i="3"/>
  <c r="A1011" i="3"/>
  <c r="G1011" i="3"/>
  <c r="W1011" i="3"/>
  <c r="X1011" i="3"/>
  <c r="AA1011" i="3"/>
  <c r="A1012" i="3"/>
  <c r="G1012" i="3"/>
  <c r="W1012" i="3"/>
  <c r="X1012" i="3"/>
  <c r="AA1012" i="3"/>
  <c r="A1013" i="3"/>
  <c r="G1013" i="3"/>
  <c r="W1013" i="3"/>
  <c r="X1013" i="3"/>
  <c r="Z1013" i="3" s="1"/>
  <c r="AA1013" i="3"/>
  <c r="A1014" i="3"/>
  <c r="G1014" i="3"/>
  <c r="W1014" i="3"/>
  <c r="X1014" i="3"/>
  <c r="AA1014" i="3"/>
  <c r="A1015" i="3"/>
  <c r="G1015" i="3"/>
  <c r="W1015" i="3"/>
  <c r="X1015" i="3"/>
  <c r="AA1015" i="3"/>
  <c r="A1016" i="3"/>
  <c r="G1016" i="3"/>
  <c r="W1016" i="3"/>
  <c r="X1016" i="3"/>
  <c r="AA1016" i="3"/>
  <c r="A1017" i="3"/>
  <c r="G1017" i="3"/>
  <c r="W1017" i="3"/>
  <c r="X1017" i="3"/>
  <c r="AA1017" i="3"/>
  <c r="A1018" i="3"/>
  <c r="G1018" i="3"/>
  <c r="W1018" i="3"/>
  <c r="X1018" i="3"/>
  <c r="AA1018" i="3"/>
  <c r="A1019" i="3"/>
  <c r="G1019" i="3"/>
  <c r="W1019" i="3"/>
  <c r="X1019" i="3"/>
  <c r="AA1019" i="3"/>
  <c r="A1020" i="3"/>
  <c r="G1020" i="3"/>
  <c r="W1020" i="3"/>
  <c r="X1020" i="3"/>
  <c r="AA1020" i="3"/>
  <c r="A1021" i="3"/>
  <c r="G1021" i="3"/>
  <c r="W1021" i="3"/>
  <c r="X1021" i="3"/>
  <c r="Z1021" i="3" s="1"/>
  <c r="AA1021" i="3"/>
  <c r="A1022" i="3"/>
  <c r="G1022" i="3"/>
  <c r="W1022" i="3"/>
  <c r="X1022" i="3"/>
  <c r="AA1022" i="3"/>
  <c r="A1023" i="3"/>
  <c r="G1023" i="3"/>
  <c r="W1023" i="3"/>
  <c r="X1023" i="3"/>
  <c r="AA1023" i="3"/>
  <c r="A1024" i="3"/>
  <c r="G1024" i="3"/>
  <c r="W1024" i="3"/>
  <c r="X1024" i="3"/>
  <c r="AA1024" i="3"/>
  <c r="A1025" i="3"/>
  <c r="G1025" i="3"/>
  <c r="W1025" i="3"/>
  <c r="X1025" i="3"/>
  <c r="AA1025" i="3"/>
  <c r="A1026" i="3"/>
  <c r="G1026" i="3"/>
  <c r="W1026" i="3"/>
  <c r="X1026" i="3"/>
  <c r="AA1026" i="3"/>
  <c r="A1027" i="3"/>
  <c r="G1027" i="3"/>
  <c r="W1027" i="3"/>
  <c r="X1027" i="3"/>
  <c r="AA1027" i="3"/>
  <c r="A1028" i="3"/>
  <c r="G1028" i="3"/>
  <c r="W1028" i="3"/>
  <c r="X1028" i="3"/>
  <c r="AA1028" i="3"/>
  <c r="A1029" i="3"/>
  <c r="G1029" i="3"/>
  <c r="W1029" i="3"/>
  <c r="X1029" i="3"/>
  <c r="AA1029" i="3"/>
  <c r="A1030" i="3"/>
  <c r="G1030" i="3"/>
  <c r="W1030" i="3"/>
  <c r="X1030" i="3"/>
  <c r="AA1030" i="3"/>
  <c r="A1031" i="3"/>
  <c r="G1031" i="3"/>
  <c r="W1031" i="3"/>
  <c r="X1031" i="3"/>
  <c r="Z1031" i="3" s="1"/>
  <c r="AA1031" i="3"/>
  <c r="A1032" i="3"/>
  <c r="G1032" i="3"/>
  <c r="W1032" i="3"/>
  <c r="X1032" i="3"/>
  <c r="AA1032" i="3"/>
  <c r="A1033" i="3"/>
  <c r="G1033" i="3"/>
  <c r="W1033" i="3"/>
  <c r="X1033" i="3"/>
  <c r="AA1033" i="3"/>
  <c r="A1034" i="3"/>
  <c r="G1034" i="3"/>
  <c r="W1034" i="3"/>
  <c r="X1034" i="3"/>
  <c r="Z1034" i="3" s="1"/>
  <c r="AA1034" i="3"/>
  <c r="A1035" i="3"/>
  <c r="G1035" i="3"/>
  <c r="W1035" i="3"/>
  <c r="X1035" i="3"/>
  <c r="Z1035" i="3" s="1"/>
  <c r="AA1035" i="3"/>
  <c r="A1036" i="3"/>
  <c r="G1036" i="3"/>
  <c r="W1036" i="3"/>
  <c r="X1036" i="3"/>
  <c r="AA1036" i="3"/>
  <c r="A1037" i="3"/>
  <c r="G1037" i="3"/>
  <c r="W1037" i="3"/>
  <c r="X1037" i="3"/>
  <c r="AA1037" i="3"/>
  <c r="A1038" i="3"/>
  <c r="G1038" i="3"/>
  <c r="W1038" i="3"/>
  <c r="X1038" i="3"/>
  <c r="AA1038" i="3"/>
  <c r="A1039" i="3"/>
  <c r="G1039" i="3"/>
  <c r="W1039" i="3"/>
  <c r="X1039" i="3"/>
  <c r="AA1039" i="3"/>
  <c r="A1040" i="3"/>
  <c r="G1040" i="3"/>
  <c r="W1040" i="3"/>
  <c r="X1040" i="3"/>
  <c r="AA1040" i="3"/>
  <c r="A1041" i="3"/>
  <c r="G1041" i="3"/>
  <c r="W1041" i="3"/>
  <c r="X1041" i="3"/>
  <c r="AA1041" i="3"/>
  <c r="A1042" i="3"/>
  <c r="G1042" i="3"/>
  <c r="W1042" i="3"/>
  <c r="X1042" i="3"/>
  <c r="Z1042" i="3" s="1"/>
  <c r="AA1042" i="3"/>
  <c r="A1043" i="3"/>
  <c r="G1043" i="3"/>
  <c r="W1043" i="3"/>
  <c r="X1043" i="3"/>
  <c r="Z1043" i="3" s="1"/>
  <c r="AA1043" i="3"/>
  <c r="A1044" i="3"/>
  <c r="G1044" i="3"/>
  <c r="W1044" i="3"/>
  <c r="X1044" i="3"/>
  <c r="AA1044" i="3"/>
  <c r="A1045" i="3"/>
  <c r="G1045" i="3"/>
  <c r="W1045" i="3"/>
  <c r="X1045" i="3"/>
  <c r="AA1045" i="3"/>
  <c r="A1046" i="3"/>
  <c r="G1046" i="3"/>
  <c r="W1046" i="3"/>
  <c r="X1046" i="3"/>
  <c r="AA1046" i="3"/>
  <c r="A1047" i="3"/>
  <c r="G1047" i="3"/>
  <c r="W1047" i="3"/>
  <c r="X1047" i="3"/>
  <c r="AA1047" i="3"/>
  <c r="A1048" i="3"/>
  <c r="G1048" i="3"/>
  <c r="W1048" i="3"/>
  <c r="X1048" i="3"/>
  <c r="AA1048" i="3"/>
  <c r="A1049" i="3"/>
  <c r="G1049" i="3"/>
  <c r="W1049" i="3"/>
  <c r="X1049" i="3"/>
  <c r="AA1049" i="3"/>
  <c r="A1050" i="3"/>
  <c r="G1050" i="3"/>
  <c r="W1050" i="3"/>
  <c r="X1050" i="3"/>
  <c r="Z1050" i="3" s="1"/>
  <c r="AA1050" i="3"/>
  <c r="A1051" i="3"/>
  <c r="G1051" i="3"/>
  <c r="W1051" i="3"/>
  <c r="X1051" i="3"/>
  <c r="Z1051" i="3" s="1"/>
  <c r="AA1051" i="3"/>
  <c r="A1052" i="3"/>
  <c r="G1052" i="3"/>
  <c r="W1052" i="3"/>
  <c r="X1052" i="3"/>
  <c r="AA1052" i="3"/>
  <c r="A1053" i="3"/>
  <c r="G1053" i="3"/>
  <c r="W1053" i="3"/>
  <c r="X1053" i="3"/>
  <c r="AA1053" i="3"/>
  <c r="A1054" i="3"/>
  <c r="G1054" i="3"/>
  <c r="W1054" i="3"/>
  <c r="X1054" i="3"/>
  <c r="AA1054" i="3"/>
  <c r="A1055" i="3"/>
  <c r="G1055" i="3"/>
  <c r="W1055" i="3"/>
  <c r="X1055" i="3"/>
  <c r="AA1055" i="3"/>
  <c r="A1056" i="3"/>
  <c r="G1056" i="3"/>
  <c r="W1056" i="3"/>
  <c r="X1056" i="3"/>
  <c r="AA1056" i="3"/>
  <c r="A1057" i="3"/>
  <c r="G1057" i="3"/>
  <c r="W1057" i="3"/>
  <c r="X1057" i="3"/>
  <c r="AA1057" i="3"/>
  <c r="A1058" i="3"/>
  <c r="G1058" i="3"/>
  <c r="W1058" i="3"/>
  <c r="X1058" i="3"/>
  <c r="Z1058" i="3" s="1"/>
  <c r="AA1058" i="3"/>
  <c r="A1059" i="3"/>
  <c r="G1059" i="3"/>
  <c r="W1059" i="3"/>
  <c r="X1059" i="3"/>
  <c r="Z1059" i="3" s="1"/>
  <c r="AA1059" i="3"/>
  <c r="A1060" i="3"/>
  <c r="G1060" i="3"/>
  <c r="W1060" i="3"/>
  <c r="X1060" i="3"/>
  <c r="Z1060" i="3" s="1"/>
  <c r="AA1060" i="3"/>
  <c r="A1061" i="3"/>
  <c r="G1061" i="3"/>
  <c r="W1061" i="3"/>
  <c r="X1061" i="3"/>
  <c r="Z1061" i="3" s="1"/>
  <c r="AA1061" i="3"/>
  <c r="A1062" i="3"/>
  <c r="G1062" i="3"/>
  <c r="W1062" i="3"/>
  <c r="X1062" i="3"/>
  <c r="AA1062" i="3"/>
  <c r="A1063" i="3"/>
  <c r="G1063" i="3"/>
  <c r="W1063" i="3"/>
  <c r="X1063" i="3"/>
  <c r="AA1063" i="3"/>
  <c r="A1064" i="3"/>
  <c r="G1064" i="3"/>
  <c r="W1064" i="3"/>
  <c r="X1064" i="3"/>
  <c r="AA1064" i="3"/>
  <c r="A1065" i="3"/>
  <c r="G1065" i="3"/>
  <c r="W1065" i="3"/>
  <c r="X1065" i="3"/>
  <c r="AA1065" i="3"/>
  <c r="A1066" i="3"/>
  <c r="G1066" i="3"/>
  <c r="W1066" i="3"/>
  <c r="X1066" i="3"/>
  <c r="AA1066" i="3"/>
  <c r="A1067" i="3"/>
  <c r="G1067" i="3"/>
  <c r="W1067" i="3"/>
  <c r="X1067" i="3"/>
  <c r="AA1067" i="3"/>
  <c r="A1068" i="3"/>
  <c r="G1068" i="3"/>
  <c r="W1068" i="3"/>
  <c r="X1068" i="3"/>
  <c r="AA1068" i="3"/>
  <c r="A1069" i="3"/>
  <c r="G1069" i="3"/>
  <c r="W1069" i="3"/>
  <c r="X1069" i="3"/>
  <c r="Z1069" i="3" s="1"/>
  <c r="AA1069" i="3"/>
  <c r="A1070" i="3"/>
  <c r="G1070" i="3"/>
  <c r="W1070" i="3"/>
  <c r="X1070" i="3"/>
  <c r="AA1070" i="3"/>
  <c r="A1071" i="3"/>
  <c r="G1071" i="3"/>
  <c r="W1071" i="3"/>
  <c r="X1071" i="3"/>
  <c r="AA1071" i="3"/>
  <c r="A1072" i="3"/>
  <c r="G1072" i="3"/>
  <c r="W1072" i="3"/>
  <c r="X1072" i="3"/>
  <c r="AA1072" i="3"/>
  <c r="A1073" i="3"/>
  <c r="G1073" i="3"/>
  <c r="W1073" i="3"/>
  <c r="X1073" i="3"/>
  <c r="Z1073" i="3" s="1"/>
  <c r="AA1073" i="3"/>
  <c r="A1074" i="3"/>
  <c r="G1074" i="3"/>
  <c r="W1074" i="3"/>
  <c r="X1074" i="3"/>
  <c r="AA1074" i="3"/>
  <c r="A1075" i="3"/>
  <c r="G1075" i="3"/>
  <c r="W1075" i="3"/>
  <c r="X1075" i="3"/>
  <c r="Z1075" i="3" s="1"/>
  <c r="AA1075" i="3"/>
  <c r="A1076" i="3"/>
  <c r="G1076" i="3"/>
  <c r="W1076" i="3"/>
  <c r="X1076" i="3"/>
  <c r="AA1076" i="3"/>
  <c r="A1077" i="3"/>
  <c r="G1077" i="3"/>
  <c r="W1077" i="3"/>
  <c r="X1077" i="3"/>
  <c r="AA1077" i="3"/>
  <c r="A1078" i="3"/>
  <c r="G1078" i="3"/>
  <c r="W1078" i="3"/>
  <c r="X1078" i="3"/>
  <c r="AA1078" i="3"/>
  <c r="A1079" i="3"/>
  <c r="G1079" i="3"/>
  <c r="W1079" i="3"/>
  <c r="X1079" i="3"/>
  <c r="AA1079" i="3"/>
  <c r="A1080" i="3"/>
  <c r="G1080" i="3"/>
  <c r="W1080" i="3"/>
  <c r="X1080" i="3"/>
  <c r="AA1080" i="3"/>
  <c r="A1081" i="3"/>
  <c r="G1081" i="3"/>
  <c r="W1081" i="3"/>
  <c r="X1081" i="3"/>
  <c r="Z1081" i="3" s="1"/>
  <c r="AA1081" i="3"/>
  <c r="A1082" i="3"/>
  <c r="G1082" i="3"/>
  <c r="W1082" i="3"/>
  <c r="X1082" i="3"/>
  <c r="AA1082" i="3"/>
  <c r="A1083" i="3"/>
  <c r="G1083" i="3"/>
  <c r="W1083" i="3"/>
  <c r="X1083" i="3"/>
  <c r="Z1083" i="3" s="1"/>
  <c r="AA1083" i="3"/>
  <c r="A1084" i="3"/>
  <c r="G1084" i="3"/>
  <c r="W1084" i="3"/>
  <c r="X1084" i="3"/>
  <c r="Z1084" i="3" s="1"/>
  <c r="AA1084" i="3"/>
  <c r="A1085" i="3"/>
  <c r="G1085" i="3"/>
  <c r="W1085" i="3"/>
  <c r="X1085" i="3"/>
  <c r="AA1085" i="3"/>
  <c r="A1086" i="3"/>
  <c r="G1086" i="3"/>
  <c r="W1086" i="3"/>
  <c r="X1086" i="3"/>
  <c r="Z1086" i="3" s="1"/>
  <c r="AA1086" i="3"/>
  <c r="A1087" i="3"/>
  <c r="G1087" i="3"/>
  <c r="W1087" i="3"/>
  <c r="X1087" i="3"/>
  <c r="AA1087" i="3"/>
  <c r="A1088" i="3"/>
  <c r="G1088" i="3"/>
  <c r="W1088" i="3"/>
  <c r="X1088" i="3"/>
  <c r="AA1088" i="3"/>
  <c r="A1089" i="3"/>
  <c r="G1089" i="3"/>
  <c r="W1089" i="3"/>
  <c r="X1089" i="3"/>
  <c r="AA1089" i="3"/>
  <c r="A1090" i="3"/>
  <c r="G1090" i="3"/>
  <c r="W1090" i="3"/>
  <c r="X1090" i="3"/>
  <c r="AA1090" i="3"/>
  <c r="A1091" i="3"/>
  <c r="G1091" i="3"/>
  <c r="W1091" i="3"/>
  <c r="X1091" i="3"/>
  <c r="AA1091" i="3"/>
  <c r="A1092" i="3"/>
  <c r="G1092" i="3"/>
  <c r="W1092" i="3"/>
  <c r="X1092" i="3"/>
  <c r="Z1092" i="3" s="1"/>
  <c r="AA1092" i="3"/>
  <c r="A1093" i="3"/>
  <c r="G1093" i="3"/>
  <c r="W1093" i="3"/>
  <c r="X1093" i="3"/>
  <c r="AA1093" i="3"/>
  <c r="A1094" i="3"/>
  <c r="G1094" i="3"/>
  <c r="W1094" i="3"/>
  <c r="X1094" i="3"/>
  <c r="Z1094" i="3" s="1"/>
  <c r="AA1094" i="3"/>
  <c r="A1095" i="3"/>
  <c r="G1095" i="3"/>
  <c r="W1095" i="3"/>
  <c r="X1095" i="3"/>
  <c r="AA1095" i="3"/>
  <c r="A1096" i="3"/>
  <c r="G1096" i="3"/>
  <c r="W1096" i="3"/>
  <c r="X1096" i="3"/>
  <c r="AA1096" i="3"/>
  <c r="A1097" i="3"/>
  <c r="G1097" i="3"/>
  <c r="W1097" i="3"/>
  <c r="X1097" i="3"/>
  <c r="AA1097" i="3"/>
  <c r="A1098" i="3"/>
  <c r="G1098" i="3"/>
  <c r="W1098" i="3"/>
  <c r="X1098" i="3"/>
  <c r="AA1098" i="3"/>
  <c r="A1099" i="3"/>
  <c r="G1099" i="3"/>
  <c r="W1099" i="3"/>
  <c r="X1099" i="3"/>
  <c r="AA1099" i="3"/>
  <c r="A1100" i="3"/>
  <c r="G1100" i="3"/>
  <c r="W1100" i="3"/>
  <c r="X1100" i="3"/>
  <c r="Z1100" i="3" s="1"/>
  <c r="AA1100" i="3"/>
  <c r="A1101" i="3"/>
  <c r="G1101" i="3"/>
  <c r="W1101" i="3"/>
  <c r="X1101" i="3"/>
  <c r="AA1101" i="3"/>
  <c r="A1102" i="3"/>
  <c r="G1102" i="3"/>
  <c r="W1102" i="3"/>
  <c r="X1102" i="3"/>
  <c r="Z1102" i="3" s="1"/>
  <c r="AA1102" i="3"/>
  <c r="A1103" i="3"/>
  <c r="G1103" i="3"/>
  <c r="W1103" i="3"/>
  <c r="X1103" i="3"/>
  <c r="Z1103" i="3" s="1"/>
  <c r="AA1103" i="3"/>
  <c r="A1104" i="3"/>
  <c r="G1104" i="3"/>
  <c r="W1104" i="3"/>
  <c r="X1104" i="3"/>
  <c r="AA1104" i="3"/>
  <c r="A1105" i="3"/>
  <c r="G1105" i="3"/>
  <c r="W1105" i="3"/>
  <c r="X1105" i="3"/>
  <c r="Z1105" i="3" s="1"/>
  <c r="AA1105" i="3"/>
  <c r="A1106" i="3"/>
  <c r="G1106" i="3"/>
  <c r="W1106" i="3"/>
  <c r="X1106" i="3"/>
  <c r="AA1106" i="3"/>
  <c r="A1107" i="3"/>
  <c r="G1107" i="3"/>
  <c r="W1107" i="3"/>
  <c r="X1107" i="3"/>
  <c r="AA1107" i="3"/>
  <c r="A1108" i="3"/>
  <c r="G1108" i="3"/>
  <c r="W1108" i="3"/>
  <c r="X1108" i="3"/>
  <c r="AA1108" i="3"/>
  <c r="A1109" i="3"/>
  <c r="G1109" i="3"/>
  <c r="W1109" i="3"/>
  <c r="X1109" i="3"/>
  <c r="AA1109" i="3"/>
  <c r="A1110" i="3"/>
  <c r="G1110" i="3"/>
  <c r="W1110" i="3"/>
  <c r="X1110" i="3"/>
  <c r="AA1110" i="3"/>
  <c r="A1111" i="3"/>
  <c r="G1111" i="3"/>
  <c r="W1111" i="3"/>
  <c r="X1111" i="3"/>
  <c r="Z1111" i="3" s="1"/>
  <c r="AA1111" i="3"/>
  <c r="A1112" i="3"/>
  <c r="G1112" i="3"/>
  <c r="W1112" i="3"/>
  <c r="X1112" i="3"/>
  <c r="Z1112" i="3" s="1"/>
  <c r="AA1112" i="3"/>
  <c r="A1113" i="3"/>
  <c r="G1113" i="3"/>
  <c r="W1113" i="3"/>
  <c r="X1113" i="3"/>
  <c r="Z1113" i="3" s="1"/>
  <c r="AA1113" i="3"/>
  <c r="A1114" i="3"/>
  <c r="G1114" i="3"/>
  <c r="W1114" i="3"/>
  <c r="X1114" i="3"/>
  <c r="AA1114" i="3"/>
  <c r="A1115" i="3"/>
  <c r="G1115" i="3"/>
  <c r="W1115" i="3"/>
  <c r="X1115" i="3"/>
  <c r="AA1115" i="3"/>
  <c r="A1116" i="3"/>
  <c r="G1116" i="3"/>
  <c r="W1116" i="3"/>
  <c r="X1116" i="3"/>
  <c r="AA1116" i="3"/>
  <c r="A1117" i="3"/>
  <c r="G1117" i="3"/>
  <c r="W1117" i="3"/>
  <c r="X1117" i="3"/>
  <c r="AA1117" i="3"/>
  <c r="A1118" i="3"/>
  <c r="G1118" i="3"/>
  <c r="W1118" i="3"/>
  <c r="X1118" i="3"/>
  <c r="AA1118" i="3"/>
  <c r="A1119" i="3"/>
  <c r="G1119" i="3"/>
  <c r="W1119" i="3"/>
  <c r="X1119" i="3"/>
  <c r="AA1119" i="3"/>
  <c r="A1120" i="3"/>
  <c r="G1120" i="3"/>
  <c r="W1120" i="3"/>
  <c r="X1120" i="3"/>
  <c r="AA1120" i="3"/>
  <c r="A1121" i="3"/>
  <c r="G1121" i="3"/>
  <c r="W1121" i="3"/>
  <c r="X1121" i="3"/>
  <c r="Z1121" i="3" s="1"/>
  <c r="AA1121" i="3"/>
  <c r="A1122" i="3"/>
  <c r="G1122" i="3"/>
  <c r="W1122" i="3"/>
  <c r="X1122" i="3"/>
  <c r="AA1122" i="3"/>
  <c r="A1123" i="3"/>
  <c r="G1123" i="3"/>
  <c r="W1123" i="3"/>
  <c r="X1123" i="3"/>
  <c r="AA1123" i="3"/>
  <c r="A1124" i="3"/>
  <c r="G1124" i="3"/>
  <c r="W1124" i="3"/>
  <c r="X1124" i="3"/>
  <c r="Z1124" i="3" s="1"/>
  <c r="AA1124" i="3"/>
  <c r="A1125" i="3"/>
  <c r="G1125" i="3"/>
  <c r="W1125" i="3"/>
  <c r="X1125" i="3"/>
  <c r="Z1125" i="3" s="1"/>
  <c r="AA1125" i="3"/>
  <c r="A1126" i="3"/>
  <c r="G1126" i="3"/>
  <c r="W1126" i="3"/>
  <c r="X1126" i="3"/>
  <c r="AA1126" i="3"/>
  <c r="A1127" i="3"/>
  <c r="G1127" i="3"/>
  <c r="W1127" i="3"/>
  <c r="X1127" i="3"/>
  <c r="AA1127" i="3"/>
  <c r="A1128" i="3"/>
  <c r="G1128" i="3"/>
  <c r="W1128" i="3"/>
  <c r="X1128" i="3"/>
  <c r="AA1128" i="3"/>
  <c r="A1129" i="3"/>
  <c r="G1129" i="3"/>
  <c r="W1129" i="3"/>
  <c r="X1129" i="3"/>
  <c r="AA1129" i="3"/>
  <c r="A1130" i="3"/>
  <c r="G1130" i="3"/>
  <c r="W1130" i="3"/>
  <c r="X1130" i="3"/>
  <c r="Z1130" i="3" s="1"/>
  <c r="AA1130" i="3"/>
  <c r="A1131" i="3"/>
  <c r="G1131" i="3"/>
  <c r="W1131" i="3"/>
  <c r="X1131" i="3"/>
  <c r="Z1131" i="3" s="1"/>
  <c r="AA1131" i="3"/>
  <c r="A1132" i="3"/>
  <c r="G1132" i="3"/>
  <c r="W1132" i="3"/>
  <c r="X1132" i="3"/>
  <c r="AA1132" i="3"/>
  <c r="A1133" i="3"/>
  <c r="G1133" i="3"/>
  <c r="W1133" i="3"/>
  <c r="X1133" i="3"/>
  <c r="AA1133" i="3"/>
  <c r="A1134" i="3"/>
  <c r="G1134" i="3"/>
  <c r="W1134" i="3"/>
  <c r="X1134" i="3"/>
  <c r="AA1134" i="3"/>
  <c r="A1135" i="3"/>
  <c r="G1135" i="3"/>
  <c r="W1135" i="3"/>
  <c r="X1135" i="3"/>
  <c r="AA1135" i="3"/>
  <c r="A1136" i="3"/>
  <c r="G1136" i="3"/>
  <c r="W1136" i="3"/>
  <c r="X1136" i="3"/>
  <c r="AA1136" i="3"/>
  <c r="A1137" i="3"/>
  <c r="G1137" i="3"/>
  <c r="W1137" i="3"/>
  <c r="X1137" i="3"/>
  <c r="AA1137" i="3"/>
  <c r="A1138" i="3"/>
  <c r="G1138" i="3"/>
  <c r="W1138" i="3"/>
  <c r="X1138" i="3"/>
  <c r="Z1138" i="3" s="1"/>
  <c r="AA1138" i="3"/>
  <c r="A1139" i="3"/>
  <c r="G1139" i="3"/>
  <c r="W1139" i="3"/>
  <c r="X1139" i="3"/>
  <c r="Z1139" i="3" s="1"/>
  <c r="AA1139" i="3"/>
  <c r="A1140" i="3"/>
  <c r="G1140" i="3"/>
  <c r="W1140" i="3"/>
  <c r="X1140" i="3"/>
  <c r="AA1140" i="3"/>
  <c r="A1141" i="3"/>
  <c r="G1141" i="3"/>
  <c r="W1141" i="3"/>
  <c r="X1141" i="3"/>
  <c r="AA1141" i="3"/>
  <c r="A1142" i="3"/>
  <c r="G1142" i="3"/>
  <c r="W1142" i="3"/>
  <c r="X1142" i="3"/>
  <c r="AA1142" i="3"/>
  <c r="A1143" i="3"/>
  <c r="G1143" i="3"/>
  <c r="W1143" i="3"/>
  <c r="X1143" i="3"/>
  <c r="AA1143" i="3"/>
  <c r="A1144" i="3"/>
  <c r="G1144" i="3"/>
  <c r="W1144" i="3"/>
  <c r="X1144" i="3"/>
  <c r="AA1144" i="3"/>
  <c r="A1145" i="3"/>
  <c r="G1145" i="3"/>
  <c r="W1145" i="3"/>
  <c r="X1145" i="3"/>
  <c r="AA1145" i="3"/>
  <c r="A1146" i="3"/>
  <c r="G1146" i="3"/>
  <c r="W1146" i="3"/>
  <c r="X1146" i="3"/>
  <c r="AA1146" i="3"/>
  <c r="A1147" i="3"/>
  <c r="G1147" i="3"/>
  <c r="W1147" i="3"/>
  <c r="X1147" i="3"/>
  <c r="AA1147" i="3"/>
  <c r="A1148" i="3"/>
  <c r="G1148" i="3"/>
  <c r="W1148" i="3"/>
  <c r="X1148" i="3"/>
  <c r="AA1148" i="3"/>
  <c r="A1149" i="3"/>
  <c r="G1149" i="3"/>
  <c r="W1149" i="3"/>
  <c r="X1149" i="3"/>
  <c r="AA1149" i="3"/>
  <c r="A1150" i="3"/>
  <c r="G1150" i="3"/>
  <c r="W1150" i="3"/>
  <c r="X1150" i="3"/>
  <c r="AA1150" i="3"/>
  <c r="A1151" i="3"/>
  <c r="G1151" i="3"/>
  <c r="W1151" i="3"/>
  <c r="X1151" i="3"/>
  <c r="AA1151" i="3"/>
  <c r="A1152" i="3"/>
  <c r="G1152" i="3"/>
  <c r="W1152" i="3"/>
  <c r="X1152" i="3"/>
  <c r="Z1152" i="3" s="1"/>
  <c r="AA1152" i="3"/>
  <c r="A1153" i="3"/>
  <c r="G1153" i="3"/>
  <c r="W1153" i="3"/>
  <c r="X1153" i="3"/>
  <c r="AA1153" i="3"/>
  <c r="A1154" i="3"/>
  <c r="G1154" i="3"/>
  <c r="W1154" i="3"/>
  <c r="X1154" i="3"/>
  <c r="AA1154" i="3"/>
  <c r="A1155" i="3"/>
  <c r="G1155" i="3"/>
  <c r="W1155" i="3"/>
  <c r="X1155" i="3"/>
  <c r="AA1155" i="3"/>
  <c r="A1156" i="3"/>
  <c r="G1156" i="3"/>
  <c r="W1156" i="3"/>
  <c r="X1156" i="3"/>
  <c r="AA1156" i="3"/>
  <c r="A1157" i="3"/>
  <c r="G1157" i="3"/>
  <c r="W1157" i="3"/>
  <c r="X1157" i="3"/>
  <c r="AA1157" i="3"/>
  <c r="A1158" i="3"/>
  <c r="G1158" i="3"/>
  <c r="W1158" i="3"/>
  <c r="X1158" i="3"/>
  <c r="AA1158" i="3"/>
  <c r="A1159" i="3"/>
  <c r="G1159" i="3"/>
  <c r="W1159" i="3"/>
  <c r="X1159" i="3"/>
  <c r="AA1159" i="3"/>
  <c r="A1160" i="3"/>
  <c r="G1160" i="3"/>
  <c r="W1160" i="3"/>
  <c r="X1160" i="3"/>
  <c r="Z1160" i="3" s="1"/>
  <c r="AA1160" i="3"/>
  <c r="A1161" i="3"/>
  <c r="G1161" i="3"/>
  <c r="W1161" i="3"/>
  <c r="X1161" i="3"/>
  <c r="AA1161" i="3"/>
  <c r="A1162" i="3"/>
  <c r="G1162" i="3"/>
  <c r="W1162" i="3"/>
  <c r="X1162" i="3"/>
  <c r="AA1162" i="3"/>
  <c r="A1163" i="3"/>
  <c r="G1163" i="3"/>
  <c r="W1163" i="3"/>
  <c r="X1163" i="3"/>
  <c r="Z1163" i="3" s="1"/>
  <c r="AA1163" i="3"/>
  <c r="A1164" i="3"/>
  <c r="G1164" i="3"/>
  <c r="W1164" i="3"/>
  <c r="X1164" i="3"/>
  <c r="AA1164" i="3"/>
  <c r="A1165" i="3"/>
  <c r="G1165" i="3"/>
  <c r="W1165" i="3"/>
  <c r="X1165" i="3"/>
  <c r="AA1165" i="3"/>
  <c r="A1166" i="3"/>
  <c r="G1166" i="3"/>
  <c r="W1166" i="3"/>
  <c r="X1166" i="3"/>
  <c r="AA1166" i="3"/>
  <c r="A1167" i="3"/>
  <c r="G1167" i="3"/>
  <c r="W1167" i="3"/>
  <c r="X1167" i="3"/>
  <c r="AA1167" i="3"/>
  <c r="A1168" i="3"/>
  <c r="G1168" i="3"/>
  <c r="W1168" i="3"/>
  <c r="X1168" i="3"/>
  <c r="AA1168" i="3"/>
  <c r="A1169" i="3"/>
  <c r="G1169" i="3"/>
  <c r="W1169" i="3"/>
  <c r="X1169" i="3"/>
  <c r="AA1169" i="3"/>
  <c r="A1170" i="3"/>
  <c r="G1170" i="3"/>
  <c r="W1170" i="3"/>
  <c r="X1170" i="3"/>
  <c r="AA1170" i="3"/>
  <c r="A1171" i="3"/>
  <c r="G1171" i="3"/>
  <c r="W1171" i="3"/>
  <c r="X1171" i="3"/>
  <c r="Z1171" i="3" s="1"/>
  <c r="AA1171" i="3"/>
  <c r="A1172" i="3"/>
  <c r="G1172" i="3"/>
  <c r="W1172" i="3"/>
  <c r="X1172" i="3"/>
  <c r="Z1172" i="3" s="1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AA730" i="3"/>
  <c r="A731" i="3"/>
  <c r="G731" i="3"/>
  <c r="W731" i="3"/>
  <c r="X731" i="3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AA737" i="3"/>
  <c r="A738" i="3"/>
  <c r="G738" i="3"/>
  <c r="W738" i="3"/>
  <c r="X738" i="3"/>
  <c r="AA738" i="3"/>
  <c r="A739" i="3"/>
  <c r="G739" i="3"/>
  <c r="W739" i="3"/>
  <c r="X739" i="3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AA745" i="3"/>
  <c r="A746" i="3"/>
  <c r="G746" i="3"/>
  <c r="W746" i="3"/>
  <c r="X746" i="3"/>
  <c r="AA746" i="3"/>
  <c r="A747" i="3"/>
  <c r="G747" i="3"/>
  <c r="W747" i="3"/>
  <c r="X747" i="3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AA753" i="3"/>
  <c r="A754" i="3"/>
  <c r="G754" i="3"/>
  <c r="W754" i="3"/>
  <c r="X754" i="3"/>
  <c r="AA754" i="3"/>
  <c r="A755" i="3"/>
  <c r="G755" i="3"/>
  <c r="W755" i="3"/>
  <c r="X755" i="3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AA761" i="3"/>
  <c r="A762" i="3"/>
  <c r="G762" i="3"/>
  <c r="W762" i="3"/>
  <c r="X762" i="3"/>
  <c r="AA762" i="3"/>
  <c r="A763" i="3"/>
  <c r="G763" i="3"/>
  <c r="W763" i="3"/>
  <c r="X763" i="3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AA769" i="3"/>
  <c r="A770" i="3"/>
  <c r="G770" i="3"/>
  <c r="W770" i="3"/>
  <c r="X770" i="3"/>
  <c r="AA770" i="3"/>
  <c r="A771" i="3"/>
  <c r="G771" i="3"/>
  <c r="W771" i="3"/>
  <c r="X771" i="3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AA777" i="3"/>
  <c r="A778" i="3"/>
  <c r="G778" i="3"/>
  <c r="W778" i="3"/>
  <c r="X778" i="3"/>
  <c r="AA778" i="3"/>
  <c r="A779" i="3"/>
  <c r="G779" i="3"/>
  <c r="W779" i="3"/>
  <c r="X779" i="3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AA785" i="3"/>
  <c r="A786" i="3"/>
  <c r="G786" i="3"/>
  <c r="W786" i="3"/>
  <c r="X786" i="3"/>
  <c r="AA786" i="3"/>
  <c r="A787" i="3"/>
  <c r="G787" i="3"/>
  <c r="W787" i="3"/>
  <c r="X787" i="3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AA793" i="3"/>
  <c r="A794" i="3"/>
  <c r="G794" i="3"/>
  <c r="W794" i="3"/>
  <c r="X794" i="3"/>
  <c r="AA794" i="3"/>
  <c r="A795" i="3"/>
  <c r="G795" i="3"/>
  <c r="W795" i="3"/>
  <c r="X795" i="3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AA801" i="3"/>
  <c r="A802" i="3"/>
  <c r="G802" i="3"/>
  <c r="W802" i="3"/>
  <c r="X802" i="3"/>
  <c r="AA802" i="3"/>
  <c r="A803" i="3"/>
  <c r="G803" i="3"/>
  <c r="W803" i="3"/>
  <c r="X803" i="3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AA809" i="3"/>
  <c r="A810" i="3"/>
  <c r="G810" i="3"/>
  <c r="W810" i="3"/>
  <c r="X810" i="3"/>
  <c r="AA810" i="3"/>
  <c r="A811" i="3"/>
  <c r="G811" i="3"/>
  <c r="W811" i="3"/>
  <c r="X811" i="3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AA817" i="3"/>
  <c r="A818" i="3"/>
  <c r="G818" i="3"/>
  <c r="W818" i="3"/>
  <c r="X818" i="3"/>
  <c r="AA818" i="3"/>
  <c r="A819" i="3"/>
  <c r="G819" i="3"/>
  <c r="W819" i="3"/>
  <c r="X819" i="3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AA825" i="3"/>
  <c r="A826" i="3"/>
  <c r="G826" i="3"/>
  <c r="W826" i="3"/>
  <c r="X826" i="3"/>
  <c r="AA826" i="3"/>
  <c r="A827" i="3"/>
  <c r="G827" i="3"/>
  <c r="W827" i="3"/>
  <c r="X827" i="3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AA833" i="3"/>
  <c r="A834" i="3"/>
  <c r="G834" i="3"/>
  <c r="W834" i="3"/>
  <c r="X834" i="3"/>
  <c r="AA834" i="3"/>
  <c r="A835" i="3"/>
  <c r="G835" i="3"/>
  <c r="W835" i="3"/>
  <c r="X835" i="3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AA841" i="3"/>
  <c r="A842" i="3"/>
  <c r="G842" i="3"/>
  <c r="W842" i="3"/>
  <c r="X842" i="3"/>
  <c r="AA842" i="3"/>
  <c r="A843" i="3"/>
  <c r="G843" i="3"/>
  <c r="W843" i="3"/>
  <c r="X843" i="3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AA849" i="3"/>
  <c r="A850" i="3"/>
  <c r="G850" i="3"/>
  <c r="W850" i="3"/>
  <c r="X850" i="3"/>
  <c r="AA850" i="3"/>
  <c r="A851" i="3"/>
  <c r="G851" i="3"/>
  <c r="W851" i="3"/>
  <c r="X851" i="3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AA857" i="3"/>
  <c r="A858" i="3"/>
  <c r="G858" i="3"/>
  <c r="W858" i="3"/>
  <c r="X858" i="3"/>
  <c r="AA858" i="3"/>
  <c r="A859" i="3"/>
  <c r="G859" i="3"/>
  <c r="W859" i="3"/>
  <c r="X859" i="3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AA865" i="3"/>
  <c r="A866" i="3"/>
  <c r="G866" i="3"/>
  <c r="W866" i="3"/>
  <c r="X866" i="3"/>
  <c r="AA866" i="3"/>
  <c r="A867" i="3"/>
  <c r="G867" i="3"/>
  <c r="W867" i="3"/>
  <c r="X867" i="3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AA873" i="3"/>
  <c r="A874" i="3"/>
  <c r="G874" i="3"/>
  <c r="W874" i="3"/>
  <c r="X874" i="3"/>
  <c r="AA874" i="3"/>
  <c r="A875" i="3"/>
  <c r="G875" i="3"/>
  <c r="W875" i="3"/>
  <c r="X875" i="3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AA881" i="3"/>
  <c r="A882" i="3"/>
  <c r="G882" i="3"/>
  <c r="W882" i="3"/>
  <c r="X882" i="3"/>
  <c r="AA882" i="3"/>
  <c r="A883" i="3"/>
  <c r="G883" i="3"/>
  <c r="W883" i="3"/>
  <c r="X883" i="3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AA889" i="3"/>
  <c r="A890" i="3"/>
  <c r="G890" i="3"/>
  <c r="W890" i="3"/>
  <c r="X890" i="3"/>
  <c r="AA890" i="3"/>
  <c r="A891" i="3"/>
  <c r="G891" i="3"/>
  <c r="W891" i="3"/>
  <c r="X891" i="3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AA897" i="3"/>
  <c r="A898" i="3"/>
  <c r="G898" i="3"/>
  <c r="W898" i="3"/>
  <c r="X898" i="3"/>
  <c r="AA898" i="3"/>
  <c r="A899" i="3"/>
  <c r="G899" i="3"/>
  <c r="W899" i="3"/>
  <c r="X899" i="3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AA597" i="3"/>
  <c r="A598" i="3"/>
  <c r="G598" i="3"/>
  <c r="W598" i="3"/>
  <c r="X598" i="3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AA556" i="3"/>
  <c r="A557" i="3"/>
  <c r="W557" i="3"/>
  <c r="AA557" i="3"/>
  <c r="A558" i="3"/>
  <c r="G558" i="3"/>
  <c r="W558" i="3"/>
  <c r="X558" i="3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A517" i="3"/>
  <c r="G517" i="3"/>
  <c r="W517" i="3"/>
  <c r="X517" i="3"/>
  <c r="A518" i="3"/>
  <c r="G518" i="3"/>
  <c r="W518" i="3"/>
  <c r="X518" i="3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A525" i="3"/>
  <c r="G525" i="3"/>
  <c r="W525" i="3"/>
  <c r="X525" i="3"/>
  <c r="A526" i="3"/>
  <c r="G526" i="3"/>
  <c r="W526" i="3"/>
  <c r="X526" i="3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A533" i="3"/>
  <c r="G533" i="3"/>
  <c r="W533" i="3"/>
  <c r="X533" i="3"/>
  <c r="A534" i="3"/>
  <c r="G534" i="3"/>
  <c r="W534" i="3"/>
  <c r="X534" i="3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A539" i="3"/>
  <c r="G539" i="3"/>
  <c r="W539" i="3"/>
  <c r="X539" i="3"/>
  <c r="A540" i="3"/>
  <c r="G540" i="3"/>
  <c r="W540" i="3"/>
  <c r="X540" i="3"/>
  <c r="A541" i="3"/>
  <c r="G541" i="3"/>
  <c r="W541" i="3"/>
  <c r="X541" i="3"/>
  <c r="A542" i="3"/>
  <c r="G542" i="3"/>
  <c r="W542" i="3"/>
  <c r="X542" i="3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Z1032" i="3" l="1"/>
  <c r="Z1028" i="3"/>
  <c r="Z1020" i="3"/>
  <c r="Z1012" i="3"/>
  <c r="Z996" i="3"/>
  <c r="Z988" i="3"/>
  <c r="Z985" i="3"/>
  <c r="Z980" i="3"/>
  <c r="Z972" i="3"/>
  <c r="Z979" i="3"/>
  <c r="Z971" i="3"/>
  <c r="Z1184" i="3"/>
  <c r="Z964" i="3"/>
  <c r="Z963" i="3"/>
  <c r="Z969" i="3"/>
  <c r="Z960" i="3"/>
  <c r="Z952" i="3"/>
  <c r="Z958" i="3"/>
  <c r="Z961" i="3"/>
  <c r="Z953" i="3"/>
  <c r="Z945" i="3"/>
  <c r="Z934" i="3"/>
  <c r="Z1128" i="3"/>
  <c r="Z1110" i="3"/>
  <c r="Z1099" i="3"/>
  <c r="Z1091" i="3"/>
  <c r="Z1080" i="3"/>
  <c r="Z1072" i="3"/>
  <c r="Z1064" i="3"/>
  <c r="Z1056" i="3"/>
  <c r="Z1048" i="3"/>
  <c r="Z1040" i="3"/>
  <c r="Z1029" i="3"/>
  <c r="Z1026" i="3"/>
  <c r="Z1018" i="3"/>
  <c r="Z1010" i="3"/>
  <c r="Z1002" i="3"/>
  <c r="Z983" i="3"/>
  <c r="Z975" i="3"/>
  <c r="Z967" i="3"/>
  <c r="Z956" i="3"/>
  <c r="Z948" i="3"/>
  <c r="Z653" i="3"/>
  <c r="Z645" i="3"/>
  <c r="Z597" i="3"/>
  <c r="Z897" i="3"/>
  <c r="Z889" i="3"/>
  <c r="Z857" i="3"/>
  <c r="Z841" i="3"/>
  <c r="Z833" i="3"/>
  <c r="Z825" i="3"/>
  <c r="Z817" i="3"/>
  <c r="Z809" i="3"/>
  <c r="Z801" i="3"/>
  <c r="Z793" i="3"/>
  <c r="Z785" i="3"/>
  <c r="Z777" i="3"/>
  <c r="Z769" i="3"/>
  <c r="Z761" i="3"/>
  <c r="Z753" i="3"/>
  <c r="Z745" i="3"/>
  <c r="Z737" i="3"/>
  <c r="Z1157" i="3"/>
  <c r="Z1149" i="3"/>
  <c r="Z1141" i="3"/>
  <c r="Z1133" i="3"/>
  <c r="Z1127" i="3"/>
  <c r="Z1116" i="3"/>
  <c r="Z1070" i="3"/>
  <c r="Z1062" i="3"/>
  <c r="Z1008" i="3"/>
  <c r="Z1000" i="3"/>
  <c r="Z930" i="3"/>
  <c r="Z922" i="3"/>
  <c r="Z914" i="3"/>
  <c r="Z906" i="3"/>
  <c r="Z1189" i="3"/>
  <c r="Z1181" i="3"/>
  <c r="Z1173" i="3"/>
  <c r="Z1194" i="3"/>
  <c r="Z968" i="3"/>
  <c r="Z957" i="3"/>
  <c r="Z949" i="3"/>
  <c r="Z941" i="3"/>
  <c r="Z933" i="3"/>
  <c r="Z925" i="3"/>
  <c r="Z917" i="3"/>
  <c r="Z909" i="3"/>
  <c r="Z901" i="3"/>
  <c r="Z1144" i="3"/>
  <c r="Z1122" i="3"/>
  <c r="Z1114" i="3"/>
  <c r="Z944" i="3"/>
  <c r="Z622" i="3"/>
  <c r="Z614" i="3"/>
  <c r="Z598" i="3"/>
  <c r="Z898" i="3"/>
  <c r="Z858" i="3"/>
  <c r="Z850" i="3"/>
  <c r="Z834" i="3"/>
  <c r="Z826" i="3"/>
  <c r="Z818" i="3"/>
  <c r="Z810" i="3"/>
  <c r="Z802" i="3"/>
  <c r="Z794" i="3"/>
  <c r="Z762" i="3"/>
  <c r="Z754" i="3"/>
  <c r="Z730" i="3"/>
  <c r="Z722" i="3"/>
  <c r="Z1166" i="3"/>
  <c r="Z1161" i="3"/>
  <c r="Z1158" i="3"/>
  <c r="Z1150" i="3"/>
  <c r="Z1079" i="3"/>
  <c r="Z1071" i="3"/>
  <c r="Z1055" i="3"/>
  <c r="Z1047" i="3"/>
  <c r="Z1039" i="3"/>
  <c r="Z1025" i="3"/>
  <c r="Z1017" i="3"/>
  <c r="Z1009" i="3"/>
  <c r="Z1001" i="3"/>
  <c r="Z936" i="3"/>
  <c r="Z1168" i="3"/>
  <c r="Z1165" i="3"/>
  <c r="Z1154" i="3"/>
  <c r="Z1146" i="3"/>
  <c r="Z1143" i="3"/>
  <c r="Z1135" i="3"/>
  <c r="Z1118" i="3"/>
  <c r="Z1107" i="3"/>
  <c r="Z1096" i="3"/>
  <c r="Z1088" i="3"/>
  <c r="Z1077" i="3"/>
  <c r="Z1066" i="3"/>
  <c r="Z1052" i="3"/>
  <c r="Z1044" i="3"/>
  <c r="Z1036" i="3"/>
  <c r="Z1022" i="3"/>
  <c r="Z1014" i="3"/>
  <c r="Z1003" i="3"/>
  <c r="Z992" i="3"/>
  <c r="Z981" i="3"/>
  <c r="Z973" i="3"/>
  <c r="Z965" i="3"/>
  <c r="Z954" i="3"/>
  <c r="Z946" i="3"/>
  <c r="Z938" i="3"/>
  <c r="Z935" i="3"/>
  <c r="Z927" i="3"/>
  <c r="Z1186" i="3"/>
  <c r="Z1183" i="3"/>
  <c r="Z1175" i="3"/>
  <c r="Z1196" i="3"/>
  <c r="Z1169" i="3"/>
  <c r="Z1155" i="3"/>
  <c r="Z1147" i="3"/>
  <c r="Z1136" i="3"/>
  <c r="Z1119" i="3"/>
  <c r="Z1108" i="3"/>
  <c r="Z1097" i="3"/>
  <c r="Z1089" i="3"/>
  <c r="Z1078" i="3"/>
  <c r="Z1067" i="3"/>
  <c r="Z1053" i="3"/>
  <c r="Z1045" i="3"/>
  <c r="Z1037" i="3"/>
  <c r="Z1023" i="3"/>
  <c r="Z1015" i="3"/>
  <c r="Z1004" i="3"/>
  <c r="Z993" i="3"/>
  <c r="Z982" i="3"/>
  <c r="Z974" i="3"/>
  <c r="Z966" i="3"/>
  <c r="Z955" i="3"/>
  <c r="Z947" i="3"/>
  <c r="Z939" i="3"/>
  <c r="Z928" i="3"/>
  <c r="Z1187" i="3"/>
  <c r="Z1176" i="3"/>
  <c r="Z1197" i="3"/>
  <c r="Z1167" i="3"/>
  <c r="Z1164" i="3"/>
  <c r="Z1153" i="3"/>
  <c r="Z1145" i="3"/>
  <c r="Z1142" i="3"/>
  <c r="Z1134" i="3"/>
  <c r="Z1117" i="3"/>
  <c r="Z1106" i="3"/>
  <c r="Z1095" i="3"/>
  <c r="Z1087" i="3"/>
  <c r="Z1076" i="3"/>
  <c r="Z1065" i="3"/>
  <c r="Z1182" i="3"/>
  <c r="Z1195" i="3"/>
  <c r="Z1170" i="3"/>
  <c r="Z1156" i="3"/>
  <c r="Z1148" i="3"/>
  <c r="Z1137" i="3"/>
  <c r="Z1120" i="3"/>
  <c r="Z1109" i="3"/>
  <c r="Z1098" i="3"/>
  <c r="Z1090" i="3"/>
  <c r="Z1068" i="3"/>
  <c r="Z1057" i="3"/>
  <c r="Z1054" i="3"/>
  <c r="Z1046" i="3"/>
  <c r="Z1038" i="3"/>
  <c r="Z1024" i="3"/>
  <c r="Z1016" i="3"/>
  <c r="Z1005" i="3"/>
  <c r="Z994" i="3"/>
  <c r="Z940" i="3"/>
  <c r="Z542" i="3"/>
  <c r="Z540" i="3"/>
  <c r="Z538" i="3"/>
  <c r="Z534" i="3"/>
  <c r="Z532" i="3"/>
  <c r="Z526" i="3"/>
  <c r="Z524" i="3"/>
  <c r="Z518" i="3"/>
  <c r="Z516" i="3"/>
  <c r="Z510" i="3"/>
  <c r="Z502" i="3"/>
  <c r="Z558" i="3"/>
  <c r="Z556" i="3"/>
  <c r="Z695" i="3"/>
  <c r="Z687" i="3"/>
  <c r="Z679" i="3"/>
  <c r="Z671" i="3"/>
  <c r="Z663" i="3"/>
  <c r="Z631" i="3"/>
  <c r="Z883" i="3"/>
  <c r="Z859" i="3"/>
  <c r="Z843" i="3"/>
  <c r="Z835" i="3"/>
  <c r="Z827" i="3"/>
  <c r="Z819" i="3"/>
  <c r="Z811" i="3"/>
  <c r="Z803" i="3"/>
  <c r="Z795" i="3"/>
  <c r="Z787" i="3"/>
  <c r="Z779" i="3"/>
  <c r="Z771" i="3"/>
  <c r="Z763" i="3"/>
  <c r="Z755" i="3"/>
  <c r="Z747" i="3"/>
  <c r="Z739" i="3"/>
  <c r="Z731" i="3"/>
  <c r="Z1162" i="3"/>
  <c r="Z1159" i="3"/>
  <c r="Z1151" i="3"/>
  <c r="Z1140" i="3"/>
  <c r="Z1132" i="3"/>
  <c r="Z1129" i="3"/>
  <c r="Z1126" i="3"/>
  <c r="Z1123" i="3"/>
  <c r="Z1115" i="3"/>
  <c r="Z1104" i="3"/>
  <c r="Z1101" i="3"/>
  <c r="Z1093" i="3"/>
  <c r="Z1085" i="3"/>
  <c r="Z1082" i="3"/>
  <c r="Z1074" i="3"/>
  <c r="Z1063" i="3"/>
  <c r="Z1049" i="3"/>
  <c r="Z1041" i="3"/>
  <c r="Z1033" i="3"/>
  <c r="Z1030" i="3"/>
  <c r="Z1027" i="3"/>
  <c r="Z1019" i="3"/>
  <c r="Z1011" i="3"/>
  <c r="Z997" i="3"/>
  <c r="Z989" i="3"/>
  <c r="Z986" i="3"/>
  <c r="Z978" i="3"/>
  <c r="Z970" i="3"/>
  <c r="Z962" i="3"/>
  <c r="Z959" i="3"/>
  <c r="Z951" i="3"/>
  <c r="Z943" i="3"/>
  <c r="Z932" i="3"/>
  <c r="Z924" i="3"/>
  <c r="Z916" i="3"/>
  <c r="Z908" i="3"/>
  <c r="Z1191" i="3"/>
  <c r="Z1180" i="3"/>
  <c r="Z1201" i="3"/>
  <c r="Z1193" i="3"/>
  <c r="Z919" i="3"/>
  <c r="Z911" i="3"/>
  <c r="Z903" i="3"/>
  <c r="Z920" i="3"/>
  <c r="Z912" i="3"/>
  <c r="Z926" i="3"/>
  <c r="Z918" i="3"/>
  <c r="Z910" i="3"/>
  <c r="Z902" i="3"/>
  <c r="Z921" i="3"/>
  <c r="Z913" i="3"/>
  <c r="Z905" i="3"/>
  <c r="Z904" i="3"/>
  <c r="Z890" i="3"/>
  <c r="Z899" i="3"/>
  <c r="Z891" i="3"/>
  <c r="Z881" i="3"/>
  <c r="Z882" i="3"/>
  <c r="Z1174" i="3"/>
  <c r="Z1178" i="3"/>
  <c r="Z874" i="3"/>
  <c r="Z866" i="3"/>
  <c r="Z875" i="3"/>
  <c r="Z867" i="3"/>
  <c r="Z873" i="3"/>
  <c r="Z865" i="3"/>
  <c r="Z851" i="3"/>
  <c r="Z849" i="3"/>
  <c r="Z509" i="3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Z680" i="3"/>
  <c r="Z672" i="3"/>
  <c r="Z664" i="3"/>
  <c r="Z656" i="3"/>
  <c r="Z640" i="3"/>
  <c r="Z624" i="3"/>
  <c r="Z608" i="3"/>
  <c r="Z900" i="3"/>
  <c r="Z892" i="3"/>
  <c r="Z884" i="3"/>
  <c r="Z876" i="3"/>
  <c r="Z868" i="3"/>
  <c r="Z860" i="3"/>
  <c r="Z732" i="3"/>
  <c r="Z724" i="3"/>
  <c r="Z716" i="3"/>
  <c r="Z591" i="3"/>
  <c r="Z686" i="3"/>
  <c r="Z678" i="3"/>
  <c r="Z670" i="3"/>
  <c r="Z662" i="3"/>
  <c r="Z638" i="3"/>
  <c r="Z630" i="3"/>
  <c r="Z552" i="3"/>
  <c r="Z649" i="3"/>
  <c r="Z625" i="3"/>
  <c r="Z617" i="3"/>
  <c r="Z601" i="3"/>
  <c r="Z893" i="3"/>
  <c r="Z885" i="3"/>
  <c r="Z877" i="3"/>
  <c r="Z869" i="3"/>
  <c r="Z861" i="3"/>
  <c r="Z842" i="3"/>
  <c r="Z852" i="3"/>
  <c r="Z844" i="3"/>
  <c r="Z853" i="3"/>
  <c r="Z845" i="3"/>
  <c r="Z846" i="3"/>
  <c r="Z837" i="3"/>
  <c r="Z829" i="3"/>
  <c r="Z838" i="3"/>
  <c r="Z830" i="3"/>
  <c r="Z836" i="3"/>
  <c r="Z821" i="3"/>
  <c r="Z822" i="3"/>
  <c r="Z828" i="3"/>
  <c r="Z820" i="3"/>
  <c r="Z812" i="3"/>
  <c r="Z804" i="3"/>
  <c r="Z813" i="3"/>
  <c r="Z805" i="3"/>
  <c r="Z797" i="3"/>
  <c r="Z814" i="3"/>
  <c r="Z806" i="3"/>
  <c r="Z798" i="3"/>
  <c r="Z790" i="3"/>
  <c r="Z796" i="3"/>
  <c r="Z782" i="3"/>
  <c r="Z788" i="3"/>
  <c r="Z786" i="3"/>
  <c r="Z789" i="3"/>
  <c r="Z781" i="3"/>
  <c r="Z774" i="3"/>
  <c r="Z780" i="3"/>
  <c r="Z772" i="3"/>
  <c r="Z778" i="3"/>
  <c r="Z770" i="3"/>
  <c r="Z773" i="3"/>
  <c r="Z764" i="3"/>
  <c r="Z756" i="3"/>
  <c r="Z765" i="3"/>
  <c r="Z757" i="3"/>
  <c r="Z766" i="3"/>
  <c r="Z758" i="3"/>
  <c r="Z750" i="3"/>
  <c r="Z742" i="3"/>
  <c r="Z748" i="3"/>
  <c r="Z740" i="3"/>
  <c r="Z746" i="3"/>
  <c r="Z738" i="3"/>
  <c r="Z749" i="3"/>
  <c r="Z741" i="3"/>
  <c r="Z729" i="3"/>
  <c r="Z727" i="3"/>
  <c r="Z733" i="3"/>
  <c r="Z725" i="3"/>
  <c r="Z728" i="3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Z697" i="3"/>
  <c r="Z689" i="3"/>
  <c r="Z681" i="3"/>
  <c r="Z673" i="3"/>
  <c r="Z665" i="3"/>
  <c r="Z657" i="3"/>
  <c r="Z654" i="3"/>
  <c r="Z646" i="3"/>
  <c r="Z643" i="3"/>
  <c r="Z652" i="3"/>
  <c r="Z641" i="3"/>
  <c r="Z698" i="3"/>
  <c r="Z690" i="3"/>
  <c r="Z682" i="3"/>
  <c r="Z674" i="3"/>
  <c r="Z666" i="3"/>
  <c r="Z658" i="3"/>
  <c r="Z655" i="3"/>
  <c r="Z647" i="3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Z635" i="3"/>
  <c r="Z633" i="3"/>
  <c r="Z636" i="3"/>
  <c r="Z634" i="3"/>
  <c r="Z637" i="3"/>
  <c r="Z629" i="3"/>
  <c r="Z632" i="3"/>
  <c r="Z627" i="3"/>
  <c r="Z619" i="3"/>
  <c r="Z628" i="3"/>
  <c r="Z620" i="3"/>
  <c r="Z623" i="3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Z562" i="3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Z385" i="3"/>
  <c r="Z381" i="3"/>
  <c r="Z377" i="3"/>
  <c r="Z373" i="3"/>
  <c r="Z536" i="3"/>
  <c r="Z520" i="3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<sst xmlns="http://schemas.openxmlformats.org/spreadsheetml/2006/main" count="4030" uniqueCount="2268">
  <si>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</si>
  <si>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</si>
  <si>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</si>
  <si>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</si>
  <si>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</si>
  <si>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</si>
  <si>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</si>
  <si>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</si>
  <si>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</si>
  <si>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</si>
  <si>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</si>
  <si>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</si>
  <si>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</si>
  <si>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</si>
  <si>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</si>
  <si>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</si>
  <si>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</si>
  <si>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</si>
  <si>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</si>
  <si>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</si>
  <si>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</si>
  <si>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</si>
  <si>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</si>
  <si>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</si>
  <si>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</si>
  <si>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</si>
  <si>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</si>
  <si>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</si>
  <si>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</si>
  <si>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</si>
  <si>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</si>
  <si>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</si>
  <si>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</si>
  <si>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</si>
  <si>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</si>
  <si>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</si>
  <si>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</si>
  <si>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</si>
  <si>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</si>
  <si>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</si>
  <si>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</si>
  <si>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</si>
  <si>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</si>
  <si>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</si>
  <si>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</si>
  <si>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</si>
  <si>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</si>
  <si>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</si>
  <si>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</si>
  <si>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</si>
  <si>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</si>
  <si>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</si>
  <si>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</si>
  <si>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</si>
  <si>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</si>
  <si>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</si>
  <si>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</si>
  <si>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</si>
  <si>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</si>
  <si>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</si>
  <si>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</si>
  <si>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</si>
  <si>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</si>
  <si>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</si>
  <si>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</si>
  <si>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</si>
  <si>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</si>
  <si>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</si>
  <si>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</si>
  <si>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</si>
  <si>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</si>
  <si>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</si>
  <si>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</si>
  <si>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</si>
  <si>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</si>
  <si>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</si>
  <si>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</si>
  <si>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</si>
  <si>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</si>
  <si>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</si>
  <si>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</si>
  <si>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</si>
  <si>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</si>
  <si>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</si>
  <si>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</si>
  <si>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</si>
  <si>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</si>
  <si>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</si>
  <si>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</si>
  <si>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</si>
  <si>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</si>
  <si>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</si>
  <si>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</si>
  <si>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</si>
  <si>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</si>
  <si>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</si>
  <si>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</si>
  <si>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</si>
  <si>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</si>
  <si>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</si>
  <si>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</si>
  <si>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</si>
  <si>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</si>
  <si>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</si>
  <si>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</si>
  <si>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</si>
  <si>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</si>
  <si>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</si>
  <si>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</si>
  <si>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</si>
  <si>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</si>
  <si>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</si>
  <si>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</si>
  <si>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</si>
  <si>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</si>
  <si>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</si>
  <si>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</si>
  <si>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</si>
  <si>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</si>
  <si>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</si>
  <si>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</si>
  <si>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</si>
  <si>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</si>
  <si>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</si>
  <si>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</si>
  <si>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</si>
  <si>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</si>
  <si>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</si>
  <si>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</si>
  <si>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</si>
  <si>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</si>
  <si>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</si>
  <si>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</si>
  <si>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</si>
  <si>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</si>
  <si>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</si>
  <si>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</si>
  <si>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</si>
  <si>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</si>
  <si>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</si>
  <si>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</si>
  <si>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</si>
  <si>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</si>
  <si>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</si>
  <si>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</si>
  <si>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</si>
  <si>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</si>
  <si>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</si>
  <si>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</si>
  <si>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</si>
  <si>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</si>
  <si>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</si>
  <si>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</si>
  <si>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</si>
  <si>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</si>
  <si>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</si>
  <si>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</si>
  <si>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</si>
  <si>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</si>
  <si>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</si>
  <si>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</si>
  <si>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</si>
  <si>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</si>
  <si>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</si>
  <si>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</si>
  <si>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</si>
  <si>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</si>
  <si>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</si>
  <si>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</si>
  <si>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</si>
  <si>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</si>
  <si>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</si>
  <si>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</si>
  <si>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</si>
  <si>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</si>
  <si>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</si>
  <si>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</si>
  <si>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</si>
  <si>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</si>
  <si>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</si>
  <si>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</si>
  <si>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</si>
  <si>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</si>
  <si>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</si>
  <si>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</si>
  <si>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</si>
  <si>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</si>
  <si>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</si>
  <si>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</si>
  <si>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</si>
  <si>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</si>
  <si>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</si>
  <si>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</si>
  <si>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</si>
  <si>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</si>
  <si>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</si>
  <si>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</si>
  <si>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</si>
  <si>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</si>
  <si>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</si>
  <si>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</si>
  <si>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</si>
  <si>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</si>
  <si>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</si>
  <si>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</si>
  <si>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</si>
  <si>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</si>
  <si>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</si>
  <si>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</si>
  <si>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</si>
  <si>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</si>
  <si>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</si>
  <si>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</si>
  <si>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</si>
  <si>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</si>
  <si>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</si>
  <si>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</si>
  <si>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</si>
  <si>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</si>
  <si>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</si>
  <si>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</si>
  <si>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</si>
  <si>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</si>
  <si>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</si>
  <si>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</si>
  <si>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</si>
  <si>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</si>
  <si>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</si>
  <si>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</si>
  <si>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</si>
  <si>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</si>
  <si>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</si>
  <si>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</si>
  <si>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</si>
  <si>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</si>
  <si>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</si>
  <si>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</si>
  <si>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</si>
  <si>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</si>
  <si>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</si>
  <si>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</si>
  <si>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</si>
  <si>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</si>
  <si>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</si>
  <si>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</si>
  <si>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</si>
  <si>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</si>
  <si>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</si>
  <si>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</si>
  <si>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</si>
  <si>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</si>
  <si>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</si>
  <si>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</si>
  <si>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</si>
  <si>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</si>
  <si>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</si>
  <si>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</si>
  <si>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</si>
  <si>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</si>
  <si>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</si>
  <si>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</si>
  <si>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</si>
  <si>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</si>
  <si>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</si>
  <si>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</si>
  <si>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</si>
  <si>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</si>
  <si>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</si>
  <si>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</si>
  <si>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</si>
  <si>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</si>
  <si>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</si>
  <si>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</si>
  <si>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</si>
  <si>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</si>
  <si>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</si>
  <si>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</si>
  <si>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</si>
  <si>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</si>
  <si>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</si>
  <si>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</si>
  <si>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</si>
  <si>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</si>
  <si>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</si>
  <si>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</si>
  <si>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</si>
  <si>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</si>
  <si>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</si>
  <si>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</si>
  <si>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</si>
  <si>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</si>
  <si>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</si>
  <si>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</si>
  <si>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</si>
  <si>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</si>
  <si>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</si>
  <si>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</si>
  <si>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</si>
  <si>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</si>
  <si>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</si>
  <si>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</si>
  <si>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</si>
  <si>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</si>
  <si>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</si>
  <si>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</si>
  <si>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</si>
  <si>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</si>
  <si>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</si>
  <si>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</si>
  <si>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</si>
  <si>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</si>
  <si>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</si>
  <si>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</si>
  <si>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</si>
  <si>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</si>
  <si>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</si>
  <si>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</si>
  <si>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</si>
  <si>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</si>
  <si>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</si>
  <si>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</si>
  <si>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</si>
  <si>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</si>
  <si>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</si>
  <si>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</si>
  <si>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</si>
  <si>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</si>
  <si>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</si>
  <si>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</si>
  <si>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</si>
  <si>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</si>
  <si>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</si>
  <si>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</si>
  <si>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</si>
  <si>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</si>
  <si>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</si>
  <si>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</si>
  <si>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</si>
  <si>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</si>
  <si>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</si>
  <si>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</si>
  <si>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</si>
  <si>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</si>
  <si>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</si>
  <si>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</si>
  <si>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</si>
  <si>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</si>
  <si>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</si>
  <si>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</si>
  <si>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</si>
  <si>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</si>
  <si>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</si>
  <si>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</si>
  <si>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</si>
  <si>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</si>
  <si>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</si>
  <si>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</si>
  <si>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</si>
  <si>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</si>
  <si>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</si>
  <si>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</si>
  <si>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</si>
  <si>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</si>
  <si>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</si>
  <si>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</si>
  <si>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</si>
  <si>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</si>
  <si>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</si>
  <si>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</si>
  <si>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</si>
  <si>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</si>
  <si>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</si>
  <si>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</si>
  <si>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</si>
  <si>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</si>
  <si>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</si>
  <si>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</si>
  <si>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</si>
  <si>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</si>
  <si>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</si>
  <si>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</si>
  <si>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</si>
  <si>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</si>
  <si>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</si>
  <si>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</si>
  <si>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</si>
  <si>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</si>
  <si>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</si>
  <si>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</si>
  <si>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</si>
  <si>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</si>
  <si>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</si>
  <si>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</si>
  <si>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</si>
  <si>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</si>
  <si>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</si>
  <si>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</si>
  <si>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</si>
  <si>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</si>
  <si>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</si>
  <si>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</si>
  <si>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</si>
  <si>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</si>
  <si>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</si>
  <si>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</si>
  <si>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</si>
  <si>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</si>
  <si>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</si>
  <si>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</si>
  <si>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</si>
  <si>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</si>
  <si>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</si>
  <si>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</si>
  <si>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</si>
  <si>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</si>
  <si>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</si>
  <si>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</si>
  <si>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</si>
  <si>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</si>
  <si>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</si>
  <si>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</si>
  <si>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</si>
  <si>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</si>
  <si>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</si>
  <si>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</si>
  <si>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</si>
  <si>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</si>
  <si>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</si>
  <si>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</si>
  <si>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</si>
  <si>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</si>
  <si>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</si>
  <si>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</si>
  <si>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</si>
  <si>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</si>
  <si>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</si>
  <si>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</si>
  <si>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</si>
  <si>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</si>
  <si>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</si>
  <si>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</si>
  <si>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</si>
  <si>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</si>
  <si>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</si>
  <si>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</si>
  <si>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</si>
  <si>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</si>
  <si>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</si>
  <si>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</si>
  <si>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</si>
  <si>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</si>
  <si>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</si>
  <si>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</si>
  <si>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</si>
  <si>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</si>
  <si>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</si>
  <si>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</si>
  <si>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</si>
  <si>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</si>
  <si>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</si>
  <si>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</si>
  <si>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</si>
  <si>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</si>
  <si>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</si>
  <si>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</si>
  <si>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</si>
  <si>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</si>
  <si>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</si>
  <si>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</si>
  <si>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</si>
  <si>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</si>
  <si>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</si>
  <si>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</si>
  <si>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</si>
  <si>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</si>
  <si>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</si>
  <si>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</si>
  <si>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</si>
  <si>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</si>
  <si>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</si>
  <si>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</si>
  <si>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</si>
  <si>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</si>
  <si>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</si>
  <si>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</si>
  <si>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</si>
  <si>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</si>
  <si>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</si>
  <si>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</si>
  <si>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</si>
  <si>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</si>
  <si>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</si>
  <si>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</si>
  <si>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</si>
  <si>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</si>
  <si>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</si>
  <si>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</si>
  <si>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</si>
  <si>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</si>
  <si>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</si>
  <si>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</si>
  <si>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</si>
  <si>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</si>
  <si>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</si>
  <si>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</si>
  <si>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</si>
  <si>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</si>
  <si>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</si>
  <si>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</si>
  <si>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</si>
  <si>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</si>
  <si>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</si>
  <si>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</si>
  <si>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</si>
  <si>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</si>
  <si>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</si>
  <si>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</si>
  <si>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</si>
  <si>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</si>
  <si>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</si>
  <si>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</si>
  <si>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</si>
  <si>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</si>
  <si>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</si>
  <si>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</si>
  <si>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</si>
  <si>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</si>
  <si>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</si>
  <si>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</si>
  <si>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</si>
  <si>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</si>
  <si>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</si>
  <si>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</si>
  <si>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</si>
  <si>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</si>
  <si>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</si>
  <si>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</si>
  <si>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</si>
  <si>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</si>
  <si>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</si>
  <si>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</si>
  <si>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</si>
  <si>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</si>
  <si>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</si>
  <si>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</si>
  <si>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</si>
  <si>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</si>
  <si>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</si>
  <si>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</si>
  <si>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</si>
  <si>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</si>
  <si>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</si>
  <si>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</si>
  <si>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</si>
  <si>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</si>
  <si>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</si>
  <si>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</si>
  <si>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</si>
  <si>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</si>
  <si>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</si>
  <si>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</si>
  <si>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</si>
  <si>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</si>
  <si>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</si>
  <si>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</si>
  <si>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</si>
  <si>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</si>
  <si>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</si>
  <si>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</si>
  <si>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</si>
  <si>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</si>
  <si>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</si>
  <si>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</si>
  <si>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</si>
  <si>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</si>
  <si>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</si>
  <si>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</si>
  <si>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</si>
  <si>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</si>
  <si>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</si>
  <si>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</si>
  <si>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</si>
  <si>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</si>
  <si>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</si>
  <si>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</si>
  <si>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</si>
  <si>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</si>
  <si>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</si>
  <si>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</si>
  <si>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</si>
  <si>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</si>
  <si>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</si>
  <si>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</si>
  <si>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</si>
  <si>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</si>
  <si>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</si>
  <si>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</si>
  <si>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</si>
  <si>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</si>
  <si>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</si>
  <si>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</si>
  <si>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</si>
  <si>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</si>
  <si>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</si>
  <si>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</si>
  <si>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</si>
  <si>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</si>
  <si>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</si>
  <si>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</si>
  <si>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</si>
  <si>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</si>
  <si>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</si>
  <si>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</si>
  <si>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</si>
  <si>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</si>
  <si>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</si>
  <si>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</si>
  <si>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</si>
  <si>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</si>
  <si>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</si>
  <si>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</si>
  <si>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</si>
  <si>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</si>
  <si>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</si>
  <si>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</si>
  <si>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</si>
  <si>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</si>
  <si>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</si>
  <si>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</si>
  <si>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</si>
  <si>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</si>
  <si>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</si>
  <si>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</si>
  <si>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</si>
  <si>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</si>
  <si>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</si>
  <si>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</si>
  <si>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</si>
  <si>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</si>
  <si>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</si>
  <si>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</si>
  <si>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</si>
  <si>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</si>
  <si>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</si>
  <si>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</si>
  <si>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</si>
  <si>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</si>
  <si>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</si>
  <si>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</si>
  <si>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</si>
  <si>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</si>
  <si>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</si>
  <si>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</si>
  <si>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</si>
  <si>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</si>
  <si>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</si>
  <si>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</si>
  <si>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</si>
  <si>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</si>
  <si>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</si>
  <si>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</si>
  <si>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</si>
  <si>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</si>
  <si>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</si>
  <si>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</si>
  <si>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</si>
  <si>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</si>
  <si>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</si>
  <si>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</si>
  <si>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</si>
  <si>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</si>
  <si>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</si>
  <si>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</si>
  <si>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</si>
  <si>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</si>
  <si>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</si>
  <si>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</si>
  <si>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</si>
  <si>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</si>
  <si>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</si>
  <si>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</si>
  <si>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</si>
  <si>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</si>
  <si>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</si>
  <si>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</si>
  <si>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</si>
  <si>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</si>
  <si>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</si>
  <si>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</si>
  <si>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</si>
  <si>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</si>
  <si>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</si>
  <si>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</si>
  <si>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</si>
  <si>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</si>
  <si>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</si>
  <si>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</si>
  <si>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</si>
  <si>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</si>
  <si>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</si>
  <si>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</si>
  <si>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</si>
  <si>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</si>
  <si>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</si>
  <si>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</si>
  <si>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</si>
  <si>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</si>
  <si>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</si>
  <si>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</si>
  <si>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</si>
  <si>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</si>
  <si>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</si>
  <si>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</si>
  <si>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</si>
  <si>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</si>
  <si>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</si>
  <si>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</si>
  <si>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</si>
  <si>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</si>
  <si>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</si>
  <si>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</si>
  <si>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</si>
  <si>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</si>
  <si>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</si>
  <si>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</si>
  <si>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</si>
  <si>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</si>
  <si>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</si>
  <si>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</si>
  <si>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</si>
  <si>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</si>
  <si>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</si>
  <si>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</si>
  <si>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</si>
  <si>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</si>
  <si>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</si>
  <si>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</si>
  <si>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</si>
  <si>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</si>
  <si>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</si>
  <si>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</si>
  <si>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</si>
  <si>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</si>
  <si>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</si>
  <si>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</si>
  <si>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</si>
  <si>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</si>
  <si>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</si>
  <si>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</si>
  <si>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</si>
  <si>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</si>
  <si>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</si>
  <si>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</si>
  <si>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</si>
  <si>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</si>
  <si>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</si>
  <si>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</si>
  <si>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</si>
  <si>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</si>
  <si>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</si>
  <si>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</si>
  <si>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</si>
  <si>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</si>
  <si>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</si>
  <si>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</si>
  <si>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</si>
  <si>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</si>
  <si>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</si>
  <si>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</si>
  <si>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</si>
  <si>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</si>
  <si>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</si>
  <si>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</si>
  <si>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</si>
  <si>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</si>
  <si>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</si>
  <si>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</si>
  <si>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</si>
  <si>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</si>
  <si>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</si>
  <si>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</si>
  <si>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</si>
  <si>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</si>
  <si>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</si>
  <si>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</si>
  <si>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</si>
  <si>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</si>
  <si>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</si>
  <si>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</si>
  <si>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</si>
  <si>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</si>
  <si>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</si>
  <si>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</si>
  <si>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</si>
  <si>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</si>
  <si>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</si>
  <si>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</si>
  <si>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</si>
  <si>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</si>
  <si>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</si>
  <si>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</si>
  <si>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</si>
  <si>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</si>
  <si>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</si>
  <si>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</si>
  <si>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</si>
  <si>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</si>
  <si>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</si>
  <si>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</si>
  <si>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</si>
  <si>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</si>
  <si>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</si>
  <si>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</si>
  <si>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</si>
  <si>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</si>
  <si>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</si>
  <si>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</si>
  <si>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</si>
  <si>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</si>
  <si>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</si>
  <si>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</si>
  <si>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</si>
  <si>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</si>
  <si>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</si>
  <si>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</si>
  <si>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</si>
  <si>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</si>
  <si>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</si>
  <si>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</si>
  <si>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</si>
  <si>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</si>
  <si>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</si>
  <si>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</si>
  <si>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</si>
  <si>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</si>
  <si>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</si>
  <si>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</si>
  <si>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</si>
  <si>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</si>
  <si>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</si>
  <si>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</si>
  <si>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</si>
  <si>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</si>
  <si>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</si>
  <si>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</si>
  <si>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</si>
  <si>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</si>
  <si>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</si>
  <si>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</si>
  <si>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</si>
  <si>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</si>
  <si>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</si>
  <si>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</si>
  <si>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</si>
  <si>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</si>
  <si>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</si>
  <si>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</si>
  <si>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</si>
  <si>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</si>
  <si>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</si>
  <si>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</si>
  <si>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</si>
  <si>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</si>
  <si>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</si>
  <si>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</si>
  <si>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</si>
  <si>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</si>
  <si>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</si>
  <si>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</si>
  <si>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</si>
  <si>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</si>
  <si>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</si>
  <si>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</si>
  <si>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</si>
  <si>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</si>
  <si>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</si>
  <si>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</si>
  <si>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</si>
  <si>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</si>
  <si>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</si>
  <si>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</si>
  <si>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</si>
  <si>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</si>
  <si>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</si>
  <si>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</si>
  <si>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</si>
  <si>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</si>
  <si>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</si>
  <si>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</si>
  <si>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</si>
  <si>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</si>
  <si>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</si>
  <si>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</si>
  <si>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</si>
  <si>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</si>
  <si>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</si>
  <si>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</si>
  <si>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</si>
  <si>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</si>
  <si>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</si>
  <si>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</si>
  <si>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</si>
  <si>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</si>
  <si>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</si>
  <si>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</si>
  <si>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</si>
  <si>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</si>
  <si>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</si>
  <si>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</si>
  <si>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</si>
  <si>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</si>
  <si>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</si>
  <si>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</si>
  <si>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</si>
  <si>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</si>
  <si>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</si>
  <si>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</si>
  <si>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</si>
  <si>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</si>
  <si>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</si>
  <si>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</si>
  <si>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</si>
  <si>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</si>
  <si>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</si>
  <si>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</si>
  <si>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</si>
  <si>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</si>
  <si>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</si>
  <si>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</si>
  <si>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</si>
  <si>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</si>
  <si>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</si>
  <si>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</si>
  <si>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</si>
  <si>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</si>
  <si>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</si>
  <si>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</si>
  <si>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</si>
  <si>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</si>
  <si>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</si>
  <si>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</si>
  <si>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</si>
  <si>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</si>
  <si>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</si>
  <si>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</si>
  <si>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</si>
  <si>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</si>
  <si>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</si>
  <si>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</si>
  <si>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</si>
  <si>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</si>
  <si>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</si>
  <si>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</si>
  <si>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</si>
  <si>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</si>
  <si>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</si>
  <si>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</si>
  <si>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</si>
  <si>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</si>
  <si>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</si>
  <si>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</si>
  <si>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</si>
  <si>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</si>
  <si>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</si>
  <si>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</si>
  <si>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</si>
  <si>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</si>
  <si>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</si>
  <si>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</si>
  <si>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</si>
  <si>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</si>
  <si>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</si>
  <si>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</si>
  <si>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</si>
  <si>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</si>
  <si>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</si>
  <si>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</si>
  <si>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</si>
  <si>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</si>
  <si>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</si>
  <si>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</si>
  <si>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</si>
  <si>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</si>
  <si>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</si>
  <si>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</si>
  <si>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</si>
  <si>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</si>
  <si>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</si>
  <si>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</si>
  <si>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</si>
  <si>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</si>
  <si>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</si>
  <si>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</si>
  <si>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</si>
  <si>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</si>
  <si>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</si>
  <si>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</si>
  <si>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</si>
  <si>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</si>
  <si>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</si>
  <si>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</si>
  <si>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</si>
  <si>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</si>
  <si>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</si>
  <si>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</si>
  <si>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</si>
  <si>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</si>
  <si>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</si>
  <si>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</si>
  <si>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</si>
  <si>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</si>
  <si>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</si>
  <si>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</si>
  <si>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</si>
  <si>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</si>
  <si>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</si>
  <si>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</si>
  <si>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</si>
  <si>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</si>
  <si>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</si>
  <si>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</si>
  <si>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</si>
  <si>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</si>
  <si>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</si>
  <si>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</si>
  <si>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</si>
  <si>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</si>
  <si>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</si>
  <si>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</si>
  <si>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</si>
  <si>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</si>
  <si>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</si>
  <si>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</si>
  <si>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</si>
  <si>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</si>
  <si>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</si>
  <si>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</si>
  <si>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</si>
  <si>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</si>
  <si>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</si>
  <si>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</si>
  <si>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</si>
  <si>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</si>
  <si>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</si>
  <si>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</si>
  <si>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</si>
  <si>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</si>
  <si>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</si>
  <si>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</si>
  <si>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</si>
  <si>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</si>
  <si>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</si>
  <si>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</si>
  <si>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</si>
  <si>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</si>
  <si>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</si>
  <si>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</si>
  <si>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</si>
  <si>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</si>
  <si>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</si>
  <si>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</si>
  <si>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</si>
  <si>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</si>
  <si>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</si>
  <si>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</si>
  <si>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</si>
  <si>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</si>
  <si>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</si>
  <si>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</si>
  <si>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</si>
  <si>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</si>
  <si>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</si>
  <si>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</si>
  <si>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</si>
  <si>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</si>
  <si>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</si>
  <si>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</si>
  <si>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</si>
  <si>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</si>
  <si>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</si>
  <si>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</si>
  <si>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</si>
  <si>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</si>
  <si>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</si>
  <si>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</si>
  <si>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</si>
  <si>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</si>
  <si>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</si>
  <si>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</si>
  <si>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</si>
  <si>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</si>
  <si>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</si>
  <si>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</si>
  <si>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</si>
  <si>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</si>
  <si>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</si>
  <si>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</si>
  <si>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</si>
  <si>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</si>
  <si>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</si>
  <si>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</si>
  <si>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</si>
  <si>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</si>
  <si>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</si>
  <si>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</si>
  <si>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</si>
  <si>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</si>
  <si>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</si>
  <si>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</si>
  <si>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</si>
  <si>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</si>
  <si>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</si>
  <si>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</si>
  <si>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</si>
  <si>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</si>
  <si>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</si>
  <si>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</si>
  <si>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</si>
  <si>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</si>
  <si>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</si>
  <si>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</si>
  <si>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</si>
  <si>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</si>
  <si>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</si>
  <si>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</si>
  <si>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</si>
  <si>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</si>
  <si>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</si>
  <si>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</si>
  <si>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</si>
  <si>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</si>
  <si>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</si>
  <si>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</si>
  <si>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</si>
  <si>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</si>
  <si>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</si>
  <si>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</si>
  <si>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</si>
  <si>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</si>
  <si>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</si>
  <si>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</si>
  <si>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</si>
  <si>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</si>
  <si>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</si>
  <si>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</si>
  <si>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</si>
  <si>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</si>
  <si>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</si>
  <si>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</si>
  <si>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</si>
  <si>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</si>
  <si>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</si>
  <si>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</si>
  <si>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</si>
  <si>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</si>
  <si>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</si>
  <si>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</si>
  <si>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</si>
  <si>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</si>
  <si>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</si>
  <si>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</si>
  <si>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</si>
  <si>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</si>
  <si>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</si>
  <si>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</si>
  <si>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</si>
  <si>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</si>
  <si>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</si>
  <si>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</si>
  <si>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</si>
  <si>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</si>
  <si>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</si>
  <si>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</si>
  <si>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</si>
  <si>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</si>
  <si>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</si>
  <si>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</si>
  <si>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</si>
  <si>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</si>
  <si>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</si>
  <si>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</si>
  <si>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</si>
  <si>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</si>
  <si>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</si>
  <si>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</si>
  <si>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</si>
  <si>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</si>
  <si>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</si>
  <si>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</si>
  <si>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</si>
  <si>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</si>
  <si>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</si>
  <si>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</si>
  <si>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</si>
  <si>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</si>
  <si>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</si>
  <si>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</si>
  <si>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</si>
  <si>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</si>
  <si>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</si>
  <si>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</si>
  <si>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</si>
  <si>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</si>
  <si>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</si>
  <si>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</si>
  <si>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</si>
  <si>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</si>
  <si>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</si>
  <si>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</si>
  <si>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</si>
  <si>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</si>
  <si>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</si>
  <si>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</si>
  <si>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</si>
  <si>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</si>
  <si>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</si>
  <si>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</si>
  <si>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</si>
  <si>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</si>
  <si>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</si>
  <si>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</si>
  <si>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</si>
  <si>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</si>
  <si>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</si>
  <si>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</si>
  <si>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</si>
  <si>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</si>
  <si>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</si>
  <si>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</si>
  <si>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</si>
  <si>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</si>
  <si>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</si>
  <si>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</si>
  <si>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</si>
  <si>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</si>
  <si>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</si>
  <si>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</si>
  <si>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</si>
  <si>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</si>
  <si>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</si>
  <si>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</si>
  <si>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</si>
  <si>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</si>
  <si>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</si>
  <si>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</si>
  <si>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</si>
  <si>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</si>
  <si>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</si>
  <si>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</si>
  <si>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</si>
  <si>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</si>
  <si>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</si>
  <si>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</si>
  <si>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</si>
  <si>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</si>
  <si>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</si>
  <si>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</si>
  <si>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</si>
  <si>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</si>
  <si>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</si>
  <si>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</si>
  <si>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</si>
  <si>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</si>
  <si>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</si>
  <si>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</si>
  <si>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</si>
  <si>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</si>
  <si>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</si>
  <si>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</si>
  <si>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</si>
  <si>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</si>
  <si>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</si>
  <si>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</si>
  <si>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</si>
  <si>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</si>
  <si>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</si>
  <si>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</si>
  <si>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</si>
  <si>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</si>
  <si>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</si>
  <si>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</si>
  <si>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</si>
  <si>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</si>
  <si>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</si>
  <si>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</si>
  <si>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</si>
  <si>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</si>
  <si>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</si>
  <si>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</si>
  <si>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</si>
  <si>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</si>
  <si>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</si>
  <si>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</si>
  <si>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</si>
  <si>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</si>
  <si>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</si>
  <si>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</si>
  <si>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</si>
  <si>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</si>
  <si>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</si>
  <si>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</si>
  <si>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</si>
  <si>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</si>
  <si>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</si>
  <si>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</si>
  <si>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</si>
  <si>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</si>
  <si>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</si>
  <si>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</si>
  <si>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</si>
  <si>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</si>
  <si>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</si>
  <si>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</si>
  <si>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</si>
  <si>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</si>
  <si>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</si>
  <si>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</si>
  <si>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</si>
  <si>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</si>
  <si>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</si>
  <si>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</si>
  <si>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</si>
  <si>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</si>
  <si>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</si>
  <si>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</si>
  <si>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</si>
  <si>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</si>
  <si>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</si>
  <si>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</si>
  <si>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</si>
  <si>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</si>
  <si>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</si>
  <si>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</si>
  <si>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</si>
  <si>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</si>
  <si>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</si>
  <si>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</si>
  <si>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</si>
  <si>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</si>
  <si>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</si>
  <si>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</si>
  <si>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</si>
  <si>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</si>
  <si>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</si>
  <si>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</si>
  <si>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</si>
  <si>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</si>
  <si>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</si>
  <si>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</si>
  <si>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</si>
  <si>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</si>
  <si>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</si>
  <si>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</si>
  <si>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</si>
  <si>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</si>
  <si>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</si>
  <si>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</si>
  <si>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</si>
  <si>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</si>
  <si>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</si>
  <si>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</si>
  <si>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</si>
  <si>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</si>
  <si>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</si>
  <si>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</si>
  <si>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</si>
  <si>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</si>
  <si>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</si>
  <si>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</si>
  <si>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</si>
  <si>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</si>
  <si>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</si>
  <si>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</si>
  <si>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</si>
  <si>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</si>
  <si>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</si>
  <si>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</si>
  <si>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</si>
  <si>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</si>
  <si>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</si>
  <si>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</si>
  <si>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</si>
  <si>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</si>
  <si>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</si>
  <si>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</si>
  <si>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</si>
  <si>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</si>
  <si>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</si>
  <si>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</si>
  <si>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</si>
  <si>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</si>
  <si>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</si>
  <si>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</si>
  <si>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</si>
  <si>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</si>
  <si>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</si>
  <si>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</si>
  <si>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</si>
  <si>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</si>
  <si>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</si>
  <si>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</si>
  <si>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</si>
  <si>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</si>
  <si>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</si>
  <si>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</si>
  <si>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</si>
  <si>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</si>
  <si>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</si>
  <si>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</si>
  <si>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</si>
  <si>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</si>
  <si>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</si>
  <si>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</si>
  <si>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</si>
  <si>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</si>
  <si>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</si>
  <si>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</si>
  <si>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</si>
  <si>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</si>
  <si>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</si>
  <si>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</si>
  <si>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</si>
  <si>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</si>
  <si>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</si>
  <si>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</si>
  <si>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</si>
  <si>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</si>
  <si>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</si>
  <si>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</si>
  <si>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</si>
  <si>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</si>
  <si>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</si>
  <si>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</si>
  <si>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</si>
  <si>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</si>
  <si>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</si>
  <si>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</si>
  <si>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</si>
  <si>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</si>
  <si>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</si>
  <si>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</si>
  <si>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</si>
  <si>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</si>
  <si>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</si>
  <si>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</si>
  <si>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</si>
  <si>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</si>
  <si>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</si>
  <si>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</si>
  <si>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</si>
  <si>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</si>
  <si>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</si>
  <si>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</si>
  <si>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</si>
  <si>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</si>
  <si>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</si>
  <si>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</si>
  <si>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</si>
  <si>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</si>
  <si>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</si>
  <si>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</si>
  <si>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</si>
  <si>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</si>
  <si>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</si>
  <si>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</si>
  <si>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</si>
  <si>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</si>
  <si>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</si>
  <si>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</si>
  <si>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</si>
  <si>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</si>
  <si>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</si>
  <si>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</si>
  <si>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</si>
  <si>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</si>
  <si>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</si>
  <si>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</si>
  <si>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</si>
  <si>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</si>
  <si>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</si>
  <si>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</si>
  <si>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</si>
  <si>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</si>
  <si>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</si>
  <si>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</si>
  <si>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</si>
  <si>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</si>
  <si>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</si>
  <si>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</si>
  <si>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</si>
  <si>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</si>
  <si>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</si>
  <si>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</si>
  <si>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</si>
  <si>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</si>
  <si>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</si>
  <si>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</si>
  <si>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</si>
  <si>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</si>
  <si>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</si>
  <si>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</si>
  <si>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</si>
  <si>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</si>
  <si>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</si>
  <si>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</si>
  <si>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</si>
  <si>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</si>
  <si>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</si>
  <si>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</si>
  <si>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</si>
  <si>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</si>
  <si>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</si>
  <si>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</si>
  <si>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</si>
  <si>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</si>
  <si>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</si>
  <si>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</si>
  <si>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</si>
  <si>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</si>
  <si>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</si>
  <si>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</si>
  <si>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</si>
  <si>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</si>
  <si>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</si>
  <si>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</si>
  <si>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</si>
  <si>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</si>
  <si>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</si>
  <si>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</si>
  <si>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</si>
  <si>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</si>
  <si>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</si>
  <si>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</si>
  <si>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</si>
  <si>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</si>
  <si>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</si>
  <si>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</si>
  <si>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</si>
  <si>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</si>
  <si>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</si>
  <si>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</si>
  <si>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</si>
  <si>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</si>
  <si>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</si>
  <si>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</si>
  <si>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</si>
  <si>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</si>
  <si>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</si>
  <si>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</si>
  <si>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</si>
  <si>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</si>
  <si>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</si>
  <si>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</si>
  <si>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</si>
  <si>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</si>
  <si>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</si>
  <si>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</si>
  <si>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</si>
  <si>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</si>
  <si>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</si>
  <si>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</si>
  <si>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</si>
  <si>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</si>
  <si>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</si>
  <si>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</si>
  <si>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</si>
  <si>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</si>
  <si>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</si>
  <si>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</si>
  <si>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</si>
  <si>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</si>
  <si>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</si>
  <si>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</si>
  <si>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</si>
  <si>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</si>
  <si>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</si>
  <si>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</si>
  <si>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</si>
  <si>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</si>
  <si>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</si>
  <si>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</si>
  <si>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</si>
  <si>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</si>
  <si>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</si>
  <si>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</si>
  <si>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</si>
  <si>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</si>
  <si>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</si>
  <si>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</si>
  <si>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</si>
  <si>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</si>
  <si>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</si>
  <si>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</si>
  <si>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</si>
  <si>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</si>
  <si>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</si>
  <si>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</si>
  <si>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</si>
  <si>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</si>
  <si>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</si>
  <si>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</si>
  <si>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</si>
  <si>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</si>
  <si>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</si>
  <si>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</si>
  <si>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</si>
  <si>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</si>
  <si>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</si>
  <si>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</si>
  <si>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</si>
  <si>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</si>
  <si>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</si>
  <si>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</si>
  <si>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</si>
  <si>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</si>
  <si>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</si>
  <si>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</si>
  <si>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</si>
  <si>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</si>
  <si>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</si>
  <si>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</si>
  <si>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</si>
  <si>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</si>
  <si>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</si>
  <si>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</si>
  <si>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</si>
  <si>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</si>
  <si>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</si>
  <si>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</si>
  <si>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</si>
  <si>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</si>
  <si>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</si>
  <si>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</si>
  <si>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</si>
  <si>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</si>
  <si>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</si>
  <si>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</si>
  <si>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</si>
  <si>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</si>
  <si>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</si>
  <si>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</si>
  <si>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</si>
  <si>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</si>
  <si>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</si>
  <si>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</si>
  <si>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</si>
  <si>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</si>
  <si>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</si>
  <si>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</si>
  <si>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</si>
  <si>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</si>
  <si>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</si>
  <si>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</si>
  <si>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</si>
  <si>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</si>
  <si>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</si>
  <si>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</si>
  <si>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</si>
  <si>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</si>
  <si>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</si>
  <si>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</si>
  <si>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</si>
  <si>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</si>
  <si>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</si>
  <si>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</si>
  <si>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</si>
  <si>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</si>
  <si>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</si>
  <si>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</si>
  <si>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</si>
  <si>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</si>
  <si>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</si>
  <si>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</si>
  <si>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</si>
  <si>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</si>
  <si>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</si>
  <si>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</si>
  <si>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</si>
  <si>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</si>
  <si>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</si>
  <si>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</si>
  <si>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</si>
  <si>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</si>
  <si>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</si>
  <si>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</si>
  <si>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</si>
  <si>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</si>
  <si>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</si>
  <si>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</si>
  <si>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</si>
  <si>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</si>
  <si>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</si>
  <si>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</si>
  <si>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</si>
  <si>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</si>
  <si>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</si>
  <si>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</si>
  <si>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</si>
  <si>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</si>
  <si>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</si>
  <si>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</si>
  <si>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</si>
  <si>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</si>
  <si>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</si>
  <si>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</si>
  <si>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</si>
  <si>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</si>
  <si>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</si>
  <si>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</si>
  <si>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</si>
  <si>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</si>
  <si>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</si>
  <si>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</si>
  <si>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</si>
  <si>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</si>
  <si>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</si>
  <si>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</si>
  <si>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</si>
  <si>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</si>
  <si>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</si>
  <si>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</si>
  <si>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</si>
  <si>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</si>
  <si>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</si>
  <si>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</si>
  <si>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</si>
  <si>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</si>
  <si>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</si>
  <si>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</si>
  <si>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</si>
  <si>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</si>
  <si>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</si>
  <si>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</si>
  <si>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</si>
  <si>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</si>
  <si>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</si>
  <si>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</si>
  <si>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</si>
  <si>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</si>
  <si>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</si>
  <si>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</si>
  <si>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</si>
  <si>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</si>
  <si>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</si>
  <si>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</si>
  <si>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</si>
  <si>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</si>
  <si>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</si>
  <si>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</si>
  <si>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</si>
  <si>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</si>
  <si>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</si>
  <si>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</si>
  <si>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</si>
  <si>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</si>
  <si>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</si>
  <si>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</si>
  <si>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</si>
  <si>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</si>
  <si>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</si>
  <si>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</si>
  <si>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</si>
  <si>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</si>
  <si>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</si>
  <si>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</si>
  <si>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</si>
  <si>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</si>
  <si>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</si>
  <si>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</si>
  <si>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</si>
  <si>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</si>
  <si>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</si>
  <si>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</si>
  <si>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</si>
  <si>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</si>
  <si>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</si>
  <si>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</si>
  <si>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</si>
  <si>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</si>
  <si>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</si>
  <si>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</si>
  <si>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</si>
  <si>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</si>
  <si>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</si>
  <si>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</si>
  <si>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</si>
  <si>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</si>
  <si>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</si>
  <si>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</si>
  <si>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</si>
  <si>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</si>
  <si>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</si>
  <si>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</si>
  <si>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</si>
  <si>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</si>
  <si>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</si>
  <si>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</si>
  <si>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</si>
  <si>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</si>
  <si>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</si>
  <si>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</si>
  <si>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</si>
  <si>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</si>
  <si>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</si>
  <si>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</si>
  <si>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</si>
  <si>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</si>
  <si>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</si>
  <si>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</si>
  <si>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</si>
  <si>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</si>
  <si>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</si>
  <si>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</si>
  <si>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</si>
  <si>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</si>
  <si>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</si>
  <si>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</si>
  <si>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</si>
  <si>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</si>
  <si>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</si>
  <si>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</si>
  <si>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</si>
  <si>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</si>
  <si>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</si>
  <si>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</si>
  <si>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</si>
  <si>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</si>
  <si>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</si>
  <si>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</si>
  <si>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</si>
  <si>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</si>
  <si>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</si>
  <si>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</si>
  <si>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</si>
  <si>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</si>
  <si>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</si>
  <si>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</si>
  <si>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</si>
  <si>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</si>
  <si>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</si>
  <si>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</si>
  <si>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</si>
  <si>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</si>
  <si>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</si>
  <si>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</si>
  <si>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</si>
  <si>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</si>
  <si>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</si>
  <si>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</si>
  <si>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</si>
  <si>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</si>
  <si>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</si>
  <si>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</si>
  <si>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</si>
  <si>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</si>
  <si>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</si>
  <si>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</si>
  <si>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</si>
  <si>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</si>
  <si>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</si>
  <si>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</si>
  <si>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</si>
  <si>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</si>
  <si>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</si>
  <si>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</si>
  <si>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</si>
  <si>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</si>
  <si>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</si>
  <si>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</si>
  <si>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</si>
  <si>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</si>
  <si>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</si>
  <si>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</si>
  <si>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</si>
  <si>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</si>
  <si>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</si>
  <si>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</si>
  <si>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</si>
  <si>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</si>
  <si>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</si>
  <si>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</si>
  <si>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</si>
  <si>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</si>
  <si>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</si>
  <si>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</si>
  <si>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</si>
  <si>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</si>
  <si>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</si>
  <si>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</si>
  <si>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</si>
  <si>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</si>
  <si>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</si>
  <si>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</si>
  <si>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</si>
  <si>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</si>
  <si>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</si>
  <si>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</si>
  <si>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</si>
  <si>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</si>
  <si>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</si>
  <si>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</si>
  <si>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</si>
  <si>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</si>
  <si>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</si>
  <si>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</si>
  <si>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</si>
  <si>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</si>
  <si>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</si>
  <si>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</si>
  <si>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</si>
  <si>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</si>
  <si>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</si>
  <si>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</si>
  <si>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</si>
  <si>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</si>
  <si>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</si>
  <si>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</si>
  <si>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</si>
  <si>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</si>
  <si>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</si>
  <si>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</si>
  <si>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</si>
  <si>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</si>
  <si>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</si>
  <si>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</si>
  <si>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</si>
  <si>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</si>
  <si>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</si>
  <si>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</si>
  <si>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</si>
  <si>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</si>
  <si>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</si>
  <si>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</si>
  <si>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</si>
  <si>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</si>
  <si>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</si>
  <si>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</si>
  <si>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</si>
  <si>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</si>
  <si>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</si>
  <si>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</si>
  <si>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</si>
  <si>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</si>
  <si>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</si>
  <si>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</si>
  <si>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</si>
  <si>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</si>
  <si>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</si>
  <si>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</si>
  <si>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</si>
  <si>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</si>
  <si>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</si>
  <si>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</si>
  <si>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</si>
  <si>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</si>
  <si>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</si>
  <si>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</si>
  <si>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</si>
  <si>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</si>
  <si>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</si>
  <si>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</si>
  <si>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</si>
  <si>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</si>
  <si>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</si>
  <si>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</si>
  <si>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</si>
  <si>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</si>
  <si>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</si>
  <si>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</si>
  <si>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</si>
  <si>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</si>
  <si>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</si>
  <si>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</si>
  <si>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</si>
  <si>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</si>
  <si>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</si>
  <si>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</si>
  <si>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</si>
  <si>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</si>
  <si>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</si>
  <si>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</si>
  <si>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</si>
  <si>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</si>
  <si>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</si>
  <si>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</si>
  <si>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</si>
  <si>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</si>
  <si>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</si>
  <si>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</si>
  <si>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</si>
  <si>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</si>
  <si>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</si>
  <si>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</si>
  <si>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</si>
  <si>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</si>
  <si>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</si>
  <si>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</si>
  <si>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</si>
  <si>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</si>
  <si>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</si>
  <si>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</si>
  <si>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</si>
  <si>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</si>
  <si>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</si>
  <si>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</si>
  <si>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</si>
  <si>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</si>
  <si>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</si>
  <si>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</si>
  <si>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</si>
  <si>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</si>
  <si>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</si>
  <si>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</si>
  <si>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</si>
  <si>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</si>
  <si>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</si>
  <si>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</si>
  <si>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</si>
  <si>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</si>
  <si>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</si>
  <si>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</si>
  <si>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</si>
  <si>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</si>
  <si>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</si>
  <si>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</si>
  <si>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</si>
  <si>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</si>
  <si>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</si>
  <si>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</si>
  <si>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</si>
  <si>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</si>
  <si>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</si>
  <si>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</si>
  <si>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</si>
  <si>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</si>
  <si>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</si>
  <si>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</si>
  <si>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</si>
  <si>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</si>
  <si>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</si>
  <si>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</si>
  <si>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</si>
  <si>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</si>
  <si>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</si>
  <si>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</si>
  <si>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</si>
  <si>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</si>
  <si>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</si>
  <si>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</si>
  <si>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</si>
  <si>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</si>
  <si>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</si>
  <si>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</si>
  <si>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</si>
  <si>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</si>
  <si>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</si>
  <si>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</si>
  <si>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</si>
  <si>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</si>
  <si>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</si>
  <si>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</si>
  <si>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</si>
  <si>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</si>
  <si>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</si>
  <si>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</si>
  <si>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</si>
  <si>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</si>
  <si>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</si>
  <si>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</si>
  <si>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</si>
  <si>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</si>
  <si>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</si>
  <si>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</si>
  <si>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</si>
  <si>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</si>
  <si>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</si>
  <si>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</si>
  <si>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</si>
  <si>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</si>
  <si>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</si>
  <si>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</si>
  <si>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</si>
  <si>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</si>
  <si>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</si>
  <si>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</si>
  <si>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</si>
  <si>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</si>
  <si>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</si>
  <si>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</si>
  <si>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</si>
  <si>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</si>
  <si>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</si>
  <si>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</si>
  <si>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</si>
  <si>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</si>
  <si>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</si>
  <si>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</si>
  <si>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</si>
  <si>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</si>
  <si>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</si>
  <si>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</si>
  <si>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</si>
  <si>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</si>
  <si>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</si>
  <si>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</si>
  <si>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</si>
  <si>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</si>
  <si>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</si>
  <si>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</si>
  <si>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</si>
  <si>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</si>
  <si>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</si>
  <si>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</si>
  <si>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</si>
  <si>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</si>
  <si>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</si>
  <si>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</si>
  <si>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</si>
  <si>
    <t>【#弾き語り】 Mrs. GREEN APPLE縛り歌枠！！【幽音しの:ななしいんく】 #karaoke #歌枠</t>
    <phoneticPr fontId="2"/>
  </si>
  <si>
    <t>https://www.youtube.com/live/DCABx3RjHlk?si=2kjkclC-U2asQNr-</t>
    <phoneticPr fontId="2"/>
  </si>
  <si>
    <t>0:05:36</t>
  </si>
  <si>
    <t>アウフヘーベン</t>
  </si>
  <si>
    <t>0:12:54</t>
  </si>
  <si>
    <t>インフェルノ</t>
  </si>
  <si>
    <t>0:21:21</t>
  </si>
  <si>
    <t>Speaking</t>
  </si>
  <si>
    <t>WanteD! WanteD!</t>
  </si>
  <si>
    <t>0:35:37</t>
  </si>
  <si>
    <t>我逢人</t>
  </si>
  <si>
    <t>ケセラセラ</t>
  </si>
  <si>
    <t>0:48:45</t>
  </si>
  <si>
    <t>0:58:32</t>
  </si>
  <si>
    <t>【#弾き語り】深夜定期！！ギターの音で深い眠りへ誘うはず　【幽音しの:ななしいんく】　#shorts #vsinger #歌枠</t>
    <phoneticPr fontId="2"/>
  </si>
  <si>
    <t>https://www.youtube.com/live/tbPnXY8S_GQ?si=8PkFk0wPDIc_uL_n</t>
    <phoneticPr fontId="2"/>
  </si>
  <si>
    <t>0:05:38</t>
  </si>
  <si>
    <t>0:13:04</t>
  </si>
  <si>
    <t>0:19:42</t>
  </si>
  <si>
    <t>GALLOWS BELL</t>
  </si>
  <si>
    <t>buzzG feat.初音ミク</t>
  </si>
  <si>
    <t>0:25:53</t>
  </si>
  <si>
    <t>ワールド・ランプシェード</t>
  </si>
  <si>
    <t>BuzzG feat.GUMI</t>
  </si>
  <si>
    <t>0:33:22</t>
  </si>
  <si>
    <t>アイスクリーム シンドローム</t>
  </si>
  <si>
    <t>1:04:08</t>
  </si>
  <si>
    <t>1:11:06</t>
  </si>
  <si>
    <t>1:18:04</t>
  </si>
  <si>
    <t>1:33:36</t>
  </si>
  <si>
    <t>1:40:38</t>
  </si>
  <si>
    <t>1:48:11</t>
  </si>
  <si>
    <t>【#弾き語り】　火曜日の夜+に弾き語りで彩りを！【幽音しの:ななしいんく】 #karaoke #歌枠</t>
    <phoneticPr fontId="2"/>
  </si>
  <si>
    <t>https://www.youtube.com/live/3sDTyQ9hCDg?si=pXcH4WBWdJUgF-zq</t>
    <phoneticPr fontId="2"/>
  </si>
  <si>
    <t>0:06:48</t>
  </si>
  <si>
    <t>0:16:15</t>
  </si>
  <si>
    <t>0:23:15</t>
  </si>
  <si>
    <t>愛唄</t>
  </si>
  <si>
    <t>GRe4N BOYZ</t>
  </si>
  <si>
    <t>0:43:34</t>
  </si>
  <si>
    <t>迷宮ラブソング (1chorus)</t>
  </si>
  <si>
    <t>0:47:19</t>
  </si>
  <si>
    <t>0:54:33</t>
  </si>
  <si>
    <t>1:03:01</t>
  </si>
  <si>
    <t>1:09:50</t>
  </si>
  <si>
    <t>今週の予定の歌</t>
  </si>
  <si>
    <t>【#弾き語り】少し寒い昼下がりに、、弾き語りを聴かない？　【幽音しの:ななしいんく】　#shorts #karaoke #歌枠</t>
    <phoneticPr fontId="2"/>
  </si>
  <si>
    <t>https://www.youtube.com/live/xKwyAT6ZyDo?si=p8RkryjyMuiiNoGd</t>
    <phoneticPr fontId="2"/>
  </si>
  <si>
    <t>0:05:14</t>
  </si>
  <si>
    <t>0:11:14</t>
  </si>
  <si>
    <t>0:17:05</t>
  </si>
  <si>
    <t>雨とペトラ</t>
  </si>
  <si>
    <t>0:23:18</t>
  </si>
  <si>
    <t>0:35:07</t>
  </si>
  <si>
    <t>0:41:36</t>
  </si>
  <si>
    <t>0:46:32</t>
  </si>
  <si>
    <t>0:52:24</t>
  </si>
  <si>
    <t>0:58:20</t>
  </si>
  <si>
    <t>1:03:43</t>
  </si>
  <si>
    <t>1:09:55</t>
  </si>
  <si>
    <t>1:17:07</t>
  </si>
  <si>
    <t>1:24:42</t>
  </si>
  <si>
    <t>トゥインクル</t>
  </si>
  <si>
    <t>Junky feat.鏡音リン</t>
  </si>
  <si>
    <t>【運動記録】太ももシェイプ！！！！！リングフィットアドベンチャー#7【幽音しの:ななしいんく】 #vtuber</t>
    <phoneticPr fontId="2"/>
  </si>
  <si>
    <t>https://www.youtube.com/live/q-NGMbZYKXs?si=PW1tXGBm0QqXgfQn</t>
    <phoneticPr fontId="2"/>
  </si>
  <si>
    <t>【#弾き語り】深夜定期！弾き語りでチルく寝る日【幽音しの:ななしいんく】 #karaoke #歌枠</t>
    <phoneticPr fontId="2"/>
  </si>
  <si>
    <t>https://www.youtube.com/live/RXbt0OmMVe8?si=zUTwr5vQz3aflRD3</t>
    <phoneticPr fontId="2"/>
  </si>
  <si>
    <t>0:05:26</t>
  </si>
  <si>
    <t>0:12:38</t>
  </si>
  <si>
    <t>たばこ</t>
  </si>
  <si>
    <t>コレサワ</t>
  </si>
  <si>
    <t>0:21:19</t>
  </si>
  <si>
    <t>0:44:23</t>
  </si>
  <si>
    <t>うそつき</t>
  </si>
  <si>
    <t>めざめP feat.初音ミク</t>
  </si>
  <si>
    <t>0:51:46</t>
  </si>
  <si>
    <t>1:00:24</t>
  </si>
  <si>
    <t>1:06:30</t>
  </si>
  <si>
    <t>1:13:43</t>
  </si>
  <si>
    <t>1:20:45</t>
  </si>
  <si>
    <t>1:27:25</t>
  </si>
  <si>
    <t>1:34:20</t>
  </si>
  <si>
    <t>1:44:18</t>
  </si>
  <si>
    <t>【 #ななし鉄千 】ねこはスマートにかってなんぼ。ななしいんくMinecraft鉄千！　しの視点【幽音しの:ななしいんく】</t>
    <phoneticPr fontId="2"/>
  </si>
  <si>
    <t>https://www.youtube.com/live/GiTmTKFi_r4?si=YWh5gkimymLBhlSx</t>
    <phoneticPr fontId="2"/>
  </si>
  <si>
    <t>【#弾き語り】のんびりとゆっくり弾き語る歌枠　【幽音しの:ななしいんく】　#shorts #vsinger #歌枠</t>
    <phoneticPr fontId="2"/>
  </si>
  <si>
    <t>https://www.youtube.com/live/TLhHmBIm5rI?si=VIh-Mx1TlTgHASX4</t>
    <phoneticPr fontId="2"/>
  </si>
  <si>
    <t>0:05:13</t>
  </si>
  <si>
    <t>0:24:58</t>
  </si>
  <si>
    <t>0:35:16</t>
  </si>
  <si>
    <t>初めての恋が終わる時</t>
  </si>
  <si>
    <t>supercell feat.初音ミク</t>
  </si>
  <si>
    <t>0:43:44</t>
  </si>
  <si>
    <t>0:52:19</t>
  </si>
  <si>
    <t>1:00:45</t>
  </si>
  <si>
    <t>白い恋人達</t>
  </si>
  <si>
    <t>桑田佳祐</t>
  </si>
  <si>
    <t>1:10:00</t>
  </si>
  <si>
    <t>glow</t>
  </si>
  <si>
    <t>keeno feat.初音ミク</t>
  </si>
  <si>
    <t>1:19:25</t>
  </si>
  <si>
    <t>1:27:38</t>
  </si>
  <si>
    <t>Departures ～あなたにおくるアイの歌～</t>
  </si>
  <si>
    <t>1:34:35</t>
  </si>
  <si>
    <t>1:43:06</t>
  </si>
  <si>
    <t>1:51:36</t>
  </si>
  <si>
    <t>［Alexandros］</t>
  </si>
  <si>
    <t>1:58:34</t>
  </si>
  <si>
    <t>2:05:13</t>
  </si>
  <si>
    <t>【#弾き語り】弾き語りをして寝る前に楽しむぞ！【幽音しの:ななしいんく】 #karaoke #歌枠</t>
    <phoneticPr fontId="2"/>
  </si>
  <si>
    <t>https://www.youtube.com/live/svcUFFcJrHE?si=j83cuHNyk6QwuYkQ</t>
    <phoneticPr fontId="2"/>
  </si>
  <si>
    <t>0:11:20</t>
  </si>
  <si>
    <t>0:17:18</t>
  </si>
  <si>
    <t>0:26:05</t>
  </si>
  <si>
    <t>0:32:58</t>
  </si>
  <si>
    <t>寝癖</t>
  </si>
  <si>
    <t>0:40:48</t>
  </si>
  <si>
    <t>0:57:35</t>
  </si>
  <si>
    <t>1:04:52</t>
  </si>
  <si>
    <t>1:12:30</t>
  </si>
  <si>
    <t>1:21:46</t>
  </si>
  <si>
    <t>1:33:03</t>
  </si>
  <si>
    <t>1:47:26</t>
  </si>
  <si>
    <t>1:55:31</t>
  </si>
  <si>
    <t>【運動記録】一緒に運動いかがですか？リングフィットアドベンチャー#８【幽音しの:ななしいんく】 #vtuber</t>
    <phoneticPr fontId="2"/>
  </si>
  <si>
    <t>https://www.youtube.com/live/CZbn2XcF7qA?si=r-_jc2eVbOWxSTiN</t>
    <phoneticPr fontId="2"/>
  </si>
  <si>
    <t>【#弾き語り】深夜定期！ゆっくり流れる時間をあなたに【幽音しの:ななしいんく】 #karaoke #歌枠</t>
    <phoneticPr fontId="2"/>
  </si>
  <si>
    <t>https://www.youtube.com/live/0AqoHfYD46E?si=mWOedgt9iLzf5zoc</t>
    <phoneticPr fontId="2"/>
  </si>
  <si>
    <t>0:03:49</t>
  </si>
  <si>
    <t>0:12:11</t>
  </si>
  <si>
    <t>0:18:45</t>
  </si>
  <si>
    <t>0:26:22</t>
  </si>
  <si>
    <t>0:33:24</t>
  </si>
  <si>
    <t>0:40:05</t>
  </si>
  <si>
    <t>エウテルペ</t>
  </si>
  <si>
    <t>0:45:49</t>
  </si>
  <si>
    <t>ツギハギスタッカート</t>
  </si>
  <si>
    <t>0:52:06</t>
  </si>
  <si>
    <t>0:59:44</t>
  </si>
  <si>
    <t>街路、ライトの灯りだけ</t>
  </si>
  <si>
    <t>1:06:15</t>
  </si>
  <si>
    <t>vivi</t>
  </si>
  <si>
    <t>1:22:22</t>
  </si>
  <si>
    <t>失想ワアド</t>
  </si>
  <si>
    <t>じん feat.初音ミク</t>
  </si>
  <si>
    <t>1:30:54</t>
  </si>
  <si>
    <t>1:38:23</t>
  </si>
  <si>
    <t>1:47:04</t>
  </si>
  <si>
    <t>いつも何度でも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</si>
</sst>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63" Type="http://schemas.openxmlformats.org/officeDocument/2006/relationships/hyperlink" Target="https://www.youtube.com/live/rKiEMLFOS8s?si=R7Y_ORgOwbtsqkjP" TargetMode="External"/><Relationship Id="rId84" Type="http://schemas.openxmlformats.org/officeDocument/2006/relationships/hyperlink" Target="https://www.youtube.com/live/r7Bwk1jHwnc?si=YSwS6uQI_0X3Y91g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128" Type="http://schemas.openxmlformats.org/officeDocument/2006/relationships/hyperlink" Target="https://www.youtube.com/live/q-NGMbZYKXs?si=PW1tXGBm0QqXgfQn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134" Type="http://schemas.openxmlformats.org/officeDocument/2006/relationships/hyperlink" Target="https://www.youtube.com/live/0AqoHfYD46E?si=mWOedgt9iLzf5zoc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hyperlink" Target="https://www.youtube.com/live/DCABx3RjHlk?si=2kjkclC-U2asQNr-" TargetMode="External"/><Relationship Id="rId129" Type="http://schemas.openxmlformats.org/officeDocument/2006/relationships/hyperlink" Target="https://www.youtube.com/live/RXbt0OmMVe8?si=zUTwr5vQz3aflRD3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130" Type="http://schemas.openxmlformats.org/officeDocument/2006/relationships/hyperlink" Target="https://www.youtube.com/live/GiTmTKFi_r4?si=YWh5gkimymLBhlSx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125" Type="http://schemas.openxmlformats.org/officeDocument/2006/relationships/hyperlink" Target="https://www.youtube.com/live/tbPnXY8S_GQ?si=8PkFk0wPDIc_uL_n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131" Type="http://schemas.openxmlformats.org/officeDocument/2006/relationships/hyperlink" Target="https://www.youtube.com/live/TLhHmBIm5rI?si=VIh-Mx1TlTgHASX4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126" Type="http://schemas.openxmlformats.org/officeDocument/2006/relationships/hyperlink" Target="https://www.youtube.com/live/3sDTyQ9hCDg?si=pXcH4WBWdJUgF-zq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32" Type="http://schemas.openxmlformats.org/officeDocument/2006/relationships/hyperlink" Target="https://www.youtube.com/live/svcUFFcJrHE?si=j83cuHNyk6QwuYkQ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27" Type="http://schemas.openxmlformats.org/officeDocument/2006/relationships/hyperlink" Target="https://www.youtube.com/live/xKwyAT6ZyDo?si=p8RkryjyMuiiNoGd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26" Type="http://schemas.openxmlformats.org/officeDocument/2006/relationships/hyperlink" Target="https://www.youtube.com/live/T2z_BAhLZz0?si=FZhoxASjxucX4Rxr" TargetMode="External"/><Relationship Id="rId47" Type="http://schemas.openxmlformats.org/officeDocument/2006/relationships/hyperlink" Target="https://www.youtube.com/live/KAbs7kX93bA?si=vH7THkmGBPrjgSu6" TargetMode="External"/><Relationship Id="rId68" Type="http://schemas.openxmlformats.org/officeDocument/2006/relationships/hyperlink" Target="https://www.youtube.com/live/owAk9KYpfsc?si=GaCuKItWZmTM1wnU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33" Type="http://schemas.openxmlformats.org/officeDocument/2006/relationships/hyperlink" Target="https://www.youtube.com/live/CZbn2XcF7qA?si=r-_jc2eVbOWxSTi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tabSelected="1" zoomScaleNormal="100" workbookViewId="0">
      <pane xSplit="1" ySplit="1" topLeftCell="B110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25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25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x14ac:dyDescent="0.4">
      <c r="A120" s="14">
        <f t="shared" si="1"/>
        <v>119</v>
      </c>
      <c r="B120" s="15">
        <v>45988</v>
      </c>
      <c r="C120" s="25" t="s">
        <v>2037</v>
      </c>
      <c r="D120" s="19" t="s">
        <v>2038</v>
      </c>
      <c r="F120" s="1" t="s">
        <v>628</v>
      </c>
    </row>
    <row r="121" spans="1:6" x14ac:dyDescent="0.4">
      <c r="A121" s="14">
        <f t="shared" si="1"/>
        <v>120</v>
      </c>
      <c r="B121" s="15">
        <v>45989</v>
      </c>
      <c r="C121" s="25" t="s">
        <v>2051</v>
      </c>
      <c r="D121" s="19" t="s">
        <v>2052</v>
      </c>
      <c r="F121" s="1" t="s">
        <v>628</v>
      </c>
    </row>
    <row r="122" spans="1:6" x14ac:dyDescent="0.4">
      <c r="A122" s="14">
        <f t="shared" si="1"/>
        <v>121</v>
      </c>
      <c r="B122" s="15">
        <v>45990</v>
      </c>
      <c r="C122" s="25" t="s">
        <v>2059</v>
      </c>
      <c r="D122" s="19" t="s">
        <v>2060</v>
      </c>
      <c r="F122" s="1" t="s">
        <v>628</v>
      </c>
    </row>
    <row r="123" spans="1:6" x14ac:dyDescent="0.4">
      <c r="A123" s="14">
        <f t="shared" si="1"/>
        <v>122</v>
      </c>
      <c r="B123" s="15">
        <v>45991</v>
      </c>
      <c r="C123" s="25" t="s">
        <v>2073</v>
      </c>
      <c r="D123" s="19" t="s">
        <v>2074</v>
      </c>
      <c r="F123" s="1" t="s">
        <v>628</v>
      </c>
    </row>
    <row r="124" spans="1:6" x14ac:dyDescent="0.4">
      <c r="A124" s="14">
        <f t="shared" si="1"/>
        <v>123</v>
      </c>
      <c r="B124" s="15">
        <v>45993</v>
      </c>
      <c r="C124" s="25" t="s">
        <v>2103</v>
      </c>
      <c r="D124" s="19" t="s">
        <v>2104</v>
      </c>
      <c r="F124" s="1" t="s">
        <v>628</v>
      </c>
    </row>
    <row r="125" spans="1:6" x14ac:dyDescent="0.4">
      <c r="A125" s="14">
        <f t="shared" si="1"/>
        <v>124</v>
      </c>
      <c r="B125" s="15">
        <v>45995</v>
      </c>
      <c r="C125" s="25" t="s">
        <v>2118</v>
      </c>
      <c r="D125" s="19" t="s">
        <v>2119</v>
      </c>
      <c r="F125" s="1" t="s">
        <v>628</v>
      </c>
    </row>
    <row r="126" spans="1:6" x14ac:dyDescent="0.4">
      <c r="A126" s="14">
        <f t="shared" si="1"/>
        <v>125</v>
      </c>
      <c r="B126" s="15">
        <v>45996</v>
      </c>
      <c r="C126" s="25" t="s">
        <v>2132</v>
      </c>
      <c r="D126" s="19" t="s">
        <v>2133</v>
      </c>
      <c r="F126" s="1" t="s">
        <v>628</v>
      </c>
    </row>
    <row r="127" spans="1:6" x14ac:dyDescent="0.4">
      <c r="A127" s="14">
        <f t="shared" si="1"/>
        <v>126</v>
      </c>
      <c r="B127" s="15">
        <v>46000</v>
      </c>
      <c r="C127" s="25" t="s">
        <v>2150</v>
      </c>
      <c r="D127" s="19" t="s">
        <v>2151</v>
      </c>
      <c r="F127" s="1" t="s">
        <v>628</v>
      </c>
    </row>
    <row r="128" spans="1:6" x14ac:dyDescent="0.4">
      <c r="A128" s="14">
        <f t="shared" si="1"/>
        <v>127</v>
      </c>
      <c r="B128" s="15">
        <v>46001</v>
      </c>
      <c r="C128" s="25" t="s">
        <v>2164</v>
      </c>
      <c r="D128" s="19" t="s">
        <v>2165</v>
      </c>
      <c r="F128" s="1" t="s">
        <v>628</v>
      </c>
    </row>
    <row r="129" spans="1:6" x14ac:dyDescent="0.4">
      <c r="A129" s="14">
        <f t="shared" si="1"/>
        <v>128</v>
      </c>
      <c r="B129" s="15">
        <v>46002</v>
      </c>
      <c r="C129" s="25" t="s">
        <v>2182</v>
      </c>
      <c r="D129" s="19" t="s">
        <v>2183</v>
      </c>
      <c r="F129" s="1" t="s">
        <v>627</v>
      </c>
    </row>
    <row r="130" spans="1:6" x14ac:dyDescent="0.4">
      <c r="A130" s="14">
        <f t="shared" si="1"/>
        <v>129</v>
      </c>
      <c r="B130" s="15">
        <v>46003</v>
      </c>
      <c r="C130" s="25" t="s">
        <v>2184</v>
      </c>
      <c r="D130" s="19" t="s">
        <v>2185</v>
      </c>
      <c r="F130" s="1" t="s">
        <v>628</v>
      </c>
    </row>
    <row r="131" spans="1:6" x14ac:dyDescent="0.4">
      <c r="A131" s="14">
        <f t="shared" ref="A131:A151" si="2">ROW()-1</f>
        <v>130</v>
      </c>
      <c r="B131" s="15">
        <v>46004</v>
      </c>
      <c r="C131" s="25" t="s">
        <v>2202</v>
      </c>
      <c r="D131" s="19" t="s">
        <v>2203</v>
      </c>
      <c r="F131" s="1" t="s">
        <v>627</v>
      </c>
    </row>
    <row r="132" spans="1:6" x14ac:dyDescent="0.4">
      <c r="A132" s="14">
        <f t="shared" si="2"/>
        <v>131</v>
      </c>
      <c r="B132" s="15">
        <v>46005</v>
      </c>
      <c r="C132" s="25" t="s">
        <v>2204</v>
      </c>
      <c r="D132" s="19" t="s">
        <v>2205</v>
      </c>
      <c r="F132" s="1" t="s">
        <v>628</v>
      </c>
    </row>
    <row r="133" spans="1:6" x14ac:dyDescent="0.4">
      <c r="A133" s="14">
        <f t="shared" si="2"/>
        <v>132</v>
      </c>
      <c r="B133" s="15">
        <v>46008</v>
      </c>
      <c r="C133" s="25" t="s">
        <v>2228</v>
      </c>
      <c r="D133" s="19" t="s">
        <v>2229</v>
      </c>
      <c r="F133" s="1" t="s">
        <v>628</v>
      </c>
    </row>
    <row r="134" spans="1:6" x14ac:dyDescent="0.4">
      <c r="A134" s="14">
        <f t="shared" si="2"/>
        <v>133</v>
      </c>
      <c r="B134" s="15">
        <v>46009</v>
      </c>
      <c r="C134" s="25" t="s">
        <v>2243</v>
      </c>
      <c r="D134" s="19" t="s">
        <v>2244</v>
      </c>
      <c r="F134" s="1" t="s">
        <v>627</v>
      </c>
    </row>
    <row r="135" spans="1:6" x14ac:dyDescent="0.4">
      <c r="A135" s="14">
        <f t="shared" si="2"/>
        <v>134</v>
      </c>
      <c r="B135" s="15">
        <v>46009</v>
      </c>
      <c r="C135" s="25" t="s">
        <v>2245</v>
      </c>
      <c r="D135" s="19" t="s">
        <v>2246</v>
      </c>
      <c r="F135" s="1" t="s">
        <v>628</v>
      </c>
    </row>
    <row r="136" spans="1:6" x14ac:dyDescent="0.4">
      <c r="A136" s="14">
        <f t="shared" si="2"/>
        <v>135</v>
      </c>
      <c r="B136" s="14"/>
      <c r="C136" s="25"/>
      <c r="D136" s="14"/>
    </row>
    <row r="137" spans="1:6" x14ac:dyDescent="0.4">
      <c r="A137" s="14">
        <f t="shared" si="2"/>
        <v>136</v>
      </c>
      <c r="B137" s="14"/>
      <c r="C137" s="25"/>
      <c r="D137" s="14"/>
    </row>
    <row r="138" spans="1:6" x14ac:dyDescent="0.4">
      <c r="A138" s="14">
        <f t="shared" si="2"/>
        <v>137</v>
      </c>
      <c r="B138" s="14"/>
      <c r="C138" s="25"/>
      <c r="D138" s="14"/>
    </row>
    <row r="139" spans="1:6" x14ac:dyDescent="0.4">
      <c r="A139" s="14">
        <f t="shared" si="2"/>
        <v>138</v>
      </c>
      <c r="B139" s="14"/>
      <c r="C139" s="25"/>
      <c r="D139" s="14"/>
    </row>
    <row r="140" spans="1:6" x14ac:dyDescent="0.4">
      <c r="A140" s="14">
        <f t="shared" si="2"/>
        <v>139</v>
      </c>
      <c r="B140" s="14"/>
      <c r="C140" s="25"/>
      <c r="D140" s="14"/>
    </row>
    <row r="141" spans="1:6" x14ac:dyDescent="0.4">
      <c r="A141" s="14">
        <f t="shared" si="2"/>
        <v>140</v>
      </c>
      <c r="B141" s="14"/>
      <c r="C141" s="25"/>
      <c r="D141" s="14"/>
    </row>
    <row r="142" spans="1:6" x14ac:dyDescent="0.4">
      <c r="A142" s="14">
        <f t="shared" si="2"/>
        <v>141</v>
      </c>
      <c r="B142" s="14"/>
      <c r="C142" s="25"/>
      <c r="D142" s="14"/>
    </row>
    <row r="143" spans="1:6" x14ac:dyDescent="0.4">
      <c r="A143" s="14">
        <f t="shared" si="2"/>
        <v>142</v>
      </c>
      <c r="B143" s="14"/>
      <c r="C143" s="25"/>
      <c r="D143" s="14"/>
    </row>
    <row r="144" spans="1:6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  <hyperlink ref="D125" r:id="rId124" xr:uid="{51653F5C-E2E0-43D4-903D-9213272AF0F2}"/>
    <hyperlink ref="D126" r:id="rId125" xr:uid="{B0D7FA67-57B1-4A4F-83F0-357E60CD72FF}"/>
    <hyperlink ref="D127" r:id="rId126" xr:uid="{25246C23-ADE2-4370-9D2B-7CC21BCF2257}"/>
    <hyperlink ref="D128" r:id="rId127" xr:uid="{1386682D-90D7-4317-A6BE-7BBFFA52CBEF}"/>
    <hyperlink ref="D129" r:id="rId128" xr:uid="{18285BB0-577D-49B5-A32D-E5C7CBAF692E}"/>
    <hyperlink ref="D130" r:id="rId129" xr:uid="{DEE99C14-74BC-441B-B2D1-0E6E78BCBEA8}"/>
    <hyperlink ref="D131" r:id="rId130" xr:uid="{488A132C-B0AF-43D7-BE73-5AD54F34F003}"/>
    <hyperlink ref="D132" r:id="rId131" xr:uid="{E3978D23-4D03-49E6-BCE9-2734E7621738}"/>
    <hyperlink ref="D133" r:id="rId132" xr:uid="{03C57F93-1EFA-4FFA-BFC5-D1B3A13E5B46}"/>
    <hyperlink ref="D134" r:id="rId133" xr:uid="{75E548E5-82D6-4B2C-88E6-618E49FCAEA4}"/>
    <hyperlink ref="D135" r:id="rId134" xr:uid="{0FB22C23-8EE1-4A1A-AA12-C5559F4130C3}"/>
  </hyperlinks>
  <pageMargins left="0.7" right="0.7" top="0.75" bottom="0.75" header="0.3" footer="0.3"/>
  <pageSetup paperSize="9" orientation="portrait" r:id="rId1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zoomScale="85" zoomScaleNormal="85" workbookViewId="0">
      <pane xSplit="1" ySplit="1" topLeftCell="B1012" activePane="bottomRight" state="frozen"/>
      <selection pane="topRight" activeCell="B1" sqref="B1"/>
      <selection pane="bottomLeft" activeCell="A2" sqref="A2"/>
      <selection pane="bottomRight" activeCell="B1044" sqref="B1044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>
        <v>124</v>
      </c>
      <c r="C938" s="21" t="s">
        <v>2120</v>
      </c>
      <c r="D938" s="14" t="s">
        <v>2121</v>
      </c>
      <c r="E938" s="14" t="s">
        <v>730</v>
      </c>
      <c r="G938" s="1" t="str">
        <f>_xlfn.XLOOKUP(B938,M_YT_LIVE!A:A,M_YT_LIVE!F:F,"ERROR",0,1)</f>
        <v>弾き語り</v>
      </c>
      <c r="W938" s="13">
        <f t="shared" si="44"/>
        <v>336</v>
      </c>
      <c r="X938" s="12" t="str">
        <f>_xlfn.XLOOKUP($B938,M_YT_LIVE!$A:$A,M_YT_LIVE!$D:$D)</f>
        <v>https://www.youtube.com/live/DCABx3RjHlk?si=2kjkclC-U2asQNr-</v>
      </c>
      <c r="Z938" s="16" t="str">
        <f>HYPERLINK($X938&amp;SUBSTITUTE(マスタ!$C$3,"XXXXX",$W938))</f>
        <v>https://www.youtube.com/live/DCABx3RjHlk?si=2kjkclC-U2asQNr-&amp;t=336s</v>
      </c>
      <c r="AA938" s="12" t="str">
        <f t="shared" si="45"/>
        <v>Mrs. GREEN APPLEアウフヘーベン</v>
      </c>
    </row>
    <row r="939" spans="1:27" x14ac:dyDescent="0.4">
      <c r="A939" s="14">
        <f t="shared" si="46"/>
        <v>938</v>
      </c>
      <c r="B939" s="14">
        <v>124</v>
      </c>
      <c r="C939" s="21" t="s">
        <v>2122</v>
      </c>
      <c r="D939" s="14" t="s">
        <v>2123</v>
      </c>
      <c r="E939" s="14" t="s">
        <v>730</v>
      </c>
      <c r="G939" s="1" t="str">
        <f>_xlfn.XLOOKUP(B939,M_YT_LIVE!A:A,M_YT_LIVE!F:F,"ERROR",0,1)</f>
        <v>弾き語り</v>
      </c>
      <c r="W939" s="13">
        <f t="shared" si="44"/>
        <v>774</v>
      </c>
      <c r="X939" s="12" t="str">
        <f>_xlfn.XLOOKUP($B939,M_YT_LIVE!$A:$A,M_YT_LIVE!$D:$D)</f>
        <v>https://www.youtube.com/live/DCABx3RjHlk?si=2kjkclC-U2asQNr-</v>
      </c>
      <c r="Z939" s="16" t="str">
        <f>HYPERLINK($X939&amp;SUBSTITUTE(マスタ!$C$3,"XXXXX",$W939))</f>
        <v>https://www.youtube.com/live/DCABx3RjHlk?si=2kjkclC-U2asQNr-&amp;t=774s</v>
      </c>
      <c r="AA939" s="12" t="str">
        <f t="shared" si="45"/>
        <v>Mrs. GREEN APPLEインフェルノ</v>
      </c>
    </row>
    <row r="940" spans="1:27" x14ac:dyDescent="0.4">
      <c r="A940" s="14">
        <f t="shared" si="46"/>
        <v>939</v>
      </c>
      <c r="B940" s="14">
        <v>124</v>
      </c>
      <c r="C940" s="21" t="s">
        <v>2124</v>
      </c>
      <c r="D940" s="14" t="s">
        <v>2125</v>
      </c>
      <c r="E940" s="14" t="s">
        <v>730</v>
      </c>
      <c r="G940" s="1" t="str">
        <f>_xlfn.XLOOKUP(B940,M_YT_LIVE!A:A,M_YT_LIVE!F:F,"ERROR",0,1)</f>
        <v>弾き語り</v>
      </c>
      <c r="W940" s="13">
        <f t="shared" si="44"/>
        <v>1281</v>
      </c>
      <c r="X940" s="12" t="str">
        <f>_xlfn.XLOOKUP($B940,M_YT_LIVE!$A:$A,M_YT_LIVE!$D:$D)</f>
        <v>https://www.youtube.com/live/DCABx3RjHlk?si=2kjkclC-U2asQNr-</v>
      </c>
      <c r="Z940" s="16" t="str">
        <f>HYPERLINK($X940&amp;SUBSTITUTE(マスタ!$C$3,"XXXXX",$W940))</f>
        <v>https://www.youtube.com/live/DCABx3RjHlk?si=2kjkclC-U2asQNr-&amp;t=1281s</v>
      </c>
      <c r="AA940" s="12" t="str">
        <f t="shared" si="45"/>
        <v>Mrs. GREEN APPLESpeaking</v>
      </c>
    </row>
    <row r="941" spans="1:27" x14ac:dyDescent="0.4">
      <c r="A941" s="14">
        <f t="shared" si="46"/>
        <v>940</v>
      </c>
      <c r="B941" s="14">
        <v>124</v>
      </c>
      <c r="C941" s="21" t="s">
        <v>1473</v>
      </c>
      <c r="D941" s="14" t="s">
        <v>2126</v>
      </c>
      <c r="E941" s="14" t="s">
        <v>730</v>
      </c>
      <c r="G941" s="1" t="str">
        <f>_xlfn.XLOOKUP(B941,M_YT_LIVE!A:A,M_YT_LIVE!F:F,"ERROR",0,1)</f>
        <v>弾き語り</v>
      </c>
      <c r="W941" s="13">
        <f t="shared" si="44"/>
        <v>1790</v>
      </c>
      <c r="X941" s="12" t="str">
        <f>_xlfn.XLOOKUP($B941,M_YT_LIVE!$A:$A,M_YT_LIVE!$D:$D)</f>
        <v>https://www.youtube.com/live/DCABx3RjHlk?si=2kjkclC-U2asQNr-</v>
      </c>
      <c r="Z941" s="16" t="str">
        <f>HYPERLINK($X941&amp;SUBSTITUTE(マスタ!$C$3,"XXXXX",$W941))</f>
        <v>https://www.youtube.com/live/DCABx3RjHlk?si=2kjkclC-U2asQNr-&amp;t=1790s</v>
      </c>
      <c r="AA941" s="12" t="str">
        <f t="shared" si="45"/>
        <v>Mrs. GREEN APPLEWanteD! WanteD!</v>
      </c>
    </row>
    <row r="942" spans="1:27" x14ac:dyDescent="0.4">
      <c r="A942" s="14">
        <f t="shared" si="46"/>
        <v>941</v>
      </c>
      <c r="B942" s="14">
        <v>124</v>
      </c>
      <c r="C942" s="21" t="s">
        <v>2127</v>
      </c>
      <c r="D942" s="14" t="s">
        <v>2128</v>
      </c>
      <c r="E942" s="14" t="s">
        <v>730</v>
      </c>
      <c r="G942" s="1" t="str">
        <f>_xlfn.XLOOKUP(B942,M_YT_LIVE!A:A,M_YT_LIVE!F:F,"ERROR",0,1)</f>
        <v>弾き語り</v>
      </c>
      <c r="W942" s="13">
        <f t="shared" si="44"/>
        <v>2137</v>
      </c>
      <c r="X942" s="12" t="str">
        <f>_xlfn.XLOOKUP($B942,M_YT_LIVE!$A:$A,M_YT_LIVE!$D:$D)</f>
        <v>https://www.youtube.com/live/DCABx3RjHlk?si=2kjkclC-U2asQNr-</v>
      </c>
      <c r="Z942" s="16" t="str">
        <f>HYPERLINK($X942&amp;SUBSTITUTE(マスタ!$C$3,"XXXXX",$W942))</f>
        <v>https://www.youtube.com/live/DCABx3RjHlk?si=2kjkclC-U2asQNr-&amp;t=2137s</v>
      </c>
      <c r="AA942" s="12" t="str">
        <f t="shared" si="45"/>
        <v>Mrs. GREEN APPLE我逢人</v>
      </c>
    </row>
    <row r="943" spans="1:27" x14ac:dyDescent="0.4">
      <c r="A943" s="14">
        <f t="shared" si="46"/>
        <v>942</v>
      </c>
      <c r="B943" s="14">
        <v>124</v>
      </c>
      <c r="C943" s="21" t="s">
        <v>826</v>
      </c>
      <c r="D943" s="14" t="s">
        <v>2129</v>
      </c>
      <c r="E943" s="14" t="s">
        <v>730</v>
      </c>
      <c r="G943" s="1" t="str">
        <f>_xlfn.XLOOKUP(B943,M_YT_LIVE!A:A,M_YT_LIVE!F:F,"ERROR",0,1)</f>
        <v>弾き語り</v>
      </c>
      <c r="W943" s="13">
        <f t="shared" si="44"/>
        <v>2557</v>
      </c>
      <c r="X943" s="12" t="str">
        <f>_xlfn.XLOOKUP($B943,M_YT_LIVE!$A:$A,M_YT_LIVE!$D:$D)</f>
        <v>https://www.youtube.com/live/DCABx3RjHlk?si=2kjkclC-U2asQNr-</v>
      </c>
      <c r="Z943" s="16" t="str">
        <f>HYPERLINK($X943&amp;SUBSTITUTE(マスタ!$C$3,"XXXXX",$W943))</f>
        <v>https://www.youtube.com/live/DCABx3RjHlk?si=2kjkclC-U2asQNr-&amp;t=2557s</v>
      </c>
      <c r="AA943" s="12" t="str">
        <f t="shared" si="45"/>
        <v>Mrs. GREEN APPLEケセラセラ</v>
      </c>
    </row>
    <row r="944" spans="1:27" x14ac:dyDescent="0.4">
      <c r="A944" s="14">
        <f t="shared" si="46"/>
        <v>943</v>
      </c>
      <c r="B944" s="14">
        <v>124</v>
      </c>
      <c r="C944" s="21" t="s">
        <v>2130</v>
      </c>
      <c r="D944" s="14" t="s">
        <v>1476</v>
      </c>
      <c r="E944" s="14" t="s">
        <v>1477</v>
      </c>
      <c r="G944" s="1" t="str">
        <f>_xlfn.XLOOKUP(B944,M_YT_LIVE!A:A,M_YT_LIVE!F:F,"ERROR",0,1)</f>
        <v>弾き語り</v>
      </c>
      <c r="W944" s="13">
        <f t="shared" si="44"/>
        <v>2925</v>
      </c>
      <c r="X944" s="12" t="str">
        <f>_xlfn.XLOOKUP($B944,M_YT_LIVE!$A:$A,M_YT_LIVE!$D:$D)</f>
        <v>https://www.youtube.com/live/DCABx3RjHlk?si=2kjkclC-U2asQNr-</v>
      </c>
      <c r="Z944" s="16" t="str">
        <f>HYPERLINK($X944&amp;SUBSTITUTE(マスタ!$C$3,"XXXXX",$W944))</f>
        <v>https://www.youtube.com/live/DCABx3RjHlk?si=2kjkclC-U2asQNr-&amp;t=2925s</v>
      </c>
      <c r="AA944" s="12" t="str">
        <f t="shared" si="45"/>
        <v>Mrs. GREEN APPLE feat.井上苑子点描の唄</v>
      </c>
    </row>
    <row r="945" spans="1:27" x14ac:dyDescent="0.4">
      <c r="A945" s="14">
        <f t="shared" si="46"/>
        <v>944</v>
      </c>
      <c r="B945" s="14">
        <v>124</v>
      </c>
      <c r="C945" s="21" t="s">
        <v>2131</v>
      </c>
      <c r="D945" s="14" t="s">
        <v>1599</v>
      </c>
      <c r="E945" s="14" t="s">
        <v>730</v>
      </c>
      <c r="G945" s="1" t="str">
        <f>_xlfn.XLOOKUP(B945,M_YT_LIVE!A:A,M_YT_LIVE!F:F,"ERROR",0,1)</f>
        <v>弾き語り</v>
      </c>
      <c r="W945" s="13">
        <f t="shared" si="44"/>
        <v>3512</v>
      </c>
      <c r="X945" s="12" t="str">
        <f>_xlfn.XLOOKUP($B945,M_YT_LIVE!$A:$A,M_YT_LIVE!$D:$D)</f>
        <v>https://www.youtube.com/live/DCABx3RjHlk?si=2kjkclC-U2asQNr-</v>
      </c>
      <c r="Z945" s="16" t="str">
        <f>HYPERLINK($X945&amp;SUBSTITUTE(マスタ!$C$3,"XXXXX",$W945))</f>
        <v>https://www.youtube.com/live/DCABx3RjHlk?si=2kjkclC-U2asQNr-&amp;t=3512s</v>
      </c>
      <c r="AA945" s="12" t="str">
        <f t="shared" si="45"/>
        <v>Mrs. GREEN APPLEライラック</v>
      </c>
    </row>
    <row r="946" spans="1:27" x14ac:dyDescent="0.4">
      <c r="A946" s="14">
        <f t="shared" si="46"/>
        <v>945</v>
      </c>
      <c r="B946" s="14">
        <v>125</v>
      </c>
      <c r="C946" s="21" t="s">
        <v>2134</v>
      </c>
      <c r="D946" s="14" t="s">
        <v>140</v>
      </c>
      <c r="E946" s="14" t="s">
        <v>141</v>
      </c>
      <c r="G946" s="1" t="str">
        <f>_xlfn.XLOOKUP(B946,M_YT_LIVE!A:A,M_YT_LIVE!F:F,"ERROR",0,1)</f>
        <v>弾き語り</v>
      </c>
      <c r="W946" s="13">
        <f t="shared" si="44"/>
        <v>338</v>
      </c>
      <c r="X946" s="12" t="str">
        <f>_xlfn.XLOOKUP($B946,M_YT_LIVE!$A:$A,M_YT_LIVE!$D:$D)</f>
        <v>https://www.youtube.com/live/tbPnXY8S_GQ?si=8PkFk0wPDIc_uL_n</v>
      </c>
      <c r="Z946" s="16" t="str">
        <f>HYPERLINK($X946&amp;SUBSTITUTE(マスタ!$C$3,"XXXXX",$W946))</f>
        <v>https://www.youtube.com/live/tbPnXY8S_GQ?si=8PkFk0wPDIc_uL_n&amp;t=338s</v>
      </c>
      <c r="AA946" s="12" t="str">
        <f t="shared" si="45"/>
        <v>ヨルシカ靴の花火</v>
      </c>
    </row>
    <row r="947" spans="1:27" x14ac:dyDescent="0.4">
      <c r="A947" s="14">
        <f t="shared" si="46"/>
        <v>946</v>
      </c>
      <c r="B947" s="14">
        <v>125</v>
      </c>
      <c r="C947" s="21" t="s">
        <v>2135</v>
      </c>
      <c r="D947" s="14" t="s">
        <v>1912</v>
      </c>
      <c r="E947" s="14" t="s">
        <v>141</v>
      </c>
      <c r="G947" s="1" t="str">
        <f>_xlfn.XLOOKUP(B947,M_YT_LIVE!A:A,M_YT_LIVE!F:F,"ERROR",0,1)</f>
        <v>弾き語り</v>
      </c>
      <c r="W947" s="13">
        <f t="shared" si="44"/>
        <v>784</v>
      </c>
      <c r="X947" s="12" t="str">
        <f>_xlfn.XLOOKUP($B947,M_YT_LIVE!$A:$A,M_YT_LIVE!$D:$D)</f>
        <v>https://www.youtube.com/live/tbPnXY8S_GQ?si=8PkFk0wPDIc_uL_n</v>
      </c>
      <c r="Z947" s="16" t="str">
        <f>HYPERLINK($X947&amp;SUBSTITUTE(マスタ!$C$3,"XXXXX",$W947))</f>
        <v>https://www.youtube.com/live/tbPnXY8S_GQ?si=8PkFk0wPDIc_uL_n&amp;t=784s</v>
      </c>
      <c r="AA947" s="12" t="str">
        <f t="shared" si="45"/>
        <v>ヨルシカ忘れてください</v>
      </c>
    </row>
    <row r="948" spans="1:27" x14ac:dyDescent="0.4">
      <c r="A948" s="14">
        <f t="shared" si="46"/>
        <v>947</v>
      </c>
      <c r="B948" s="14">
        <v>125</v>
      </c>
      <c r="C948" s="21" t="s">
        <v>2136</v>
      </c>
      <c r="D948" s="14" t="s">
        <v>2137</v>
      </c>
      <c r="E948" s="14" t="s">
        <v>2138</v>
      </c>
      <c r="G948" s="1" t="str">
        <f>_xlfn.XLOOKUP(B948,M_YT_LIVE!A:A,M_YT_LIVE!F:F,"ERROR",0,1)</f>
        <v>弾き語り</v>
      </c>
      <c r="W948" s="13">
        <f t="shared" si="44"/>
        <v>1182</v>
      </c>
      <c r="X948" s="12" t="str">
        <f>_xlfn.XLOOKUP($B948,M_YT_LIVE!$A:$A,M_YT_LIVE!$D:$D)</f>
        <v>https://www.youtube.com/live/tbPnXY8S_GQ?si=8PkFk0wPDIc_uL_n</v>
      </c>
      <c r="Z948" s="16" t="str">
        <f>HYPERLINK($X948&amp;SUBSTITUTE(マスタ!$C$3,"XXXXX",$W948))</f>
        <v>https://www.youtube.com/live/tbPnXY8S_GQ?si=8PkFk0wPDIc_uL_n&amp;t=1182s</v>
      </c>
      <c r="AA948" s="12" t="str">
        <f t="shared" si="45"/>
        <v>buzzG feat.初音ミクGALLOWS BELL</v>
      </c>
    </row>
    <row r="949" spans="1:27" x14ac:dyDescent="0.4">
      <c r="A949" s="14">
        <f t="shared" si="46"/>
        <v>948</v>
      </c>
      <c r="B949" s="14">
        <v>125</v>
      </c>
      <c r="C949" s="21" t="s">
        <v>2139</v>
      </c>
      <c r="D949" s="14" t="s">
        <v>2140</v>
      </c>
      <c r="E949" s="14" t="s">
        <v>2141</v>
      </c>
      <c r="G949" s="1" t="str">
        <f>_xlfn.XLOOKUP(B949,M_YT_LIVE!A:A,M_YT_LIVE!F:F,"ERROR",0,1)</f>
        <v>弾き語り</v>
      </c>
      <c r="W949" s="13">
        <f t="shared" si="44"/>
        <v>1552.9999999999998</v>
      </c>
      <c r="X949" s="12" t="str">
        <f>_xlfn.XLOOKUP($B949,M_YT_LIVE!$A:$A,M_YT_LIVE!$D:$D)</f>
        <v>https://www.youtube.com/live/tbPnXY8S_GQ?si=8PkFk0wPDIc_uL_n</v>
      </c>
      <c r="Z949" s="16" t="str">
        <f>HYPERLINK($X949&amp;SUBSTITUTE(マスタ!$C$3,"XXXXX",$W949))</f>
        <v>https://www.youtube.com/live/tbPnXY8S_GQ?si=8PkFk0wPDIc_uL_n&amp;t=1553s</v>
      </c>
      <c r="AA949" s="12" t="str">
        <f t="shared" si="45"/>
        <v>BuzzG feat.GUMIワールド・ランプシェード</v>
      </c>
    </row>
    <row r="950" spans="1:27" x14ac:dyDescent="0.4">
      <c r="A950" s="14">
        <f t="shared" si="46"/>
        <v>949</v>
      </c>
      <c r="B950" s="14">
        <v>125</v>
      </c>
      <c r="C950" s="21" t="s">
        <v>2142</v>
      </c>
      <c r="D950" s="14" t="s">
        <v>131</v>
      </c>
      <c r="E950" s="14" t="s">
        <v>132</v>
      </c>
      <c r="G950" s="1" t="str">
        <f>_xlfn.XLOOKUP(B950,M_YT_LIVE!A:A,M_YT_LIVE!F:F,"ERROR",0,1)</f>
        <v>弾き語り</v>
      </c>
      <c r="W950" s="13">
        <f t="shared" si="44"/>
        <v>2002</v>
      </c>
      <c r="X950" s="12" t="str">
        <f>_xlfn.XLOOKUP($B950,M_YT_LIVE!$A:$A,M_YT_LIVE!$D:$D)</f>
        <v>https://www.youtube.com/live/tbPnXY8S_GQ?si=8PkFk0wPDIc_uL_n</v>
      </c>
      <c r="Z950" s="16" t="str">
        <f>HYPERLINK($X950&amp;SUBSTITUTE(マスタ!$C$3,"XXXXX",$W950))</f>
        <v>https://www.youtube.com/live/tbPnXY8S_GQ?si=8PkFk0wPDIc_uL_n&amp;t=2002s</v>
      </c>
      <c r="AA950" s="12" t="str">
        <f t="shared" si="45"/>
        <v>phatmans after schoolツキヨミ</v>
      </c>
    </row>
    <row r="951" spans="1:27" x14ac:dyDescent="0.4">
      <c r="A951" s="14">
        <f t="shared" si="46"/>
        <v>950</v>
      </c>
      <c r="B951" s="14">
        <v>125</v>
      </c>
      <c r="C951" s="21" t="s">
        <v>226</v>
      </c>
      <c r="D951" s="14" t="s">
        <v>1186</v>
      </c>
      <c r="E951" s="14" t="s">
        <v>1103</v>
      </c>
      <c r="G951" s="1" t="str">
        <f>_xlfn.XLOOKUP(B951,M_YT_LIVE!A:A,M_YT_LIVE!F:F,"ERROR",0,1)</f>
        <v>弾き語り</v>
      </c>
      <c r="W951" s="13">
        <f t="shared" si="44"/>
        <v>2522</v>
      </c>
      <c r="X951" s="12" t="str">
        <f>_xlfn.XLOOKUP($B951,M_YT_LIVE!$A:$A,M_YT_LIVE!$D:$D)</f>
        <v>https://www.youtube.com/live/tbPnXY8S_GQ?si=8PkFk0wPDIc_uL_n</v>
      </c>
      <c r="Z951" s="16" t="str">
        <f>HYPERLINK($X951&amp;SUBSTITUTE(マスタ!$C$3,"XXXXX",$W951))</f>
        <v>https://www.youtube.com/live/tbPnXY8S_GQ?si=8PkFk0wPDIc_uL_n&amp;t=2522s</v>
      </c>
      <c r="AA951" s="12" t="str">
        <f t="shared" si="45"/>
        <v>Galileo Galilei恋の寿命</v>
      </c>
    </row>
    <row r="952" spans="1:27" x14ac:dyDescent="0.4">
      <c r="A952" s="14">
        <f t="shared" si="46"/>
        <v>951</v>
      </c>
      <c r="B952" s="14">
        <v>125</v>
      </c>
      <c r="C952" s="21" t="s">
        <v>1497</v>
      </c>
      <c r="D952" s="14" t="s">
        <v>2143</v>
      </c>
      <c r="E952" s="14" t="s">
        <v>847</v>
      </c>
      <c r="G952" s="1" t="str">
        <f>_xlfn.XLOOKUP(B952,M_YT_LIVE!A:A,M_YT_LIVE!F:F,"ERROR",0,1)</f>
        <v>弾き語り</v>
      </c>
      <c r="W952" s="13">
        <f t="shared" si="44"/>
        <v>2957</v>
      </c>
      <c r="X952" s="12" t="str">
        <f>_xlfn.XLOOKUP($B952,M_YT_LIVE!$A:$A,M_YT_LIVE!$D:$D)</f>
        <v>https://www.youtube.com/live/tbPnXY8S_GQ?si=8PkFk0wPDIc_uL_n</v>
      </c>
      <c r="Z952" s="16" t="str">
        <f>HYPERLINK($X952&amp;SUBSTITUTE(マスタ!$C$3,"XXXXX",$W952))</f>
        <v>https://www.youtube.com/live/tbPnXY8S_GQ?si=8PkFk0wPDIc_uL_n&amp;t=2957s</v>
      </c>
      <c r="AA952" s="12" t="str">
        <f t="shared" si="45"/>
        <v>スキマスイッチアイスクリーム シンドローム</v>
      </c>
    </row>
    <row r="953" spans="1:27" x14ac:dyDescent="0.4">
      <c r="A953" s="14">
        <f t="shared" si="46"/>
        <v>952</v>
      </c>
      <c r="B953" s="14">
        <v>125</v>
      </c>
      <c r="C953" s="21" t="s">
        <v>1201</v>
      </c>
      <c r="D953" s="14" t="s">
        <v>222</v>
      </c>
      <c r="E953" s="14" t="s">
        <v>57</v>
      </c>
      <c r="G953" s="1" t="str">
        <f>_xlfn.XLOOKUP(B953,M_YT_LIVE!A:A,M_YT_LIVE!F:F,"ERROR",0,1)</f>
        <v>弾き語り</v>
      </c>
      <c r="W953" s="13">
        <f t="shared" si="44"/>
        <v>3394.9999999999995</v>
      </c>
      <c r="X953" s="12" t="str">
        <f>_xlfn.XLOOKUP($B953,M_YT_LIVE!$A:$A,M_YT_LIVE!$D:$D)</f>
        <v>https://www.youtube.com/live/tbPnXY8S_GQ?si=8PkFk0wPDIc_uL_n</v>
      </c>
      <c r="Z953" s="16" t="str">
        <f>HYPERLINK($X953&amp;SUBSTITUTE(マスタ!$C$3,"XXXXX",$W953))</f>
        <v>https://www.youtube.com/live/tbPnXY8S_GQ?si=8PkFk0wPDIc_uL_n&amp;t=3395s</v>
      </c>
      <c r="AA953" s="12" t="str">
        <f t="shared" si="45"/>
        <v>羊文学光るとき</v>
      </c>
    </row>
    <row r="954" spans="1:27" x14ac:dyDescent="0.4">
      <c r="A954" s="14">
        <f t="shared" si="46"/>
        <v>953</v>
      </c>
      <c r="B954" s="14">
        <v>125</v>
      </c>
      <c r="C954" s="21" t="s">
        <v>2144</v>
      </c>
      <c r="D954" s="14" t="s">
        <v>137</v>
      </c>
      <c r="E954" s="14" t="s">
        <v>138</v>
      </c>
      <c r="G954" s="1" t="str">
        <f>_xlfn.XLOOKUP(B954,M_YT_LIVE!A:A,M_YT_LIVE!F:F,"ERROR",0,1)</f>
        <v>弾き語り</v>
      </c>
      <c r="W954" s="13">
        <f t="shared" si="44"/>
        <v>3848</v>
      </c>
      <c r="X954" s="12" t="str">
        <f>_xlfn.XLOOKUP($B954,M_YT_LIVE!$A:$A,M_YT_LIVE!$D:$D)</f>
        <v>https://www.youtube.com/live/tbPnXY8S_GQ?si=8PkFk0wPDIc_uL_n</v>
      </c>
      <c r="Z954" s="16" t="str">
        <f>HYPERLINK($X954&amp;SUBSTITUTE(マスタ!$C$3,"XXXXX",$W954))</f>
        <v>https://www.youtube.com/live/tbPnXY8S_GQ?si=8PkFk0wPDIc_uL_n&amp;t=3848s</v>
      </c>
      <c r="AA954" s="12" t="str">
        <f t="shared" si="45"/>
        <v>ポルカドットスティングレイトゲめくスピカ</v>
      </c>
    </row>
    <row r="955" spans="1:27" x14ac:dyDescent="0.4">
      <c r="A955" s="14">
        <f t="shared" si="46"/>
        <v>954</v>
      </c>
      <c r="B955" s="14">
        <v>125</v>
      </c>
      <c r="C955" s="21" t="s">
        <v>2145</v>
      </c>
      <c r="D955" s="14" t="s">
        <v>1445</v>
      </c>
      <c r="E955" s="14" t="s">
        <v>1446</v>
      </c>
      <c r="G955" s="1" t="str">
        <f>_xlfn.XLOOKUP(B955,M_YT_LIVE!A:A,M_YT_LIVE!F:F,"ERROR",0,1)</f>
        <v>弾き語り</v>
      </c>
      <c r="W955" s="13">
        <f t="shared" si="44"/>
        <v>4266</v>
      </c>
      <c r="X955" s="12" t="str">
        <f>_xlfn.XLOOKUP($B955,M_YT_LIVE!$A:$A,M_YT_LIVE!$D:$D)</f>
        <v>https://www.youtube.com/live/tbPnXY8S_GQ?si=8PkFk0wPDIc_uL_n</v>
      </c>
      <c r="Z955" s="16" t="str">
        <f>HYPERLINK($X955&amp;SUBSTITUTE(マスタ!$C$3,"XXXXX",$W955))</f>
        <v>https://www.youtube.com/live/tbPnXY8S_GQ?si=8PkFk0wPDIc_uL_n&amp;t=4266s</v>
      </c>
      <c r="AA955" s="12" t="str">
        <f t="shared" si="45"/>
        <v>蝶々P feat.GUMI心做し</v>
      </c>
    </row>
    <row r="956" spans="1:27" x14ac:dyDescent="0.4">
      <c r="A956" s="14">
        <f t="shared" si="46"/>
        <v>955</v>
      </c>
      <c r="B956" s="14">
        <v>125</v>
      </c>
      <c r="C956" s="21" t="s">
        <v>2146</v>
      </c>
      <c r="D956" s="14" t="s">
        <v>146</v>
      </c>
      <c r="E956" s="14" t="s">
        <v>147</v>
      </c>
      <c r="G956" s="1" t="str">
        <f>_xlfn.XLOOKUP(B956,M_YT_LIVE!A:A,M_YT_LIVE!F:F,"ERROR",0,1)</f>
        <v>弾き語り</v>
      </c>
      <c r="W956" s="13">
        <f t="shared" si="44"/>
        <v>4684</v>
      </c>
      <c r="X956" s="12" t="str">
        <f>_xlfn.XLOOKUP($B956,M_YT_LIVE!$A:$A,M_YT_LIVE!$D:$D)</f>
        <v>https://www.youtube.com/live/tbPnXY8S_GQ?si=8PkFk0wPDIc_uL_n</v>
      </c>
      <c r="Z956" s="16" t="str">
        <f>HYPERLINK($X956&amp;SUBSTITUTE(マスタ!$C$3,"XXXXX",$W956))</f>
        <v>https://www.youtube.com/live/tbPnXY8S_GQ?si=8PkFk0wPDIc_uL_n&amp;t=4684s</v>
      </c>
      <c r="AA956" s="12" t="str">
        <f t="shared" si="45"/>
        <v>ジミーサムP feat.初音ミク＆巡音ルカ(コーラス)from Y to Y</v>
      </c>
    </row>
    <row r="957" spans="1:27" x14ac:dyDescent="0.4">
      <c r="A957" s="14">
        <f t="shared" si="46"/>
        <v>956</v>
      </c>
      <c r="B957" s="14">
        <v>125</v>
      </c>
      <c r="C957" s="21" t="s">
        <v>309</v>
      </c>
      <c r="D957" s="14" t="s">
        <v>643</v>
      </c>
      <c r="E957" s="14" t="s">
        <v>168</v>
      </c>
      <c r="G957" s="1" t="str">
        <f>_xlfn.XLOOKUP(B957,M_YT_LIVE!A:A,M_YT_LIVE!F:F,"ERROR",0,1)</f>
        <v>弾き語り</v>
      </c>
      <c r="W957" s="13">
        <f t="shared" si="44"/>
        <v>5252</v>
      </c>
      <c r="X957" s="12" t="str">
        <f>_xlfn.XLOOKUP($B957,M_YT_LIVE!$A:$A,M_YT_LIVE!$D:$D)</f>
        <v>https://www.youtube.com/live/tbPnXY8S_GQ?si=8PkFk0wPDIc_uL_n</v>
      </c>
      <c r="Z957" s="16" t="str">
        <f>HYPERLINK($X957&amp;SUBSTITUTE(マスタ!$C$3,"XXXXX",$W957))</f>
        <v>https://www.youtube.com/live/tbPnXY8S_GQ?si=8PkFk0wPDIc_uL_n&amp;t=5252s</v>
      </c>
      <c r="AA957" s="12" t="str">
        <f t="shared" si="45"/>
        <v>AimerRef:rain</v>
      </c>
    </row>
    <row r="958" spans="1:27" x14ac:dyDescent="0.4">
      <c r="A958" s="14">
        <f t="shared" si="46"/>
        <v>957</v>
      </c>
      <c r="B958" s="14">
        <v>125</v>
      </c>
      <c r="C958" s="21" t="s">
        <v>2147</v>
      </c>
      <c r="D958" s="14" t="s">
        <v>477</v>
      </c>
      <c r="E958" s="14" t="s">
        <v>478</v>
      </c>
      <c r="G958" s="1" t="str">
        <f>_xlfn.XLOOKUP(B958,M_YT_LIVE!A:A,M_YT_LIVE!F:F,"ERROR",0,1)</f>
        <v>弾き語り</v>
      </c>
      <c r="W958" s="13">
        <f t="shared" si="44"/>
        <v>5616</v>
      </c>
      <c r="X958" s="12" t="str">
        <f>_xlfn.XLOOKUP($B958,M_YT_LIVE!$A:$A,M_YT_LIVE!$D:$D)</f>
        <v>https://www.youtube.com/live/tbPnXY8S_GQ?si=8PkFk0wPDIc_uL_n</v>
      </c>
      <c r="Z958" s="16" t="str">
        <f>HYPERLINK($X958&amp;SUBSTITUTE(マスタ!$C$3,"XXXXX",$W958))</f>
        <v>https://www.youtube.com/live/tbPnXY8S_GQ?si=8PkFk0wPDIc_uL_n&amp;t=5616s</v>
      </c>
      <c r="AA958" s="12" t="str">
        <f t="shared" si="45"/>
        <v>煮ル果実 feat.可不ナイトルール</v>
      </c>
    </row>
    <row r="959" spans="1:27" x14ac:dyDescent="0.4">
      <c r="A959" s="14">
        <f t="shared" si="46"/>
        <v>958</v>
      </c>
      <c r="B959" s="14">
        <v>125</v>
      </c>
      <c r="C959" s="21" t="s">
        <v>2148</v>
      </c>
      <c r="D959" s="14" t="s">
        <v>224</v>
      </c>
      <c r="E959" s="14" t="s">
        <v>225</v>
      </c>
      <c r="G959" s="1" t="str">
        <f>_xlfn.XLOOKUP(B959,M_YT_LIVE!A:A,M_YT_LIVE!F:F,"ERROR",0,1)</f>
        <v>弾き語り</v>
      </c>
      <c r="W959" s="13">
        <f t="shared" si="44"/>
        <v>6038</v>
      </c>
      <c r="X959" s="12" t="str">
        <f>_xlfn.XLOOKUP($B959,M_YT_LIVE!$A:$A,M_YT_LIVE!$D:$D)</f>
        <v>https://www.youtube.com/live/tbPnXY8S_GQ?si=8PkFk0wPDIc_uL_n</v>
      </c>
      <c r="Z959" s="16" t="str">
        <f>HYPERLINK($X959&amp;SUBSTITUTE(マスタ!$C$3,"XXXXX",$W959))</f>
        <v>https://www.youtube.com/live/tbPnXY8S_GQ?si=8PkFk0wPDIc_uL_n&amp;t=6038s</v>
      </c>
      <c r="AA959" s="12" t="str">
        <f t="shared" si="45"/>
        <v>ryo(supercell) feat.初音ミクメルト</v>
      </c>
    </row>
    <row r="960" spans="1:27" x14ac:dyDescent="0.4">
      <c r="A960" s="14">
        <f t="shared" si="46"/>
        <v>959</v>
      </c>
      <c r="B960" s="14">
        <v>125</v>
      </c>
      <c r="C960" s="21" t="s">
        <v>2149</v>
      </c>
      <c r="D960" s="14" t="s">
        <v>80</v>
      </c>
      <c r="E960" s="14" t="s">
        <v>81</v>
      </c>
      <c r="G960" s="1" t="str">
        <f>_xlfn.XLOOKUP(B960,M_YT_LIVE!A:A,M_YT_LIVE!F:F,"ERROR",0,1)</f>
        <v>弾き語り</v>
      </c>
      <c r="W960" s="13">
        <f t="shared" si="44"/>
        <v>6491</v>
      </c>
      <c r="X960" s="12" t="str">
        <f>_xlfn.XLOOKUP($B960,M_YT_LIVE!$A:$A,M_YT_LIVE!$D:$D)</f>
        <v>https://www.youtube.com/live/tbPnXY8S_GQ?si=8PkFk0wPDIc_uL_n</v>
      </c>
      <c r="Z960" s="16" t="str">
        <f>HYPERLINK($X960&amp;SUBSTITUTE(マスタ!$C$3,"XXXXX",$W960))</f>
        <v>https://www.youtube.com/live/tbPnXY8S_GQ?si=8PkFk0wPDIc_uL_n&amp;t=6491s</v>
      </c>
      <c r="AA960" s="12" t="str">
        <f t="shared" si="45"/>
        <v>じん(自然の敵P) feat.IA想像フォレスト</v>
      </c>
    </row>
    <row r="961" spans="1:27" x14ac:dyDescent="0.4">
      <c r="A961" s="14">
        <f t="shared" si="46"/>
        <v>960</v>
      </c>
      <c r="B961" s="14">
        <v>126</v>
      </c>
      <c r="C961" s="21" t="s">
        <v>2152</v>
      </c>
      <c r="D961" s="14" t="s">
        <v>155</v>
      </c>
      <c r="E961" s="14" t="s">
        <v>156</v>
      </c>
      <c r="G961" s="1" t="str">
        <f>_xlfn.XLOOKUP(B961,M_YT_LIVE!A:A,M_YT_LIVE!F:F,"ERROR",0,1)</f>
        <v>弾き語り</v>
      </c>
      <c r="W961" s="13">
        <f t="shared" si="44"/>
        <v>408</v>
      </c>
      <c r="X961" s="12" t="str">
        <f>_xlfn.XLOOKUP($B961,M_YT_LIVE!$A:$A,M_YT_LIVE!$D:$D)</f>
        <v>https://www.youtube.com/live/3sDTyQ9hCDg?si=pXcH4WBWdJUgF-zq</v>
      </c>
      <c r="Z961" s="16" t="str">
        <f>HYPERLINK($X961&amp;SUBSTITUTE(マスタ!$C$3,"XXXXX",$W961))</f>
        <v>https://www.youtube.com/live/3sDTyQ9hCDg?si=pXcH4WBWdJUgF-zq&amp;t=408s</v>
      </c>
      <c r="AA961" s="12" t="str">
        <f t="shared" si="45"/>
        <v>DECO*27 feat.GUMI弱虫モンブラン</v>
      </c>
    </row>
    <row r="962" spans="1:27" x14ac:dyDescent="0.4">
      <c r="A962" s="14">
        <f t="shared" si="46"/>
        <v>961</v>
      </c>
      <c r="B962" s="14">
        <v>126</v>
      </c>
      <c r="C962" s="21" t="s">
        <v>2153</v>
      </c>
      <c r="D962" s="14" t="s">
        <v>1508</v>
      </c>
      <c r="E962" s="14" t="s">
        <v>112</v>
      </c>
      <c r="G962" s="1" t="str">
        <f>_xlfn.XLOOKUP(B962,M_YT_LIVE!A:A,M_YT_LIVE!F:F,"ERROR",0,1)</f>
        <v>弾き語り</v>
      </c>
      <c r="W962" s="13">
        <f t="shared" si="44"/>
        <v>975</v>
      </c>
      <c r="X962" s="12" t="str">
        <f>_xlfn.XLOOKUP($B962,M_YT_LIVE!$A:$A,M_YT_LIVE!$D:$D)</f>
        <v>https://www.youtube.com/live/3sDTyQ9hCDg?si=pXcH4WBWdJUgF-zq</v>
      </c>
      <c r="Z962" s="16" t="str">
        <f>HYPERLINK($X962&amp;SUBSTITUTE(マスタ!$C$3,"XXXXX",$W962))</f>
        <v>https://www.youtube.com/live/3sDTyQ9hCDg?si=pXcH4WBWdJUgF-zq&amp;t=975s</v>
      </c>
      <c r="AA962" s="12" t="str">
        <f t="shared" si="45"/>
        <v>DECO*27 feat.初音ミクリバーシブル・キャンペーン</v>
      </c>
    </row>
    <row r="963" spans="1:27" x14ac:dyDescent="0.4">
      <c r="A963" s="14">
        <f t="shared" si="46"/>
        <v>962</v>
      </c>
      <c r="B963" s="14">
        <v>126</v>
      </c>
      <c r="C963" s="21" t="s">
        <v>2154</v>
      </c>
      <c r="D963" s="14" t="s">
        <v>2155</v>
      </c>
      <c r="E963" s="14" t="s">
        <v>2156</v>
      </c>
      <c r="G963" s="1" t="str">
        <f>_xlfn.XLOOKUP(B963,M_YT_LIVE!A:A,M_YT_LIVE!F:F,"ERROR",0,1)</f>
        <v>弾き語り</v>
      </c>
      <c r="W963" s="13">
        <f t="shared" si="44"/>
        <v>1395.0000000000002</v>
      </c>
      <c r="X963" s="12" t="str">
        <f>_xlfn.XLOOKUP($B963,M_YT_LIVE!$A:$A,M_YT_LIVE!$D:$D)</f>
        <v>https://www.youtube.com/live/3sDTyQ9hCDg?si=pXcH4WBWdJUgF-zq</v>
      </c>
      <c r="Z963" s="16" t="str">
        <f>HYPERLINK($X963&amp;SUBSTITUTE(マスタ!$C$3,"XXXXX",$W963))</f>
        <v>https://www.youtube.com/live/3sDTyQ9hCDg?si=pXcH4WBWdJUgF-zq&amp;t=1395s</v>
      </c>
      <c r="AA963" s="12" t="str">
        <f t="shared" si="45"/>
        <v>GRe4N BOYZ愛唄</v>
      </c>
    </row>
    <row r="964" spans="1:27" x14ac:dyDescent="0.4">
      <c r="A964" s="14">
        <f t="shared" si="46"/>
        <v>963</v>
      </c>
      <c r="B964" s="14">
        <v>126</v>
      </c>
      <c r="C964" s="21" t="s">
        <v>594</v>
      </c>
      <c r="D964" s="14" t="s">
        <v>1016</v>
      </c>
      <c r="E964" s="14" t="s">
        <v>1017</v>
      </c>
      <c r="G964" s="1" t="str">
        <f>_xlfn.XLOOKUP(B964,M_YT_LIVE!A:A,M_YT_LIVE!F:F,"ERROR",0,1)</f>
        <v>弾き語り</v>
      </c>
      <c r="W964" s="13">
        <f t="shared" ref="W964:W1027" si="47">TIMEVALUE($C964)*86400</f>
        <v>1955</v>
      </c>
      <c r="X964" s="12" t="str">
        <f>_xlfn.XLOOKUP($B964,M_YT_LIVE!$A:$A,M_YT_LIVE!$D:$D)</f>
        <v>https://www.youtube.com/live/3sDTyQ9hCDg?si=pXcH4WBWdJUgF-zq</v>
      </c>
      <c r="Z964" s="16" t="str">
        <f>HYPERLINK($X964&amp;SUBSTITUTE(マスタ!$C$3,"XXXXX",$W964))</f>
        <v>https://www.youtube.com/live/3sDTyQ9hCDg?si=pXcH4WBWdJUgF-zq&amp;t=1955s</v>
      </c>
      <c r="AA964" s="12" t="str">
        <f t="shared" si="45"/>
        <v>家入レオサブリナ</v>
      </c>
    </row>
    <row r="965" spans="1:27" x14ac:dyDescent="0.4">
      <c r="A965" s="14">
        <f t="shared" si="46"/>
        <v>964</v>
      </c>
      <c r="B965" s="14">
        <v>126</v>
      </c>
      <c r="C965" s="21" t="s">
        <v>2157</v>
      </c>
      <c r="D965" s="14" t="s">
        <v>2158</v>
      </c>
      <c r="E965" s="14" t="s">
        <v>1721</v>
      </c>
      <c r="G965" s="1" t="str">
        <f>_xlfn.XLOOKUP(B965,M_YT_LIVE!A:A,M_YT_LIVE!F:F,"ERROR",0,1)</f>
        <v>弾き語り</v>
      </c>
      <c r="W965" s="13">
        <f t="shared" si="47"/>
        <v>2614</v>
      </c>
      <c r="X965" s="12" t="str">
        <f>_xlfn.XLOOKUP($B965,M_YT_LIVE!$A:$A,M_YT_LIVE!$D:$D)</f>
        <v>https://www.youtube.com/live/3sDTyQ9hCDg?si=pXcH4WBWdJUgF-zq</v>
      </c>
      <c r="Z965" s="16" t="str">
        <f>HYPERLINK($X965&amp;SUBSTITUTE(マスタ!$C$3,"XXXXX",$W965))</f>
        <v>https://www.youtube.com/live/3sDTyQ9hCDg?si=pXcH4WBWdJUgF-zq&amp;t=2614s</v>
      </c>
      <c r="AA965" s="12" t="str">
        <f t="shared" ref="AA965:AA1028" si="48">TRIM(E965)&amp;TRIM(D965)</f>
        <v>嵐迷宮ラブソング (1chorus)</v>
      </c>
    </row>
    <row r="966" spans="1:27" x14ac:dyDescent="0.4">
      <c r="A966" s="14">
        <f t="shared" ref="A966:A1029" si="49">ROW()-1</f>
        <v>965</v>
      </c>
      <c r="B966" s="14">
        <v>126</v>
      </c>
      <c r="C966" s="21" t="s">
        <v>2159</v>
      </c>
      <c r="D966" s="14" t="s">
        <v>744</v>
      </c>
      <c r="E966" s="14" t="s">
        <v>742</v>
      </c>
      <c r="G966" s="1" t="str">
        <f>_xlfn.XLOOKUP(B966,M_YT_LIVE!A:A,M_YT_LIVE!F:F,"ERROR",0,1)</f>
        <v>弾き語り</v>
      </c>
      <c r="W966" s="13">
        <f t="shared" si="47"/>
        <v>2839</v>
      </c>
      <c r="X966" s="12" t="str">
        <f>_xlfn.XLOOKUP($B966,M_YT_LIVE!$A:$A,M_YT_LIVE!$D:$D)</f>
        <v>https://www.youtube.com/live/3sDTyQ9hCDg?si=pXcH4WBWdJUgF-zq</v>
      </c>
      <c r="Z966" s="16" t="str">
        <f>HYPERLINK($X966&amp;SUBSTITUTE(マスタ!$C$3,"XXXXX",$W966))</f>
        <v>https://www.youtube.com/live/3sDTyQ9hCDg?si=pXcH4WBWdJUgF-zq&amp;t=2839s</v>
      </c>
      <c r="AA966" s="12" t="str">
        <f t="shared" si="48"/>
        <v>KANA-BOON結晶星</v>
      </c>
    </row>
    <row r="967" spans="1:27" x14ac:dyDescent="0.4">
      <c r="A967" s="14">
        <f t="shared" si="49"/>
        <v>966</v>
      </c>
      <c r="B967" s="14">
        <v>126</v>
      </c>
      <c r="C967" s="21" t="s">
        <v>2160</v>
      </c>
      <c r="D967" s="14" t="s">
        <v>1395</v>
      </c>
      <c r="E967" s="14" t="s">
        <v>1396</v>
      </c>
      <c r="G967" s="1" t="str">
        <f>_xlfn.XLOOKUP(B967,M_YT_LIVE!A:A,M_YT_LIVE!F:F,"ERROR",0,1)</f>
        <v>弾き語り</v>
      </c>
      <c r="W967" s="13">
        <f t="shared" si="47"/>
        <v>3273.0000000000005</v>
      </c>
      <c r="X967" s="12" t="str">
        <f>_xlfn.XLOOKUP($B967,M_YT_LIVE!$A:$A,M_YT_LIVE!$D:$D)</f>
        <v>https://www.youtube.com/live/3sDTyQ9hCDg?si=pXcH4WBWdJUgF-zq</v>
      </c>
      <c r="Z967" s="16" t="str">
        <f>HYPERLINK($X967&amp;SUBSTITUTE(マスタ!$C$3,"XXXXX",$W967))</f>
        <v>https://www.youtube.com/live/3sDTyQ9hCDg?si=pXcH4WBWdJUgF-zq&amp;t=3273s</v>
      </c>
      <c r="AA967" s="12" t="str">
        <f t="shared" si="48"/>
        <v>三月のパンタシアピンクレモネード</v>
      </c>
    </row>
    <row r="968" spans="1:27" x14ac:dyDescent="0.4">
      <c r="A968" s="14">
        <f t="shared" si="49"/>
        <v>967</v>
      </c>
      <c r="B968" s="14">
        <v>126</v>
      </c>
      <c r="C968" s="21" t="s">
        <v>2161</v>
      </c>
      <c r="D968" s="14" t="s">
        <v>485</v>
      </c>
      <c r="E968" s="14" t="s">
        <v>208</v>
      </c>
      <c r="G968" s="1" t="str">
        <f>_xlfn.XLOOKUP(B968,M_YT_LIVE!A:A,M_YT_LIVE!F:F,"ERROR",0,1)</f>
        <v>弾き語り</v>
      </c>
      <c r="W968" s="13">
        <f t="shared" si="47"/>
        <v>3780.9999999999995</v>
      </c>
      <c r="X968" s="12" t="str">
        <f>_xlfn.XLOOKUP($B968,M_YT_LIVE!$A:$A,M_YT_LIVE!$D:$D)</f>
        <v>https://www.youtube.com/live/3sDTyQ9hCDg?si=pXcH4WBWdJUgF-zq</v>
      </c>
      <c r="Z968" s="16" t="str">
        <f>HYPERLINK($X968&amp;SUBSTITUTE(マスタ!$C$3,"XXXXX",$W968))</f>
        <v>https://www.youtube.com/live/3sDTyQ9hCDg?si=pXcH4WBWdJUgF-zq&amp;t=3781s</v>
      </c>
      <c r="AA968" s="12" t="str">
        <f t="shared" si="48"/>
        <v>supercellヒーロー</v>
      </c>
    </row>
    <row r="969" spans="1:27" x14ac:dyDescent="0.4">
      <c r="A969" s="14">
        <f t="shared" si="49"/>
        <v>968</v>
      </c>
      <c r="B969" s="14">
        <v>126</v>
      </c>
      <c r="C969" s="21" t="s">
        <v>2162</v>
      </c>
      <c r="D969" s="14" t="s">
        <v>2163</v>
      </c>
      <c r="E969" s="14" t="s">
        <v>347</v>
      </c>
      <c r="G969" s="1" t="str">
        <f>_xlfn.XLOOKUP(B969,M_YT_LIVE!A:A,M_YT_LIVE!F:F,"ERROR",0,1)</f>
        <v>弾き語り</v>
      </c>
      <c r="W969" s="13">
        <f t="shared" si="47"/>
        <v>4190</v>
      </c>
      <c r="X969" s="12" t="str">
        <f>_xlfn.XLOOKUP($B969,M_YT_LIVE!$A:$A,M_YT_LIVE!$D:$D)</f>
        <v>https://www.youtube.com/live/3sDTyQ9hCDg?si=pXcH4WBWdJUgF-zq</v>
      </c>
      <c r="Z969" s="16" t="str">
        <f>HYPERLINK($X969&amp;SUBSTITUTE(マスタ!$C$3,"XXXXX",$W969))</f>
        <v>https://www.youtube.com/live/3sDTyQ9hCDg?si=pXcH4WBWdJUgF-zq&amp;t=4190s</v>
      </c>
      <c r="AA969" s="12" t="str">
        <f t="shared" si="48"/>
        <v>幽音しの(即興)今週の予定の歌</v>
      </c>
    </row>
    <row r="970" spans="1:27" x14ac:dyDescent="0.4">
      <c r="A970" s="14">
        <f t="shared" si="49"/>
        <v>969</v>
      </c>
      <c r="B970" s="14">
        <v>127</v>
      </c>
      <c r="C970" s="21" t="s">
        <v>2166</v>
      </c>
      <c r="D970" s="14" t="s">
        <v>378</v>
      </c>
      <c r="E970" s="14" t="s">
        <v>141</v>
      </c>
      <c r="G970" s="1" t="str">
        <f>_xlfn.XLOOKUP(B970,M_YT_LIVE!A:A,M_YT_LIVE!F:F,"ERROR",0,1)</f>
        <v>弾き語り</v>
      </c>
      <c r="W970" s="13">
        <f t="shared" si="47"/>
        <v>314</v>
      </c>
      <c r="X970" s="12" t="str">
        <f>_xlfn.XLOOKUP($B970,M_YT_LIVE!$A:$A,M_YT_LIVE!$D:$D)</f>
        <v>https://www.youtube.com/live/xKwyAT6ZyDo?si=p8RkryjyMuiiNoGd</v>
      </c>
      <c r="Z970" s="16" t="str">
        <f>HYPERLINK($X970&amp;SUBSTITUTE(マスタ!$C$3,"XXXXX",$W970))</f>
        <v>https://www.youtube.com/live/xKwyAT6ZyDo?si=p8RkryjyMuiiNoGd&amp;t=314s</v>
      </c>
      <c r="AA970" s="12" t="str">
        <f t="shared" si="48"/>
        <v>ヨルシカ斜陽</v>
      </c>
    </row>
    <row r="971" spans="1:27" x14ac:dyDescent="0.4">
      <c r="A971" s="14">
        <f t="shared" si="49"/>
        <v>970</v>
      </c>
      <c r="B971" s="14">
        <v>127</v>
      </c>
      <c r="C971" s="21" t="s">
        <v>2167</v>
      </c>
      <c r="D971" s="14" t="s">
        <v>106</v>
      </c>
      <c r="E971" s="14" t="s">
        <v>460</v>
      </c>
      <c r="G971" s="1" t="str">
        <f>_xlfn.XLOOKUP(B971,M_YT_LIVE!A:A,M_YT_LIVE!F:F,"ERROR",0,1)</f>
        <v>弾き語り</v>
      </c>
      <c r="W971" s="13">
        <f t="shared" si="47"/>
        <v>674</v>
      </c>
      <c r="X971" s="12" t="str">
        <f>_xlfn.XLOOKUP($B971,M_YT_LIVE!$A:$A,M_YT_LIVE!$D:$D)</f>
        <v>https://www.youtube.com/live/xKwyAT6ZyDo?si=p8RkryjyMuiiNoGd</v>
      </c>
      <c r="Z971" s="16" t="str">
        <f>HYPERLINK($X971&amp;SUBSTITUTE(マスタ!$C$3,"XXXXX",$W971))</f>
        <v>https://www.youtube.com/live/xKwyAT6ZyDo?si=p8RkryjyMuiiNoGd&amp;t=674s</v>
      </c>
      <c r="AA971" s="12" t="str">
        <f t="shared" si="48"/>
        <v>バルーン(須田景凪) feat.flowerレディーレ</v>
      </c>
    </row>
    <row r="972" spans="1:27" x14ac:dyDescent="0.4">
      <c r="A972" s="14">
        <f t="shared" si="49"/>
        <v>971</v>
      </c>
      <c r="B972" s="14">
        <v>127</v>
      </c>
      <c r="C972" s="21" t="s">
        <v>2168</v>
      </c>
      <c r="D972" s="14" t="s">
        <v>2169</v>
      </c>
      <c r="E972" s="14" t="s">
        <v>460</v>
      </c>
      <c r="G972" s="1" t="str">
        <f>_xlfn.XLOOKUP(B972,M_YT_LIVE!A:A,M_YT_LIVE!F:F,"ERROR",0,1)</f>
        <v>弾き語り</v>
      </c>
      <c r="W972" s="13">
        <f t="shared" si="47"/>
        <v>1025</v>
      </c>
      <c r="X972" s="12" t="str">
        <f>_xlfn.XLOOKUP($B972,M_YT_LIVE!$A:$A,M_YT_LIVE!$D:$D)</f>
        <v>https://www.youtube.com/live/xKwyAT6ZyDo?si=p8RkryjyMuiiNoGd</v>
      </c>
      <c r="Z972" s="16" t="str">
        <f>HYPERLINK($X972&amp;SUBSTITUTE(マスタ!$C$3,"XXXXX",$W972))</f>
        <v>https://www.youtube.com/live/xKwyAT6ZyDo?si=p8RkryjyMuiiNoGd&amp;t=1025s</v>
      </c>
      <c r="AA972" s="12" t="str">
        <f t="shared" si="48"/>
        <v>バルーン(須田景凪) feat.flower雨とペトラ</v>
      </c>
    </row>
    <row r="973" spans="1:27" x14ac:dyDescent="0.4">
      <c r="A973" s="14">
        <f t="shared" si="49"/>
        <v>972</v>
      </c>
      <c r="B973" s="14">
        <v>127</v>
      </c>
      <c r="C973" s="21" t="s">
        <v>2170</v>
      </c>
      <c r="D973" s="14" t="s">
        <v>266</v>
      </c>
      <c r="E973" s="14" t="s">
        <v>460</v>
      </c>
      <c r="G973" s="1" t="str">
        <f>_xlfn.XLOOKUP(B973,M_YT_LIVE!A:A,M_YT_LIVE!F:F,"ERROR",0,1)</f>
        <v>弾き語り</v>
      </c>
      <c r="W973" s="13">
        <f t="shared" si="47"/>
        <v>1398</v>
      </c>
      <c r="X973" s="12" t="str">
        <f>_xlfn.XLOOKUP($B973,M_YT_LIVE!$A:$A,M_YT_LIVE!$D:$D)</f>
        <v>https://www.youtube.com/live/xKwyAT6ZyDo?si=p8RkryjyMuiiNoGd</v>
      </c>
      <c r="Z973" s="16" t="str">
        <f>HYPERLINK($X973&amp;SUBSTITUTE(マスタ!$C$3,"XXXXX",$W973))</f>
        <v>https://www.youtube.com/live/xKwyAT6ZyDo?si=p8RkryjyMuiiNoGd&amp;t=1398s</v>
      </c>
      <c r="AA973" s="12" t="str">
        <f t="shared" si="48"/>
        <v>バルーン(須田景凪) feat.flowerシャルル</v>
      </c>
    </row>
    <row r="974" spans="1:27" x14ac:dyDescent="0.4">
      <c r="A974" s="14">
        <f t="shared" si="49"/>
        <v>973</v>
      </c>
      <c r="B974" s="14">
        <v>127</v>
      </c>
      <c r="C974" s="21" t="s">
        <v>542</v>
      </c>
      <c r="D974" s="14" t="s">
        <v>459</v>
      </c>
      <c r="E974" s="14" t="s">
        <v>460</v>
      </c>
      <c r="G974" s="1" t="str">
        <f>_xlfn.XLOOKUP(B974,M_YT_LIVE!A:A,M_YT_LIVE!F:F,"ERROR",0,1)</f>
        <v>弾き語り</v>
      </c>
      <c r="W974" s="13">
        <f t="shared" si="47"/>
        <v>1777</v>
      </c>
      <c r="X974" s="12" t="str">
        <f>_xlfn.XLOOKUP($B974,M_YT_LIVE!$A:$A,M_YT_LIVE!$D:$D)</f>
        <v>https://www.youtube.com/live/xKwyAT6ZyDo?si=p8RkryjyMuiiNoGd</v>
      </c>
      <c r="Z974" s="16" t="str">
        <f>HYPERLINK($X974&amp;SUBSTITUTE(マスタ!$C$3,"XXXXX",$W974))</f>
        <v>https://www.youtube.com/live/xKwyAT6ZyDo?si=p8RkryjyMuiiNoGd&amp;t=1777s</v>
      </c>
      <c r="AA974" s="12" t="str">
        <f t="shared" si="48"/>
        <v>バルーン(須田景凪) feat.flower花瓶に触れた</v>
      </c>
    </row>
    <row r="975" spans="1:27" x14ac:dyDescent="0.4">
      <c r="A975" s="14">
        <f t="shared" si="49"/>
        <v>974</v>
      </c>
      <c r="B975" s="14">
        <v>127</v>
      </c>
      <c r="C975" s="21" t="s">
        <v>2171</v>
      </c>
      <c r="D975" s="14" t="s">
        <v>204</v>
      </c>
      <c r="E975" s="14" t="s">
        <v>205</v>
      </c>
      <c r="G975" s="1" t="str">
        <f>_xlfn.XLOOKUP(B975,M_YT_LIVE!A:A,M_YT_LIVE!F:F,"ERROR",0,1)</f>
        <v>弾き語り</v>
      </c>
      <c r="W975" s="13">
        <f t="shared" si="47"/>
        <v>2107</v>
      </c>
      <c r="X975" s="12" t="str">
        <f>_xlfn.XLOOKUP($B975,M_YT_LIVE!$A:$A,M_YT_LIVE!$D:$D)</f>
        <v>https://www.youtube.com/live/xKwyAT6ZyDo?si=p8RkryjyMuiiNoGd</v>
      </c>
      <c r="Z975" s="16" t="str">
        <f>HYPERLINK($X975&amp;SUBSTITUTE(マスタ!$C$3,"XXXXX",$W975))</f>
        <v>https://www.youtube.com/live/xKwyAT6ZyDo?si=p8RkryjyMuiiNoGd&amp;t=2107s</v>
      </c>
      <c r="AA975" s="12" t="str">
        <f t="shared" si="48"/>
        <v>164P feat.GUMI天ノ弱</v>
      </c>
    </row>
    <row r="976" spans="1:27" x14ac:dyDescent="0.4">
      <c r="A976" s="14">
        <f t="shared" si="49"/>
        <v>975</v>
      </c>
      <c r="B976" s="14">
        <v>127</v>
      </c>
      <c r="C976" s="21" t="s">
        <v>2172</v>
      </c>
      <c r="D976" s="14" t="s">
        <v>120</v>
      </c>
      <c r="E976" s="14" t="s">
        <v>118</v>
      </c>
      <c r="G976" s="1" t="str">
        <f>_xlfn.XLOOKUP(B976,M_YT_LIVE!A:A,M_YT_LIVE!F:F,"ERROR",0,1)</f>
        <v>弾き語り</v>
      </c>
      <c r="W976" s="13">
        <f t="shared" si="47"/>
        <v>2496</v>
      </c>
      <c r="X976" s="12" t="str">
        <f>_xlfn.XLOOKUP($B976,M_YT_LIVE!$A:$A,M_YT_LIVE!$D:$D)</f>
        <v>https://www.youtube.com/live/xKwyAT6ZyDo?si=p8RkryjyMuiiNoGd</v>
      </c>
      <c r="Z976" s="16" t="str">
        <f>HYPERLINK($X976&amp;SUBSTITUTE(マスタ!$C$3,"XXXXX",$W976))</f>
        <v>https://www.youtube.com/live/xKwyAT6ZyDo?si=p8RkryjyMuiiNoGd&amp;t=2496s</v>
      </c>
      <c r="AA976" s="12" t="str">
        <f t="shared" si="48"/>
        <v>Orangestar feat.初音ミクアスノヨゾラ哨戒班</v>
      </c>
    </row>
    <row r="977" spans="1:27" x14ac:dyDescent="0.4">
      <c r="A977" s="14">
        <f t="shared" si="49"/>
        <v>976</v>
      </c>
      <c r="B977" s="14">
        <v>127</v>
      </c>
      <c r="C977" s="21" t="s">
        <v>2173</v>
      </c>
      <c r="D977" s="14" t="s">
        <v>109</v>
      </c>
      <c r="E977" s="14" t="s">
        <v>44</v>
      </c>
      <c r="G977" s="1" t="str">
        <f>_xlfn.XLOOKUP(B977,M_YT_LIVE!A:A,M_YT_LIVE!F:F,"ERROR",0,1)</f>
        <v>弾き語り</v>
      </c>
      <c r="W977" s="13">
        <f t="shared" si="47"/>
        <v>2792</v>
      </c>
      <c r="X977" s="12" t="str">
        <f>_xlfn.XLOOKUP($B977,M_YT_LIVE!$A:$A,M_YT_LIVE!$D:$D)</f>
        <v>https://www.youtube.com/live/xKwyAT6ZyDo?si=p8RkryjyMuiiNoGd</v>
      </c>
      <c r="Z977" s="16" t="str">
        <f>HYPERLINK($X977&amp;SUBSTITUTE(マスタ!$C$3,"XXXXX",$W977))</f>
        <v>https://www.youtube.com/live/xKwyAT6ZyDo?si=p8RkryjyMuiiNoGd&amp;t=2792s</v>
      </c>
      <c r="AA977" s="12" t="str">
        <f t="shared" si="48"/>
        <v>メル feat.初音ミク翡翠のまち</v>
      </c>
    </row>
    <row r="978" spans="1:27" x14ac:dyDescent="0.4">
      <c r="A978" s="14">
        <f t="shared" si="49"/>
        <v>977</v>
      </c>
      <c r="B978" s="14">
        <v>127</v>
      </c>
      <c r="C978" s="21" t="s">
        <v>2174</v>
      </c>
      <c r="D978" s="14" t="s">
        <v>33</v>
      </c>
      <c r="E978" s="14" t="s">
        <v>44</v>
      </c>
      <c r="G978" s="1" t="str">
        <f>_xlfn.XLOOKUP(B978,M_YT_LIVE!A:A,M_YT_LIVE!F:F,"ERROR",0,1)</f>
        <v>弾き語り</v>
      </c>
      <c r="W978" s="13">
        <f t="shared" si="47"/>
        <v>3144</v>
      </c>
      <c r="X978" s="12" t="str">
        <f>_xlfn.XLOOKUP($B978,M_YT_LIVE!$A:$A,M_YT_LIVE!$D:$D)</f>
        <v>https://www.youtube.com/live/xKwyAT6ZyDo?si=p8RkryjyMuiiNoGd</v>
      </c>
      <c r="Z978" s="16" t="str">
        <f>HYPERLINK($X978&amp;SUBSTITUTE(マスタ!$C$3,"XXXXX",$W978))</f>
        <v>https://www.youtube.com/live/xKwyAT6ZyDo?si=p8RkryjyMuiiNoGd&amp;t=3144s</v>
      </c>
      <c r="AA978" s="12" t="str">
        <f t="shared" si="48"/>
        <v>メル feat.初音ミクさようなら、花泥棒さん</v>
      </c>
    </row>
    <row r="979" spans="1:27" x14ac:dyDescent="0.4">
      <c r="A979" s="14">
        <f t="shared" si="49"/>
        <v>978</v>
      </c>
      <c r="B979" s="14">
        <v>127</v>
      </c>
      <c r="C979" s="21" t="s">
        <v>2175</v>
      </c>
      <c r="D979" s="14" t="s">
        <v>31</v>
      </c>
      <c r="E979" s="14" t="s">
        <v>1046</v>
      </c>
      <c r="G979" s="1" t="str">
        <f>_xlfn.XLOOKUP(B979,M_YT_LIVE!A:A,M_YT_LIVE!F:F,"ERROR",0,1)</f>
        <v>弾き語り</v>
      </c>
      <c r="W979" s="13">
        <f t="shared" si="47"/>
        <v>3500</v>
      </c>
      <c r="X979" s="12" t="str">
        <f>_xlfn.XLOOKUP($B979,M_YT_LIVE!$A:$A,M_YT_LIVE!$D:$D)</f>
        <v>https://www.youtube.com/live/xKwyAT6ZyDo?si=p8RkryjyMuiiNoGd</v>
      </c>
      <c r="Z979" s="16" t="str">
        <f>HYPERLINK($X979&amp;SUBSTITUTE(マスタ!$C$3,"XXXXX",$W979))</f>
        <v>https://www.youtube.com/live/xKwyAT6ZyDo?si=p8RkryjyMuiiNoGd&amp;t=3500s</v>
      </c>
      <c r="AA979" s="12" t="str">
        <f t="shared" si="48"/>
        <v>メル feat.IAプラトニック・ラヴ</v>
      </c>
    </row>
    <row r="980" spans="1:27" x14ac:dyDescent="0.4">
      <c r="A980" s="14">
        <f t="shared" si="49"/>
        <v>979</v>
      </c>
      <c r="B980" s="14">
        <v>127</v>
      </c>
      <c r="C980" s="21" t="s">
        <v>2176</v>
      </c>
      <c r="D980" s="14" t="s">
        <v>512</v>
      </c>
      <c r="E980" s="14" t="s">
        <v>528</v>
      </c>
      <c r="G980" s="1" t="str">
        <f>_xlfn.XLOOKUP(B980,M_YT_LIVE!A:A,M_YT_LIVE!F:F,"ERROR",0,1)</f>
        <v>弾き語り</v>
      </c>
      <c r="W980" s="13">
        <f t="shared" si="47"/>
        <v>3823.0000000000005</v>
      </c>
      <c r="X980" s="12" t="str">
        <f>_xlfn.XLOOKUP($B980,M_YT_LIVE!$A:$A,M_YT_LIVE!$D:$D)</f>
        <v>https://www.youtube.com/live/xKwyAT6ZyDo?si=p8RkryjyMuiiNoGd</v>
      </c>
      <c r="Z980" s="16" t="str">
        <f>HYPERLINK($X980&amp;SUBSTITUTE(マスタ!$C$3,"XXXXX",$W980))</f>
        <v>https://www.youtube.com/live/xKwyAT6ZyDo?si=p8RkryjyMuiiNoGd&amp;t=3823s</v>
      </c>
      <c r="AA980" s="12" t="str">
        <f t="shared" si="48"/>
        <v>みきとP feat.MAYU夕立のりぼん</v>
      </c>
    </row>
    <row r="981" spans="1:27" x14ac:dyDescent="0.4">
      <c r="A981" s="14">
        <f t="shared" si="49"/>
        <v>980</v>
      </c>
      <c r="B981" s="14">
        <v>127</v>
      </c>
      <c r="C981" s="21" t="s">
        <v>2177</v>
      </c>
      <c r="D981" s="14" t="s">
        <v>149</v>
      </c>
      <c r="E981" s="14" t="s">
        <v>150</v>
      </c>
      <c r="G981" s="1" t="str">
        <f>_xlfn.XLOOKUP(B981,M_YT_LIVE!A:A,M_YT_LIVE!F:F,"ERROR",0,1)</f>
        <v>弾き語り</v>
      </c>
      <c r="W981" s="13">
        <f t="shared" si="47"/>
        <v>4195</v>
      </c>
      <c r="X981" s="12" t="str">
        <f>_xlfn.XLOOKUP($B981,M_YT_LIVE!$A:$A,M_YT_LIVE!$D:$D)</f>
        <v>https://www.youtube.com/live/xKwyAT6ZyDo?si=p8RkryjyMuiiNoGd</v>
      </c>
      <c r="Z981" s="16" t="str">
        <f>HYPERLINK($X981&amp;SUBSTITUTE(マスタ!$C$3,"XXXXX",$W981))</f>
        <v>https://www.youtube.com/live/xKwyAT6ZyDo?si=p8RkryjyMuiiNoGd&amp;t=4195s</v>
      </c>
      <c r="AA981" s="12" t="str">
        <f t="shared" si="48"/>
        <v>みきとP feat.初音ミク少女レイ</v>
      </c>
    </row>
    <row r="982" spans="1:27" x14ac:dyDescent="0.4">
      <c r="A982" s="14">
        <f t="shared" si="49"/>
        <v>981</v>
      </c>
      <c r="B982" s="14">
        <v>127</v>
      </c>
      <c r="C982" s="21" t="s">
        <v>2178</v>
      </c>
      <c r="D982" s="14" t="s">
        <v>707</v>
      </c>
      <c r="E982" s="14" t="s">
        <v>708</v>
      </c>
      <c r="G982" s="1" t="str">
        <f>_xlfn.XLOOKUP(B982,M_YT_LIVE!A:A,M_YT_LIVE!F:F,"ERROR",0,1)</f>
        <v>弾き語り</v>
      </c>
      <c r="W982" s="13">
        <f t="shared" si="47"/>
        <v>4627</v>
      </c>
      <c r="X982" s="12" t="str">
        <f>_xlfn.XLOOKUP($B982,M_YT_LIVE!$A:$A,M_YT_LIVE!$D:$D)</f>
        <v>https://www.youtube.com/live/xKwyAT6ZyDo?si=p8RkryjyMuiiNoGd</v>
      </c>
      <c r="Z982" s="16" t="str">
        <f>HYPERLINK($X982&amp;SUBSTITUTE(マスタ!$C$3,"XXXXX",$W982))</f>
        <v>https://www.youtube.com/live/xKwyAT6ZyDo?si=p8RkryjyMuiiNoGd&amp;t=4627s</v>
      </c>
      <c r="AA982" s="12" t="str">
        <f t="shared" si="48"/>
        <v>halyosy feat.鏡音レンFire◎Flower</v>
      </c>
    </row>
    <row r="983" spans="1:27" x14ac:dyDescent="0.4">
      <c r="A983" s="14">
        <f t="shared" si="49"/>
        <v>982</v>
      </c>
      <c r="B983" s="14">
        <v>127</v>
      </c>
      <c r="C983" s="21" t="s">
        <v>2179</v>
      </c>
      <c r="D983" s="14" t="s">
        <v>454</v>
      </c>
      <c r="E983" s="14" t="s">
        <v>455</v>
      </c>
      <c r="G983" s="1" t="str">
        <f>_xlfn.XLOOKUP(B983,M_YT_LIVE!A:A,M_YT_LIVE!F:F,"ERROR",0,1)</f>
        <v>弾き語り</v>
      </c>
      <c r="W983" s="13">
        <f t="shared" si="47"/>
        <v>5082</v>
      </c>
      <c r="X983" s="12" t="str">
        <f>_xlfn.XLOOKUP($B983,M_YT_LIVE!$A:$A,M_YT_LIVE!$D:$D)</f>
        <v>https://www.youtube.com/live/xKwyAT6ZyDo?si=p8RkryjyMuiiNoGd</v>
      </c>
      <c r="Z983" s="16" t="str">
        <f>HYPERLINK($X983&amp;SUBSTITUTE(マスタ!$C$3,"XXXXX",$W983))</f>
        <v>https://www.youtube.com/live/xKwyAT6ZyDo?si=p8RkryjyMuiiNoGd&amp;t=5082s</v>
      </c>
      <c r="AA983" s="12" t="str">
        <f t="shared" si="48"/>
        <v>ささくれ。P feat.初音ミクハロー、プラネット。</v>
      </c>
    </row>
    <row r="984" spans="1:27" x14ac:dyDescent="0.4">
      <c r="A984" s="14">
        <f t="shared" si="49"/>
        <v>983</v>
      </c>
      <c r="B984" s="14">
        <v>127</v>
      </c>
      <c r="C984" s="21" t="s">
        <v>1456</v>
      </c>
      <c r="D984" s="14" t="s">
        <v>2180</v>
      </c>
      <c r="E984" s="14" t="s">
        <v>2181</v>
      </c>
      <c r="G984" s="1" t="str">
        <f>_xlfn.XLOOKUP(B984,M_YT_LIVE!A:A,M_YT_LIVE!F:F,"ERROR",0,1)</f>
        <v>弾き語り</v>
      </c>
      <c r="W984" s="13">
        <f t="shared" si="47"/>
        <v>5540</v>
      </c>
      <c r="X984" s="12" t="str">
        <f>_xlfn.XLOOKUP($B984,M_YT_LIVE!$A:$A,M_YT_LIVE!$D:$D)</f>
        <v>https://www.youtube.com/live/xKwyAT6ZyDo?si=p8RkryjyMuiiNoGd</v>
      </c>
      <c r="Z984" s="16" t="str">
        <f>HYPERLINK($X984&amp;SUBSTITUTE(マスタ!$C$3,"XXXXX",$W984))</f>
        <v>https://www.youtube.com/live/xKwyAT6ZyDo?si=p8RkryjyMuiiNoGd&amp;t=5540s</v>
      </c>
      <c r="AA984" s="12" t="str">
        <f t="shared" si="48"/>
        <v>Junky feat.鏡音リントゥインクル</v>
      </c>
    </row>
    <row r="985" spans="1:27" x14ac:dyDescent="0.4">
      <c r="A985" s="14">
        <f t="shared" si="49"/>
        <v>984</v>
      </c>
      <c r="B985" s="14">
        <v>129</v>
      </c>
      <c r="C985" s="21" t="s">
        <v>2186</v>
      </c>
      <c r="D985" s="14" t="s">
        <v>176</v>
      </c>
      <c r="E985" s="14" t="s">
        <v>177</v>
      </c>
      <c r="G985" s="1" t="str">
        <f>_xlfn.XLOOKUP(B985,M_YT_LIVE!A:A,M_YT_LIVE!F:F,"ERROR",0,1)</f>
        <v>弾き語り</v>
      </c>
      <c r="W985" s="13">
        <f t="shared" si="47"/>
        <v>326</v>
      </c>
      <c r="X985" s="12" t="str">
        <f>_xlfn.XLOOKUP($B985,M_YT_LIVE!$A:$A,M_YT_LIVE!$D:$D)</f>
        <v>https://www.youtube.com/live/RXbt0OmMVe8?si=zUTwr5vQz3aflRD3</v>
      </c>
      <c r="Z985" s="16" t="str">
        <f>HYPERLINK($X985&amp;SUBSTITUTE(マスタ!$C$3,"XXXXX",$W985))</f>
        <v>https://www.youtube.com/live/RXbt0OmMVe8?si=zUTwr5vQz3aflRD3&amp;t=326s</v>
      </c>
      <c r="AA985" s="12" t="str">
        <f t="shared" si="48"/>
        <v>Saucy Dogシンデレラボーイ</v>
      </c>
    </row>
    <row r="986" spans="1:27" x14ac:dyDescent="0.4">
      <c r="A986" s="14">
        <f t="shared" si="49"/>
        <v>985</v>
      </c>
      <c r="B986" s="14">
        <v>129</v>
      </c>
      <c r="C986" s="21" t="s">
        <v>2187</v>
      </c>
      <c r="D986" s="14" t="s">
        <v>2188</v>
      </c>
      <c r="E986" s="14" t="s">
        <v>2189</v>
      </c>
      <c r="G986" s="1" t="str">
        <f>_xlfn.XLOOKUP(B986,M_YT_LIVE!A:A,M_YT_LIVE!F:F,"ERROR",0,1)</f>
        <v>弾き語り</v>
      </c>
      <c r="W986" s="13">
        <f t="shared" si="47"/>
        <v>758</v>
      </c>
      <c r="X986" s="12" t="str">
        <f>_xlfn.XLOOKUP($B986,M_YT_LIVE!$A:$A,M_YT_LIVE!$D:$D)</f>
        <v>https://www.youtube.com/live/RXbt0OmMVe8?si=zUTwr5vQz3aflRD3</v>
      </c>
      <c r="Z986" s="16" t="str">
        <f>HYPERLINK($X986&amp;SUBSTITUTE(マスタ!$C$3,"XXXXX",$W986))</f>
        <v>https://www.youtube.com/live/RXbt0OmMVe8?si=zUTwr5vQz3aflRD3&amp;t=758s</v>
      </c>
      <c r="AA986" s="12" t="str">
        <f t="shared" si="48"/>
        <v>コレサワたばこ</v>
      </c>
    </row>
    <row r="987" spans="1:27" x14ac:dyDescent="0.4">
      <c r="A987" s="14">
        <f t="shared" si="49"/>
        <v>986</v>
      </c>
      <c r="B987" s="14">
        <v>129</v>
      </c>
      <c r="C987" s="21" t="s">
        <v>2190</v>
      </c>
      <c r="D987" s="14" t="s">
        <v>536</v>
      </c>
      <c r="E987" s="14" t="s">
        <v>537</v>
      </c>
      <c r="G987" s="1" t="str">
        <f>_xlfn.XLOOKUP(B987,M_YT_LIVE!A:A,M_YT_LIVE!F:F,"ERROR",0,1)</f>
        <v>弾き語り</v>
      </c>
      <c r="W987" s="13">
        <f t="shared" si="47"/>
        <v>1279</v>
      </c>
      <c r="X987" s="12" t="str">
        <f>_xlfn.XLOOKUP($B987,M_YT_LIVE!$A:$A,M_YT_LIVE!$D:$D)</f>
        <v>https://www.youtube.com/live/RXbt0OmMVe8?si=zUTwr5vQz3aflRD3</v>
      </c>
      <c r="Z987" s="16" t="str">
        <f>HYPERLINK($X987&amp;SUBSTITUTE(マスタ!$C$3,"XXXXX",$W987))</f>
        <v>https://www.youtube.com/live/RXbt0OmMVe8?si=zUTwr5vQz3aflRD3&amp;t=1279s</v>
      </c>
      <c r="AA987" s="12" t="str">
        <f t="shared" si="48"/>
        <v>tuki.晩餐歌</v>
      </c>
    </row>
    <row r="988" spans="1:27" x14ac:dyDescent="0.4">
      <c r="A988" s="14">
        <f t="shared" si="49"/>
        <v>987</v>
      </c>
      <c r="B988" s="14">
        <v>129</v>
      </c>
      <c r="C988" s="21" t="s">
        <v>1373</v>
      </c>
      <c r="D988" s="14" t="s">
        <v>87</v>
      </c>
      <c r="E988" s="14" t="s">
        <v>88</v>
      </c>
      <c r="G988" s="1" t="str">
        <f>_xlfn.XLOOKUP(B988,M_YT_LIVE!A:A,M_YT_LIVE!F:F,"ERROR",0,1)</f>
        <v>弾き語り</v>
      </c>
      <c r="W988" s="13">
        <f t="shared" si="47"/>
        <v>1686</v>
      </c>
      <c r="X988" s="12" t="str">
        <f>_xlfn.XLOOKUP($B988,M_YT_LIVE!$A:$A,M_YT_LIVE!$D:$D)</f>
        <v>https://www.youtube.com/live/RXbt0OmMVe8?si=zUTwr5vQz3aflRD3</v>
      </c>
      <c r="Z988" s="16" t="str">
        <f>HYPERLINK($X988&amp;SUBSTITUTE(マスタ!$C$3,"XXXXX",$W988))</f>
        <v>https://www.youtube.com/live/RXbt0OmMVe8?si=zUTwr5vQz3aflRD3&amp;t=1686s</v>
      </c>
      <c r="AA988" s="12" t="str">
        <f t="shared" si="48"/>
        <v>美波カワキヲアメク</v>
      </c>
    </row>
    <row r="989" spans="1:27" x14ac:dyDescent="0.4">
      <c r="A989" s="14">
        <f t="shared" si="49"/>
        <v>988</v>
      </c>
      <c r="B989" s="14">
        <v>129</v>
      </c>
      <c r="C989" s="21" t="s">
        <v>1814</v>
      </c>
      <c r="D989" s="14" t="s">
        <v>593</v>
      </c>
      <c r="E989" s="14" t="s">
        <v>65</v>
      </c>
      <c r="G989" s="1" t="str">
        <f>_xlfn.XLOOKUP(B989,M_YT_LIVE!A:A,M_YT_LIVE!F:F,"ERROR",0,1)</f>
        <v>弾き語り</v>
      </c>
      <c r="W989" s="13">
        <f t="shared" si="47"/>
        <v>2160</v>
      </c>
      <c r="X989" s="12" t="str">
        <f>_xlfn.XLOOKUP($B989,M_YT_LIVE!$A:$A,M_YT_LIVE!$D:$D)</f>
        <v>https://www.youtube.com/live/RXbt0OmMVe8?si=zUTwr5vQz3aflRD3</v>
      </c>
      <c r="Z989" s="16" t="str">
        <f>HYPERLINK($X989&amp;SUBSTITUTE(マスタ!$C$3,"XXXXX",$W989))</f>
        <v>https://www.youtube.com/live/RXbt0OmMVe8?si=zUTwr5vQz3aflRD3&amp;t=2160s</v>
      </c>
      <c r="AA989" s="12" t="str">
        <f t="shared" si="48"/>
        <v>R Sound Design feat.初音ミク帝国少女</v>
      </c>
    </row>
    <row r="990" spans="1:27" x14ac:dyDescent="0.4">
      <c r="A990" s="14">
        <f t="shared" si="49"/>
        <v>989</v>
      </c>
      <c r="B990" s="14">
        <v>129</v>
      </c>
      <c r="C990" s="21" t="s">
        <v>2191</v>
      </c>
      <c r="D990" s="14" t="s">
        <v>2192</v>
      </c>
      <c r="E990" s="14" t="s">
        <v>2193</v>
      </c>
      <c r="G990" s="1" t="str">
        <f>_xlfn.XLOOKUP(B990,M_YT_LIVE!A:A,M_YT_LIVE!F:F,"ERROR",0,1)</f>
        <v>弾き語り</v>
      </c>
      <c r="W990" s="13">
        <f t="shared" si="47"/>
        <v>2663</v>
      </c>
      <c r="X990" s="12" t="str">
        <f>_xlfn.XLOOKUP($B990,M_YT_LIVE!$A:$A,M_YT_LIVE!$D:$D)</f>
        <v>https://www.youtube.com/live/RXbt0OmMVe8?si=zUTwr5vQz3aflRD3</v>
      </c>
      <c r="Z990" s="16" t="str">
        <f>HYPERLINK($X990&amp;SUBSTITUTE(マスタ!$C$3,"XXXXX",$W990))</f>
        <v>https://www.youtube.com/live/RXbt0OmMVe8?si=zUTwr5vQz3aflRD3&amp;t=2663s</v>
      </c>
      <c r="AA990" s="12" t="str">
        <f t="shared" si="48"/>
        <v>めざめP feat.初音ミクうそつき</v>
      </c>
    </row>
    <row r="991" spans="1:27" x14ac:dyDescent="0.4">
      <c r="A991" s="14">
        <f t="shared" si="49"/>
        <v>990</v>
      </c>
      <c r="B991" s="14">
        <v>129</v>
      </c>
      <c r="C991" s="21" t="s">
        <v>2194</v>
      </c>
      <c r="D991" s="14" t="s">
        <v>483</v>
      </c>
      <c r="E991" s="14" t="s">
        <v>141</v>
      </c>
      <c r="G991" s="1" t="str">
        <f>_xlfn.XLOOKUP(B991,M_YT_LIVE!A:A,M_YT_LIVE!F:F,"ERROR",0,1)</f>
        <v>弾き語り</v>
      </c>
      <c r="W991" s="13">
        <f t="shared" si="47"/>
        <v>3105.9999999999995</v>
      </c>
      <c r="X991" s="12" t="str">
        <f>_xlfn.XLOOKUP($B991,M_YT_LIVE!$A:$A,M_YT_LIVE!$D:$D)</f>
        <v>https://www.youtube.com/live/RXbt0OmMVe8?si=zUTwr5vQz3aflRD3</v>
      </c>
      <c r="Z991" s="16" t="str">
        <f>HYPERLINK($X991&amp;SUBSTITUTE(マスタ!$C$3,"XXXXX",$W991))</f>
        <v>https://www.youtube.com/live/RXbt0OmMVe8?si=zUTwr5vQz3aflRD3&amp;t=3106s</v>
      </c>
      <c r="AA991" s="12" t="str">
        <f t="shared" si="48"/>
        <v>ヨルシカアルジャーノン</v>
      </c>
    </row>
    <row r="992" spans="1:27" x14ac:dyDescent="0.4">
      <c r="A992" s="14">
        <f t="shared" si="49"/>
        <v>991</v>
      </c>
      <c r="B992" s="14">
        <v>129</v>
      </c>
      <c r="C992" s="21" t="s">
        <v>2195</v>
      </c>
      <c r="D992" s="14" t="s">
        <v>1912</v>
      </c>
      <c r="E992" s="14" t="s">
        <v>141</v>
      </c>
      <c r="G992" s="1" t="str">
        <f>_xlfn.XLOOKUP(B992,M_YT_LIVE!A:A,M_YT_LIVE!F:F,"ERROR",0,1)</f>
        <v>弾き語り</v>
      </c>
      <c r="W992" s="13">
        <f t="shared" si="47"/>
        <v>3624</v>
      </c>
      <c r="X992" s="12" t="str">
        <f>_xlfn.XLOOKUP($B992,M_YT_LIVE!$A:$A,M_YT_LIVE!$D:$D)</f>
        <v>https://www.youtube.com/live/RXbt0OmMVe8?si=zUTwr5vQz3aflRD3</v>
      </c>
      <c r="Z992" s="16" t="str">
        <f>HYPERLINK($X992&amp;SUBSTITUTE(マスタ!$C$3,"XXXXX",$W992))</f>
        <v>https://www.youtube.com/live/RXbt0OmMVe8?si=zUTwr5vQz3aflRD3&amp;t=3624s</v>
      </c>
      <c r="AA992" s="12" t="str">
        <f t="shared" si="48"/>
        <v>ヨルシカ忘れてください</v>
      </c>
    </row>
    <row r="993" spans="1:27" x14ac:dyDescent="0.4">
      <c r="A993" s="14">
        <f t="shared" si="49"/>
        <v>992</v>
      </c>
      <c r="B993" s="14">
        <v>129</v>
      </c>
      <c r="C993" s="21" t="s">
        <v>2196</v>
      </c>
      <c r="D993" s="14" t="s">
        <v>232</v>
      </c>
      <c r="E993" s="14" t="s">
        <v>141</v>
      </c>
      <c r="G993" s="1" t="str">
        <f>_xlfn.XLOOKUP(B993,M_YT_LIVE!A:A,M_YT_LIVE!F:F,"ERROR",0,1)</f>
        <v>弾き語り</v>
      </c>
      <c r="W993" s="13">
        <f t="shared" si="47"/>
        <v>3990</v>
      </c>
      <c r="X993" s="12" t="str">
        <f>_xlfn.XLOOKUP($B993,M_YT_LIVE!$A:$A,M_YT_LIVE!$D:$D)</f>
        <v>https://www.youtube.com/live/RXbt0OmMVe8?si=zUTwr5vQz3aflRD3</v>
      </c>
      <c r="Z993" s="16" t="str">
        <f>HYPERLINK($X993&amp;SUBSTITUTE(マスタ!$C$3,"XXXXX",$W993))</f>
        <v>https://www.youtube.com/live/RXbt0OmMVe8?si=zUTwr5vQz3aflRD3&amp;t=3990s</v>
      </c>
      <c r="AA993" s="12" t="str">
        <f t="shared" si="48"/>
        <v>ヨルシカチノカテ</v>
      </c>
    </row>
    <row r="994" spans="1:27" x14ac:dyDescent="0.4">
      <c r="A994" s="14">
        <f t="shared" si="49"/>
        <v>993</v>
      </c>
      <c r="B994" s="14">
        <v>129</v>
      </c>
      <c r="C994" s="21" t="s">
        <v>2197</v>
      </c>
      <c r="D994" s="14" t="s">
        <v>140</v>
      </c>
      <c r="E994" s="14" t="s">
        <v>141</v>
      </c>
      <c r="G994" s="1" t="str">
        <f>_xlfn.XLOOKUP(B994,M_YT_LIVE!A:A,M_YT_LIVE!F:F,"ERROR",0,1)</f>
        <v>弾き語り</v>
      </c>
      <c r="W994" s="13">
        <f t="shared" si="47"/>
        <v>4423</v>
      </c>
      <c r="X994" s="12" t="str">
        <f>_xlfn.XLOOKUP($B994,M_YT_LIVE!$A:$A,M_YT_LIVE!$D:$D)</f>
        <v>https://www.youtube.com/live/RXbt0OmMVe8?si=zUTwr5vQz3aflRD3</v>
      </c>
      <c r="Z994" s="16" t="str">
        <f>HYPERLINK($X994&amp;SUBSTITUTE(マスタ!$C$3,"XXXXX",$W994))</f>
        <v>https://www.youtube.com/live/RXbt0OmMVe8?si=zUTwr5vQz3aflRD3&amp;t=4423s</v>
      </c>
      <c r="AA994" s="12" t="str">
        <f t="shared" si="48"/>
        <v>ヨルシカ靴の花火</v>
      </c>
    </row>
    <row r="995" spans="1:27" x14ac:dyDescent="0.4">
      <c r="A995" s="14">
        <f t="shared" si="49"/>
        <v>994</v>
      </c>
      <c r="B995" s="14">
        <v>129</v>
      </c>
      <c r="C995" s="21" t="s">
        <v>2198</v>
      </c>
      <c r="D995" s="14" t="s">
        <v>202</v>
      </c>
      <c r="E995" s="14" t="s">
        <v>141</v>
      </c>
      <c r="G995" s="1" t="str">
        <f>_xlfn.XLOOKUP(B995,M_YT_LIVE!A:A,M_YT_LIVE!F:F,"ERROR",0,1)</f>
        <v>弾き語り</v>
      </c>
      <c r="W995" s="13">
        <f t="shared" si="47"/>
        <v>4845</v>
      </c>
      <c r="X995" s="12" t="str">
        <f>_xlfn.XLOOKUP($B995,M_YT_LIVE!$A:$A,M_YT_LIVE!$D:$D)</f>
        <v>https://www.youtube.com/live/RXbt0OmMVe8?si=zUTwr5vQz3aflRD3</v>
      </c>
      <c r="Z995" s="16" t="str">
        <f>HYPERLINK($X995&amp;SUBSTITUTE(マスタ!$C$3,"XXXXX",$W995))</f>
        <v>https://www.youtube.com/live/RXbt0OmMVe8?si=zUTwr5vQz3aflRD3&amp;t=4845s</v>
      </c>
      <c r="AA995" s="12" t="str">
        <f t="shared" si="48"/>
        <v>ヨルシカノーチラス</v>
      </c>
    </row>
    <row r="996" spans="1:27" x14ac:dyDescent="0.4">
      <c r="A996" s="14">
        <f t="shared" si="49"/>
        <v>995</v>
      </c>
      <c r="B996" s="14">
        <v>129</v>
      </c>
      <c r="C996" s="21" t="s">
        <v>2199</v>
      </c>
      <c r="D996" s="14" t="s">
        <v>207</v>
      </c>
      <c r="E996" s="14" t="s">
        <v>208</v>
      </c>
      <c r="G996" s="1" t="str">
        <f>_xlfn.XLOOKUP(B996,M_YT_LIVE!A:A,M_YT_LIVE!F:F,"ERROR",0,1)</f>
        <v>弾き語り</v>
      </c>
      <c r="W996" s="13">
        <f t="shared" si="47"/>
        <v>5245</v>
      </c>
      <c r="X996" s="12" t="str">
        <f>_xlfn.XLOOKUP($B996,M_YT_LIVE!$A:$A,M_YT_LIVE!$D:$D)</f>
        <v>https://www.youtube.com/live/RXbt0OmMVe8?si=zUTwr5vQz3aflRD3</v>
      </c>
      <c r="Z996" s="16" t="str">
        <f>HYPERLINK($X996&amp;SUBSTITUTE(マスタ!$C$3,"XXXXX",$W996))</f>
        <v>https://www.youtube.com/live/RXbt0OmMVe8?si=zUTwr5vQz3aflRD3&amp;t=5245s</v>
      </c>
      <c r="AA996" s="12" t="str">
        <f t="shared" si="48"/>
        <v>supercellPerfect Day</v>
      </c>
    </row>
    <row r="997" spans="1:27" x14ac:dyDescent="0.4">
      <c r="A997" s="14">
        <f t="shared" si="49"/>
        <v>996</v>
      </c>
      <c r="B997" s="14">
        <v>129</v>
      </c>
      <c r="C997" s="21" t="s">
        <v>2200</v>
      </c>
      <c r="D997" s="14" t="s">
        <v>307</v>
      </c>
      <c r="E997" s="14" t="s">
        <v>208</v>
      </c>
      <c r="G997" s="1" t="str">
        <f>_xlfn.XLOOKUP(B997,M_YT_LIVE!A:A,M_YT_LIVE!F:F,"ERROR",0,1)</f>
        <v>弾き語り</v>
      </c>
      <c r="W997" s="13">
        <f t="shared" si="47"/>
        <v>5659.9999999999991</v>
      </c>
      <c r="X997" s="12" t="str">
        <f>_xlfn.XLOOKUP($B997,M_YT_LIVE!$A:$A,M_YT_LIVE!$D:$D)</f>
        <v>https://www.youtube.com/live/RXbt0OmMVe8?si=zUTwr5vQz3aflRD3</v>
      </c>
      <c r="Z997" s="16" t="str">
        <f>HYPERLINK($X997&amp;SUBSTITUTE(マスタ!$C$3,"XXXXX",$W997))</f>
        <v>https://www.youtube.com/live/RXbt0OmMVe8?si=zUTwr5vQz3aflRD3&amp;t=5660s</v>
      </c>
      <c r="AA997" s="12" t="str">
        <f t="shared" si="48"/>
        <v>supercellうたかた花火</v>
      </c>
    </row>
    <row r="998" spans="1:27" x14ac:dyDescent="0.4">
      <c r="A998" s="14">
        <f t="shared" si="49"/>
        <v>997</v>
      </c>
      <c r="B998" s="14">
        <v>129</v>
      </c>
      <c r="C998" s="21" t="s">
        <v>2201</v>
      </c>
      <c r="D998" s="14" t="s">
        <v>310</v>
      </c>
      <c r="E998" s="14" t="s">
        <v>208</v>
      </c>
      <c r="G998" s="1" t="str">
        <f>_xlfn.XLOOKUP(B998,M_YT_LIVE!A:A,M_YT_LIVE!F:F,"ERROR",0,1)</f>
        <v>弾き語り</v>
      </c>
      <c r="W998" s="13">
        <f t="shared" si="47"/>
        <v>6258</v>
      </c>
      <c r="X998" s="12" t="str">
        <f>_xlfn.XLOOKUP($B998,M_YT_LIVE!$A:$A,M_YT_LIVE!$D:$D)</f>
        <v>https://www.youtube.com/live/RXbt0OmMVe8?si=zUTwr5vQz3aflRD3</v>
      </c>
      <c r="Z998" s="16" t="str">
        <f>HYPERLINK($X998&amp;SUBSTITUTE(マスタ!$C$3,"XXXXX",$W998))</f>
        <v>https://www.youtube.com/live/RXbt0OmMVe8?si=zUTwr5vQz3aflRD3&amp;t=6258s</v>
      </c>
      <c r="AA998" s="12" t="str">
        <f t="shared" si="48"/>
        <v>supercellさよならメモリーズ</v>
      </c>
    </row>
    <row r="999" spans="1:27" x14ac:dyDescent="0.4">
      <c r="A999" s="14">
        <f t="shared" si="49"/>
        <v>998</v>
      </c>
      <c r="B999" s="14">
        <v>131</v>
      </c>
      <c r="C999" s="21" t="s">
        <v>2206</v>
      </c>
      <c r="D999" s="14" t="s">
        <v>227</v>
      </c>
      <c r="E999" s="14" t="s">
        <v>228</v>
      </c>
      <c r="G999" s="1" t="str">
        <f>_xlfn.XLOOKUP(B999,M_YT_LIVE!A:A,M_YT_LIVE!F:F,"ERROR",0,1)</f>
        <v>弾き語り</v>
      </c>
      <c r="W999" s="13">
        <f t="shared" si="47"/>
        <v>313</v>
      </c>
      <c r="X999" s="12" t="str">
        <f>_xlfn.XLOOKUP($B999,M_YT_LIVE!$A:$A,M_YT_LIVE!$D:$D)</f>
        <v>https://www.youtube.com/live/TLhHmBIm5rI?si=VIh-Mx1TlTgHASX4</v>
      </c>
      <c r="Z999" s="16" t="str">
        <f>HYPERLINK($X999&amp;SUBSTITUTE(マスタ!$C$3,"XXXXX",$W999))</f>
        <v>https://www.youtube.com/live/TLhHmBIm5rI?si=VIh-Mx1TlTgHASX4&amp;t=313s</v>
      </c>
      <c r="AA999" s="12" t="str">
        <f t="shared" si="48"/>
        <v>ずっと真夜中でいいのに。Dear Mr 「F」</v>
      </c>
    </row>
    <row r="1000" spans="1:27" x14ac:dyDescent="0.4">
      <c r="A1000" s="14">
        <f t="shared" si="49"/>
        <v>999</v>
      </c>
      <c r="B1000" s="14">
        <v>131</v>
      </c>
      <c r="C1000" s="21" t="s">
        <v>1371</v>
      </c>
      <c r="D1000" s="14" t="s">
        <v>97</v>
      </c>
      <c r="E1000" s="14" t="s">
        <v>98</v>
      </c>
      <c r="G1000" s="1" t="str">
        <f>_xlfn.XLOOKUP(B1000,M_YT_LIVE!A:A,M_YT_LIVE!F:F,"ERROR",0,1)</f>
        <v>弾き語り</v>
      </c>
      <c r="W1000" s="13">
        <f t="shared" si="47"/>
        <v>847</v>
      </c>
      <c r="X1000" s="12" t="str">
        <f>_xlfn.XLOOKUP($B1000,M_YT_LIVE!$A:$A,M_YT_LIVE!$D:$D)</f>
        <v>https://www.youtube.com/live/TLhHmBIm5rI?si=VIh-Mx1TlTgHASX4</v>
      </c>
      <c r="Z1000" s="16" t="str">
        <f>HYPERLINK($X1000&amp;SUBSTITUTE(マスタ!$C$3,"XXXXX",$W1000))</f>
        <v>https://www.youtube.com/live/TLhHmBIm5rI?si=VIh-Mx1TlTgHASX4&amp;t=847s</v>
      </c>
      <c r="AA1000" s="12" t="str">
        <f t="shared" si="48"/>
        <v>Dixie Flatline feat.巡音ルカJust Be Friends</v>
      </c>
    </row>
    <row r="1001" spans="1:27" x14ac:dyDescent="0.4">
      <c r="A1001" s="14">
        <f t="shared" si="49"/>
        <v>1000</v>
      </c>
      <c r="B1001" s="14">
        <v>131</v>
      </c>
      <c r="C1001" s="21" t="s">
        <v>2207</v>
      </c>
      <c r="D1001" s="14" t="s">
        <v>591</v>
      </c>
      <c r="E1001" s="14" t="s">
        <v>338</v>
      </c>
      <c r="G1001" s="1" t="str">
        <f>_xlfn.XLOOKUP(B1001,M_YT_LIVE!A:A,M_YT_LIVE!F:F,"ERROR",0,1)</f>
        <v>弾き語り</v>
      </c>
      <c r="W1001" s="13">
        <f t="shared" si="47"/>
        <v>1497.9999999999998</v>
      </c>
      <c r="X1001" s="12" t="str">
        <f>_xlfn.XLOOKUP($B1001,M_YT_LIVE!$A:$A,M_YT_LIVE!$D:$D)</f>
        <v>https://www.youtube.com/live/TLhHmBIm5rI?si=VIh-Mx1TlTgHASX4</v>
      </c>
      <c r="Z1001" s="16" t="str">
        <f>HYPERLINK($X1001&amp;SUBSTITUTE(マスタ!$C$3,"XXXXX",$W1001))</f>
        <v>https://www.youtube.com/live/TLhHmBIm5rI?si=VIh-Mx1TlTgHASX4&amp;t=1498s</v>
      </c>
      <c r="AA1001" s="12" t="str">
        <f t="shared" si="48"/>
        <v>さユりフラレガイガール</v>
      </c>
    </row>
    <row r="1002" spans="1:27" x14ac:dyDescent="0.4">
      <c r="A1002" s="14">
        <f t="shared" si="49"/>
        <v>1001</v>
      </c>
      <c r="B1002" s="14">
        <v>131</v>
      </c>
      <c r="C1002" s="21" t="s">
        <v>2208</v>
      </c>
      <c r="D1002" s="14" t="s">
        <v>2209</v>
      </c>
      <c r="E1002" s="14" t="s">
        <v>2210</v>
      </c>
      <c r="G1002" s="1" t="str">
        <f>_xlfn.XLOOKUP(B1002,M_YT_LIVE!A:A,M_YT_LIVE!F:F,"ERROR",0,1)</f>
        <v>弾き語り</v>
      </c>
      <c r="W1002" s="13">
        <f t="shared" si="47"/>
        <v>2116</v>
      </c>
      <c r="X1002" s="12" t="str">
        <f>_xlfn.XLOOKUP($B1002,M_YT_LIVE!$A:$A,M_YT_LIVE!$D:$D)</f>
        <v>https://www.youtube.com/live/TLhHmBIm5rI?si=VIh-Mx1TlTgHASX4</v>
      </c>
      <c r="Z1002" s="16" t="str">
        <f>HYPERLINK($X1002&amp;SUBSTITUTE(マスタ!$C$3,"XXXXX",$W1002))</f>
        <v>https://www.youtube.com/live/TLhHmBIm5rI?si=VIh-Mx1TlTgHASX4&amp;t=2116s</v>
      </c>
      <c r="AA1002" s="12" t="str">
        <f t="shared" si="48"/>
        <v>supercell feat.初音ミク初めての恋が終わる時</v>
      </c>
    </row>
    <row r="1003" spans="1:27" x14ac:dyDescent="0.4">
      <c r="A1003" s="14">
        <f t="shared" si="49"/>
        <v>1002</v>
      </c>
      <c r="B1003" s="14">
        <v>131</v>
      </c>
      <c r="C1003" s="21" t="s">
        <v>2211</v>
      </c>
      <c r="D1003" s="14" t="s">
        <v>302</v>
      </c>
      <c r="E1003" s="14" t="s">
        <v>303</v>
      </c>
      <c r="G1003" s="1" t="str">
        <f>_xlfn.XLOOKUP(B1003,M_YT_LIVE!A:A,M_YT_LIVE!F:F,"ERROR",0,1)</f>
        <v>弾き語り</v>
      </c>
      <c r="W1003" s="13">
        <f t="shared" si="47"/>
        <v>2624</v>
      </c>
      <c r="X1003" s="12" t="str">
        <f>_xlfn.XLOOKUP($B1003,M_YT_LIVE!$A:$A,M_YT_LIVE!$D:$D)</f>
        <v>https://www.youtube.com/live/TLhHmBIm5rI?si=VIh-Mx1TlTgHASX4</v>
      </c>
      <c r="Z1003" s="16" t="str">
        <f>HYPERLINK($X1003&amp;SUBSTITUTE(マスタ!$C$3,"XXXXX",$W1003))</f>
        <v>https://www.youtube.com/live/TLhHmBIm5rI?si=VIh-Mx1TlTgHASX4&amp;t=2624s</v>
      </c>
      <c r="AA1003" s="12" t="str">
        <f t="shared" si="48"/>
        <v>Kemu feat.Gumi地球最後の告白を</v>
      </c>
    </row>
    <row r="1004" spans="1:27" x14ac:dyDescent="0.4">
      <c r="A1004" s="14">
        <f t="shared" si="49"/>
        <v>1003</v>
      </c>
      <c r="B1004" s="14">
        <v>131</v>
      </c>
      <c r="C1004" s="21" t="s">
        <v>2212</v>
      </c>
      <c r="D1004" s="14" t="s">
        <v>326</v>
      </c>
      <c r="E1004" s="14" t="s">
        <v>327</v>
      </c>
      <c r="G1004" s="1" t="str">
        <f>_xlfn.XLOOKUP(B1004,M_YT_LIVE!A:A,M_YT_LIVE!F:F,"ERROR",0,1)</f>
        <v>弾き語り</v>
      </c>
      <c r="W1004" s="13">
        <f t="shared" si="47"/>
        <v>3139</v>
      </c>
      <c r="X1004" s="12" t="str">
        <f>_xlfn.XLOOKUP($B1004,M_YT_LIVE!$A:$A,M_YT_LIVE!$D:$D)</f>
        <v>https://www.youtube.com/live/TLhHmBIm5rI?si=VIh-Mx1TlTgHASX4</v>
      </c>
      <c r="Z1004" s="16" t="str">
        <f>HYPERLINK($X1004&amp;SUBSTITUTE(マスタ!$C$3,"XXXXX",$W1004))</f>
        <v>https://www.youtube.com/live/TLhHmBIm5rI?si=VIh-Mx1TlTgHASX4&amp;t=3139s</v>
      </c>
      <c r="AA1004" s="12" t="str">
        <f t="shared" si="48"/>
        <v>レミオロメン粉雪</v>
      </c>
    </row>
    <row r="1005" spans="1:27" x14ac:dyDescent="0.4">
      <c r="A1005" s="14">
        <f t="shared" si="49"/>
        <v>1004</v>
      </c>
      <c r="B1005" s="14">
        <v>131</v>
      </c>
      <c r="C1005" s="21" t="s">
        <v>2213</v>
      </c>
      <c r="D1005" s="14" t="s">
        <v>2214</v>
      </c>
      <c r="E1005" s="14" t="s">
        <v>2215</v>
      </c>
      <c r="G1005" s="1" t="str">
        <f>_xlfn.XLOOKUP(B1005,M_YT_LIVE!A:A,M_YT_LIVE!F:F,"ERROR",0,1)</f>
        <v>弾き語り</v>
      </c>
      <c r="W1005" s="13">
        <f t="shared" si="47"/>
        <v>3645.0000000000005</v>
      </c>
      <c r="X1005" s="12" t="str">
        <f>_xlfn.XLOOKUP($B1005,M_YT_LIVE!$A:$A,M_YT_LIVE!$D:$D)</f>
        <v>https://www.youtube.com/live/TLhHmBIm5rI?si=VIh-Mx1TlTgHASX4</v>
      </c>
      <c r="Z1005" s="16" t="str">
        <f>HYPERLINK($X1005&amp;SUBSTITUTE(マスタ!$C$3,"XXXXX",$W1005))</f>
        <v>https://www.youtube.com/live/TLhHmBIm5rI?si=VIh-Mx1TlTgHASX4&amp;t=3645s</v>
      </c>
      <c r="AA1005" s="12" t="str">
        <f t="shared" si="48"/>
        <v>桑田佳祐白い恋人達</v>
      </c>
    </row>
    <row r="1006" spans="1:27" x14ac:dyDescent="0.4">
      <c r="A1006" s="14">
        <f t="shared" si="49"/>
        <v>1005</v>
      </c>
      <c r="B1006" s="14">
        <v>131</v>
      </c>
      <c r="C1006" s="21" t="s">
        <v>2216</v>
      </c>
      <c r="D1006" s="14" t="s">
        <v>2217</v>
      </c>
      <c r="E1006" s="14" t="s">
        <v>2218</v>
      </c>
      <c r="G1006" s="1" t="str">
        <f>_xlfn.XLOOKUP(B1006,M_YT_LIVE!A:A,M_YT_LIVE!F:F,"ERROR",0,1)</f>
        <v>弾き語り</v>
      </c>
      <c r="W1006" s="13">
        <f t="shared" si="47"/>
        <v>4200</v>
      </c>
      <c r="X1006" s="12" t="str">
        <f>_xlfn.XLOOKUP($B1006,M_YT_LIVE!$A:$A,M_YT_LIVE!$D:$D)</f>
        <v>https://www.youtube.com/live/TLhHmBIm5rI?si=VIh-Mx1TlTgHASX4</v>
      </c>
      <c r="Z1006" s="16" t="str">
        <f>HYPERLINK($X1006&amp;SUBSTITUTE(マスタ!$C$3,"XXXXX",$W1006))</f>
        <v>https://www.youtube.com/live/TLhHmBIm5rI?si=VIh-Mx1TlTgHASX4&amp;t=4200s</v>
      </c>
      <c r="AA1006" s="12" t="str">
        <f t="shared" si="48"/>
        <v>keeno feat.初音ミクglow</v>
      </c>
    </row>
    <row r="1007" spans="1:27" x14ac:dyDescent="0.4">
      <c r="A1007" s="14">
        <f t="shared" si="49"/>
        <v>1006</v>
      </c>
      <c r="B1007" s="14">
        <v>131</v>
      </c>
      <c r="C1007" s="21" t="s">
        <v>2219</v>
      </c>
      <c r="D1007" s="14" t="s">
        <v>637</v>
      </c>
      <c r="E1007" s="14" t="s">
        <v>135</v>
      </c>
      <c r="G1007" s="1" t="str">
        <f>_xlfn.XLOOKUP(B1007,M_YT_LIVE!A:A,M_YT_LIVE!F:F,"ERROR",0,1)</f>
        <v>弾き語り</v>
      </c>
      <c r="W1007" s="13">
        <f t="shared" si="47"/>
        <v>4765</v>
      </c>
      <c r="X1007" s="12" t="str">
        <f>_xlfn.XLOOKUP($B1007,M_YT_LIVE!$A:$A,M_YT_LIVE!$D:$D)</f>
        <v>https://www.youtube.com/live/TLhHmBIm5rI?si=VIh-Mx1TlTgHASX4</v>
      </c>
      <c r="Z1007" s="16" t="str">
        <f>HYPERLINK($X1007&amp;SUBSTITUTE(マスタ!$C$3,"XXXXX",$W1007))</f>
        <v>https://www.youtube.com/live/TLhHmBIm5rI?si=VIh-Mx1TlTgHASX4&amp;t=4765s</v>
      </c>
      <c r="AA1007" s="12" t="str">
        <f t="shared" si="48"/>
        <v>EGOISTAll Alone With You</v>
      </c>
    </row>
    <row r="1008" spans="1:27" x14ac:dyDescent="0.4">
      <c r="A1008" s="14">
        <f t="shared" si="49"/>
        <v>1007</v>
      </c>
      <c r="B1008" s="14">
        <v>131</v>
      </c>
      <c r="C1008" s="21" t="s">
        <v>2220</v>
      </c>
      <c r="D1008" s="14" t="s">
        <v>2221</v>
      </c>
      <c r="E1008" s="14" t="s">
        <v>135</v>
      </c>
      <c r="G1008" s="1" t="str">
        <f>_xlfn.XLOOKUP(B1008,M_YT_LIVE!A:A,M_YT_LIVE!F:F,"ERROR",0,1)</f>
        <v>弾き語り</v>
      </c>
      <c r="W1008" s="13">
        <f t="shared" si="47"/>
        <v>5258</v>
      </c>
      <c r="X1008" s="12" t="str">
        <f>_xlfn.XLOOKUP($B1008,M_YT_LIVE!$A:$A,M_YT_LIVE!$D:$D)</f>
        <v>https://www.youtube.com/live/TLhHmBIm5rI?si=VIh-Mx1TlTgHASX4</v>
      </c>
      <c r="Z1008" s="16" t="str">
        <f>HYPERLINK($X1008&amp;SUBSTITUTE(マスタ!$C$3,"XXXXX",$W1008))</f>
        <v>https://www.youtube.com/live/TLhHmBIm5rI?si=VIh-Mx1TlTgHASX4&amp;t=5258s</v>
      </c>
      <c r="AA1008" s="12" t="str">
        <f t="shared" si="48"/>
        <v>EGOISTDepartures ～あなたにおくるアイの歌～</v>
      </c>
    </row>
    <row r="1009" spans="1:27" x14ac:dyDescent="0.4">
      <c r="A1009" s="14">
        <f t="shared" si="49"/>
        <v>1008</v>
      </c>
      <c r="B1009" s="14">
        <v>131</v>
      </c>
      <c r="C1009" s="21" t="s">
        <v>2222</v>
      </c>
      <c r="D1009" s="14" t="s">
        <v>234</v>
      </c>
      <c r="E1009" s="14" t="s">
        <v>135</v>
      </c>
      <c r="G1009" s="1" t="str">
        <f>_xlfn.XLOOKUP(B1009,M_YT_LIVE!A:A,M_YT_LIVE!F:F,"ERROR",0,1)</f>
        <v>弾き語り</v>
      </c>
      <c r="W1009" s="13">
        <f t="shared" si="47"/>
        <v>5674.9999999999991</v>
      </c>
      <c r="X1009" s="12" t="str">
        <f>_xlfn.XLOOKUP($B1009,M_YT_LIVE!$A:$A,M_YT_LIVE!$D:$D)</f>
        <v>https://www.youtube.com/live/TLhHmBIm5rI?si=VIh-Mx1TlTgHASX4</v>
      </c>
      <c r="Z1009" s="16" t="str">
        <f>HYPERLINK($X1009&amp;SUBSTITUTE(マスタ!$C$3,"XXXXX",$W1009))</f>
        <v>https://www.youtube.com/live/TLhHmBIm5rI?si=VIh-Mx1TlTgHASX4&amp;t=5675s</v>
      </c>
      <c r="AA1009" s="12" t="str">
        <f t="shared" si="48"/>
        <v>EGOISTPlanetes</v>
      </c>
    </row>
    <row r="1010" spans="1:27" x14ac:dyDescent="0.4">
      <c r="A1010" s="14">
        <f t="shared" si="49"/>
        <v>1009</v>
      </c>
      <c r="B1010" s="14">
        <v>131</v>
      </c>
      <c r="C1010" s="21" t="s">
        <v>2223</v>
      </c>
      <c r="D1010" s="14" t="s">
        <v>194</v>
      </c>
      <c r="E1010" s="14" t="s">
        <v>195</v>
      </c>
      <c r="G1010" s="1" t="str">
        <f>_xlfn.XLOOKUP(B1010,M_YT_LIVE!A:A,M_YT_LIVE!F:F,"ERROR",0,1)</f>
        <v>弾き語り</v>
      </c>
      <c r="W1010" s="13">
        <f t="shared" si="47"/>
        <v>6186.0000000000009</v>
      </c>
      <c r="X1010" s="12" t="str">
        <f>_xlfn.XLOOKUP($B1010,M_YT_LIVE!$A:$A,M_YT_LIVE!$D:$D)</f>
        <v>https://www.youtube.com/live/TLhHmBIm5rI?si=VIh-Mx1TlTgHASX4</v>
      </c>
      <c r="Z1010" s="16" t="str">
        <f>HYPERLINK($X1010&amp;SUBSTITUTE(マスタ!$C$3,"XXXXX",$W1010))</f>
        <v>https://www.youtube.com/live/TLhHmBIm5rI?si=VIh-Mx1TlTgHASX4&amp;t=6186s</v>
      </c>
      <c r="AA1010" s="12" t="str">
        <f t="shared" si="48"/>
        <v>やなぎなぎユキトキ</v>
      </c>
    </row>
    <row r="1011" spans="1:27" x14ac:dyDescent="0.4">
      <c r="A1011" s="14">
        <f t="shared" si="49"/>
        <v>1010</v>
      </c>
      <c r="B1011" s="14">
        <v>131</v>
      </c>
      <c r="C1011" s="21" t="s">
        <v>2224</v>
      </c>
      <c r="D1011" s="14" t="s">
        <v>1397</v>
      </c>
      <c r="E1011" s="14" t="s">
        <v>2225</v>
      </c>
      <c r="G1011" s="1" t="str">
        <f>_xlfn.XLOOKUP(B1011,M_YT_LIVE!A:A,M_YT_LIVE!F:F,"ERROR",0,1)</f>
        <v>弾き語り</v>
      </c>
      <c r="W1011" s="13">
        <f t="shared" si="47"/>
        <v>6696</v>
      </c>
      <c r="X1011" s="12" t="str">
        <f>_xlfn.XLOOKUP($B1011,M_YT_LIVE!$A:$A,M_YT_LIVE!$D:$D)</f>
        <v>https://www.youtube.com/live/TLhHmBIm5rI?si=VIh-Mx1TlTgHASX4</v>
      </c>
      <c r="Z1011" s="16" t="str">
        <f>HYPERLINK($X1011&amp;SUBSTITUTE(マスタ!$C$3,"XXXXX",$W1011))</f>
        <v>https://www.youtube.com/live/TLhHmBIm5rI?si=VIh-Mx1TlTgHASX4&amp;t=6696s</v>
      </c>
      <c r="AA1011" s="12" t="str">
        <f t="shared" si="48"/>
        <v>［Alexandros］SNOW SOUND</v>
      </c>
    </row>
    <row r="1012" spans="1:27" x14ac:dyDescent="0.4">
      <c r="A1012" s="14">
        <f t="shared" si="49"/>
        <v>1011</v>
      </c>
      <c r="B1012" s="14">
        <v>131</v>
      </c>
      <c r="C1012" s="21" t="s">
        <v>2226</v>
      </c>
      <c r="D1012" s="14" t="s">
        <v>114</v>
      </c>
      <c r="E1012" s="14" t="s">
        <v>115</v>
      </c>
      <c r="G1012" s="1" t="str">
        <f>_xlfn.XLOOKUP(B1012,M_YT_LIVE!A:A,M_YT_LIVE!F:F,"ERROR",0,1)</f>
        <v>弾き語り</v>
      </c>
      <c r="W1012" s="13">
        <f t="shared" si="47"/>
        <v>7114</v>
      </c>
      <c r="X1012" s="12" t="str">
        <f>_xlfn.XLOOKUP($B1012,M_YT_LIVE!$A:$A,M_YT_LIVE!$D:$D)</f>
        <v>https://www.youtube.com/live/TLhHmBIm5rI?si=VIh-Mx1TlTgHASX4</v>
      </c>
      <c r="Z1012" s="16" t="str">
        <f>HYPERLINK($X1012&amp;SUBSTITUTE(マスタ!$C$3,"XXXXX",$W1012))</f>
        <v>https://www.youtube.com/live/TLhHmBIm5rI?si=VIh-Mx1TlTgHASX4&amp;t=7114s</v>
      </c>
      <c r="AA1012" s="12" t="str">
        <f t="shared" si="48"/>
        <v>ジミーサムP feat.初音ミクCalc.</v>
      </c>
    </row>
    <row r="1013" spans="1:27" x14ac:dyDescent="0.4">
      <c r="A1013" s="14">
        <f t="shared" si="49"/>
        <v>1012</v>
      </c>
      <c r="B1013" s="14">
        <v>131</v>
      </c>
      <c r="C1013" s="21" t="s">
        <v>2227</v>
      </c>
      <c r="D1013" s="14" t="s">
        <v>165</v>
      </c>
      <c r="E1013" s="14" t="s">
        <v>118</v>
      </c>
      <c r="G1013" s="1" t="str">
        <f>_xlfn.XLOOKUP(B1013,M_YT_LIVE!A:A,M_YT_LIVE!F:F,"ERROR",0,1)</f>
        <v>弾き語り</v>
      </c>
      <c r="W1013" s="13">
        <f t="shared" si="47"/>
        <v>7513</v>
      </c>
      <c r="X1013" s="12" t="str">
        <f>_xlfn.XLOOKUP($B1013,M_YT_LIVE!$A:$A,M_YT_LIVE!$D:$D)</f>
        <v>https://www.youtube.com/live/TLhHmBIm5rI?si=VIh-Mx1TlTgHASX4</v>
      </c>
      <c r="Z1013" s="16" t="str">
        <f>HYPERLINK($X1013&amp;SUBSTITUTE(マスタ!$C$3,"XXXXX",$W1013))</f>
        <v>https://www.youtube.com/live/TLhHmBIm5rI?si=VIh-Mx1TlTgHASX4&amp;t=7513s</v>
      </c>
      <c r="AA1013" s="12" t="str">
        <f t="shared" si="48"/>
        <v>Orangestar feat.初音ミク回る空うさぎ</v>
      </c>
    </row>
    <row r="1014" spans="1:27" x14ac:dyDescent="0.4">
      <c r="A1014" s="14">
        <f t="shared" si="49"/>
        <v>1013</v>
      </c>
      <c r="B1014" s="14">
        <v>132</v>
      </c>
      <c r="C1014" s="21" t="s">
        <v>2206</v>
      </c>
      <c r="D1014" s="14" t="s">
        <v>2042</v>
      </c>
      <c r="E1014" s="14" t="s">
        <v>138</v>
      </c>
      <c r="G1014" s="1" t="str">
        <f>_xlfn.XLOOKUP(B1014,M_YT_LIVE!A:A,M_YT_LIVE!F:F,"ERROR",0,1)</f>
        <v>弾き語り</v>
      </c>
      <c r="W1014" s="13">
        <f t="shared" si="47"/>
        <v>313</v>
      </c>
      <c r="X1014" s="12" t="str">
        <f>_xlfn.XLOOKUP($B1014,M_YT_LIVE!$A:$A,M_YT_LIVE!$D:$D)</f>
        <v>https://www.youtube.com/live/svcUFFcJrHE?si=j83cuHNyk6QwuYkQ</v>
      </c>
      <c r="Z1014" s="16" t="str">
        <f>HYPERLINK($X1014&amp;SUBSTITUTE(マスタ!$C$3,"XXXXX",$W1014))</f>
        <v>https://www.youtube.com/live/svcUFFcJrHE?si=j83cuHNyk6QwuYkQ&amp;t=313s</v>
      </c>
      <c r="AA1014" s="12" t="str">
        <f t="shared" si="48"/>
        <v>ポルカドットスティングレイ阿吽</v>
      </c>
    </row>
    <row r="1015" spans="1:27" x14ac:dyDescent="0.4">
      <c r="A1015" s="14">
        <f t="shared" si="49"/>
        <v>1014</v>
      </c>
      <c r="B1015" s="14">
        <v>132</v>
      </c>
      <c r="C1015" s="21" t="s">
        <v>2230</v>
      </c>
      <c r="D1015" s="14" t="s">
        <v>1833</v>
      </c>
      <c r="E1015" s="14" t="s">
        <v>138</v>
      </c>
      <c r="G1015" s="1" t="str">
        <f>_xlfn.XLOOKUP(B1015,M_YT_LIVE!A:A,M_YT_LIVE!F:F,"ERROR",0,1)</f>
        <v>弾き語り</v>
      </c>
      <c r="W1015" s="13">
        <f t="shared" si="47"/>
        <v>679.99999999999989</v>
      </c>
      <c r="X1015" s="12" t="str">
        <f>_xlfn.XLOOKUP($B1015,M_YT_LIVE!$A:$A,M_YT_LIVE!$D:$D)</f>
        <v>https://www.youtube.com/live/svcUFFcJrHE?si=j83cuHNyk6QwuYkQ</v>
      </c>
      <c r="Z1015" s="16" t="str">
        <f>HYPERLINK($X1015&amp;SUBSTITUTE(マスタ!$C$3,"XXXXX",$W1015))</f>
        <v>https://www.youtube.com/live/svcUFFcJrHE?si=j83cuHNyk6QwuYkQ&amp;t=680s</v>
      </c>
      <c r="AA1015" s="12" t="str">
        <f t="shared" si="48"/>
        <v>ポルカドットスティングレイ化身</v>
      </c>
    </row>
    <row r="1016" spans="1:27" x14ac:dyDescent="0.4">
      <c r="A1016" s="14">
        <f t="shared" si="49"/>
        <v>1015</v>
      </c>
      <c r="B1016" s="14">
        <v>132</v>
      </c>
      <c r="C1016" s="21" t="s">
        <v>2231</v>
      </c>
      <c r="D1016" s="14" t="s">
        <v>363</v>
      </c>
      <c r="E1016" s="14" t="s">
        <v>298</v>
      </c>
      <c r="G1016" s="1" t="str">
        <f>_xlfn.XLOOKUP(B1016,M_YT_LIVE!A:A,M_YT_LIVE!F:F,"ERROR",0,1)</f>
        <v>弾き語り</v>
      </c>
      <c r="W1016" s="13">
        <f t="shared" si="47"/>
        <v>1038</v>
      </c>
      <c r="X1016" s="12" t="str">
        <f>_xlfn.XLOOKUP($B1016,M_YT_LIVE!$A:$A,M_YT_LIVE!$D:$D)</f>
        <v>https://www.youtube.com/live/svcUFFcJrHE?si=j83cuHNyk6QwuYkQ</v>
      </c>
      <c r="Z1016" s="16" t="str">
        <f>HYPERLINK($X1016&amp;SUBSTITUTE(マスタ!$C$3,"XXXXX",$W1016))</f>
        <v>https://www.youtube.com/live/svcUFFcJrHE?si=j83cuHNyk6QwuYkQ&amp;t=1038s</v>
      </c>
      <c r="AA1016" s="12" t="str">
        <f t="shared" si="48"/>
        <v>あいみょんハルノヒ</v>
      </c>
    </row>
    <row r="1017" spans="1:27" x14ac:dyDescent="0.4">
      <c r="A1017" s="14">
        <f t="shared" si="49"/>
        <v>1016</v>
      </c>
      <c r="B1017" s="14">
        <v>132</v>
      </c>
      <c r="C1017" s="21" t="s">
        <v>2232</v>
      </c>
      <c r="D1017" s="14" t="s">
        <v>199</v>
      </c>
      <c r="E1017" s="14" t="s">
        <v>200</v>
      </c>
      <c r="G1017" s="1" t="str">
        <f>_xlfn.XLOOKUP(B1017,M_YT_LIVE!A:A,M_YT_LIVE!F:F,"ERROR",0,1)</f>
        <v>弾き語り</v>
      </c>
      <c r="W1017" s="13">
        <f t="shared" si="47"/>
        <v>1565</v>
      </c>
      <c r="X1017" s="12" t="str">
        <f>_xlfn.XLOOKUP($B1017,M_YT_LIVE!$A:$A,M_YT_LIVE!$D:$D)</f>
        <v>https://www.youtube.com/live/svcUFFcJrHE?si=j83cuHNyk6QwuYkQ</v>
      </c>
      <c r="Z1017" s="16" t="str">
        <f>HYPERLINK($X1017&amp;SUBSTITUTE(マスタ!$C$3,"XXXXX",$W1017))</f>
        <v>https://www.youtube.com/live/svcUFFcJrHE?si=j83cuHNyk6QwuYkQ&amp;t=1565s</v>
      </c>
      <c r="AA1017" s="12" t="str">
        <f t="shared" si="48"/>
        <v>緑黄色社会sabotage</v>
      </c>
    </row>
    <row r="1018" spans="1:27" x14ac:dyDescent="0.4">
      <c r="A1018" s="14">
        <f t="shared" si="49"/>
        <v>1017</v>
      </c>
      <c r="B1018" s="14">
        <v>132</v>
      </c>
      <c r="C1018" s="21" t="s">
        <v>2233</v>
      </c>
      <c r="D1018" s="14" t="s">
        <v>2234</v>
      </c>
      <c r="E1018" s="14" t="s">
        <v>183</v>
      </c>
      <c r="G1018" s="1" t="str">
        <f>_xlfn.XLOOKUP(B1018,M_YT_LIVE!A:A,M_YT_LIVE!F:F,"ERROR",0,1)</f>
        <v>弾き語り</v>
      </c>
      <c r="W1018" s="13">
        <f t="shared" si="47"/>
        <v>1978</v>
      </c>
      <c r="X1018" s="12" t="str">
        <f>_xlfn.XLOOKUP($B1018,M_YT_LIVE!$A:$A,M_YT_LIVE!$D:$D)</f>
        <v>https://www.youtube.com/live/svcUFFcJrHE?si=j83cuHNyk6QwuYkQ</v>
      </c>
      <c r="Z1018" s="16" t="str">
        <f>HYPERLINK($X1018&amp;SUBSTITUTE(マスタ!$C$3,"XXXXX",$W1018))</f>
        <v>https://www.youtube.com/live/svcUFFcJrHE?si=j83cuHNyk6QwuYkQ&amp;t=1978s</v>
      </c>
      <c r="AA1018" s="12" t="str">
        <f t="shared" si="48"/>
        <v>クリープハイプ寝癖</v>
      </c>
    </row>
    <row r="1019" spans="1:27" x14ac:dyDescent="0.4">
      <c r="A1019" s="14">
        <f t="shared" si="49"/>
        <v>1018</v>
      </c>
      <c r="B1019" s="14">
        <v>132</v>
      </c>
      <c r="C1019" s="21" t="s">
        <v>2235</v>
      </c>
      <c r="D1019" s="14" t="s">
        <v>29</v>
      </c>
      <c r="E1019" s="14" t="s">
        <v>183</v>
      </c>
      <c r="G1019" s="1" t="str">
        <f>_xlfn.XLOOKUP(B1019,M_YT_LIVE!A:A,M_YT_LIVE!F:F,"ERROR",0,1)</f>
        <v>弾き語り</v>
      </c>
      <c r="W1019" s="13">
        <f t="shared" si="47"/>
        <v>2448</v>
      </c>
      <c r="X1019" s="12" t="str">
        <f>_xlfn.XLOOKUP($B1019,M_YT_LIVE!$A:$A,M_YT_LIVE!$D:$D)</f>
        <v>https://www.youtube.com/live/svcUFFcJrHE?si=j83cuHNyk6QwuYkQ</v>
      </c>
      <c r="Z1019" s="16" t="str">
        <f>HYPERLINK($X1019&amp;SUBSTITUTE(マスタ!$C$3,"XXXXX",$W1019))</f>
        <v>https://www.youtube.com/live/svcUFFcJrHE?si=j83cuHNyk6QwuYkQ&amp;t=2448s</v>
      </c>
      <c r="AA1019" s="12" t="str">
        <f t="shared" si="48"/>
        <v>クリープハイプ憂、燦々</v>
      </c>
    </row>
    <row r="1020" spans="1:27" x14ac:dyDescent="0.4">
      <c r="A1020" s="14">
        <f t="shared" si="49"/>
        <v>1019</v>
      </c>
      <c r="B1020" s="14">
        <v>132</v>
      </c>
      <c r="C1020" s="21" t="s">
        <v>1154</v>
      </c>
      <c r="D1020" s="14" t="s">
        <v>1035</v>
      </c>
      <c r="E1020" s="14" t="s">
        <v>1036</v>
      </c>
      <c r="G1020" s="1" t="str">
        <f>_xlfn.XLOOKUP(B1020,M_YT_LIVE!A:A,M_YT_LIVE!F:F,"ERROR",0,1)</f>
        <v>弾き語り</v>
      </c>
      <c r="W1020" s="13">
        <f t="shared" si="47"/>
        <v>2951</v>
      </c>
      <c r="X1020" s="12" t="str">
        <f>_xlfn.XLOOKUP($B1020,M_YT_LIVE!$A:$A,M_YT_LIVE!$D:$D)</f>
        <v>https://www.youtube.com/live/svcUFFcJrHE?si=j83cuHNyk6QwuYkQ</v>
      </c>
      <c r="Z1020" s="16" t="str">
        <f>HYPERLINK($X1020&amp;SUBSTITUTE(マスタ!$C$3,"XXXXX",$W1020))</f>
        <v>https://www.youtube.com/live/svcUFFcJrHE?si=j83cuHNyk6QwuYkQ&amp;t=2951s</v>
      </c>
      <c r="AA1020" s="12" t="str">
        <f t="shared" si="48"/>
        <v>Ayase feat.初音ミク幽霊東京</v>
      </c>
    </row>
    <row r="1021" spans="1:27" x14ac:dyDescent="0.4">
      <c r="A1021" s="14">
        <f t="shared" si="49"/>
        <v>1020</v>
      </c>
      <c r="B1021" s="14">
        <v>132</v>
      </c>
      <c r="C1021" s="21" t="s">
        <v>2236</v>
      </c>
      <c r="D1021" s="14" t="s">
        <v>829</v>
      </c>
      <c r="E1021" s="14" t="s">
        <v>208</v>
      </c>
      <c r="G1021" s="1" t="str">
        <f>_xlfn.XLOOKUP(B1021,M_YT_LIVE!A:A,M_YT_LIVE!F:F,"ERROR",0,1)</f>
        <v>弾き語り</v>
      </c>
      <c r="W1021" s="13">
        <f t="shared" si="47"/>
        <v>3455</v>
      </c>
      <c r="X1021" s="12" t="str">
        <f>_xlfn.XLOOKUP($B1021,M_YT_LIVE!$A:$A,M_YT_LIVE!$D:$D)</f>
        <v>https://www.youtube.com/live/svcUFFcJrHE?si=j83cuHNyk6QwuYkQ</v>
      </c>
      <c r="Z1021" s="16" t="str">
        <f>HYPERLINK($X1021&amp;SUBSTITUTE(マスタ!$C$3,"XXXXX",$W1021))</f>
        <v>https://www.youtube.com/live/svcUFFcJrHE?si=j83cuHNyk6QwuYkQ&amp;t=3455s</v>
      </c>
      <c r="AA1021" s="12" t="str">
        <f t="shared" si="48"/>
        <v>supercellLove&amp;Roll</v>
      </c>
    </row>
    <row r="1022" spans="1:27" x14ac:dyDescent="0.4">
      <c r="A1022" s="14">
        <f t="shared" si="49"/>
        <v>1021</v>
      </c>
      <c r="B1022" s="14">
        <v>132</v>
      </c>
      <c r="C1022" s="21" t="s">
        <v>2237</v>
      </c>
      <c r="D1022" s="14" t="s">
        <v>789</v>
      </c>
      <c r="E1022" s="14" t="s">
        <v>790</v>
      </c>
      <c r="G1022" s="1" t="str">
        <f>_xlfn.XLOOKUP(B1022,M_YT_LIVE!A:A,M_YT_LIVE!F:F,"ERROR",0,1)</f>
        <v>弾き語り</v>
      </c>
      <c r="W1022" s="13">
        <f t="shared" si="47"/>
        <v>3892.0000000000005</v>
      </c>
      <c r="X1022" s="12" t="str">
        <f>_xlfn.XLOOKUP($B1022,M_YT_LIVE!$A:$A,M_YT_LIVE!$D:$D)</f>
        <v>https://www.youtube.com/live/svcUFFcJrHE?si=j83cuHNyk6QwuYkQ</v>
      </c>
      <c r="Z1022" s="16" t="str">
        <f>HYPERLINK($X1022&amp;SUBSTITUTE(マスタ!$C$3,"XXXXX",$W1022))</f>
        <v>https://www.youtube.com/live/svcUFFcJrHE?si=j83cuHNyk6QwuYkQ&amp;t=3892s</v>
      </c>
      <c r="AA1022" s="12" t="str">
        <f t="shared" si="48"/>
        <v>CHiCO with HoneyWorksカヌレ</v>
      </c>
    </row>
    <row r="1023" spans="1:27" x14ac:dyDescent="0.4">
      <c r="A1023" s="14">
        <f t="shared" si="49"/>
        <v>1022</v>
      </c>
      <c r="B1023" s="14">
        <v>132</v>
      </c>
      <c r="C1023" s="21" t="s">
        <v>2238</v>
      </c>
      <c r="D1023" s="14" t="s">
        <v>312</v>
      </c>
      <c r="E1023" s="14" t="s">
        <v>208</v>
      </c>
      <c r="G1023" s="1" t="str">
        <f>_xlfn.XLOOKUP(B1023,M_YT_LIVE!A:A,M_YT_LIVE!F:F,"ERROR",0,1)</f>
        <v>弾き語り</v>
      </c>
      <c r="W1023" s="13">
        <f t="shared" si="47"/>
        <v>4350</v>
      </c>
      <c r="X1023" s="12" t="str">
        <f>_xlfn.XLOOKUP($B1023,M_YT_LIVE!$A:$A,M_YT_LIVE!$D:$D)</f>
        <v>https://www.youtube.com/live/svcUFFcJrHE?si=j83cuHNyk6QwuYkQ</v>
      </c>
      <c r="Z1023" s="16" t="str">
        <f>HYPERLINK($X1023&amp;SUBSTITUTE(マスタ!$C$3,"XXXXX",$W1023))</f>
        <v>https://www.youtube.com/live/svcUFFcJrHE?si=j83cuHNyk6QwuYkQ&amp;t=4350s</v>
      </c>
      <c r="AA1023" s="12" t="str">
        <f t="shared" si="48"/>
        <v>supercellリルモア</v>
      </c>
    </row>
    <row r="1024" spans="1:27" x14ac:dyDescent="0.4">
      <c r="A1024" s="14">
        <f t="shared" si="49"/>
        <v>1023</v>
      </c>
      <c r="B1024" s="14">
        <v>132</v>
      </c>
      <c r="C1024" s="21" t="s">
        <v>2239</v>
      </c>
      <c r="D1024" s="14" t="s">
        <v>1457</v>
      </c>
      <c r="E1024" s="14" t="s">
        <v>1193</v>
      </c>
      <c r="G1024" s="1" t="str">
        <f>_xlfn.XLOOKUP(B1024,M_YT_LIVE!A:A,M_YT_LIVE!F:F,"ERROR",0,1)</f>
        <v>弾き語り</v>
      </c>
      <c r="W1024" s="13">
        <f t="shared" si="47"/>
        <v>4906</v>
      </c>
      <c r="X1024" s="12" t="str">
        <f>_xlfn.XLOOKUP($B1024,M_YT_LIVE!$A:$A,M_YT_LIVE!$D:$D)</f>
        <v>https://www.youtube.com/live/svcUFFcJrHE?si=j83cuHNyk6QwuYkQ</v>
      </c>
      <c r="Z1024" s="16" t="str">
        <f>HYPERLINK($X1024&amp;SUBSTITUTE(マスタ!$C$3,"XXXXX",$W1024))</f>
        <v>https://www.youtube.com/live/svcUFFcJrHE?si=j83cuHNyk6QwuYkQ&amp;t=4906s</v>
      </c>
      <c r="AA1024" s="12" t="str">
        <f t="shared" si="48"/>
        <v>サカナクションミュージック</v>
      </c>
    </row>
    <row r="1025" spans="1:27" x14ac:dyDescent="0.4">
      <c r="A1025" s="14">
        <f t="shared" si="49"/>
        <v>1024</v>
      </c>
      <c r="B1025" s="14">
        <v>132</v>
      </c>
      <c r="C1025" s="21" t="s">
        <v>2240</v>
      </c>
      <c r="D1025" s="14" t="s">
        <v>831</v>
      </c>
      <c r="E1025" s="14" t="s">
        <v>832</v>
      </c>
      <c r="G1025" s="1" t="str">
        <f>_xlfn.XLOOKUP(B1025,M_YT_LIVE!A:A,M_YT_LIVE!F:F,"ERROR",0,1)</f>
        <v>弾き語り</v>
      </c>
      <c r="W1025" s="13">
        <f t="shared" si="47"/>
        <v>5583</v>
      </c>
      <c r="X1025" s="12" t="str">
        <f>_xlfn.XLOOKUP($B1025,M_YT_LIVE!$A:$A,M_YT_LIVE!$D:$D)</f>
        <v>https://www.youtube.com/live/svcUFFcJrHE?si=j83cuHNyk6QwuYkQ</v>
      </c>
      <c r="Z1025" s="16" t="str">
        <f>HYPERLINK($X1025&amp;SUBSTITUTE(マスタ!$C$3,"XXXXX",$W1025))</f>
        <v>https://www.youtube.com/live/svcUFFcJrHE?si=j83cuHNyk6QwuYkQ&amp;t=5583s</v>
      </c>
      <c r="AA1025" s="12" t="str">
        <f t="shared" si="48"/>
        <v>ryo feat.chellyGreat distance</v>
      </c>
    </row>
    <row r="1026" spans="1:27" x14ac:dyDescent="0.4">
      <c r="A1026" s="14">
        <f t="shared" si="49"/>
        <v>1025</v>
      </c>
      <c r="B1026" s="14">
        <v>132</v>
      </c>
      <c r="C1026" s="21" t="s">
        <v>2241</v>
      </c>
      <c r="D1026" s="14" t="s">
        <v>1697</v>
      </c>
      <c r="E1026" s="14" t="s">
        <v>1698</v>
      </c>
      <c r="G1026" s="1" t="str">
        <f>_xlfn.XLOOKUP(B1026,M_YT_LIVE!A:A,M_YT_LIVE!F:F,"ERROR",0,1)</f>
        <v>弾き語り</v>
      </c>
      <c r="W1026" s="13">
        <f t="shared" si="47"/>
        <v>6446</v>
      </c>
      <c r="X1026" s="12" t="str">
        <f>_xlfn.XLOOKUP($B1026,M_YT_LIVE!$A:$A,M_YT_LIVE!$D:$D)</f>
        <v>https://www.youtube.com/live/svcUFFcJrHE?si=j83cuHNyk6QwuYkQ</v>
      </c>
      <c r="Z1026" s="16" t="str">
        <f>HYPERLINK($X1026&amp;SUBSTITUTE(マスタ!$C$3,"XXXXX",$W1026))</f>
        <v>https://www.youtube.com/live/svcUFFcJrHE?si=j83cuHNyk6QwuYkQ&amp;t=6446s</v>
      </c>
      <c r="AA1026" s="12" t="str">
        <f t="shared" si="48"/>
        <v>AKINO創聖のアクエリオン</v>
      </c>
    </row>
    <row r="1027" spans="1:27" x14ac:dyDescent="0.4">
      <c r="A1027" s="14">
        <f t="shared" si="49"/>
        <v>1026</v>
      </c>
      <c r="B1027" s="14">
        <v>132</v>
      </c>
      <c r="C1027" s="21" t="s">
        <v>2242</v>
      </c>
      <c r="D1027" s="14" t="s">
        <v>751</v>
      </c>
      <c r="E1027" s="14" t="s">
        <v>183</v>
      </c>
      <c r="G1027" s="1" t="str">
        <f>_xlfn.XLOOKUP(B1027,M_YT_LIVE!A:A,M_YT_LIVE!F:F,"ERROR",0,1)</f>
        <v>弾き語り</v>
      </c>
      <c r="W1027" s="13">
        <f t="shared" si="47"/>
        <v>6931</v>
      </c>
      <c r="X1027" s="12" t="str">
        <f>_xlfn.XLOOKUP($B1027,M_YT_LIVE!$A:$A,M_YT_LIVE!$D:$D)</f>
        <v>https://www.youtube.com/live/svcUFFcJrHE?si=j83cuHNyk6QwuYkQ</v>
      </c>
      <c r="Z1027" s="16" t="str">
        <f>HYPERLINK($X1027&amp;SUBSTITUTE(マスタ!$C$3,"XXXXX",$W1027))</f>
        <v>https://www.youtube.com/live/svcUFFcJrHE?si=j83cuHNyk6QwuYkQ&amp;t=6931s</v>
      </c>
      <c r="AA1027" s="12" t="str">
        <f t="shared" si="48"/>
        <v>クリープハイプ社会の窓</v>
      </c>
    </row>
    <row r="1028" spans="1:27" x14ac:dyDescent="0.4">
      <c r="A1028" s="14">
        <f t="shared" si="49"/>
        <v>1027</v>
      </c>
      <c r="B1028" s="14">
        <v>134</v>
      </c>
      <c r="C1028" s="21" t="s">
        <v>2247</v>
      </c>
      <c r="D1028" s="14" t="s">
        <v>71</v>
      </c>
      <c r="E1028" s="14" t="s">
        <v>72</v>
      </c>
      <c r="G1028" s="1" t="str">
        <f>_xlfn.XLOOKUP(B1028,M_YT_LIVE!A:A,M_YT_LIVE!F:F,"ERROR",0,1)</f>
        <v>弾き語り</v>
      </c>
      <c r="W1028" s="13">
        <f t="shared" ref="W1028:W1091" si="50">TIMEVALUE($C1028)*86400</f>
        <v>229</v>
      </c>
      <c r="X1028" s="12" t="str">
        <f>_xlfn.XLOOKUP($B1028,M_YT_LIVE!$A:$A,M_YT_LIVE!$D:$D)</f>
        <v>https://www.youtube.com/live/0AqoHfYD46E?si=mWOedgt9iLzf5zoc</v>
      </c>
      <c r="Z1028" s="16" t="str">
        <f>HYPERLINK($X1028&amp;SUBSTITUTE(マスタ!$C$3,"XXXXX",$W1028))</f>
        <v>https://www.youtube.com/live/0AqoHfYD46E?si=mWOedgt9iLzf5zoc&amp;t=229s</v>
      </c>
      <c r="AA1028" s="12" t="str">
        <f t="shared" si="48"/>
        <v>優里ドライフラワー</v>
      </c>
    </row>
    <row r="1029" spans="1:27" x14ac:dyDescent="0.4">
      <c r="A1029" s="14">
        <f t="shared" si="49"/>
        <v>1028</v>
      </c>
      <c r="B1029" s="14">
        <v>134</v>
      </c>
      <c r="C1029" s="21" t="s">
        <v>2248</v>
      </c>
      <c r="D1029" s="14" t="s">
        <v>1427</v>
      </c>
      <c r="E1029" s="14" t="s">
        <v>228</v>
      </c>
      <c r="G1029" s="1" t="str">
        <f>_xlfn.XLOOKUP(B1029,M_YT_LIVE!A:A,M_YT_LIVE!F:F,"ERROR",0,1)</f>
        <v>弾き語り</v>
      </c>
      <c r="W1029" s="13">
        <f t="shared" si="50"/>
        <v>731</v>
      </c>
      <c r="X1029" s="12" t="str">
        <f>_xlfn.XLOOKUP($B1029,M_YT_LIVE!$A:$A,M_YT_LIVE!$D:$D)</f>
        <v>https://www.youtube.com/live/0AqoHfYD46E?si=mWOedgt9iLzf5zoc</v>
      </c>
      <c r="Z1029" s="16" t="str">
        <f>HYPERLINK($X1029&amp;SUBSTITUTE(マスタ!$C$3,"XXXXX",$W1029))</f>
        <v>https://www.youtube.com/live/0AqoHfYD46E?si=mWOedgt9iLzf5zoc&amp;t=731s</v>
      </c>
      <c r="AA1029" s="12" t="str">
        <f t="shared" ref="AA1029:AA1092" si="51">TRIM(E1029)&amp;TRIM(D1029)</f>
        <v>ずっと真夜中でいいのに。Ham</v>
      </c>
    </row>
    <row r="1030" spans="1:27" x14ac:dyDescent="0.4">
      <c r="A1030" s="14">
        <f t="shared" ref="A1030:A1093" si="52">ROW()-1</f>
        <v>1029</v>
      </c>
      <c r="B1030" s="14">
        <v>134</v>
      </c>
      <c r="C1030" s="21" t="s">
        <v>2249</v>
      </c>
      <c r="D1030" s="14" t="s">
        <v>602</v>
      </c>
      <c r="E1030" s="14" t="s">
        <v>603</v>
      </c>
      <c r="G1030" s="1" t="str">
        <f>_xlfn.XLOOKUP(B1030,M_YT_LIVE!A:A,M_YT_LIVE!F:F,"ERROR",0,1)</f>
        <v>弾き語り</v>
      </c>
      <c r="W1030" s="13">
        <f t="shared" si="50"/>
        <v>1125</v>
      </c>
      <c r="X1030" s="12" t="str">
        <f>_xlfn.XLOOKUP($B1030,M_YT_LIVE!$A:$A,M_YT_LIVE!$D:$D)</f>
        <v>https://www.youtube.com/live/0AqoHfYD46E?si=mWOedgt9iLzf5zoc</v>
      </c>
      <c r="Z1030" s="16" t="str">
        <f>HYPERLINK($X1030&amp;SUBSTITUTE(マスタ!$C$3,"XXXXX",$W1030))</f>
        <v>https://www.youtube.com/live/0AqoHfYD46E?si=mWOedgt9iLzf5zoc&amp;t=1125s</v>
      </c>
      <c r="AA1030" s="12" t="str">
        <f t="shared" si="51"/>
        <v>茅原実里境界の彼方</v>
      </c>
    </row>
    <row r="1031" spans="1:27" x14ac:dyDescent="0.4">
      <c r="A1031" s="14">
        <f t="shared" si="52"/>
        <v>1030</v>
      </c>
      <c r="B1031" s="14">
        <v>134</v>
      </c>
      <c r="C1031" s="21" t="s">
        <v>2250</v>
      </c>
      <c r="D1031" s="14" t="s">
        <v>770</v>
      </c>
      <c r="E1031" s="14" t="s">
        <v>771</v>
      </c>
      <c r="G1031" s="1" t="str">
        <f>_xlfn.XLOOKUP(B1031,M_YT_LIVE!A:A,M_YT_LIVE!F:F,"ERROR",0,1)</f>
        <v>弾き語り</v>
      </c>
      <c r="W1031" s="13">
        <f t="shared" si="50"/>
        <v>1582</v>
      </c>
      <c r="X1031" s="12" t="str">
        <f>_xlfn.XLOOKUP($B1031,M_YT_LIVE!$A:$A,M_YT_LIVE!$D:$D)</f>
        <v>https://www.youtube.com/live/0AqoHfYD46E?si=mWOedgt9iLzf5zoc</v>
      </c>
      <c r="Z1031" s="16" t="str">
        <f>HYPERLINK($X1031&amp;SUBSTITUTE(マスタ!$C$3,"XXXXX",$W1031))</f>
        <v>https://www.youtube.com/live/0AqoHfYD46E?si=mWOedgt9iLzf5zoc&amp;t=1582s</v>
      </c>
      <c r="AA1031" s="12" t="str">
        <f t="shared" si="51"/>
        <v>(K)NoW_NAMEHarvest</v>
      </c>
    </row>
    <row r="1032" spans="1:27" x14ac:dyDescent="0.4">
      <c r="A1032" s="14">
        <f t="shared" si="52"/>
        <v>1031</v>
      </c>
      <c r="B1032" s="14">
        <v>134</v>
      </c>
      <c r="C1032" s="21" t="s">
        <v>2251</v>
      </c>
      <c r="D1032" s="14" t="s">
        <v>624</v>
      </c>
      <c r="E1032" s="14" t="s">
        <v>625</v>
      </c>
      <c r="G1032" s="1" t="str">
        <f>_xlfn.XLOOKUP(B1032,M_YT_LIVE!A:A,M_YT_LIVE!F:F,"ERROR",0,1)</f>
        <v>弾き語り</v>
      </c>
      <c r="W1032" s="13">
        <f t="shared" si="50"/>
        <v>2004</v>
      </c>
      <c r="X1032" s="12" t="str">
        <f>_xlfn.XLOOKUP($B1032,M_YT_LIVE!$A:$A,M_YT_LIVE!$D:$D)</f>
        <v>https://www.youtube.com/live/0AqoHfYD46E?si=mWOedgt9iLzf5zoc</v>
      </c>
      <c r="Z1032" s="16" t="str">
        <f>HYPERLINK($X1032&amp;SUBSTITUTE(マスタ!$C$3,"XXXXX",$W1032))</f>
        <v>https://www.youtube.com/live/0AqoHfYD46E?si=mWOedgt9iLzf5zoc&amp;t=2004s</v>
      </c>
      <c r="AA1032" s="12" t="str">
        <f t="shared" si="51"/>
        <v>Rayebb and flow</v>
      </c>
    </row>
    <row r="1033" spans="1:27" x14ac:dyDescent="0.4">
      <c r="A1033" s="14">
        <f t="shared" si="52"/>
        <v>1032</v>
      </c>
      <c r="B1033" s="14">
        <v>134</v>
      </c>
      <c r="C1033" s="21" t="s">
        <v>2252</v>
      </c>
      <c r="D1033" s="14" t="s">
        <v>2253</v>
      </c>
      <c r="E1033" s="14" t="s">
        <v>135</v>
      </c>
      <c r="G1033" s="1" t="str">
        <f>_xlfn.XLOOKUP(B1033,M_YT_LIVE!A:A,M_YT_LIVE!F:F,"ERROR",0,1)</f>
        <v>弾き語り</v>
      </c>
      <c r="W1033" s="13">
        <f t="shared" si="50"/>
        <v>2405</v>
      </c>
      <c r="X1033" s="12" t="str">
        <f>_xlfn.XLOOKUP($B1033,M_YT_LIVE!$A:$A,M_YT_LIVE!$D:$D)</f>
        <v>https://www.youtube.com/live/0AqoHfYD46E?si=mWOedgt9iLzf5zoc</v>
      </c>
      <c r="Z1033" s="16" t="str">
        <f>HYPERLINK($X1033&amp;SUBSTITUTE(マスタ!$C$3,"XXXXX",$W1033))</f>
        <v>https://www.youtube.com/live/0AqoHfYD46E?si=mWOedgt9iLzf5zoc&amp;t=2405s</v>
      </c>
      <c r="AA1033" s="12" t="str">
        <f t="shared" si="51"/>
        <v>EGOISTエウテルペ</v>
      </c>
    </row>
    <row r="1034" spans="1:27" x14ac:dyDescent="0.4">
      <c r="A1034" s="14">
        <f t="shared" si="52"/>
        <v>1033</v>
      </c>
      <c r="B1034" s="14">
        <v>134</v>
      </c>
      <c r="C1034" s="21" t="s">
        <v>2254</v>
      </c>
      <c r="D1034" s="14" t="s">
        <v>2255</v>
      </c>
      <c r="E1034" s="14" t="s">
        <v>1450</v>
      </c>
      <c r="G1034" s="1" t="str">
        <f>_xlfn.XLOOKUP(B1034,M_YT_LIVE!A:A,M_YT_LIVE!F:F,"ERROR",0,1)</f>
        <v>弾き語り</v>
      </c>
      <c r="W1034" s="13">
        <f t="shared" si="50"/>
        <v>2749.0000000000005</v>
      </c>
      <c r="X1034" s="12" t="str">
        <f>_xlfn.XLOOKUP($B1034,M_YT_LIVE!$A:$A,M_YT_LIVE!$D:$D)</f>
        <v>https://www.youtube.com/live/0AqoHfYD46E?si=mWOedgt9iLzf5zoc</v>
      </c>
      <c r="Z1034" s="16" t="str">
        <f>HYPERLINK($X1034&amp;SUBSTITUTE(マスタ!$C$3,"XXXXX",$W1034))</f>
        <v>https://www.youtube.com/live/0AqoHfYD46E?si=mWOedgt9iLzf5zoc&amp;t=2749s</v>
      </c>
      <c r="AA1034" s="12" t="str">
        <f t="shared" si="51"/>
        <v>とあ feat.初音ミクツギハギスタッカート</v>
      </c>
    </row>
    <row r="1035" spans="1:27" x14ac:dyDescent="0.4">
      <c r="A1035" s="14">
        <f t="shared" si="52"/>
        <v>1034</v>
      </c>
      <c r="B1035" s="14">
        <v>134</v>
      </c>
      <c r="C1035" s="21" t="s">
        <v>2256</v>
      </c>
      <c r="D1035" s="14" t="s">
        <v>1811</v>
      </c>
      <c r="E1035" s="14" t="s">
        <v>1193</v>
      </c>
      <c r="G1035" s="1" t="str">
        <f>_xlfn.XLOOKUP(B1035,M_YT_LIVE!A:A,M_YT_LIVE!F:F,"ERROR",0,1)</f>
        <v>弾き語り</v>
      </c>
      <c r="W1035" s="13">
        <f t="shared" si="50"/>
        <v>3126</v>
      </c>
      <c r="X1035" s="12" t="str">
        <f>_xlfn.XLOOKUP($B1035,M_YT_LIVE!$A:$A,M_YT_LIVE!$D:$D)</f>
        <v>https://www.youtube.com/live/0AqoHfYD46E?si=mWOedgt9iLzf5zoc</v>
      </c>
      <c r="Z1035" s="16" t="str">
        <f>HYPERLINK($X1035&amp;SUBSTITUTE(マスタ!$C$3,"XXXXX",$W1035))</f>
        <v>https://www.youtube.com/live/0AqoHfYD46E?si=mWOedgt9iLzf5zoc&amp;t=3126s</v>
      </c>
      <c r="AA1035" s="12" t="str">
        <f t="shared" si="51"/>
        <v>サカナクショングッドバイ</v>
      </c>
    </row>
    <row r="1036" spans="1:27" x14ac:dyDescent="0.4">
      <c r="A1036" s="14">
        <f t="shared" si="52"/>
        <v>1035</v>
      </c>
      <c r="B1036" s="14">
        <v>134</v>
      </c>
      <c r="C1036" s="21" t="s">
        <v>2257</v>
      </c>
      <c r="D1036" s="14" t="s">
        <v>2258</v>
      </c>
      <c r="E1036" s="14" t="s">
        <v>1396</v>
      </c>
      <c r="G1036" s="1" t="str">
        <f>_xlfn.XLOOKUP(B1036,M_YT_LIVE!A:A,M_YT_LIVE!F:F,"ERROR",0,1)</f>
        <v>弾き語り</v>
      </c>
      <c r="W1036" s="13">
        <f t="shared" si="50"/>
        <v>3584</v>
      </c>
      <c r="X1036" s="12" t="str">
        <f>_xlfn.XLOOKUP($B1036,M_YT_LIVE!$A:$A,M_YT_LIVE!$D:$D)</f>
        <v>https://www.youtube.com/live/0AqoHfYD46E?si=mWOedgt9iLzf5zoc</v>
      </c>
      <c r="Z1036" s="16" t="str">
        <f>HYPERLINK($X1036&amp;SUBSTITUTE(マスタ!$C$3,"XXXXX",$W1036))</f>
        <v>https://www.youtube.com/live/0AqoHfYD46E?si=mWOedgt9iLzf5zoc&amp;t=3584s</v>
      </c>
      <c r="AA1036" s="12" t="str">
        <f t="shared" si="51"/>
        <v>三月のパンタシア街路、ライトの灯りだけ</v>
      </c>
    </row>
    <row r="1037" spans="1:27" x14ac:dyDescent="0.4">
      <c r="A1037" s="14">
        <f t="shared" si="52"/>
        <v>1036</v>
      </c>
      <c r="B1037" s="14">
        <v>134</v>
      </c>
      <c r="C1037" s="21" t="s">
        <v>2259</v>
      </c>
      <c r="D1037" s="14" t="s">
        <v>2260</v>
      </c>
      <c r="E1037" s="14" t="s">
        <v>547</v>
      </c>
      <c r="G1037" s="1" t="str">
        <f>_xlfn.XLOOKUP(B1037,M_YT_LIVE!A:A,M_YT_LIVE!F:F,"ERROR",0,1)</f>
        <v>弾き語り</v>
      </c>
      <c r="W1037" s="13">
        <f t="shared" si="50"/>
        <v>3975.0000000000005</v>
      </c>
      <c r="X1037" s="12" t="str">
        <f>_xlfn.XLOOKUP($B1037,M_YT_LIVE!$A:$A,M_YT_LIVE!$D:$D)</f>
        <v>https://www.youtube.com/live/0AqoHfYD46E?si=mWOedgt9iLzf5zoc</v>
      </c>
      <c r="Z1037" s="16" t="str">
        <f>HYPERLINK($X1037&amp;SUBSTITUTE(マスタ!$C$3,"XXXXX",$W1037))</f>
        <v>https://www.youtube.com/live/0AqoHfYD46E?si=mWOedgt9iLzf5zoc&amp;t=3975s</v>
      </c>
      <c r="AA1037" s="12" t="str">
        <f t="shared" si="51"/>
        <v>米津玄師vivi</v>
      </c>
    </row>
    <row r="1038" spans="1:27" x14ac:dyDescent="0.4">
      <c r="A1038" s="14">
        <f t="shared" si="52"/>
        <v>1037</v>
      </c>
      <c r="B1038" s="14">
        <v>134</v>
      </c>
      <c r="C1038" s="21" t="s">
        <v>1500</v>
      </c>
      <c r="D1038" s="14" t="s">
        <v>318</v>
      </c>
      <c r="E1038" s="14" t="s">
        <v>1759</v>
      </c>
      <c r="G1038" s="1" t="str">
        <f>_xlfn.XLOOKUP(B1038,M_YT_LIVE!A:A,M_YT_LIVE!F:F,"ERROR",0,1)</f>
        <v>弾き語り</v>
      </c>
      <c r="W1038" s="13">
        <f t="shared" si="50"/>
        <v>4486</v>
      </c>
      <c r="X1038" s="12" t="str">
        <f>_xlfn.XLOOKUP($B1038,M_YT_LIVE!$A:$A,M_YT_LIVE!$D:$D)</f>
        <v>https://www.youtube.com/live/0AqoHfYD46E?si=mWOedgt9iLzf5zoc</v>
      </c>
      <c r="Z1038" s="16" t="str">
        <f>HYPERLINK($X1038&amp;SUBSTITUTE(マスタ!$C$3,"XXXXX",$W1038))</f>
        <v>https://www.youtube.com/live/0AqoHfYD46E?si=mWOedgt9iLzf5zoc&amp;t=4486s</v>
      </c>
      <c r="AA1038" s="12" t="str">
        <f t="shared" si="51"/>
        <v>じん feat.IA少年ブレイヴ</v>
      </c>
    </row>
    <row r="1039" spans="1:27" x14ac:dyDescent="0.4">
      <c r="A1039" s="14">
        <f t="shared" si="52"/>
        <v>1038</v>
      </c>
      <c r="B1039" s="14">
        <v>134</v>
      </c>
      <c r="C1039" s="21" t="s">
        <v>2261</v>
      </c>
      <c r="D1039" s="14" t="s">
        <v>2262</v>
      </c>
      <c r="E1039" s="14" t="s">
        <v>2263</v>
      </c>
      <c r="G1039" s="1" t="str">
        <f>_xlfn.XLOOKUP(B1039,M_YT_LIVE!A:A,M_YT_LIVE!F:F,"ERROR",0,1)</f>
        <v>弾き語り</v>
      </c>
      <c r="W1039" s="13">
        <f t="shared" si="50"/>
        <v>4942</v>
      </c>
      <c r="X1039" s="12" t="str">
        <f>_xlfn.XLOOKUP($B1039,M_YT_LIVE!$A:$A,M_YT_LIVE!$D:$D)</f>
        <v>https://www.youtube.com/live/0AqoHfYD46E?si=mWOedgt9iLzf5zoc</v>
      </c>
      <c r="Z1039" s="16" t="str">
        <f>HYPERLINK($X1039&amp;SUBSTITUTE(マスタ!$C$3,"XXXXX",$W1039))</f>
        <v>https://www.youtube.com/live/0AqoHfYD46E?si=mWOedgt9iLzf5zoc&amp;t=4942s</v>
      </c>
      <c r="AA1039" s="12" t="str">
        <f t="shared" si="51"/>
        <v>じん feat.初音ミク失想ワアド</v>
      </c>
    </row>
    <row r="1040" spans="1:27" x14ac:dyDescent="0.4">
      <c r="A1040" s="14">
        <f t="shared" si="52"/>
        <v>1039</v>
      </c>
      <c r="B1040" s="14">
        <v>134</v>
      </c>
      <c r="C1040" s="21" t="s">
        <v>2264</v>
      </c>
      <c r="D1040" s="14" t="s">
        <v>1544</v>
      </c>
      <c r="E1040" s="14" t="s">
        <v>125</v>
      </c>
      <c r="G1040" s="1" t="str">
        <f>_xlfn.XLOOKUP(B1040,M_YT_LIVE!A:A,M_YT_LIVE!F:F,"ERROR",0,1)</f>
        <v>弾き語り</v>
      </c>
      <c r="W1040" s="13">
        <f t="shared" si="50"/>
        <v>5454</v>
      </c>
      <c r="X1040" s="12" t="str">
        <f>_xlfn.XLOOKUP($B1040,M_YT_LIVE!$A:$A,M_YT_LIVE!$D:$D)</f>
        <v>https://www.youtube.com/live/0AqoHfYD46E?si=mWOedgt9iLzf5zoc</v>
      </c>
      <c r="Z1040" s="16" t="str">
        <f>HYPERLINK($X1040&amp;SUBSTITUTE(マスタ!$C$3,"XXXXX",$W1040))</f>
        <v>https://www.youtube.com/live/0AqoHfYD46E?si=mWOedgt9iLzf5zoc&amp;t=5454s</v>
      </c>
      <c r="AA1040" s="12" t="str">
        <f t="shared" si="51"/>
        <v>Orangestar feat.IAノクティルーカ</v>
      </c>
    </row>
    <row r="1041" spans="1:27" x14ac:dyDescent="0.4">
      <c r="A1041" s="14">
        <f t="shared" si="52"/>
        <v>1040</v>
      </c>
      <c r="B1041" s="14">
        <v>134</v>
      </c>
      <c r="C1041" s="21" t="s">
        <v>2265</v>
      </c>
      <c r="D1041" s="14" t="s">
        <v>1837</v>
      </c>
      <c r="E1041" s="14" t="s">
        <v>547</v>
      </c>
      <c r="G1041" s="1" t="str">
        <f>_xlfn.XLOOKUP(B1041,M_YT_LIVE!A:A,M_YT_LIVE!F:F,"ERROR",0,1)</f>
        <v>弾き語り</v>
      </c>
      <c r="W1041" s="13">
        <f t="shared" si="50"/>
        <v>5903</v>
      </c>
      <c r="X1041" s="12" t="str">
        <f>_xlfn.XLOOKUP($B1041,M_YT_LIVE!$A:$A,M_YT_LIVE!$D:$D)</f>
        <v>https://www.youtube.com/live/0AqoHfYD46E?si=mWOedgt9iLzf5zoc</v>
      </c>
      <c r="Z1041" s="16" t="str">
        <f>HYPERLINK($X1041&amp;SUBSTITUTE(マスタ!$C$3,"XXXXX",$W1041))</f>
        <v>https://www.youtube.com/live/0AqoHfYD46E?si=mWOedgt9iLzf5zoc&amp;t=5903s</v>
      </c>
      <c r="AA1041" s="12" t="str">
        <f t="shared" si="51"/>
        <v>米津玄師春雷</v>
      </c>
    </row>
    <row r="1042" spans="1:27" x14ac:dyDescent="0.4">
      <c r="A1042" s="14">
        <f t="shared" si="52"/>
        <v>1041</v>
      </c>
      <c r="B1042" s="14">
        <v>134</v>
      </c>
      <c r="C1042" s="21" t="s">
        <v>2266</v>
      </c>
      <c r="D1042" s="14" t="s">
        <v>470</v>
      </c>
      <c r="E1042" s="14" t="s">
        <v>118</v>
      </c>
      <c r="G1042" s="1" t="str">
        <f>_xlfn.XLOOKUP(B1042,M_YT_LIVE!A:A,M_YT_LIVE!F:F,"ERROR",0,1)</f>
        <v>弾き語り</v>
      </c>
      <c r="W1042" s="13">
        <f t="shared" si="50"/>
        <v>6424</v>
      </c>
      <c r="X1042" s="12" t="str">
        <f>_xlfn.XLOOKUP($B1042,M_YT_LIVE!$A:$A,M_YT_LIVE!$D:$D)</f>
        <v>https://www.youtube.com/live/0AqoHfYD46E?si=mWOedgt9iLzf5zoc</v>
      </c>
      <c r="Z1042" s="16" t="str">
        <f>HYPERLINK($X1042&amp;SUBSTITUTE(マスタ!$C$3,"XXXXX",$W1042))</f>
        <v>https://www.youtube.com/live/0AqoHfYD46E?si=mWOedgt9iLzf5zoc&amp;t=6424s</v>
      </c>
      <c r="AA1042" s="12" t="str">
        <f t="shared" si="51"/>
        <v>Orangestar feat.初音ミク霽れを待つ</v>
      </c>
    </row>
    <row r="1043" spans="1:27" x14ac:dyDescent="0.4">
      <c r="A1043" s="14">
        <f t="shared" si="52"/>
        <v>1042</v>
      </c>
      <c r="B1043" s="14">
        <v>134</v>
      </c>
      <c r="C1043" s="21" t="s">
        <v>1581</v>
      </c>
      <c r="D1043" s="14" t="s">
        <v>2267</v>
      </c>
      <c r="E1043" s="14" t="s">
        <v>84</v>
      </c>
      <c r="G1043" s="1" t="str">
        <f>_xlfn.XLOOKUP(B1043,M_YT_LIVE!A:A,M_YT_LIVE!F:F,"ERROR",0,1)</f>
        <v>弾き語り</v>
      </c>
      <c r="W1043" s="13">
        <f t="shared" si="50"/>
        <v>6858.9999999999991</v>
      </c>
      <c r="X1043" s="12" t="str">
        <f>_xlfn.XLOOKUP($B1043,M_YT_LIVE!$A:$A,M_YT_LIVE!$D:$D)</f>
        <v>https://www.youtube.com/live/0AqoHfYD46E?si=mWOedgt9iLzf5zoc</v>
      </c>
      <c r="Z1043" s="16" t="str">
        <f>HYPERLINK($X1043&amp;SUBSTITUTE(マスタ!$C$3,"XXXXX",$W1043))</f>
        <v>https://www.youtube.com/live/0AqoHfYD46E?si=mWOedgt9iLzf5zoc&amp;t=6859s</v>
      </c>
      <c r="AA1043" s="12" t="str">
        <f t="shared" si="51"/>
        <v>木村弓いつも何度でも</v>
      </c>
    </row>
    <row r="1044" spans="1:27" x14ac:dyDescent="0.4">
      <c r="A1044" s="14">
        <f t="shared" si="52"/>
        <v>1043</v>
      </c>
      <c r="B1044" s="14"/>
      <c r="C1044" s="18"/>
      <c r="D1044" s="14"/>
      <c r="E1044" s="14"/>
      <c r="G1044" s="1">
        <f>_xlfn.XLOOKUP(B1044,M_YT_LIVE!A:A,M_YT_LIVE!F:F,"ERROR",0,1)</f>
        <v>0</v>
      </c>
      <c r="W1044" s="13" t="e">
        <f t="shared" si="50"/>
        <v>#VALUE!</v>
      </c>
      <c r="X1044" s="12">
        <f>_xlfn.XLOOKUP($B1044,M_YT_LIVE!$A:$A,M_YT_LIVE!$D:$D)</f>
        <v>0</v>
      </c>
      <c r="Z1044" s="16" t="e">
        <f>HYPERLINK($X1044&amp;SUBSTITUTE(マスタ!$C$3,"XXXXX",$W1044))</f>
        <v>#VALUE!</v>
      </c>
      <c r="AA1044" s="12" t="str">
        <f t="shared" si="51"/>
        <v/>
      </c>
    </row>
    <row r="1045" spans="1:27" x14ac:dyDescent="0.4">
      <c r="A1045" s="14">
        <f t="shared" si="52"/>
        <v>1044</v>
      </c>
      <c r="B1045" s="14"/>
      <c r="C1045" s="18"/>
      <c r="D1045" s="14"/>
      <c r="E1045" s="14"/>
      <c r="G1045" s="1">
        <f>_xlfn.XLOOKUP(B1045,M_YT_LIVE!A:A,M_YT_LIVE!F:F,"ERROR",0,1)</f>
        <v>0</v>
      </c>
      <c r="W1045" s="13" t="e">
        <f t="shared" si="50"/>
        <v>#VALUE!</v>
      </c>
      <c r="X1045" s="12">
        <f>_xlfn.XLOOKUP($B1045,M_YT_LIVE!$A:$A,M_YT_LIVE!$D:$D)</f>
        <v>0</v>
      </c>
      <c r="Z1045" s="16" t="e">
        <f>HYPERLINK($X1045&amp;SUBSTITUTE(マスタ!$C$3,"XXXXX",$W1045))</f>
        <v>#VALUE!</v>
      </c>
      <c r="AA1045" s="12" t="str">
        <f t="shared" si="51"/>
        <v/>
      </c>
    </row>
    <row r="1046" spans="1:27" x14ac:dyDescent="0.4">
      <c r="A1046" s="14">
        <f t="shared" si="52"/>
        <v>1045</v>
      </c>
      <c r="B1046" s="14"/>
      <c r="C1046" s="18"/>
      <c r="D1046" s="14"/>
      <c r="E1046" s="14"/>
      <c r="G1046" s="1">
        <f>_xlfn.XLOOKUP(B1046,M_YT_LIVE!A:A,M_YT_LIVE!F:F,"ERROR",0,1)</f>
        <v>0</v>
      </c>
      <c r="W1046" s="13" t="e">
        <f t="shared" si="50"/>
        <v>#VALUE!</v>
      </c>
      <c r="X1046" s="12">
        <f>_xlfn.XLOOKUP($B1046,M_YT_LIVE!$A:$A,M_YT_LIVE!$D:$D)</f>
        <v>0</v>
      </c>
      <c r="Z1046" s="16" t="e">
        <f>HYPERLINK($X1046&amp;SUBSTITUTE(マスタ!$C$3,"XXXXX",$W1046))</f>
        <v>#VALUE!</v>
      </c>
      <c r="AA1046" s="12" t="str">
        <f t="shared" si="51"/>
        <v/>
      </c>
    </row>
    <row r="1047" spans="1:27" x14ac:dyDescent="0.4">
      <c r="A1047" s="14">
        <f t="shared" si="52"/>
        <v>1046</v>
      </c>
      <c r="B1047" s="14"/>
      <c r="C1047" s="18"/>
      <c r="D1047" s="14"/>
      <c r="E1047" s="14"/>
      <c r="G1047" s="1">
        <f>_xlfn.XLOOKUP(B1047,M_YT_LIVE!A:A,M_YT_LIVE!F:F,"ERROR",0,1)</f>
        <v>0</v>
      </c>
      <c r="W1047" s="13" t="e">
        <f t="shared" si="50"/>
        <v>#VALUE!</v>
      </c>
      <c r="X1047" s="12">
        <f>_xlfn.XLOOKUP($B1047,M_YT_LIVE!$A:$A,M_YT_LIVE!$D:$D)</f>
        <v>0</v>
      </c>
      <c r="Z1047" s="16" t="e">
        <f>HYPERLINK($X1047&amp;SUBSTITUTE(マスタ!$C$3,"XXXXX",$W1047))</f>
        <v>#VALUE!</v>
      </c>
      <c r="AA1047" s="12" t="str">
        <f t="shared" si="51"/>
        <v/>
      </c>
    </row>
    <row r="1048" spans="1:27" x14ac:dyDescent="0.4">
      <c r="A1048" s="14">
        <f t="shared" si="52"/>
        <v>1047</v>
      </c>
      <c r="B1048" s="14"/>
      <c r="C1048" s="18"/>
      <c r="D1048" s="14"/>
      <c r="E1048" s="14"/>
      <c r="G1048" s="1">
        <f>_xlfn.XLOOKUP(B1048,M_YT_LIVE!A:A,M_YT_LIVE!F:F,"ERROR",0,1)</f>
        <v>0</v>
      </c>
      <c r="W1048" s="13" t="e">
        <f t="shared" si="50"/>
        <v>#VALUE!</v>
      </c>
      <c r="X1048" s="12">
        <f>_xlfn.XLOOKUP($B1048,M_YT_LIVE!$A:$A,M_YT_LIVE!$D:$D)</f>
        <v>0</v>
      </c>
      <c r="Z1048" s="16" t="e">
        <f>HYPERLINK($X1048&amp;SUBSTITUTE(マスタ!$C$3,"XXXXX",$W1048))</f>
        <v>#VALUE!</v>
      </c>
      <c r="AA1048" s="12" t="str">
        <f t="shared" si="51"/>
        <v/>
      </c>
    </row>
    <row r="1049" spans="1:27" x14ac:dyDescent="0.4">
      <c r="A1049" s="14">
        <f t="shared" si="52"/>
        <v>1048</v>
      </c>
      <c r="B1049" s="14"/>
      <c r="C1049" s="18"/>
      <c r="D1049" s="14"/>
      <c r="E1049" s="14"/>
      <c r="G1049" s="1">
        <f>_xlfn.XLOOKUP(B1049,M_YT_LIVE!A:A,M_YT_LIVE!F:F,"ERROR",0,1)</f>
        <v>0</v>
      </c>
      <c r="W1049" s="13" t="e">
        <f t="shared" si="50"/>
        <v>#VALUE!</v>
      </c>
      <c r="X1049" s="12">
        <f>_xlfn.XLOOKUP($B1049,M_YT_LIVE!$A:$A,M_YT_LIVE!$D:$D)</f>
        <v>0</v>
      </c>
      <c r="Z1049" s="16" t="e">
        <f>HYPERLINK($X1049&amp;SUBSTITUTE(マスタ!$C$3,"XXXXX",$W1049))</f>
        <v>#VALUE!</v>
      </c>
      <c r="AA1049" s="12" t="str">
        <f t="shared" si="51"/>
        <v/>
      </c>
    </row>
    <row r="1050" spans="1:27" x14ac:dyDescent="0.4">
      <c r="A1050" s="14">
        <f t="shared" si="52"/>
        <v>1049</v>
      </c>
      <c r="B1050" s="14"/>
      <c r="C1050" s="18"/>
      <c r="D1050" s="14"/>
      <c r="E1050" s="14"/>
      <c r="G1050" s="1">
        <f>_xlfn.XLOOKUP(B1050,M_YT_LIVE!A:A,M_YT_LIVE!F:F,"ERROR",0,1)</f>
        <v>0</v>
      </c>
      <c r="W1050" s="13" t="e">
        <f t="shared" si="50"/>
        <v>#VALUE!</v>
      </c>
      <c r="X1050" s="12">
        <f>_xlfn.XLOOKUP($B1050,M_YT_LIVE!$A:$A,M_YT_LIVE!$D:$D)</f>
        <v>0</v>
      </c>
      <c r="Z1050" s="16" t="e">
        <f>HYPERLINK($X1050&amp;SUBSTITUTE(マスタ!$C$3,"XXXXX",$W1050))</f>
        <v>#VALUE!</v>
      </c>
      <c r="AA1050" s="12" t="str">
        <f t="shared" si="51"/>
        <v/>
      </c>
    </row>
    <row r="1051" spans="1:27" x14ac:dyDescent="0.4">
      <c r="A1051" s="14">
        <f t="shared" si="52"/>
        <v>1050</v>
      </c>
      <c r="B1051" s="14"/>
      <c r="C1051" s="18"/>
      <c r="D1051" s="14"/>
      <c r="E1051" s="14"/>
      <c r="G1051" s="1">
        <f>_xlfn.XLOOKUP(B1051,M_YT_LIVE!A:A,M_YT_LIVE!F:F,"ERROR",0,1)</f>
        <v>0</v>
      </c>
      <c r="W1051" s="13" t="e">
        <f t="shared" si="50"/>
        <v>#VALUE!</v>
      </c>
      <c r="X1051" s="12">
        <f>_xlfn.XLOOKUP($B1051,M_YT_LIVE!$A:$A,M_YT_LIVE!$D:$D)</f>
        <v>0</v>
      </c>
      <c r="Z1051" s="16" t="e">
        <f>HYPERLINK($X1051&amp;SUBSTITUTE(マスタ!$C$3,"XXXXX",$W1051))</f>
        <v>#VALUE!</v>
      </c>
      <c r="AA1051" s="12" t="str">
        <f t="shared" si="51"/>
        <v/>
      </c>
    </row>
    <row r="1052" spans="1:27" x14ac:dyDescent="0.4">
      <c r="A1052" s="14">
        <f t="shared" si="52"/>
        <v>1051</v>
      </c>
      <c r="B1052" s="14"/>
      <c r="C1052" s="18"/>
      <c r="D1052" s="14"/>
      <c r="E1052" s="14"/>
      <c r="G1052" s="1">
        <f>_xlfn.XLOOKUP(B1052,M_YT_LIVE!A:A,M_YT_LIVE!F:F,"ERROR",0,1)</f>
        <v>0</v>
      </c>
      <c r="W1052" s="13" t="e">
        <f t="shared" si="50"/>
        <v>#VALUE!</v>
      </c>
      <c r="X1052" s="12">
        <f>_xlfn.XLOOKUP($B1052,M_YT_LIVE!$A:$A,M_YT_LIVE!$D:$D)</f>
        <v>0</v>
      </c>
      <c r="Z1052" s="16" t="e">
        <f>HYPERLINK($X1052&amp;SUBSTITUTE(マスタ!$C$3,"XXXXX",$W1052))</f>
        <v>#VALUE!</v>
      </c>
      <c r="AA1052" s="12" t="str">
        <f t="shared" si="51"/>
        <v/>
      </c>
    </row>
    <row r="1053" spans="1:27" x14ac:dyDescent="0.4">
      <c r="A1053" s="14">
        <f t="shared" si="52"/>
        <v>1052</v>
      </c>
      <c r="B1053" s="14"/>
      <c r="C1053" s="18"/>
      <c r="D1053" s="14"/>
      <c r="E1053" s="14"/>
      <c r="G1053" s="1">
        <f>_xlfn.XLOOKUP(B1053,M_YT_LIVE!A:A,M_YT_LIVE!F:F,"ERROR",0,1)</f>
        <v>0</v>
      </c>
      <c r="W1053" s="13" t="e">
        <f t="shared" si="50"/>
        <v>#VALUE!</v>
      </c>
      <c r="X1053" s="12">
        <f>_xlfn.XLOOKUP($B1053,M_YT_LIVE!$A:$A,M_YT_LIVE!$D:$D)</f>
        <v>0</v>
      </c>
      <c r="Z1053" s="16" t="e">
        <f>HYPERLINK($X1053&amp;SUBSTITUTE(マスタ!$C$3,"XXXXX",$W1053))</f>
        <v>#VALUE!</v>
      </c>
      <c r="AA1053" s="12" t="str">
        <f t="shared" si="51"/>
        <v/>
      </c>
    </row>
    <row r="1054" spans="1:27" x14ac:dyDescent="0.4">
      <c r="A1054" s="14">
        <f t="shared" si="52"/>
        <v>1053</v>
      </c>
      <c r="B1054" s="14"/>
      <c r="C1054" s="18"/>
      <c r="D1054" s="14"/>
      <c r="E1054" s="14"/>
      <c r="G1054" s="1">
        <f>_xlfn.XLOOKUP(B1054,M_YT_LIVE!A:A,M_YT_LIVE!F:F,"ERROR",0,1)</f>
        <v>0</v>
      </c>
      <c r="W1054" s="13" t="e">
        <f t="shared" si="50"/>
        <v>#VALUE!</v>
      </c>
      <c r="X1054" s="12">
        <f>_xlfn.XLOOKUP($B1054,M_YT_LIVE!$A:$A,M_YT_LIVE!$D:$D)</f>
        <v>0</v>
      </c>
      <c r="Z1054" s="16" t="e">
        <f>HYPERLINK($X1054&amp;SUBSTITUTE(マスタ!$C$3,"XXXXX",$W1054))</f>
        <v>#VALUE!</v>
      </c>
      <c r="AA1054" s="12" t="str">
        <f t="shared" si="51"/>
        <v/>
      </c>
    </row>
    <row r="1055" spans="1:27" x14ac:dyDescent="0.4">
      <c r="A1055" s="14">
        <f t="shared" si="52"/>
        <v>1054</v>
      </c>
      <c r="B1055" s="14"/>
      <c r="C1055" s="18"/>
      <c r="D1055" s="14"/>
      <c r="E1055" s="14"/>
      <c r="G1055" s="1">
        <f>_xlfn.XLOOKUP(B1055,M_YT_LIVE!A:A,M_YT_LIVE!F:F,"ERROR",0,1)</f>
        <v>0</v>
      </c>
      <c r="W1055" s="13" t="e">
        <f t="shared" si="50"/>
        <v>#VALUE!</v>
      </c>
      <c r="X1055" s="12">
        <f>_xlfn.XLOOKUP($B1055,M_YT_LIVE!$A:$A,M_YT_LIVE!$D:$D)</f>
        <v>0</v>
      </c>
      <c r="Z1055" s="16" t="e">
        <f>HYPERLINK($X1055&amp;SUBSTITUTE(マスタ!$C$3,"XXXXX",$W1055))</f>
        <v>#VALUE!</v>
      </c>
      <c r="AA1055" s="12" t="str">
        <f t="shared" si="51"/>
        <v/>
      </c>
    </row>
    <row r="1056" spans="1:27" x14ac:dyDescent="0.4">
      <c r="A1056" s="14">
        <f t="shared" si="52"/>
        <v>1055</v>
      </c>
      <c r="B1056" s="14"/>
      <c r="C1056" s="18"/>
      <c r="D1056" s="14"/>
      <c r="E1056" s="14"/>
      <c r="G1056" s="1">
        <f>_xlfn.XLOOKUP(B1056,M_YT_LIVE!A:A,M_YT_LIVE!F:F,"ERROR",0,1)</f>
        <v>0</v>
      </c>
      <c r="W1056" s="13" t="e">
        <f t="shared" si="50"/>
        <v>#VALUE!</v>
      </c>
      <c r="X1056" s="12">
        <f>_xlfn.XLOOKUP($B1056,M_YT_LIVE!$A:$A,M_YT_LIVE!$D:$D)</f>
        <v>0</v>
      </c>
      <c r="Z1056" s="16" t="e">
        <f>HYPERLINK($X1056&amp;SUBSTITUTE(マスタ!$C$3,"XXXXX",$W1056))</f>
        <v>#VALUE!</v>
      </c>
      <c r="AA1056" s="12" t="str">
        <f t="shared" si="51"/>
        <v/>
      </c>
    </row>
    <row r="1057" spans="1:27" x14ac:dyDescent="0.4">
      <c r="A1057" s="14">
        <f t="shared" si="52"/>
        <v>1056</v>
      </c>
      <c r="B1057" s="14"/>
      <c r="C1057" s="18"/>
      <c r="D1057" s="14"/>
      <c r="E1057" s="14"/>
      <c r="G1057" s="1">
        <f>_xlfn.XLOOKUP(B1057,M_YT_LIVE!A:A,M_YT_LIVE!F:F,"ERROR",0,1)</f>
        <v>0</v>
      </c>
      <c r="W1057" s="13" t="e">
        <f t="shared" si="50"/>
        <v>#VALUE!</v>
      </c>
      <c r="X1057" s="12">
        <f>_xlfn.XLOOKUP($B1057,M_YT_LIVE!$A:$A,M_YT_LIVE!$D:$D)</f>
        <v>0</v>
      </c>
      <c r="Z1057" s="16" t="e">
        <f>HYPERLINK($X1057&amp;SUBSTITUTE(マスタ!$C$3,"XXXXX",$W1057))</f>
        <v>#VALUE!</v>
      </c>
      <c r="AA1057" s="12" t="str">
        <f t="shared" si="51"/>
        <v/>
      </c>
    </row>
    <row r="1058" spans="1:27" x14ac:dyDescent="0.4">
      <c r="A1058" s="14">
        <f t="shared" si="52"/>
        <v>1057</v>
      </c>
      <c r="B1058" s="14"/>
      <c r="C1058" s="18"/>
      <c r="D1058" s="14"/>
      <c r="E1058" s="14"/>
      <c r="G1058" s="1">
        <f>_xlfn.XLOOKUP(B1058,M_YT_LIVE!A:A,M_YT_LIVE!F:F,"ERROR",0,1)</f>
        <v>0</v>
      </c>
      <c r="W1058" s="13" t="e">
        <f t="shared" si="50"/>
        <v>#VALUE!</v>
      </c>
      <c r="X1058" s="12">
        <f>_xlfn.XLOOKUP($B1058,M_YT_LIVE!$A:$A,M_YT_LIVE!$D:$D)</f>
        <v>0</v>
      </c>
      <c r="Z1058" s="16" t="e">
        <f>HYPERLINK($X1058&amp;SUBSTITUTE(マスタ!$C$3,"XXXXX",$W1058))</f>
        <v>#VALUE!</v>
      </c>
      <c r="AA1058" s="12" t="str">
        <f t="shared" si="51"/>
        <v/>
      </c>
    </row>
    <row r="1059" spans="1:27" x14ac:dyDescent="0.4">
      <c r="A1059" s="14">
        <f t="shared" si="52"/>
        <v>1058</v>
      </c>
      <c r="B1059" s="14"/>
      <c r="C1059" s="18"/>
      <c r="D1059" s="14"/>
      <c r="E1059" s="14"/>
      <c r="G1059" s="1">
        <f>_xlfn.XLOOKUP(B1059,M_YT_LIVE!A:A,M_YT_LIVE!F:F,"ERROR",0,1)</f>
        <v>0</v>
      </c>
      <c r="W1059" s="13" t="e">
        <f t="shared" si="50"/>
        <v>#VALUE!</v>
      </c>
      <c r="X1059" s="12">
        <f>_xlfn.XLOOKUP($B1059,M_YT_LIVE!$A:$A,M_YT_LIVE!$D:$D)</f>
        <v>0</v>
      </c>
      <c r="Z1059" s="16" t="e">
        <f>HYPERLINK($X1059&amp;SUBSTITUTE(マスタ!$C$3,"XXXXX",$W1059))</f>
        <v>#VALUE!</v>
      </c>
      <c r="AA1059" s="12" t="str">
        <f t="shared" si="51"/>
        <v/>
      </c>
    </row>
    <row r="1060" spans="1:27" x14ac:dyDescent="0.4">
      <c r="A1060" s="14">
        <f t="shared" si="52"/>
        <v>1059</v>
      </c>
      <c r="B1060" s="14"/>
      <c r="C1060" s="18"/>
      <c r="D1060" s="14"/>
      <c r="E1060" s="14"/>
      <c r="G1060" s="1">
        <f>_xlfn.XLOOKUP(B1060,M_YT_LIVE!A:A,M_YT_LIVE!F:F,"ERROR",0,1)</f>
        <v>0</v>
      </c>
      <c r="W1060" s="13" t="e">
        <f t="shared" si="50"/>
        <v>#VALUE!</v>
      </c>
      <c r="X1060" s="12">
        <f>_xlfn.XLOOKUP($B1060,M_YT_LIVE!$A:$A,M_YT_LIVE!$D:$D)</f>
        <v>0</v>
      </c>
      <c r="Z1060" s="16" t="e">
        <f>HYPERLINK($X1060&amp;SUBSTITUTE(マスタ!$C$3,"XXXXX",$W1060))</f>
        <v>#VALUE!</v>
      </c>
      <c r="AA1060" s="12" t="str">
        <f t="shared" si="51"/>
        <v/>
      </c>
    </row>
    <row r="1061" spans="1:27" x14ac:dyDescent="0.4">
      <c r="A1061" s="14">
        <f t="shared" si="52"/>
        <v>1060</v>
      </c>
      <c r="B1061" s="14"/>
      <c r="C1061" s="18"/>
      <c r="D1061" s="14"/>
      <c r="E1061" s="14"/>
      <c r="G1061" s="1">
        <f>_xlfn.XLOOKUP(B1061,M_YT_LIVE!A:A,M_YT_LIVE!F:F,"ERROR",0,1)</f>
        <v>0</v>
      </c>
      <c r="W1061" s="13" t="e">
        <f t="shared" si="50"/>
        <v>#VALUE!</v>
      </c>
      <c r="X1061" s="12">
        <f>_xlfn.XLOOKUP($B1061,M_YT_LIVE!$A:$A,M_YT_LIVE!$D:$D)</f>
        <v>0</v>
      </c>
      <c r="Z1061" s="16" t="e">
        <f>HYPERLINK($X1061&amp;SUBSTITUTE(マスタ!$C$3,"XXXXX",$W1061))</f>
        <v>#VALUE!</v>
      </c>
      <c r="AA1061" s="12" t="str">
        <f t="shared" si="51"/>
        <v/>
      </c>
    </row>
    <row r="1062" spans="1:27" x14ac:dyDescent="0.4">
      <c r="A1062" s="14">
        <f t="shared" si="52"/>
        <v>1061</v>
      </c>
      <c r="B1062" s="14"/>
      <c r="C1062" s="18"/>
      <c r="D1062" s="14"/>
      <c r="E1062" s="14"/>
      <c r="G1062" s="1">
        <f>_xlfn.XLOOKUP(B1062,M_YT_LIVE!A:A,M_YT_LIVE!F:F,"ERROR",0,1)</f>
        <v>0</v>
      </c>
      <c r="W1062" s="13" t="e">
        <f t="shared" si="50"/>
        <v>#VALUE!</v>
      </c>
      <c r="X1062" s="12">
        <f>_xlfn.XLOOKUP($B1062,M_YT_LIVE!$A:$A,M_YT_LIVE!$D:$D)</f>
        <v>0</v>
      </c>
      <c r="Z1062" s="16" t="e">
        <f>HYPERLINK($X1062&amp;SUBSTITUTE(マスタ!$C$3,"XXXXX",$W1062))</f>
        <v>#VALUE!</v>
      </c>
      <c r="AA1062" s="12" t="str">
        <f t="shared" si="51"/>
        <v/>
      </c>
    </row>
    <row r="1063" spans="1:27" x14ac:dyDescent="0.4">
      <c r="A1063" s="14">
        <f t="shared" si="52"/>
        <v>1062</v>
      </c>
      <c r="B1063" s="14"/>
      <c r="C1063" s="18"/>
      <c r="D1063" s="14"/>
      <c r="E1063" s="14"/>
      <c r="G1063" s="1">
        <f>_xlfn.XLOOKUP(B1063,M_YT_LIVE!A:A,M_YT_LIVE!F:F,"ERROR",0,1)</f>
        <v>0</v>
      </c>
      <c r="W1063" s="13" t="e">
        <f t="shared" si="50"/>
        <v>#VALUE!</v>
      </c>
      <c r="X1063" s="12">
        <f>_xlfn.XLOOKUP($B1063,M_YT_LIVE!$A:$A,M_YT_LIVE!$D:$D)</f>
        <v>0</v>
      </c>
      <c r="Z1063" s="16" t="e">
        <f>HYPERLINK($X1063&amp;SUBSTITUTE(マスタ!$C$3,"XXXXX",$W1063))</f>
        <v>#VALUE!</v>
      </c>
      <c r="AA1063" s="12" t="str">
        <f t="shared" si="51"/>
        <v/>
      </c>
    </row>
    <row r="1064" spans="1:27" x14ac:dyDescent="0.4">
      <c r="A1064" s="14">
        <f t="shared" si="52"/>
        <v>1063</v>
      </c>
      <c r="B1064" s="14"/>
      <c r="C1064" s="18"/>
      <c r="D1064" s="14"/>
      <c r="E1064" s="14"/>
      <c r="G1064" s="1">
        <f>_xlfn.XLOOKUP(B1064,M_YT_LIVE!A:A,M_YT_LIVE!F:F,"ERROR",0,1)</f>
        <v>0</v>
      </c>
      <c r="W1064" s="13" t="e">
        <f t="shared" si="50"/>
        <v>#VALUE!</v>
      </c>
      <c r="X1064" s="12">
        <f>_xlfn.XLOOKUP($B1064,M_YT_LIVE!$A:$A,M_YT_LIVE!$D:$D)</f>
        <v>0</v>
      </c>
      <c r="Z1064" s="16" t="e">
        <f>HYPERLINK($X1064&amp;SUBSTITUTE(マスタ!$C$3,"XXXXX",$W1064))</f>
        <v>#VALUE!</v>
      </c>
      <c r="AA1064" s="12" t="str">
        <f t="shared" si="51"/>
        <v/>
      </c>
    </row>
    <row r="1065" spans="1:27" x14ac:dyDescent="0.4">
      <c r="A1065" s="14">
        <f t="shared" si="52"/>
        <v>1064</v>
      </c>
      <c r="B1065" s="14"/>
      <c r="C1065" s="18"/>
      <c r="D1065" s="14"/>
      <c r="E1065" s="14"/>
      <c r="G1065" s="1">
        <f>_xlfn.XLOOKUP(B1065,M_YT_LIVE!A:A,M_YT_LIVE!F:F,"ERROR",0,1)</f>
        <v>0</v>
      </c>
      <c r="W1065" s="13" t="e">
        <f t="shared" si="50"/>
        <v>#VALUE!</v>
      </c>
      <c r="X1065" s="12">
        <f>_xlfn.XLOOKUP($B1065,M_YT_LIVE!$A:$A,M_YT_LIVE!$D:$D)</f>
        <v>0</v>
      </c>
      <c r="Z1065" s="16" t="e">
        <f>HYPERLINK($X1065&amp;SUBSTITUTE(マスタ!$C$3,"XXXXX",$W1065))</f>
        <v>#VALUE!</v>
      </c>
      <c r="AA1065" s="12" t="str">
        <f t="shared" si="51"/>
        <v/>
      </c>
    </row>
    <row r="1066" spans="1:27" x14ac:dyDescent="0.4">
      <c r="A1066" s="14">
        <f t="shared" si="52"/>
        <v>1065</v>
      </c>
      <c r="B1066" s="14"/>
      <c r="C1066" s="18"/>
      <c r="D1066" s="14"/>
      <c r="E1066" s="14"/>
      <c r="G1066" s="1">
        <f>_xlfn.XLOOKUP(B1066,M_YT_LIVE!A:A,M_YT_LIVE!F:F,"ERROR",0,1)</f>
        <v>0</v>
      </c>
      <c r="W1066" s="13" t="e">
        <f t="shared" si="50"/>
        <v>#VALUE!</v>
      </c>
      <c r="X1066" s="12">
        <f>_xlfn.XLOOKUP($B1066,M_YT_LIVE!$A:$A,M_YT_LIVE!$D:$D)</f>
        <v>0</v>
      </c>
      <c r="Z1066" s="16" t="e">
        <f>HYPERLINK($X1066&amp;SUBSTITUTE(マスタ!$C$3,"XXXXX",$W1066))</f>
        <v>#VALUE!</v>
      </c>
      <c r="AA1066" s="12" t="str">
        <f t="shared" si="51"/>
        <v/>
      </c>
    </row>
    <row r="1067" spans="1:27" x14ac:dyDescent="0.4">
      <c r="A1067" s="14">
        <f t="shared" si="52"/>
        <v>1066</v>
      </c>
      <c r="B1067" s="14"/>
      <c r="C1067" s="18"/>
      <c r="D1067" s="14"/>
      <c r="E1067" s="14"/>
      <c r="G1067" s="1">
        <f>_xlfn.XLOOKUP(B1067,M_YT_LIVE!A:A,M_YT_LIVE!F:F,"ERROR",0,1)</f>
        <v>0</v>
      </c>
      <c r="W1067" s="13" t="e">
        <f t="shared" si="50"/>
        <v>#VALUE!</v>
      </c>
      <c r="X1067" s="12">
        <f>_xlfn.XLOOKUP($B1067,M_YT_LIVE!$A:$A,M_YT_LIVE!$D:$D)</f>
        <v>0</v>
      </c>
      <c r="Z1067" s="16" t="e">
        <f>HYPERLINK($X1067&amp;SUBSTITUTE(マスタ!$C$3,"XXXXX",$W1067))</f>
        <v>#VALUE!</v>
      </c>
      <c r="AA1067" s="12" t="str">
        <f t="shared" si="51"/>
        <v/>
      </c>
    </row>
    <row r="1068" spans="1:27" x14ac:dyDescent="0.4">
      <c r="A1068" s="14">
        <f t="shared" si="52"/>
        <v>1067</v>
      </c>
      <c r="B1068" s="14"/>
      <c r="C1068" s="18"/>
      <c r="D1068" s="14"/>
      <c r="E1068" s="14"/>
      <c r="G1068" s="1">
        <f>_xlfn.XLOOKUP(B1068,M_YT_LIVE!A:A,M_YT_LIVE!F:F,"ERROR",0,1)</f>
        <v>0</v>
      </c>
      <c r="W1068" s="13" t="e">
        <f t="shared" si="50"/>
        <v>#VALUE!</v>
      </c>
      <c r="X1068" s="12">
        <f>_xlfn.XLOOKUP($B1068,M_YT_LIVE!$A:$A,M_YT_LIVE!$D:$D)</f>
        <v>0</v>
      </c>
      <c r="Z1068" s="16" t="e">
        <f>HYPERLINK($X1068&amp;SUBSTITUTE(マスタ!$C$3,"XXXXX",$W1068))</f>
        <v>#VALUE!</v>
      </c>
      <c r="AA1068" s="12" t="str">
        <f t="shared" si="51"/>
        <v/>
      </c>
    </row>
    <row r="1069" spans="1:27" x14ac:dyDescent="0.4">
      <c r="A1069" s="14">
        <f t="shared" si="52"/>
        <v>1068</v>
      </c>
      <c r="B1069" s="14"/>
      <c r="C1069" s="18"/>
      <c r="D1069" s="14"/>
      <c r="E1069" s="14"/>
      <c r="G1069" s="1">
        <f>_xlfn.XLOOKUP(B1069,M_YT_LIVE!A:A,M_YT_LIVE!F:F,"ERROR",0,1)</f>
        <v>0</v>
      </c>
      <c r="W1069" s="13" t="e">
        <f t="shared" si="50"/>
        <v>#VALUE!</v>
      </c>
      <c r="X1069" s="12">
        <f>_xlfn.XLOOKUP($B1069,M_YT_LIVE!$A:$A,M_YT_LIVE!$D:$D)</f>
        <v>0</v>
      </c>
      <c r="Z1069" s="16" t="e">
        <f>HYPERLINK($X1069&amp;SUBSTITUTE(マスタ!$C$3,"XXXXX",$W1069))</f>
        <v>#VALUE!</v>
      </c>
      <c r="AA1069" s="12" t="str">
        <f t="shared" si="51"/>
        <v/>
      </c>
    </row>
    <row r="1070" spans="1:27" x14ac:dyDescent="0.4">
      <c r="A1070" s="14">
        <f t="shared" si="52"/>
        <v>1069</v>
      </c>
      <c r="B1070" s="14"/>
      <c r="C1070" s="18"/>
      <c r="D1070" s="14"/>
      <c r="E1070" s="14"/>
      <c r="G1070" s="1">
        <f>_xlfn.XLOOKUP(B1070,M_YT_LIVE!A:A,M_YT_LIVE!F:F,"ERROR",0,1)</f>
        <v>0</v>
      </c>
      <c r="W1070" s="13" t="e">
        <f t="shared" si="50"/>
        <v>#VALUE!</v>
      </c>
      <c r="X1070" s="12">
        <f>_xlfn.XLOOKUP($B1070,M_YT_LIVE!$A:$A,M_YT_LIVE!$D:$D)</f>
        <v>0</v>
      </c>
      <c r="Z1070" s="16" t="e">
        <f>HYPERLINK($X1070&amp;SUBSTITUTE(マスタ!$C$3,"XXXXX",$W1070))</f>
        <v>#VALUE!</v>
      </c>
      <c r="AA1070" s="12" t="str">
        <f t="shared" si="51"/>
        <v/>
      </c>
    </row>
    <row r="1071" spans="1:27" x14ac:dyDescent="0.4">
      <c r="A1071" s="14">
        <f t="shared" si="52"/>
        <v>1070</v>
      </c>
      <c r="B1071" s="14"/>
      <c r="C1071" s="18"/>
      <c r="D1071" s="14"/>
      <c r="E1071" s="14"/>
      <c r="G1071" s="1">
        <f>_xlfn.XLOOKUP(B1071,M_YT_LIVE!A:A,M_YT_LIVE!F:F,"ERROR",0,1)</f>
        <v>0</v>
      </c>
      <c r="W1071" s="13" t="e">
        <f t="shared" si="50"/>
        <v>#VALUE!</v>
      </c>
      <c r="X1071" s="12">
        <f>_xlfn.XLOOKUP($B1071,M_YT_LIVE!$A:$A,M_YT_LIVE!$D:$D)</f>
        <v>0</v>
      </c>
      <c r="Z1071" s="16" t="e">
        <f>HYPERLINK($X1071&amp;SUBSTITUTE(マスタ!$C$3,"XXXXX",$W1071))</f>
        <v>#VALUE!</v>
      </c>
      <c r="AA1071" s="12" t="str">
        <f t="shared" si="51"/>
        <v/>
      </c>
    </row>
    <row r="1072" spans="1:27" x14ac:dyDescent="0.4">
      <c r="A1072" s="14">
        <f t="shared" si="52"/>
        <v>1071</v>
      </c>
      <c r="B1072" s="14"/>
      <c r="C1072" s="18"/>
      <c r="D1072" s="14"/>
      <c r="E1072" s="14"/>
      <c r="G1072" s="1">
        <f>_xlfn.XLOOKUP(B1072,M_YT_LIVE!A:A,M_YT_LIVE!F:F,"ERROR",0,1)</f>
        <v>0</v>
      </c>
      <c r="W1072" s="13" t="e">
        <f t="shared" si="50"/>
        <v>#VALUE!</v>
      </c>
      <c r="X1072" s="12">
        <f>_xlfn.XLOOKUP($B1072,M_YT_LIVE!$A:$A,M_YT_LIVE!$D:$D)</f>
        <v>0</v>
      </c>
      <c r="Z1072" s="16" t="e">
        <f>HYPERLINK($X1072&amp;SUBSTITUTE(マスタ!$C$3,"XXXXX",$W1072))</f>
        <v>#VALUE!</v>
      </c>
      <c r="AA1072" s="12" t="str">
        <f t="shared" si="51"/>
        <v/>
      </c>
    </row>
    <row r="1073" spans="1:27" x14ac:dyDescent="0.4">
      <c r="A1073" s="14">
        <f t="shared" si="52"/>
        <v>1072</v>
      </c>
      <c r="B1073" s="14"/>
      <c r="C1073" s="18"/>
      <c r="D1073" s="14"/>
      <c r="E1073" s="14"/>
      <c r="G1073" s="1">
        <f>_xlfn.XLOOKUP(B1073,M_YT_LIVE!A:A,M_YT_LIVE!F:F,"ERROR",0,1)</f>
        <v>0</v>
      </c>
      <c r="W1073" s="13" t="e">
        <f t="shared" si="50"/>
        <v>#VALUE!</v>
      </c>
      <c r="X1073" s="12">
        <f>_xlfn.XLOOKUP($B1073,M_YT_LIVE!$A:$A,M_YT_LIVE!$D:$D)</f>
        <v>0</v>
      </c>
      <c r="Z1073" s="16" t="e">
        <f>HYPERLINK($X1073&amp;SUBSTITUTE(マスタ!$C$3,"XXXXX",$W1073))</f>
        <v>#VALUE!</v>
      </c>
      <c r="AA1073" s="12" t="str">
        <f t="shared" si="51"/>
        <v/>
      </c>
    </row>
    <row r="1074" spans="1:27" x14ac:dyDescent="0.4">
      <c r="A1074" s="14">
        <f t="shared" si="52"/>
        <v>1073</v>
      </c>
      <c r="B1074" s="14"/>
      <c r="C1074" s="18"/>
      <c r="D1074" s="14"/>
      <c r="E1074" s="14"/>
      <c r="G1074" s="1">
        <f>_xlfn.XLOOKUP(B1074,M_YT_LIVE!A:A,M_YT_LIVE!F:F,"ERROR",0,1)</f>
        <v>0</v>
      </c>
      <c r="W1074" s="13" t="e">
        <f t="shared" si="50"/>
        <v>#VALUE!</v>
      </c>
      <c r="X1074" s="12">
        <f>_xlfn.XLOOKUP($B1074,M_YT_LIVE!$A:$A,M_YT_LIVE!$D:$D)</f>
        <v>0</v>
      </c>
      <c r="Z1074" s="16" t="e">
        <f>HYPERLINK($X1074&amp;SUBSTITUTE(マスタ!$C$3,"XXXXX",$W1074))</f>
        <v>#VALUE!</v>
      </c>
      <c r="AA1074" s="12" t="str">
        <f t="shared" si="51"/>
        <v/>
      </c>
    </row>
    <row r="1075" spans="1:27" x14ac:dyDescent="0.4">
      <c r="A1075" s="14">
        <f t="shared" si="52"/>
        <v>1074</v>
      </c>
      <c r="B1075" s="14"/>
      <c r="C1075" s="18"/>
      <c r="D1075" s="14"/>
      <c r="E1075" s="14"/>
      <c r="G1075" s="1">
        <f>_xlfn.XLOOKUP(B1075,M_YT_LIVE!A:A,M_YT_LIVE!F:F,"ERROR",0,1)</f>
        <v>0</v>
      </c>
      <c r="W1075" s="13" t="e">
        <f t="shared" si="50"/>
        <v>#VALUE!</v>
      </c>
      <c r="X1075" s="12">
        <f>_xlfn.XLOOKUP($B1075,M_YT_LIVE!$A:$A,M_YT_LIVE!$D:$D)</f>
        <v>0</v>
      </c>
      <c r="Z1075" s="16" t="e">
        <f>HYPERLINK($X1075&amp;SUBSTITUTE(マスタ!$C$3,"XXXXX",$W1075))</f>
        <v>#VALUE!</v>
      </c>
      <c r="AA1075" s="12" t="str">
        <f t="shared" si="51"/>
        <v/>
      </c>
    </row>
    <row r="1076" spans="1:27" x14ac:dyDescent="0.4">
      <c r="A1076" s="14">
        <f t="shared" si="52"/>
        <v>1075</v>
      </c>
      <c r="B1076" s="14"/>
      <c r="C1076" s="18"/>
      <c r="D1076" s="14"/>
      <c r="E1076" s="14"/>
      <c r="G1076" s="1">
        <f>_xlfn.XLOOKUP(B1076,M_YT_LIVE!A:A,M_YT_LIVE!F:F,"ERROR",0,1)</f>
        <v>0</v>
      </c>
      <c r="W1076" s="13" t="e">
        <f t="shared" si="50"/>
        <v>#VALUE!</v>
      </c>
      <c r="X1076" s="12">
        <f>_xlfn.XLOOKUP($B1076,M_YT_LIVE!$A:$A,M_YT_LIVE!$D:$D)</f>
        <v>0</v>
      </c>
      <c r="Z1076" s="16" t="e">
        <f>HYPERLINK($X1076&amp;SUBSTITUTE(マスタ!$C$3,"XXXXX",$W1076))</f>
        <v>#VALUE!</v>
      </c>
      <c r="AA1076" s="12" t="str">
        <f t="shared" si="51"/>
        <v/>
      </c>
    </row>
    <row r="1077" spans="1:27" x14ac:dyDescent="0.4">
      <c r="A1077" s="14">
        <f t="shared" si="52"/>
        <v>1076</v>
      </c>
      <c r="B1077" s="14"/>
      <c r="C1077" s="18"/>
      <c r="D1077" s="14"/>
      <c r="E1077" s="14"/>
      <c r="G1077" s="1">
        <f>_xlfn.XLOOKUP(B1077,M_YT_LIVE!A:A,M_YT_LIVE!F:F,"ERROR",0,1)</f>
        <v>0</v>
      </c>
      <c r="W1077" s="13" t="e">
        <f t="shared" si="50"/>
        <v>#VALUE!</v>
      </c>
      <c r="X1077" s="12">
        <f>_xlfn.XLOOKUP($B1077,M_YT_LIVE!$A:$A,M_YT_LIVE!$D:$D)</f>
        <v>0</v>
      </c>
      <c r="Z1077" s="16" t="e">
        <f>HYPERLINK($X1077&amp;SUBSTITUTE(マスタ!$C$3,"XXXXX",$W1077))</f>
        <v>#VALUE!</v>
      </c>
      <c r="AA1077" s="12" t="str">
        <f t="shared" si="51"/>
        <v/>
      </c>
    </row>
    <row r="1078" spans="1:27" x14ac:dyDescent="0.4">
      <c r="A1078" s="14">
        <f t="shared" si="52"/>
        <v>1077</v>
      </c>
      <c r="B1078" s="14"/>
      <c r="C1078" s="18"/>
      <c r="D1078" s="14"/>
      <c r="E1078" s="14"/>
      <c r="G1078" s="1">
        <f>_xlfn.XLOOKUP(B1078,M_YT_LIVE!A:A,M_YT_LIVE!F:F,"ERROR",0,1)</f>
        <v>0</v>
      </c>
      <c r="W1078" s="13" t="e">
        <f t="shared" si="50"/>
        <v>#VALUE!</v>
      </c>
      <c r="X1078" s="12">
        <f>_xlfn.XLOOKUP($B1078,M_YT_LIVE!$A:$A,M_YT_LIVE!$D:$D)</f>
        <v>0</v>
      </c>
      <c r="Z1078" s="16" t="e">
        <f>HYPERLINK($X1078&amp;SUBSTITUTE(マスタ!$C$3,"XXXXX",$W1078))</f>
        <v>#VALUE!</v>
      </c>
      <c r="AA1078" s="12" t="str">
        <f t="shared" si="51"/>
        <v/>
      </c>
    </row>
    <row r="1079" spans="1:27" x14ac:dyDescent="0.4">
      <c r="A1079" s="14">
        <f t="shared" si="52"/>
        <v>1078</v>
      </c>
      <c r="B1079" s="14"/>
      <c r="C1079" s="18"/>
      <c r="D1079" s="14"/>
      <c r="E1079" s="14"/>
      <c r="G1079" s="1">
        <f>_xlfn.XLOOKUP(B1079,M_YT_LIVE!A:A,M_YT_LIVE!F:F,"ERROR",0,1)</f>
        <v>0</v>
      </c>
      <c r="W1079" s="13" t="e">
        <f t="shared" si="50"/>
        <v>#VALUE!</v>
      </c>
      <c r="X1079" s="12">
        <f>_xlfn.XLOOKUP($B1079,M_YT_LIVE!$A:$A,M_YT_LIVE!$D:$D)</f>
        <v>0</v>
      </c>
      <c r="Z1079" s="16" t="e">
        <f>HYPERLINK($X1079&amp;SUBSTITUTE(マスタ!$C$3,"XXXXX",$W1079))</f>
        <v>#VALUE!</v>
      </c>
      <c r="AA1079" s="12" t="str">
        <f t="shared" si="51"/>
        <v/>
      </c>
    </row>
    <row r="1080" spans="1:27" x14ac:dyDescent="0.4">
      <c r="A1080" s="14">
        <f t="shared" si="52"/>
        <v>1079</v>
      </c>
      <c r="B1080" s="14"/>
      <c r="C1080" s="18"/>
      <c r="D1080" s="14"/>
      <c r="E1080" s="14"/>
      <c r="G1080" s="1">
        <f>_xlfn.XLOOKUP(B1080,M_YT_LIVE!A:A,M_YT_LIVE!F:F,"ERROR",0,1)</f>
        <v>0</v>
      </c>
      <c r="W1080" s="13" t="e">
        <f t="shared" si="50"/>
        <v>#VALUE!</v>
      </c>
      <c r="X1080" s="12">
        <f>_xlfn.XLOOKUP($B1080,M_YT_LIVE!$A:$A,M_YT_LIVE!$D:$D)</f>
        <v>0</v>
      </c>
      <c r="Z1080" s="16" t="e">
        <f>HYPERLINK($X1080&amp;SUBSTITUTE(マスタ!$C$3,"XXXXX",$W1080))</f>
        <v>#VALUE!</v>
      </c>
      <c r="AA1080" s="12" t="str">
        <f t="shared" si="51"/>
        <v/>
      </c>
    </row>
    <row r="1081" spans="1:27" x14ac:dyDescent="0.4">
      <c r="A1081" s="14">
        <f t="shared" si="52"/>
        <v>1080</v>
      </c>
      <c r="B1081" s="14"/>
      <c r="C1081" s="18"/>
      <c r="D1081" s="14"/>
      <c r="E1081" s="14"/>
      <c r="G1081" s="1">
        <f>_xlfn.XLOOKUP(B1081,M_YT_LIVE!A:A,M_YT_LIVE!F:F,"ERROR",0,1)</f>
        <v>0</v>
      </c>
      <c r="W1081" s="13" t="e">
        <f t="shared" si="50"/>
        <v>#VALUE!</v>
      </c>
      <c r="X1081" s="12">
        <f>_xlfn.XLOOKUP($B1081,M_YT_LIVE!$A:$A,M_YT_LIVE!$D:$D)</f>
        <v>0</v>
      </c>
      <c r="Z1081" s="16" t="e">
        <f>HYPERLINK($X1081&amp;SUBSTITUTE(マスタ!$C$3,"XXXXX",$W1081))</f>
        <v>#VALUE!</v>
      </c>
      <c r="AA1081" s="12" t="str">
        <f t="shared" si="51"/>
        <v/>
      </c>
    </row>
    <row r="1082" spans="1:27" x14ac:dyDescent="0.4">
      <c r="A1082" s="14">
        <f t="shared" si="52"/>
        <v>1081</v>
      </c>
      <c r="B1082" s="14"/>
      <c r="C1082" s="18"/>
      <c r="D1082" s="14"/>
      <c r="E1082" s="14"/>
      <c r="G1082" s="1">
        <f>_xlfn.XLOOKUP(B1082,M_YT_LIVE!A:A,M_YT_LIVE!F:F,"ERROR",0,1)</f>
        <v>0</v>
      </c>
      <c r="W1082" s="13" t="e">
        <f t="shared" si="50"/>
        <v>#VALUE!</v>
      </c>
      <c r="X1082" s="12">
        <f>_xlfn.XLOOKUP($B1082,M_YT_LIVE!$A:$A,M_YT_LIVE!$D:$D)</f>
        <v>0</v>
      </c>
      <c r="Z1082" s="16" t="e">
        <f>HYPERLINK($X1082&amp;SUBSTITUTE(マスタ!$C$3,"XXXXX",$W1082))</f>
        <v>#VALUE!</v>
      </c>
      <c r="AA1082" s="12" t="str">
        <f t="shared" si="51"/>
        <v/>
      </c>
    </row>
    <row r="1083" spans="1:27" x14ac:dyDescent="0.4">
      <c r="A1083" s="14">
        <f t="shared" si="52"/>
        <v>1082</v>
      </c>
      <c r="B1083" s="14"/>
      <c r="C1083" s="18"/>
      <c r="D1083" s="14"/>
      <c r="E1083" s="14"/>
      <c r="G1083" s="1">
        <f>_xlfn.XLOOKUP(B1083,M_YT_LIVE!A:A,M_YT_LIVE!F:F,"ERROR",0,1)</f>
        <v>0</v>
      </c>
      <c r="W1083" s="13" t="e">
        <f t="shared" si="50"/>
        <v>#VALUE!</v>
      </c>
      <c r="X1083" s="12">
        <f>_xlfn.XLOOKUP($B1083,M_YT_LIVE!$A:$A,M_YT_LIVE!$D:$D)</f>
        <v>0</v>
      </c>
      <c r="Z1083" s="16" t="e">
        <f>HYPERLINK($X1083&amp;SUBSTITUTE(マスタ!$C$3,"XXXXX",$W1083))</f>
        <v>#VALUE!</v>
      </c>
      <c r="AA1083" s="12" t="str">
        <f t="shared" si="51"/>
        <v/>
      </c>
    </row>
    <row r="1084" spans="1:27" x14ac:dyDescent="0.4">
      <c r="A1084" s="14">
        <f t="shared" si="52"/>
        <v>1083</v>
      </c>
      <c r="B1084" s="14"/>
      <c r="C1084" s="18"/>
      <c r="D1084" s="14"/>
      <c r="E1084" s="14"/>
      <c r="G1084" s="1">
        <f>_xlfn.XLOOKUP(B1084,M_YT_LIVE!A:A,M_YT_LIVE!F:F,"ERROR",0,1)</f>
        <v>0</v>
      </c>
      <c r="W1084" s="13" t="e">
        <f t="shared" si="50"/>
        <v>#VALUE!</v>
      </c>
      <c r="X1084" s="12">
        <f>_xlfn.XLOOKUP($B1084,M_YT_LIVE!$A:$A,M_YT_LIVE!$D:$D)</f>
        <v>0</v>
      </c>
      <c r="Z1084" s="16" t="e">
        <f>HYPERLINK($X1084&amp;SUBSTITUTE(マスタ!$C$3,"XXXXX",$W1084))</f>
        <v>#VALUE!</v>
      </c>
      <c r="AA1084" s="12" t="str">
        <f t="shared" si="51"/>
        <v/>
      </c>
    </row>
    <row r="1085" spans="1:27" x14ac:dyDescent="0.4">
      <c r="A1085" s="14">
        <f t="shared" si="52"/>
        <v>1084</v>
      </c>
      <c r="B1085" s="14"/>
      <c r="C1085" s="18"/>
      <c r="D1085" s="14"/>
      <c r="E1085" s="14"/>
      <c r="G1085" s="1">
        <f>_xlfn.XLOOKUP(B1085,M_YT_LIVE!A:A,M_YT_LIVE!F:F,"ERROR",0,1)</f>
        <v>0</v>
      </c>
      <c r="W1085" s="13" t="e">
        <f t="shared" si="50"/>
        <v>#VALUE!</v>
      </c>
      <c r="X1085" s="12">
        <f>_xlfn.XLOOKUP($B1085,M_YT_LIVE!$A:$A,M_YT_LIVE!$D:$D)</f>
        <v>0</v>
      </c>
      <c r="Z1085" s="16" t="e">
        <f>HYPERLINK($X1085&amp;SUBSTITUTE(マスタ!$C$3,"XXXXX",$W1085))</f>
        <v>#VALUE!</v>
      </c>
      <c r="AA1085" s="12" t="str">
        <f t="shared" si="51"/>
        <v/>
      </c>
    </row>
    <row r="1086" spans="1:27" x14ac:dyDescent="0.4">
      <c r="A1086" s="14">
        <f t="shared" si="52"/>
        <v>1085</v>
      </c>
      <c r="B1086" s="14"/>
      <c r="C1086" s="18"/>
      <c r="D1086" s="14"/>
      <c r="E1086" s="14"/>
      <c r="G1086" s="1">
        <f>_xlfn.XLOOKUP(B1086,M_YT_LIVE!A:A,M_YT_LIVE!F:F,"ERROR",0,1)</f>
        <v>0</v>
      </c>
      <c r="W1086" s="13" t="e">
        <f t="shared" si="50"/>
        <v>#VALUE!</v>
      </c>
      <c r="X1086" s="12">
        <f>_xlfn.XLOOKUP($B1086,M_YT_LIVE!$A:$A,M_YT_LIVE!$D:$D)</f>
        <v>0</v>
      </c>
      <c r="Z1086" s="16" t="e">
        <f>HYPERLINK($X1086&amp;SUBSTITUTE(マスタ!$C$3,"XXXXX",$W1086))</f>
        <v>#VALUE!</v>
      </c>
      <c r="AA1086" s="12" t="str">
        <f t="shared" si="51"/>
        <v/>
      </c>
    </row>
    <row r="1087" spans="1:27" x14ac:dyDescent="0.4">
      <c r="A1087" s="14">
        <f t="shared" si="52"/>
        <v>1086</v>
      </c>
      <c r="B1087" s="14"/>
      <c r="C1087" s="18"/>
      <c r="D1087" s="14"/>
      <c r="E1087" s="14"/>
      <c r="G1087" s="1">
        <f>_xlfn.XLOOKUP(B1087,M_YT_LIVE!A:A,M_YT_LIVE!F:F,"ERROR",0,1)</f>
        <v>0</v>
      </c>
      <c r="W1087" s="13" t="e">
        <f t="shared" si="50"/>
        <v>#VALUE!</v>
      </c>
      <c r="X1087" s="12">
        <f>_xlfn.XLOOKUP($B1087,M_YT_LIVE!$A:$A,M_YT_LIVE!$D:$D)</f>
        <v>0</v>
      </c>
      <c r="Z1087" s="16" t="e">
        <f>HYPERLINK($X1087&amp;SUBSTITUTE(マスタ!$C$3,"XXXXX",$W1087))</f>
        <v>#VALUE!</v>
      </c>
      <c r="AA1087" s="12" t="str">
        <f t="shared" si="51"/>
        <v/>
      </c>
    </row>
    <row r="1088" spans="1:27" x14ac:dyDescent="0.4">
      <c r="A1088" s="14">
        <f t="shared" si="52"/>
        <v>1087</v>
      </c>
      <c r="B1088" s="14"/>
      <c r="C1088" s="18"/>
      <c r="D1088" s="14"/>
      <c r="E1088" s="14"/>
      <c r="G1088" s="1">
        <f>_xlfn.XLOOKUP(B1088,M_YT_LIVE!A:A,M_YT_LIVE!F:F,"ERROR",0,1)</f>
        <v>0</v>
      </c>
      <c r="W1088" s="13" t="e">
        <f t="shared" si="50"/>
        <v>#VALUE!</v>
      </c>
      <c r="X1088" s="12">
        <f>_xlfn.XLOOKUP($B1088,M_YT_LIVE!$A:$A,M_YT_LIVE!$D:$D)</f>
        <v>0</v>
      </c>
      <c r="Z1088" s="16" t="e">
        <f>HYPERLINK($X1088&amp;SUBSTITUTE(マスタ!$C$3,"XXXXX",$W1088))</f>
        <v>#VALUE!</v>
      </c>
      <c r="AA1088" s="12" t="str">
        <f t="shared" si="51"/>
        <v/>
      </c>
    </row>
    <row r="1089" spans="1:27" x14ac:dyDescent="0.4">
      <c r="A1089" s="14">
        <f t="shared" si="52"/>
        <v>1088</v>
      </c>
      <c r="B1089" s="14"/>
      <c r="C1089" s="18"/>
      <c r="D1089" s="14"/>
      <c r="E1089" s="14"/>
      <c r="G1089" s="1">
        <f>_xlfn.XLOOKUP(B1089,M_YT_LIVE!A:A,M_YT_LIVE!F:F,"ERROR",0,1)</f>
        <v>0</v>
      </c>
      <c r="W1089" s="13" t="e">
        <f t="shared" si="50"/>
        <v>#VALUE!</v>
      </c>
      <c r="X1089" s="12">
        <f>_xlfn.XLOOKUP($B1089,M_YT_LIVE!$A:$A,M_YT_LIVE!$D:$D)</f>
        <v>0</v>
      </c>
      <c r="Z1089" s="16" t="e">
        <f>HYPERLINK($X1089&amp;SUBSTITUTE(マスタ!$C$3,"XXXXX",$W1089))</f>
        <v>#VALUE!</v>
      </c>
      <c r="AA1089" s="12" t="str">
        <f t="shared" si="51"/>
        <v/>
      </c>
    </row>
    <row r="1090" spans="1:27" x14ac:dyDescent="0.4">
      <c r="A1090" s="14">
        <f t="shared" si="52"/>
        <v>1089</v>
      </c>
      <c r="B1090" s="14"/>
      <c r="C1090" s="18"/>
      <c r="D1090" s="14"/>
      <c r="E1090" s="14"/>
      <c r="G1090" s="1">
        <f>_xlfn.XLOOKUP(B1090,M_YT_LIVE!A:A,M_YT_LIVE!F:F,"ERROR",0,1)</f>
        <v>0</v>
      </c>
      <c r="W1090" s="13" t="e">
        <f t="shared" si="50"/>
        <v>#VALUE!</v>
      </c>
      <c r="X1090" s="12">
        <f>_xlfn.XLOOKUP($B1090,M_YT_LIVE!$A:$A,M_YT_LIVE!$D:$D)</f>
        <v>0</v>
      </c>
      <c r="Z1090" s="16" t="e">
        <f>HYPERLINK($X1090&amp;SUBSTITUTE(マスタ!$C$3,"XXXXX",$W1090))</f>
        <v>#VALUE!</v>
      </c>
      <c r="AA1090" s="12" t="str">
        <f t="shared" si="51"/>
        <v/>
      </c>
    </row>
    <row r="1091" spans="1:27" x14ac:dyDescent="0.4">
      <c r="A1091" s="14">
        <f t="shared" si="52"/>
        <v>1090</v>
      </c>
      <c r="B1091" s="14"/>
      <c r="C1091" s="18"/>
      <c r="D1091" s="14"/>
      <c r="E1091" s="14"/>
      <c r="G1091" s="1">
        <f>_xlfn.XLOOKUP(B1091,M_YT_LIVE!A:A,M_YT_LIVE!F:F,"ERROR",0,1)</f>
        <v>0</v>
      </c>
      <c r="W1091" s="13" t="e">
        <f t="shared" si="50"/>
        <v>#VALUE!</v>
      </c>
      <c r="X1091" s="12">
        <f>_xlfn.XLOOKUP($B1091,M_YT_LIVE!$A:$A,M_YT_LIVE!$D:$D)</f>
        <v>0</v>
      </c>
      <c r="Z1091" s="16" t="e">
        <f>HYPERLINK($X1091&amp;SUBSTITUTE(マスタ!$C$3,"XXXXX",$W1091))</f>
        <v>#VALUE!</v>
      </c>
      <c r="AA1091" s="12" t="str">
        <f t="shared" si="51"/>
        <v/>
      </c>
    </row>
    <row r="1092" spans="1:27" x14ac:dyDescent="0.4">
      <c r="A1092" s="14">
        <f t="shared" si="52"/>
        <v>1091</v>
      </c>
      <c r="B1092" s="14"/>
      <c r="C1092" s="18"/>
      <c r="D1092" s="14"/>
      <c r="E1092" s="14"/>
      <c r="G1092" s="1">
        <f>_xlfn.XLOOKUP(B1092,M_YT_LIVE!A:A,M_YT_LIVE!F:F,"ERROR",0,1)</f>
        <v>0</v>
      </c>
      <c r="W1092" s="13" t="e">
        <f t="shared" ref="W1092:W1155" si="53">TIMEVALUE($C1092)*86400</f>
        <v>#VALUE!</v>
      </c>
      <c r="X1092" s="12">
        <f>_xlfn.XLOOKUP($B1092,M_YT_LIVE!$A:$A,M_YT_LIVE!$D:$D)</f>
        <v>0</v>
      </c>
      <c r="Z1092" s="16" t="e">
        <f>HYPERLINK($X1092&amp;SUBSTITUTE(マスタ!$C$3,"XXXXX",$W1092))</f>
        <v>#VALUE!</v>
      </c>
      <c r="AA1092" s="12" t="str">
        <f t="shared" si="51"/>
        <v/>
      </c>
    </row>
    <row r="1093" spans="1:27" x14ac:dyDescent="0.4">
      <c r="A1093" s="14">
        <f t="shared" si="52"/>
        <v>1092</v>
      </c>
      <c r="B1093" s="14"/>
      <c r="C1093" s="18"/>
      <c r="D1093" s="14"/>
      <c r="E1093" s="14"/>
      <c r="G1093" s="1">
        <f>_xlfn.XLOOKUP(B1093,M_YT_LIVE!A:A,M_YT_LIVE!F:F,"ERROR",0,1)</f>
        <v>0</v>
      </c>
      <c r="W1093" s="13" t="e">
        <f t="shared" si="53"/>
        <v>#VALUE!</v>
      </c>
      <c r="X1093" s="12">
        <f>_xlfn.XLOOKUP($B1093,M_YT_LIVE!$A:$A,M_YT_LIVE!$D:$D)</f>
        <v>0</v>
      </c>
      <c r="Z1093" s="16" t="e">
        <f>HYPERLINK($X1093&amp;SUBSTITUTE(マスタ!$C$3,"XXXXX",$W1093))</f>
        <v>#VALUE!</v>
      </c>
      <c r="AA1093" s="12" t="str">
        <f t="shared" ref="AA1093:AA1156" si="54">TRIM(E1093)&amp;TRIM(D1093)</f>
        <v/>
      </c>
    </row>
    <row r="1094" spans="1:27" x14ac:dyDescent="0.4">
      <c r="A1094" s="14">
        <f t="shared" ref="A1094:A1157" si="55">ROW()-1</f>
        <v>1093</v>
      </c>
      <c r="B1094" s="14"/>
      <c r="C1094" s="18"/>
      <c r="D1094" s="14"/>
      <c r="E1094" s="14"/>
      <c r="G1094" s="1">
        <f>_xlfn.XLOOKUP(B1094,M_YT_LIVE!A:A,M_YT_LIVE!F:F,"ERROR",0,1)</f>
        <v>0</v>
      </c>
      <c r="W1094" s="13" t="e">
        <f t="shared" si="53"/>
        <v>#VALUE!</v>
      </c>
      <c r="X1094" s="12">
        <f>_xlfn.XLOOKUP($B1094,M_YT_LIVE!$A:$A,M_YT_LIVE!$D:$D)</f>
        <v>0</v>
      </c>
      <c r="Z1094" s="16" t="e">
        <f>HYPERLINK($X1094&amp;SUBSTITUTE(マスタ!$C$3,"XXXXX",$W1094))</f>
        <v>#VALUE!</v>
      </c>
      <c r="AA1094" s="12" t="str">
        <f t="shared" si="54"/>
        <v/>
      </c>
    </row>
    <row r="1095" spans="1:27" x14ac:dyDescent="0.4">
      <c r="A1095" s="14">
        <f t="shared" si="55"/>
        <v>1094</v>
      </c>
      <c r="B1095" s="14"/>
      <c r="C1095" s="18"/>
      <c r="D1095" s="14"/>
      <c r="E1095" s="14"/>
      <c r="G1095" s="1">
        <f>_xlfn.XLOOKUP(B1095,M_YT_LIVE!A:A,M_YT_LIVE!F:F,"ERROR",0,1)</f>
        <v>0</v>
      </c>
      <c r="W1095" s="13" t="e">
        <f t="shared" si="53"/>
        <v>#VALUE!</v>
      </c>
      <c r="X1095" s="12">
        <f>_xlfn.XLOOKUP($B1095,M_YT_LIVE!$A:$A,M_YT_LIVE!$D:$D)</f>
        <v>0</v>
      </c>
      <c r="Z1095" s="16" t="e">
        <f>HYPERLINK($X1095&amp;SUBSTITUTE(マスタ!$C$3,"XXXXX",$W1095))</f>
        <v>#VALUE!</v>
      </c>
      <c r="AA1095" s="12" t="str">
        <f t="shared" si="54"/>
        <v/>
      </c>
    </row>
    <row r="1096" spans="1:27" x14ac:dyDescent="0.4">
      <c r="A1096" s="14">
        <f t="shared" si="55"/>
        <v>1095</v>
      </c>
      <c r="B1096" s="14"/>
      <c r="C1096" s="18"/>
      <c r="D1096" s="14"/>
      <c r="E1096" s="14"/>
      <c r="G1096" s="1">
        <f>_xlfn.XLOOKUP(B1096,M_YT_LIVE!A:A,M_YT_LIVE!F:F,"ERROR",0,1)</f>
        <v>0</v>
      </c>
      <c r="W1096" s="13" t="e">
        <f t="shared" si="53"/>
        <v>#VALUE!</v>
      </c>
      <c r="X1096" s="12">
        <f>_xlfn.XLOOKUP($B1096,M_YT_LIVE!$A:$A,M_YT_LIVE!$D:$D)</f>
        <v>0</v>
      </c>
      <c r="Z1096" s="16" t="e">
        <f>HYPERLINK($X1096&amp;SUBSTITUTE(マスタ!$C$3,"XXXXX",$W1096))</f>
        <v>#VALUE!</v>
      </c>
      <c r="AA1096" s="12" t="str">
        <f t="shared" si="54"/>
        <v/>
      </c>
    </row>
    <row r="1097" spans="1:27" x14ac:dyDescent="0.4">
      <c r="A1097" s="14">
        <f t="shared" si="55"/>
        <v>1096</v>
      </c>
      <c r="B1097" s="14"/>
      <c r="C1097" s="18"/>
      <c r="D1097" s="14"/>
      <c r="E1097" s="14"/>
      <c r="G1097" s="1">
        <f>_xlfn.XLOOKUP(B1097,M_YT_LIVE!A:A,M_YT_LIVE!F:F,"ERROR",0,1)</f>
        <v>0</v>
      </c>
      <c r="W1097" s="13" t="e">
        <f t="shared" si="53"/>
        <v>#VALUE!</v>
      </c>
      <c r="X1097" s="12">
        <f>_xlfn.XLOOKUP($B1097,M_YT_LIVE!$A:$A,M_YT_LIVE!$D:$D)</f>
        <v>0</v>
      </c>
      <c r="Z1097" s="16" t="e">
        <f>HYPERLINK($X1097&amp;SUBSTITUTE(マスタ!$C$3,"XXXXX",$W1097))</f>
        <v>#VALUE!</v>
      </c>
      <c r="AA1097" s="12" t="str">
        <f t="shared" si="54"/>
        <v/>
      </c>
    </row>
    <row r="1098" spans="1:27" x14ac:dyDescent="0.4">
      <c r="A1098" s="14">
        <f t="shared" si="55"/>
        <v>1097</v>
      </c>
      <c r="B1098" s="14"/>
      <c r="C1098" s="18"/>
      <c r="D1098" s="14"/>
      <c r="E1098" s="14"/>
      <c r="G1098" s="1">
        <f>_xlfn.XLOOKUP(B1098,M_YT_LIVE!A:A,M_YT_LIVE!F:F,"ERROR",0,1)</f>
        <v>0</v>
      </c>
      <c r="W1098" s="13" t="e">
        <f t="shared" si="53"/>
        <v>#VALUE!</v>
      </c>
      <c r="X1098" s="12">
        <f>_xlfn.XLOOKUP($B1098,M_YT_LIVE!$A:$A,M_YT_LIVE!$D:$D)</f>
        <v>0</v>
      </c>
      <c r="Z1098" s="16" t="e">
        <f>HYPERLINK($X1098&amp;SUBSTITUTE(マスタ!$C$3,"XXXXX",$W1098))</f>
        <v>#VALUE!</v>
      </c>
      <c r="AA1098" s="12" t="str">
        <f t="shared" si="54"/>
        <v/>
      </c>
    </row>
    <row r="1099" spans="1:27" x14ac:dyDescent="0.4">
      <c r="A1099" s="14">
        <f t="shared" si="55"/>
        <v>1098</v>
      </c>
      <c r="B1099" s="14"/>
      <c r="C1099" s="18"/>
      <c r="D1099" s="14"/>
      <c r="E1099" s="14"/>
      <c r="G1099" s="1">
        <f>_xlfn.XLOOKUP(B1099,M_YT_LIVE!A:A,M_YT_LIVE!F:F,"ERROR",0,1)</f>
        <v>0</v>
      </c>
      <c r="W1099" s="13" t="e">
        <f t="shared" si="53"/>
        <v>#VALUE!</v>
      </c>
      <c r="X1099" s="12">
        <f>_xlfn.XLOOKUP($B1099,M_YT_LIVE!$A:$A,M_YT_LIVE!$D:$D)</f>
        <v>0</v>
      </c>
      <c r="Z1099" s="16" t="e">
        <f>HYPERLINK($X1099&amp;SUBSTITUTE(マスタ!$C$3,"XXXXX",$W1099))</f>
        <v>#VALUE!</v>
      </c>
      <c r="AA1099" s="12" t="str">
        <f t="shared" si="54"/>
        <v/>
      </c>
    </row>
    <row r="1100" spans="1:27" x14ac:dyDescent="0.4">
      <c r="A1100" s="14">
        <f t="shared" si="55"/>
        <v>1099</v>
      </c>
      <c r="B1100" s="14"/>
      <c r="C1100" s="18"/>
      <c r="D1100" s="14"/>
      <c r="E1100" s="14"/>
      <c r="G1100" s="1">
        <f>_xlfn.XLOOKUP(B1100,M_YT_LIVE!A:A,M_YT_LIVE!F:F,"ERROR",0,1)</f>
        <v>0</v>
      </c>
      <c r="W1100" s="13" t="e">
        <f t="shared" si="53"/>
        <v>#VALUE!</v>
      </c>
      <c r="X1100" s="12">
        <f>_xlfn.XLOOKUP($B1100,M_YT_LIVE!$A:$A,M_YT_LIVE!$D:$D)</f>
        <v>0</v>
      </c>
      <c r="Z1100" s="16" t="e">
        <f>HYPERLINK($X1100&amp;SUBSTITUTE(マスタ!$C$3,"XXXXX",$W1100))</f>
        <v>#VALUE!</v>
      </c>
      <c r="AA1100" s="12" t="str">
        <f t="shared" si="54"/>
        <v/>
      </c>
    </row>
    <row r="1101" spans="1:27" x14ac:dyDescent="0.4">
      <c r="A1101" s="14">
        <f t="shared" si="55"/>
        <v>1100</v>
      </c>
      <c r="B1101" s="14"/>
      <c r="C1101" s="18"/>
      <c r="D1101" s="14"/>
      <c r="E1101" s="14"/>
      <c r="G1101" s="1">
        <f>_xlfn.XLOOKUP(B1101,M_YT_LIVE!A:A,M_YT_LIVE!F:F,"ERROR",0,1)</f>
        <v>0</v>
      </c>
      <c r="W1101" s="13" t="e">
        <f t="shared" si="53"/>
        <v>#VALUE!</v>
      </c>
      <c r="X1101" s="12">
        <f>_xlfn.XLOOKUP($B1101,M_YT_LIVE!$A:$A,M_YT_LIVE!$D:$D)</f>
        <v>0</v>
      </c>
      <c r="Z1101" s="16" t="e">
        <f>HYPERLINK($X1101&amp;SUBSTITUTE(マスタ!$C$3,"XXXXX",$W1101))</f>
        <v>#VALUE!</v>
      </c>
      <c r="AA1101" s="12" t="str">
        <f t="shared" si="54"/>
        <v/>
      </c>
    </row>
    <row r="1102" spans="1:27" x14ac:dyDescent="0.4">
      <c r="A1102" s="14">
        <f t="shared" si="55"/>
        <v>1101</v>
      </c>
      <c r="B1102" s="14"/>
      <c r="C1102" s="18"/>
      <c r="D1102" s="14"/>
      <c r="E1102" s="14"/>
      <c r="G1102" s="1">
        <f>_xlfn.XLOOKUP(B1102,M_YT_LIVE!A:A,M_YT_LIVE!F:F,"ERROR",0,1)</f>
        <v>0</v>
      </c>
      <c r="W1102" s="13" t="e">
        <f t="shared" si="53"/>
        <v>#VALUE!</v>
      </c>
      <c r="X1102" s="12">
        <f>_xlfn.XLOOKUP($B1102,M_YT_LIVE!$A:$A,M_YT_LIVE!$D:$D)</f>
        <v>0</v>
      </c>
      <c r="Z1102" s="16" t="e">
        <f>HYPERLINK($X1102&amp;SUBSTITUTE(マスタ!$C$3,"XXXXX",$W1102))</f>
        <v>#VALUE!</v>
      </c>
      <c r="AA1102" s="12" t="str">
        <f t="shared" si="54"/>
        <v/>
      </c>
    </row>
    <row r="1103" spans="1:27" x14ac:dyDescent="0.4">
      <c r="A1103" s="14">
        <f t="shared" si="55"/>
        <v>1102</v>
      </c>
      <c r="B1103" s="14"/>
      <c r="C1103" s="18"/>
      <c r="D1103" s="14"/>
      <c r="E1103" s="14"/>
      <c r="G1103" s="1">
        <f>_xlfn.XLOOKUP(B1103,M_YT_LIVE!A:A,M_YT_LIVE!F:F,"ERROR",0,1)</f>
        <v>0</v>
      </c>
      <c r="W1103" s="13" t="e">
        <f t="shared" si="53"/>
        <v>#VALUE!</v>
      </c>
      <c r="X1103" s="12">
        <f>_xlfn.XLOOKUP($B1103,M_YT_LIVE!$A:$A,M_YT_LIVE!$D:$D)</f>
        <v>0</v>
      </c>
      <c r="Z1103" s="16" t="e">
        <f>HYPERLINK($X1103&amp;SUBSTITUTE(マスタ!$C$3,"XXXXX",$W1103))</f>
        <v>#VALUE!</v>
      </c>
      <c r="AA1103" s="12" t="str">
        <f t="shared" si="54"/>
        <v/>
      </c>
    </row>
    <row r="1104" spans="1:27" x14ac:dyDescent="0.4">
      <c r="A1104" s="14">
        <f t="shared" si="55"/>
        <v>1103</v>
      </c>
      <c r="B1104" s="14"/>
      <c r="C1104" s="18"/>
      <c r="D1104" s="14"/>
      <c r="E1104" s="14"/>
      <c r="G1104" s="1">
        <f>_xlfn.XLOOKUP(B1104,M_YT_LIVE!A:A,M_YT_LIVE!F:F,"ERROR",0,1)</f>
        <v>0</v>
      </c>
      <c r="W1104" s="13" t="e">
        <f t="shared" si="53"/>
        <v>#VALUE!</v>
      </c>
      <c r="X1104" s="12">
        <f>_xlfn.XLOOKUP($B1104,M_YT_LIVE!$A:$A,M_YT_LIVE!$D:$D)</f>
        <v>0</v>
      </c>
      <c r="Z1104" s="16" t="e">
        <f>HYPERLINK($X1104&amp;SUBSTITUTE(マスタ!$C$3,"XXXXX",$W1104))</f>
        <v>#VALUE!</v>
      </c>
      <c r="AA1104" s="12" t="str">
        <f t="shared" si="54"/>
        <v/>
      </c>
    </row>
    <row r="1105" spans="1:27" x14ac:dyDescent="0.4">
      <c r="A1105" s="14">
        <f t="shared" si="55"/>
        <v>1104</v>
      </c>
      <c r="B1105" s="14"/>
      <c r="C1105" s="18"/>
      <c r="D1105" s="14"/>
      <c r="E1105" s="14"/>
      <c r="G1105" s="1">
        <f>_xlfn.XLOOKUP(B1105,M_YT_LIVE!A:A,M_YT_LIVE!F:F,"ERROR",0,1)</f>
        <v>0</v>
      </c>
      <c r="W1105" s="13" t="e">
        <f t="shared" si="53"/>
        <v>#VALUE!</v>
      </c>
      <c r="X1105" s="12">
        <f>_xlfn.XLOOKUP($B1105,M_YT_LIVE!$A:$A,M_YT_LIVE!$D:$D)</f>
        <v>0</v>
      </c>
      <c r="Z1105" s="16" t="e">
        <f>HYPERLINK($X1105&amp;SUBSTITUTE(マスタ!$C$3,"XXXXX",$W1105))</f>
        <v>#VALUE!</v>
      </c>
      <c r="AA1105" s="12" t="str">
        <f t="shared" si="54"/>
        <v/>
      </c>
    </row>
    <row r="1106" spans="1:27" x14ac:dyDescent="0.4">
      <c r="A1106" s="14">
        <f t="shared" si="55"/>
        <v>1105</v>
      </c>
      <c r="B1106" s="14"/>
      <c r="C1106" s="18"/>
      <c r="D1106" s="14"/>
      <c r="E1106" s="14"/>
      <c r="G1106" s="1">
        <f>_xlfn.XLOOKUP(B1106,M_YT_LIVE!A:A,M_YT_LIVE!F:F,"ERROR",0,1)</f>
        <v>0</v>
      </c>
      <c r="W1106" s="13" t="e">
        <f t="shared" si="53"/>
        <v>#VALUE!</v>
      </c>
      <c r="X1106" s="12">
        <f>_xlfn.XLOOKUP($B1106,M_YT_LIVE!$A:$A,M_YT_LIVE!$D:$D)</f>
        <v>0</v>
      </c>
      <c r="Z1106" s="16" t="e">
        <f>HYPERLINK($X1106&amp;SUBSTITUTE(マスタ!$C$3,"XXXXX",$W1106))</f>
        <v>#VALUE!</v>
      </c>
      <c r="AA1106" s="12" t="str">
        <f t="shared" si="54"/>
        <v/>
      </c>
    </row>
    <row r="1107" spans="1:27" x14ac:dyDescent="0.4">
      <c r="A1107" s="14">
        <f t="shared" si="55"/>
        <v>1106</v>
      </c>
      <c r="B1107" s="14"/>
      <c r="C1107" s="18"/>
      <c r="D1107" s="14"/>
      <c r="E1107" s="14"/>
      <c r="G1107" s="1">
        <f>_xlfn.XLOOKUP(B1107,M_YT_LIVE!A:A,M_YT_LIVE!F:F,"ERROR",0,1)</f>
        <v>0</v>
      </c>
      <c r="W1107" s="13" t="e">
        <f t="shared" si="53"/>
        <v>#VALUE!</v>
      </c>
      <c r="X1107" s="12">
        <f>_xlfn.XLOOKUP($B1107,M_YT_LIVE!$A:$A,M_YT_LIVE!$D:$D)</f>
        <v>0</v>
      </c>
      <c r="Z1107" s="16" t="e">
        <f>HYPERLINK($X1107&amp;SUBSTITUTE(マスタ!$C$3,"XXXXX",$W1107))</f>
        <v>#VALUE!</v>
      </c>
      <c r="AA1107" s="12" t="str">
        <f t="shared" si="54"/>
        <v/>
      </c>
    </row>
    <row r="1108" spans="1:27" x14ac:dyDescent="0.4">
      <c r="A1108" s="14">
        <f t="shared" si="55"/>
        <v>1107</v>
      </c>
      <c r="B1108" s="14"/>
      <c r="C1108" s="18"/>
      <c r="D1108" s="14"/>
      <c r="E1108" s="14"/>
      <c r="G1108" s="1">
        <f>_xlfn.XLOOKUP(B1108,M_YT_LIVE!A:A,M_YT_LIVE!F:F,"ERROR",0,1)</f>
        <v>0</v>
      </c>
      <c r="W1108" s="13" t="e">
        <f t="shared" si="53"/>
        <v>#VALUE!</v>
      </c>
      <c r="X1108" s="12">
        <f>_xlfn.XLOOKUP($B1108,M_YT_LIVE!$A:$A,M_YT_LIVE!$D:$D)</f>
        <v>0</v>
      </c>
      <c r="Z1108" s="16" t="e">
        <f>HYPERLINK($X1108&amp;SUBSTITUTE(マスタ!$C$3,"XXXXX",$W1108))</f>
        <v>#VALUE!</v>
      </c>
      <c r="AA1108" s="12" t="str">
        <f t="shared" si="54"/>
        <v/>
      </c>
    </row>
    <row r="1109" spans="1:27" x14ac:dyDescent="0.4">
      <c r="A1109" s="14">
        <f t="shared" si="55"/>
        <v>1108</v>
      </c>
      <c r="B1109" s="14"/>
      <c r="C1109" s="18"/>
      <c r="D1109" s="14"/>
      <c r="E1109" s="14"/>
      <c r="G1109" s="1">
        <f>_xlfn.XLOOKUP(B1109,M_YT_LIVE!A:A,M_YT_LIVE!F:F,"ERROR",0,1)</f>
        <v>0</v>
      </c>
      <c r="W1109" s="13" t="e">
        <f t="shared" si="53"/>
        <v>#VALUE!</v>
      </c>
      <c r="X1109" s="12">
        <f>_xlfn.XLOOKUP($B1109,M_YT_LIVE!$A:$A,M_YT_LIVE!$D:$D)</f>
        <v>0</v>
      </c>
      <c r="Z1109" s="16" t="e">
        <f>HYPERLINK($X1109&amp;SUBSTITUTE(マスタ!$C$3,"XXXXX",$W1109))</f>
        <v>#VALUE!</v>
      </c>
      <c r="AA1109" s="12" t="str">
        <f t="shared" si="54"/>
        <v/>
      </c>
    </row>
    <row r="1110" spans="1:27" x14ac:dyDescent="0.4">
      <c r="A1110" s="14">
        <f t="shared" si="55"/>
        <v>1109</v>
      </c>
      <c r="B1110" s="14"/>
      <c r="C1110" s="18"/>
      <c r="D1110" s="14"/>
      <c r="E1110" s="14"/>
      <c r="G1110" s="1">
        <f>_xlfn.XLOOKUP(B1110,M_YT_LIVE!A:A,M_YT_LIVE!F:F,"ERROR",0,1)</f>
        <v>0</v>
      </c>
      <c r="W1110" s="13" t="e">
        <f t="shared" si="53"/>
        <v>#VALUE!</v>
      </c>
      <c r="X1110" s="12">
        <f>_xlfn.XLOOKUP($B1110,M_YT_LIVE!$A:$A,M_YT_LIVE!$D:$D)</f>
        <v>0</v>
      </c>
      <c r="Z1110" s="16" t="e">
        <f>HYPERLINK($X1110&amp;SUBSTITUTE(マスタ!$C$3,"XXXXX",$W1110))</f>
        <v>#VALUE!</v>
      </c>
      <c r="AA1110" s="12" t="str">
        <f t="shared" si="54"/>
        <v/>
      </c>
    </row>
    <row r="1111" spans="1:27" x14ac:dyDescent="0.4">
      <c r="A1111" s="14">
        <f t="shared" si="55"/>
        <v>1110</v>
      </c>
      <c r="B1111" s="14"/>
      <c r="C1111" s="18"/>
      <c r="D1111" s="14"/>
      <c r="E1111" s="14"/>
      <c r="G1111" s="1">
        <f>_xlfn.XLOOKUP(B1111,M_YT_LIVE!A:A,M_YT_LIVE!F:F,"ERROR",0,1)</f>
        <v>0</v>
      </c>
      <c r="W1111" s="13" t="e">
        <f t="shared" si="53"/>
        <v>#VALUE!</v>
      </c>
      <c r="X1111" s="12">
        <f>_xlfn.XLOOKUP($B1111,M_YT_LIVE!$A:$A,M_YT_LIVE!$D:$D)</f>
        <v>0</v>
      </c>
      <c r="Z1111" s="16" t="e">
        <f>HYPERLINK($X1111&amp;SUBSTITUTE(マスタ!$C$3,"XXXXX",$W1111))</f>
        <v>#VALUE!</v>
      </c>
      <c r="AA1111" s="12" t="str">
        <f t="shared" si="54"/>
        <v/>
      </c>
    </row>
    <row r="1112" spans="1:27" x14ac:dyDescent="0.4">
      <c r="A1112" s="14">
        <f t="shared" si="55"/>
        <v>1111</v>
      </c>
      <c r="B1112" s="14"/>
      <c r="C1112" s="18"/>
      <c r="D1112" s="14"/>
      <c r="E1112" s="14"/>
      <c r="G1112" s="1">
        <f>_xlfn.XLOOKUP(B1112,M_YT_LIVE!A:A,M_YT_LIVE!F:F,"ERROR",0,1)</f>
        <v>0</v>
      </c>
      <c r="W1112" s="13" t="e">
        <f t="shared" si="53"/>
        <v>#VALUE!</v>
      </c>
      <c r="X1112" s="12">
        <f>_xlfn.XLOOKUP($B1112,M_YT_LIVE!$A:$A,M_YT_LIVE!$D:$D)</f>
        <v>0</v>
      </c>
      <c r="Z1112" s="16" t="e">
        <f>HYPERLINK($X1112&amp;SUBSTITUTE(マスタ!$C$3,"XXXXX",$W1112))</f>
        <v>#VALUE!</v>
      </c>
      <c r="AA1112" s="12" t="str">
        <f t="shared" si="54"/>
        <v/>
      </c>
    </row>
    <row r="1113" spans="1:27" x14ac:dyDescent="0.4">
      <c r="A1113" s="14">
        <f t="shared" si="55"/>
        <v>1112</v>
      </c>
      <c r="B1113" s="14"/>
      <c r="C1113" s="18"/>
      <c r="D1113" s="14"/>
      <c r="E1113" s="14"/>
      <c r="G1113" s="1">
        <f>_xlfn.XLOOKUP(B1113,M_YT_LIVE!A:A,M_YT_LIVE!F:F,"ERROR",0,1)</f>
        <v>0</v>
      </c>
      <c r="W1113" s="13" t="e">
        <f t="shared" si="53"/>
        <v>#VALUE!</v>
      </c>
      <c r="X1113" s="12">
        <f>_xlfn.XLOOKUP($B1113,M_YT_LIVE!$A:$A,M_YT_LIVE!$D:$D)</f>
        <v>0</v>
      </c>
      <c r="Z1113" s="16" t="e">
        <f>HYPERLINK($X1113&amp;SUBSTITUTE(マスタ!$C$3,"XXXXX",$W1113))</f>
        <v>#VALUE!</v>
      </c>
      <c r="AA1113" s="12" t="str">
        <f t="shared" si="54"/>
        <v/>
      </c>
    </row>
    <row r="1114" spans="1:27" x14ac:dyDescent="0.4">
      <c r="A1114" s="14">
        <f t="shared" si="55"/>
        <v>1113</v>
      </c>
      <c r="B1114" s="14"/>
      <c r="C1114" s="18"/>
      <c r="D1114" s="14"/>
      <c r="E1114" s="14"/>
      <c r="G1114" s="1">
        <f>_xlfn.XLOOKUP(B1114,M_YT_LIVE!A:A,M_YT_LIVE!F:F,"ERROR",0,1)</f>
        <v>0</v>
      </c>
      <c r="W1114" s="13" t="e">
        <f t="shared" si="53"/>
        <v>#VALUE!</v>
      </c>
      <c r="X1114" s="12">
        <f>_xlfn.XLOOKUP($B1114,M_YT_LIVE!$A:$A,M_YT_LIVE!$D:$D)</f>
        <v>0</v>
      </c>
      <c r="Z1114" s="16" t="e">
        <f>HYPERLINK($X1114&amp;SUBSTITUTE(マスタ!$C$3,"XXXXX",$W1114))</f>
        <v>#VALUE!</v>
      </c>
      <c r="AA1114" s="12" t="str">
        <f t="shared" si="54"/>
        <v/>
      </c>
    </row>
    <row r="1115" spans="1:27" x14ac:dyDescent="0.4">
      <c r="A1115" s="14">
        <f t="shared" si="55"/>
        <v>1114</v>
      </c>
      <c r="B1115" s="14"/>
      <c r="C1115" s="18"/>
      <c r="D1115" s="14"/>
      <c r="E1115" s="14"/>
      <c r="G1115" s="1">
        <f>_xlfn.XLOOKUP(B1115,M_YT_LIVE!A:A,M_YT_LIVE!F:F,"ERROR",0,1)</f>
        <v>0</v>
      </c>
      <c r="W1115" s="13" t="e">
        <f t="shared" si="53"/>
        <v>#VALUE!</v>
      </c>
      <c r="X1115" s="12">
        <f>_xlfn.XLOOKUP($B1115,M_YT_LIVE!$A:$A,M_YT_LIVE!$D:$D)</f>
        <v>0</v>
      </c>
      <c r="Z1115" s="16" t="e">
        <f>HYPERLINK($X1115&amp;SUBSTITUTE(マスタ!$C$3,"XXXXX",$W1115))</f>
        <v>#VALUE!</v>
      </c>
      <c r="AA1115" s="12" t="str">
        <f t="shared" si="54"/>
        <v/>
      </c>
    </row>
    <row r="1116" spans="1:27" x14ac:dyDescent="0.4">
      <c r="A1116" s="14">
        <f t="shared" si="55"/>
        <v>1115</v>
      </c>
      <c r="B1116" s="14"/>
      <c r="C1116" s="18"/>
      <c r="D1116" s="14"/>
      <c r="E1116" s="14"/>
      <c r="G1116" s="1">
        <f>_xlfn.XLOOKUP(B1116,M_YT_LIVE!A:A,M_YT_LIVE!F:F,"ERROR",0,1)</f>
        <v>0</v>
      </c>
      <c r="W1116" s="13" t="e">
        <f t="shared" si="53"/>
        <v>#VALUE!</v>
      </c>
      <c r="X1116" s="12">
        <f>_xlfn.XLOOKUP($B1116,M_YT_LIVE!$A:$A,M_YT_LIVE!$D:$D)</f>
        <v>0</v>
      </c>
      <c r="Z1116" s="16" t="e">
        <f>HYPERLINK($X1116&amp;SUBSTITUTE(マスタ!$C$3,"XXXXX",$W1116))</f>
        <v>#VALUE!</v>
      </c>
      <c r="AA1116" s="12" t="str">
        <f t="shared" si="54"/>
        <v/>
      </c>
    </row>
    <row r="1117" spans="1:27" x14ac:dyDescent="0.4">
      <c r="A1117" s="14">
        <f t="shared" si="55"/>
        <v>1116</v>
      </c>
      <c r="B1117" s="14"/>
      <c r="C1117" s="18"/>
      <c r="D1117" s="14"/>
      <c r="E1117" s="14"/>
      <c r="G1117" s="1">
        <f>_xlfn.XLOOKUP(B1117,M_YT_LIVE!A:A,M_YT_LIVE!F:F,"ERROR",0,1)</f>
        <v>0</v>
      </c>
      <c r="W1117" s="13" t="e">
        <f t="shared" si="53"/>
        <v>#VALUE!</v>
      </c>
      <c r="X1117" s="12">
        <f>_xlfn.XLOOKUP($B1117,M_YT_LIVE!$A:$A,M_YT_LIVE!$D:$D)</f>
        <v>0</v>
      </c>
      <c r="Z1117" s="16" t="e">
        <f>HYPERLINK($X1117&amp;SUBSTITUTE(マスタ!$C$3,"XXXXX",$W1117))</f>
        <v>#VALUE!</v>
      </c>
      <c r="AA1117" s="12" t="str">
        <f t="shared" si="54"/>
        <v/>
      </c>
    </row>
    <row r="1118" spans="1:27" x14ac:dyDescent="0.4">
      <c r="A1118" s="14">
        <f t="shared" si="55"/>
        <v>1117</v>
      </c>
      <c r="B1118" s="14"/>
      <c r="C1118" s="18"/>
      <c r="D1118" s="14"/>
      <c r="E1118" s="14"/>
      <c r="G1118" s="1">
        <f>_xlfn.XLOOKUP(B1118,M_YT_LIVE!A:A,M_YT_LIVE!F:F,"ERROR",0,1)</f>
        <v>0</v>
      </c>
      <c r="W1118" s="13" t="e">
        <f t="shared" si="53"/>
        <v>#VALUE!</v>
      </c>
      <c r="X1118" s="12">
        <f>_xlfn.XLOOKUP($B1118,M_YT_LIVE!$A:$A,M_YT_LIVE!$D:$D)</f>
        <v>0</v>
      </c>
      <c r="Z1118" s="16" t="e">
        <f>HYPERLINK($X1118&amp;SUBSTITUTE(マスタ!$C$3,"XXXXX",$W1118))</f>
        <v>#VALUE!</v>
      </c>
      <c r="AA1118" s="12" t="str">
        <f t="shared" si="54"/>
        <v/>
      </c>
    </row>
    <row r="1119" spans="1:27" x14ac:dyDescent="0.4">
      <c r="A1119" s="14">
        <f t="shared" si="55"/>
        <v>1118</v>
      </c>
      <c r="B1119" s="14"/>
      <c r="C1119" s="18"/>
      <c r="D1119" s="14"/>
      <c r="E1119" s="14"/>
      <c r="G1119" s="1">
        <f>_xlfn.XLOOKUP(B1119,M_YT_LIVE!A:A,M_YT_LIVE!F:F,"ERROR",0,1)</f>
        <v>0</v>
      </c>
      <c r="W1119" s="13" t="e">
        <f t="shared" si="53"/>
        <v>#VALUE!</v>
      </c>
      <c r="X1119" s="12">
        <f>_xlfn.XLOOKUP($B1119,M_YT_LIVE!$A:$A,M_YT_LIVE!$D:$D)</f>
        <v>0</v>
      </c>
      <c r="Z1119" s="16" t="e">
        <f>HYPERLINK($X1119&amp;SUBSTITUTE(マスタ!$C$3,"XXXXX",$W1119))</f>
        <v>#VALUE!</v>
      </c>
      <c r="AA1119" s="12" t="str">
        <f t="shared" si="54"/>
        <v/>
      </c>
    </row>
    <row r="1120" spans="1:27" x14ac:dyDescent="0.4">
      <c r="A1120" s="14">
        <f t="shared" si="55"/>
        <v>1119</v>
      </c>
      <c r="B1120" s="14"/>
      <c r="C1120" s="18"/>
      <c r="D1120" s="14"/>
      <c r="E1120" s="14"/>
      <c r="G1120" s="1">
        <f>_xlfn.XLOOKUP(B1120,M_YT_LIVE!A:A,M_YT_LIVE!F:F,"ERROR",0,1)</f>
        <v>0</v>
      </c>
      <c r="W1120" s="13" t="e">
        <f t="shared" si="53"/>
        <v>#VALUE!</v>
      </c>
      <c r="X1120" s="12">
        <f>_xlfn.XLOOKUP($B1120,M_YT_LIVE!$A:$A,M_YT_LIVE!$D:$D)</f>
        <v>0</v>
      </c>
      <c r="Z1120" s="16" t="e">
        <f>HYPERLINK($X1120&amp;SUBSTITUTE(マスタ!$C$3,"XXXXX",$W1120))</f>
        <v>#VALUE!</v>
      </c>
      <c r="AA1120" s="12" t="str">
        <f t="shared" si="54"/>
        <v/>
      </c>
    </row>
    <row r="1121" spans="1:27" x14ac:dyDescent="0.4">
      <c r="A1121" s="14">
        <f t="shared" si="55"/>
        <v>1120</v>
      </c>
      <c r="B1121" s="14"/>
      <c r="C1121" s="18"/>
      <c r="D1121" s="14"/>
      <c r="E1121" s="14"/>
      <c r="G1121" s="1">
        <f>_xlfn.XLOOKUP(B1121,M_YT_LIVE!A:A,M_YT_LIVE!F:F,"ERROR",0,1)</f>
        <v>0</v>
      </c>
      <c r="W1121" s="13" t="e">
        <f t="shared" si="53"/>
        <v>#VALUE!</v>
      </c>
      <c r="X1121" s="12">
        <f>_xlfn.XLOOKUP($B1121,M_YT_LIVE!$A:$A,M_YT_LIVE!$D:$D)</f>
        <v>0</v>
      </c>
      <c r="Z1121" s="16" t="e">
        <f>HYPERLINK($X1121&amp;SUBSTITUTE(マスタ!$C$3,"XXXXX",$W1121))</f>
        <v>#VALUE!</v>
      </c>
      <c r="AA1121" s="12" t="str">
        <f t="shared" si="54"/>
        <v/>
      </c>
    </row>
    <row r="1122" spans="1:27" x14ac:dyDescent="0.4">
      <c r="A1122" s="14">
        <f t="shared" si="55"/>
        <v>1121</v>
      </c>
      <c r="B1122" s="14"/>
      <c r="C1122" s="18"/>
      <c r="D1122" s="14"/>
      <c r="E1122" s="14"/>
      <c r="G1122" s="1">
        <f>_xlfn.XLOOKUP(B1122,M_YT_LIVE!A:A,M_YT_LIVE!F:F,"ERROR",0,1)</f>
        <v>0</v>
      </c>
      <c r="W1122" s="13" t="e">
        <f t="shared" si="53"/>
        <v>#VALUE!</v>
      </c>
      <c r="X1122" s="12">
        <f>_xlfn.XLOOKUP($B1122,M_YT_LIVE!$A:$A,M_YT_LIVE!$D:$D)</f>
        <v>0</v>
      </c>
      <c r="Z1122" s="16" t="e">
        <f>HYPERLINK($X1122&amp;SUBSTITUTE(マスタ!$C$3,"XXXXX",$W1122))</f>
        <v>#VALUE!</v>
      </c>
      <c r="AA1122" s="12" t="str">
        <f t="shared" si="54"/>
        <v/>
      </c>
    </row>
    <row r="1123" spans="1:27" x14ac:dyDescent="0.4">
      <c r="A1123" s="14">
        <f t="shared" si="55"/>
        <v>1122</v>
      </c>
      <c r="B1123" s="14"/>
      <c r="C1123" s="18"/>
      <c r="D1123" s="14"/>
      <c r="E1123" s="14"/>
      <c r="G1123" s="1">
        <f>_xlfn.XLOOKUP(B1123,M_YT_LIVE!A:A,M_YT_LIVE!F:F,"ERROR",0,1)</f>
        <v>0</v>
      </c>
      <c r="W1123" s="13" t="e">
        <f t="shared" si="53"/>
        <v>#VALUE!</v>
      </c>
      <c r="X1123" s="12">
        <f>_xlfn.XLOOKUP($B1123,M_YT_LIVE!$A:$A,M_YT_LIVE!$D:$D)</f>
        <v>0</v>
      </c>
      <c r="Z1123" s="16" t="e">
        <f>HYPERLINK($X1123&amp;SUBSTITUTE(マスタ!$C$3,"XXXXX",$W1123))</f>
        <v>#VALUE!</v>
      </c>
      <c r="AA1123" s="12" t="str">
        <f t="shared" si="54"/>
        <v/>
      </c>
    </row>
    <row r="1124" spans="1:27" x14ac:dyDescent="0.4">
      <c r="A1124" s="14">
        <f t="shared" si="55"/>
        <v>1123</v>
      </c>
      <c r="B1124" s="14"/>
      <c r="C1124" s="18"/>
      <c r="D1124" s="14"/>
      <c r="E1124" s="14"/>
      <c r="G1124" s="1">
        <f>_xlfn.XLOOKUP(B1124,M_YT_LIVE!A:A,M_YT_LIVE!F:F,"ERROR",0,1)</f>
        <v>0</v>
      </c>
      <c r="W1124" s="13" t="e">
        <f t="shared" si="53"/>
        <v>#VALUE!</v>
      </c>
      <c r="X1124" s="12">
        <f>_xlfn.XLOOKUP($B1124,M_YT_LIVE!$A:$A,M_YT_LIVE!$D:$D)</f>
        <v>0</v>
      </c>
      <c r="Z1124" s="16" t="e">
        <f>HYPERLINK($X1124&amp;SUBSTITUTE(マスタ!$C$3,"XXXXX",$W1124))</f>
        <v>#VALUE!</v>
      </c>
      <c r="AA1124" s="12" t="str">
        <f t="shared" si="54"/>
        <v/>
      </c>
    </row>
    <row r="1125" spans="1:27" x14ac:dyDescent="0.4">
      <c r="A1125" s="14">
        <f t="shared" si="55"/>
        <v>1124</v>
      </c>
      <c r="B1125" s="14"/>
      <c r="C1125" s="18"/>
      <c r="D1125" s="14"/>
      <c r="E1125" s="14"/>
      <c r="G1125" s="1">
        <f>_xlfn.XLOOKUP(B1125,M_YT_LIVE!A:A,M_YT_LIVE!F:F,"ERROR",0,1)</f>
        <v>0</v>
      </c>
      <c r="W1125" s="13" t="e">
        <f t="shared" si="53"/>
        <v>#VALUE!</v>
      </c>
      <c r="X1125" s="12">
        <f>_xlfn.XLOOKUP($B1125,M_YT_LIVE!$A:$A,M_YT_LIVE!$D:$D)</f>
        <v>0</v>
      </c>
      <c r="Z1125" s="16" t="e">
        <f>HYPERLINK($X1125&amp;SUBSTITUTE(マスタ!$C$3,"XXXXX",$W1125))</f>
        <v>#VALUE!</v>
      </c>
      <c r="AA1125" s="12" t="str">
        <f t="shared" si="54"/>
        <v/>
      </c>
    </row>
    <row r="1126" spans="1:27" x14ac:dyDescent="0.4">
      <c r="A1126" s="14">
        <f t="shared" si="55"/>
        <v>1125</v>
      </c>
      <c r="B1126" s="14"/>
      <c r="C1126" s="18"/>
      <c r="D1126" s="14"/>
      <c r="E1126" s="14"/>
      <c r="G1126" s="1">
        <f>_xlfn.XLOOKUP(B1126,M_YT_LIVE!A:A,M_YT_LIVE!F:F,"ERROR",0,1)</f>
        <v>0</v>
      </c>
      <c r="W1126" s="13" t="e">
        <f t="shared" si="53"/>
        <v>#VALUE!</v>
      </c>
      <c r="X1126" s="12">
        <f>_xlfn.XLOOKUP($B1126,M_YT_LIVE!$A:$A,M_YT_LIVE!$D:$D)</f>
        <v>0</v>
      </c>
      <c r="Z1126" s="16" t="e">
        <f>HYPERLINK($X1126&amp;SUBSTITUTE(マスタ!$C$3,"XXXXX",$W1126))</f>
        <v>#VALUE!</v>
      </c>
      <c r="AA1126" s="12" t="str">
        <f t="shared" si="54"/>
        <v/>
      </c>
    </row>
    <row r="1127" spans="1:27" x14ac:dyDescent="0.4">
      <c r="A1127" s="14">
        <f t="shared" si="55"/>
        <v>1126</v>
      </c>
      <c r="B1127" s="14"/>
      <c r="C1127" s="18"/>
      <c r="D1127" s="14"/>
      <c r="E1127" s="14"/>
      <c r="G1127" s="1">
        <f>_xlfn.XLOOKUP(B1127,M_YT_LIVE!A:A,M_YT_LIVE!F:F,"ERROR",0,1)</f>
        <v>0</v>
      </c>
      <c r="W1127" s="13" t="e">
        <f t="shared" si="53"/>
        <v>#VALUE!</v>
      </c>
      <c r="X1127" s="12">
        <f>_xlfn.XLOOKUP($B1127,M_YT_LIVE!$A:$A,M_YT_LIVE!$D:$D)</f>
        <v>0</v>
      </c>
      <c r="Z1127" s="16" t="e">
        <f>HYPERLINK($X1127&amp;SUBSTITUTE(マスタ!$C$3,"XXXXX",$W1127))</f>
        <v>#VALUE!</v>
      </c>
      <c r="AA1127" s="12" t="str">
        <f t="shared" si="54"/>
        <v/>
      </c>
    </row>
    <row r="1128" spans="1:27" x14ac:dyDescent="0.4">
      <c r="A1128" s="14">
        <f t="shared" si="55"/>
        <v>1127</v>
      </c>
      <c r="B1128" s="14"/>
      <c r="C1128" s="18"/>
      <c r="D1128" s="14"/>
      <c r="E1128" s="14"/>
      <c r="G1128" s="1">
        <f>_xlfn.XLOOKUP(B1128,M_YT_LIVE!A:A,M_YT_LIVE!F:F,"ERROR",0,1)</f>
        <v>0</v>
      </c>
      <c r="W1128" s="13" t="e">
        <f t="shared" si="53"/>
        <v>#VALUE!</v>
      </c>
      <c r="X1128" s="12">
        <f>_xlfn.XLOOKUP($B1128,M_YT_LIVE!$A:$A,M_YT_LIVE!$D:$D)</f>
        <v>0</v>
      </c>
      <c r="Z1128" s="16" t="e">
        <f>HYPERLINK($X1128&amp;SUBSTITUTE(マスタ!$C$3,"XXXXX",$W1128))</f>
        <v>#VALUE!</v>
      </c>
      <c r="AA1128" s="12" t="str">
        <f t="shared" si="54"/>
        <v/>
      </c>
    </row>
    <row r="1129" spans="1:27" x14ac:dyDescent="0.4">
      <c r="A1129" s="14">
        <f t="shared" si="55"/>
        <v>1128</v>
      </c>
      <c r="B1129" s="14"/>
      <c r="C1129" s="18"/>
      <c r="D1129" s="14"/>
      <c r="E1129" s="14"/>
      <c r="G1129" s="1">
        <f>_xlfn.XLOOKUP(B1129,M_YT_LIVE!A:A,M_YT_LIVE!F:F,"ERROR",0,1)</f>
        <v>0</v>
      </c>
      <c r="W1129" s="13" t="e">
        <f t="shared" si="53"/>
        <v>#VALUE!</v>
      </c>
      <c r="X1129" s="12">
        <f>_xlfn.XLOOKUP($B1129,M_YT_LIVE!$A:$A,M_YT_LIVE!$D:$D)</f>
        <v>0</v>
      </c>
      <c r="Z1129" s="16" t="e">
        <f>HYPERLINK($X1129&amp;SUBSTITUTE(マスタ!$C$3,"XXXXX",$W1129))</f>
        <v>#VALUE!</v>
      </c>
      <c r="AA1129" s="12" t="str">
        <f t="shared" si="54"/>
        <v/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2025-12-28T12:22:37Z</dcterms:modified>
</cp:coreProperties>
</file>