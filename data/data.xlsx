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B75C31BF3F30DF/kajuen/200_APP/20250528_obake/"/>
    </mc:Choice>
  </mc:AlternateContent>
  <xr:revisionPtr revIDLastSave="1837" documentId="8_{0EDCCB96-8EAF-43C3-8A8E-73CF48216C1B}" xr6:coauthVersionLast="47" xr6:coauthVersionMax="47" xr10:uidLastSave="{9105ED17-37AB-4C19-A846-D409720F33FB}"/>
  <bookViews>
    <workbookView minimized="1" xWindow="2175" yWindow="4185" windowWidth="21600" windowHeight="11295" activeTab="1" xr2:uid="{3A3198A5-688A-495F-A904-EF8FE4BE0835}"/>
  </bookViews>
  <sheets>
    <sheet name="M_YT_LIVE" sheetId="1" r:id="rId1"/>
    <sheet name="M_YT_LIVE_TIMESTAMP" sheetId="3" r:id="rId2"/>
    <sheet name="V_SONG_LIST" sheetId="5" r:id="rId3"/>
    <sheet name="###" sheetId="2" r:id="rId4"/>
    <sheet name="M_ARTIST" sheetId="6" r:id="rId5"/>
    <sheet name="マスタ" sheetId="4" r:id="rId6"/>
  </sheets>
  <definedNames>
    <definedName name="_xlnm._FilterDatabase" localSheetId="0" hidden="1">M_YT_LIVE!$A$1:$D$1</definedName>
    <definedName name="_xlnm._FilterDatabase" localSheetId="1" hidden="1">M_YT_LIVE_TIMESTAMP!$A$1:$G$400</definedName>
    <definedName name="_xlnm._FilterDatabase" localSheetId="2" hidden="1">V_SONG_LIST!$AA$1:$AD$1300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1" i="1" l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C476" i="5"/>
  <c r="AA476" i="5"/>
  <c r="AB476" i="5" s="1"/>
  <c r="AC476" i="5"/>
  <c r="C477" i="5"/>
  <c r="AA477" i="5"/>
  <c r="AB477" i="5" s="1"/>
  <c r="AC477" i="5"/>
  <c r="C478" i="5"/>
  <c r="AA478" i="5"/>
  <c r="AB478" i="5" s="1"/>
  <c r="AC478" i="5"/>
  <c r="C479" i="5"/>
  <c r="AA479" i="5"/>
  <c r="AB479" i="5" s="1"/>
  <c r="AC479" i="5"/>
  <c r="C480" i="5"/>
  <c r="AA480" i="5"/>
  <c r="AB480" i="5" s="1"/>
  <c r="AC480" i="5"/>
  <c r="C481" i="5"/>
  <c r="AA481" i="5"/>
  <c r="AB481" i="5" s="1"/>
  <c r="AC481" i="5"/>
  <c r="C482" i="5"/>
  <c r="AA482" i="5"/>
  <c r="AB482" i="5" s="1"/>
  <c r="AC482" i="5"/>
  <c r="C483" i="5"/>
  <c r="AA483" i="5"/>
  <c r="AB483" i="5"/>
  <c r="AC483" i="5"/>
  <c r="C484" i="5"/>
  <c r="AA484" i="5"/>
  <c r="AB484" i="5"/>
  <c r="AC484" i="5"/>
  <c r="C485" i="5"/>
  <c r="AA485" i="5"/>
  <c r="AB485" i="5" s="1"/>
  <c r="AC485" i="5"/>
  <c r="C486" i="5"/>
  <c r="AA486" i="5"/>
  <c r="AB486" i="5" s="1"/>
  <c r="AC486" i="5"/>
  <c r="C487" i="5"/>
  <c r="AA487" i="5"/>
  <c r="AB487" i="5" s="1"/>
  <c r="AC487" i="5"/>
  <c r="C488" i="5"/>
  <c r="AA488" i="5"/>
  <c r="AB488" i="5" s="1"/>
  <c r="AC488" i="5"/>
  <c r="C489" i="5"/>
  <c r="AA489" i="5"/>
  <c r="AB489" i="5" s="1"/>
  <c r="AC489" i="5"/>
  <c r="C490" i="5"/>
  <c r="AA490" i="5"/>
  <c r="AB490" i="5"/>
  <c r="AC490" i="5"/>
  <c r="C491" i="5"/>
  <c r="AA491" i="5"/>
  <c r="AB491" i="5"/>
  <c r="AC491" i="5"/>
  <c r="C492" i="5"/>
  <c r="AA492" i="5"/>
  <c r="AB492" i="5"/>
  <c r="AC492" i="5"/>
  <c r="C493" i="5"/>
  <c r="AA493" i="5"/>
  <c r="AB493" i="5" s="1"/>
  <c r="AC493" i="5"/>
  <c r="C494" i="5"/>
  <c r="AA494" i="5"/>
  <c r="AB494" i="5" s="1"/>
  <c r="AC494" i="5"/>
  <c r="C495" i="5"/>
  <c r="AA495" i="5"/>
  <c r="AB495" i="5" s="1"/>
  <c r="AC495" i="5"/>
  <c r="C496" i="5"/>
  <c r="AA496" i="5"/>
  <c r="AB496" i="5" s="1"/>
  <c r="AC496" i="5"/>
  <c r="C497" i="5"/>
  <c r="AA497" i="5"/>
  <c r="AB497" i="5" s="1"/>
  <c r="AC497" i="5"/>
  <c r="C498" i="5"/>
  <c r="AA498" i="5"/>
  <c r="AB498" i="5"/>
  <c r="AC498" i="5"/>
  <c r="C499" i="5"/>
  <c r="AA499" i="5"/>
  <c r="AB499" i="5"/>
  <c r="AC499" i="5"/>
  <c r="C500" i="5"/>
  <c r="AA500" i="5"/>
  <c r="AB500" i="5"/>
  <c r="AC500" i="5"/>
  <c r="C501" i="5"/>
  <c r="AA501" i="5"/>
  <c r="AB501" i="5" s="1"/>
  <c r="AC501" i="5"/>
  <c r="C502" i="5"/>
  <c r="AA502" i="5"/>
  <c r="AB502" i="5" s="1"/>
  <c r="AC502" i="5"/>
  <c r="C503" i="5"/>
  <c r="AA503" i="5"/>
  <c r="AB503" i="5" s="1"/>
  <c r="AC503" i="5"/>
  <c r="C504" i="5"/>
  <c r="AA504" i="5"/>
  <c r="AB504" i="5" s="1"/>
  <c r="AC504" i="5"/>
  <c r="C505" i="5"/>
  <c r="AA505" i="5"/>
  <c r="AB505" i="5" s="1"/>
  <c r="AC505" i="5"/>
  <c r="C506" i="5"/>
  <c r="AA506" i="5"/>
  <c r="AB506" i="5"/>
  <c r="AC506" i="5"/>
  <c r="C507" i="5"/>
  <c r="AA507" i="5"/>
  <c r="AB507" i="5" s="1"/>
  <c r="AC507" i="5"/>
  <c r="C508" i="5"/>
  <c r="AA508" i="5"/>
  <c r="AB508" i="5" s="1"/>
  <c r="AC508" i="5"/>
  <c r="C509" i="5"/>
  <c r="AA509" i="5"/>
  <c r="AB509" i="5" s="1"/>
  <c r="AC509" i="5"/>
  <c r="C510" i="5"/>
  <c r="AA510" i="5"/>
  <c r="AB510" i="5" s="1"/>
  <c r="AC510" i="5"/>
  <c r="C511" i="5"/>
  <c r="AA511" i="5"/>
  <c r="AB511" i="5" s="1"/>
  <c r="AC511" i="5"/>
  <c r="C512" i="5"/>
  <c r="AA512" i="5"/>
  <c r="AB512" i="5" s="1"/>
  <c r="AC512" i="5"/>
  <c r="C513" i="5"/>
  <c r="AA513" i="5"/>
  <c r="AB513" i="5" s="1"/>
  <c r="AC513" i="5"/>
  <c r="C514" i="5"/>
  <c r="AA514" i="5"/>
  <c r="AB514" i="5" s="1"/>
  <c r="AC514" i="5"/>
  <c r="C515" i="5"/>
  <c r="AA515" i="5"/>
  <c r="AB515" i="5" s="1"/>
  <c r="AC515" i="5"/>
  <c r="C516" i="5"/>
  <c r="AA516" i="5"/>
  <c r="AB516" i="5" s="1"/>
  <c r="AC516" i="5"/>
  <c r="C517" i="5"/>
  <c r="AA517" i="5"/>
  <c r="AB517" i="5" s="1"/>
  <c r="AC517" i="5"/>
  <c r="C518" i="5"/>
  <c r="AA518" i="5"/>
  <c r="AB518" i="5" s="1"/>
  <c r="AC518" i="5"/>
  <c r="C519" i="5"/>
  <c r="AA519" i="5"/>
  <c r="AB519" i="5" s="1"/>
  <c r="AC519" i="5"/>
  <c r="C520" i="5"/>
  <c r="AA520" i="5"/>
  <c r="AB520" i="5" s="1"/>
  <c r="AC520" i="5"/>
  <c r="C521" i="5"/>
  <c r="AA521" i="5"/>
  <c r="AB521" i="5" s="1"/>
  <c r="AC521" i="5"/>
  <c r="C522" i="5"/>
  <c r="AA522" i="5"/>
  <c r="AB522" i="5" s="1"/>
  <c r="AC522" i="5"/>
  <c r="C523" i="5"/>
  <c r="AA523" i="5"/>
  <c r="AB523" i="5" s="1"/>
  <c r="AC523" i="5"/>
  <c r="C524" i="5"/>
  <c r="AA524" i="5"/>
  <c r="AB524" i="5" s="1"/>
  <c r="AC524" i="5"/>
  <c r="C525" i="5"/>
  <c r="AA525" i="5"/>
  <c r="AB525" i="5" s="1"/>
  <c r="AC525" i="5"/>
  <c r="C526" i="5"/>
  <c r="AA526" i="5"/>
  <c r="AB526" i="5" s="1"/>
  <c r="AC526" i="5"/>
  <c r="C527" i="5"/>
  <c r="AA527" i="5"/>
  <c r="AB527" i="5" s="1"/>
  <c r="AC527" i="5"/>
  <c r="C528" i="5"/>
  <c r="AA528" i="5"/>
  <c r="AB528" i="5" s="1"/>
  <c r="AC528" i="5"/>
  <c r="C529" i="5"/>
  <c r="AA529" i="5"/>
  <c r="AB529" i="5" s="1"/>
  <c r="AC529" i="5"/>
  <c r="C530" i="5"/>
  <c r="AA530" i="5"/>
  <c r="AB530" i="5" s="1"/>
  <c r="AC530" i="5"/>
  <c r="C531" i="5"/>
  <c r="AA531" i="5"/>
  <c r="AB531" i="5" s="1"/>
  <c r="AC531" i="5"/>
  <c r="C532" i="5"/>
  <c r="AA532" i="5"/>
  <c r="AB532" i="5" s="1"/>
  <c r="AC532" i="5"/>
  <c r="C533" i="5"/>
  <c r="AA533" i="5"/>
  <c r="AB533" i="5" s="1"/>
  <c r="AC533" i="5"/>
  <c r="C534" i="5"/>
  <c r="AA534" i="5"/>
  <c r="AB534" i="5" s="1"/>
  <c r="AC534" i="5"/>
  <c r="C535" i="5"/>
  <c r="AA535" i="5"/>
  <c r="AB535" i="5" s="1"/>
  <c r="AC535" i="5"/>
  <c r="C536" i="5"/>
  <c r="AA536" i="5"/>
  <c r="AB536" i="5" s="1"/>
  <c r="AC536" i="5"/>
  <c r="C537" i="5"/>
  <c r="AA537" i="5"/>
  <c r="AB537" i="5" s="1"/>
  <c r="AC537" i="5"/>
  <c r="C538" i="5"/>
  <c r="AA538" i="5"/>
  <c r="AB538" i="5" s="1"/>
  <c r="AC538" i="5"/>
  <c r="C539" i="5"/>
  <c r="AA539" i="5"/>
  <c r="AB539" i="5" s="1"/>
  <c r="AC539" i="5"/>
  <c r="C540" i="5"/>
  <c r="AA540" i="5"/>
  <c r="AB540" i="5" s="1"/>
  <c r="AC540" i="5"/>
  <c r="C541" i="5"/>
  <c r="AA541" i="5"/>
  <c r="AB541" i="5" s="1"/>
  <c r="AC541" i="5"/>
  <c r="C542" i="5"/>
  <c r="AA542" i="5"/>
  <c r="AB542" i="5" s="1"/>
  <c r="AC542" i="5"/>
  <c r="C543" i="5"/>
  <c r="AA543" i="5"/>
  <c r="AB543" i="5" s="1"/>
  <c r="AC543" i="5"/>
  <c r="C544" i="5"/>
  <c r="AA544" i="5"/>
  <c r="AB544" i="5" s="1"/>
  <c r="AC544" i="5"/>
  <c r="C545" i="5"/>
  <c r="AA545" i="5"/>
  <c r="AB545" i="5" s="1"/>
  <c r="AC545" i="5"/>
  <c r="C546" i="5"/>
  <c r="AA546" i="5"/>
  <c r="AB546" i="5" s="1"/>
  <c r="AC546" i="5"/>
  <c r="C547" i="5"/>
  <c r="AA547" i="5"/>
  <c r="AB547" i="5" s="1"/>
  <c r="AC547" i="5"/>
  <c r="C548" i="5"/>
  <c r="AA548" i="5"/>
  <c r="AB548" i="5" s="1"/>
  <c r="AC548" i="5"/>
  <c r="C549" i="5"/>
  <c r="AA549" i="5"/>
  <c r="AB549" i="5" s="1"/>
  <c r="AC549" i="5"/>
  <c r="C550" i="5"/>
  <c r="AA550" i="5"/>
  <c r="AB550" i="5" s="1"/>
  <c r="AC550" i="5"/>
  <c r="C551" i="5"/>
  <c r="AA551" i="5"/>
  <c r="AB551" i="5" s="1"/>
  <c r="AC551" i="5"/>
  <c r="C552" i="5"/>
  <c r="AA552" i="5"/>
  <c r="AB552" i="5" s="1"/>
  <c r="AC552" i="5"/>
  <c r="C553" i="5"/>
  <c r="AA553" i="5"/>
  <c r="AB553" i="5" s="1"/>
  <c r="AC553" i="5"/>
  <c r="C554" i="5"/>
  <c r="AA554" i="5"/>
  <c r="AB554" i="5" s="1"/>
  <c r="AC554" i="5"/>
  <c r="C555" i="5"/>
  <c r="AA555" i="5"/>
  <c r="AB555" i="5" s="1"/>
  <c r="AC555" i="5"/>
  <c r="C556" i="5"/>
  <c r="AA556" i="5"/>
  <c r="AB556" i="5" s="1"/>
  <c r="AC556" i="5"/>
  <c r="C557" i="5"/>
  <c r="AA557" i="5"/>
  <c r="AB557" i="5" s="1"/>
  <c r="AC557" i="5"/>
  <c r="C558" i="5"/>
  <c r="AA558" i="5"/>
  <c r="AB558" i="5" s="1"/>
  <c r="AC558" i="5"/>
  <c r="C559" i="5"/>
  <c r="AA559" i="5"/>
  <c r="AB559" i="5" s="1"/>
  <c r="AC559" i="5"/>
  <c r="C560" i="5"/>
  <c r="AA560" i="5"/>
  <c r="AB560" i="5" s="1"/>
  <c r="AC560" i="5"/>
  <c r="C561" i="5"/>
  <c r="AA561" i="5"/>
  <c r="AB561" i="5" s="1"/>
  <c r="AC561" i="5"/>
  <c r="C562" i="5"/>
  <c r="AA562" i="5"/>
  <c r="AB562" i="5" s="1"/>
  <c r="AC562" i="5"/>
  <c r="C563" i="5"/>
  <c r="AA563" i="5"/>
  <c r="AB563" i="5" s="1"/>
  <c r="AC563" i="5"/>
  <c r="C564" i="5"/>
  <c r="AA564" i="5"/>
  <c r="AB564" i="5" s="1"/>
  <c r="AC564" i="5"/>
  <c r="C565" i="5"/>
  <c r="AA565" i="5"/>
  <c r="AB565" i="5" s="1"/>
  <c r="AC565" i="5"/>
  <c r="C566" i="5"/>
  <c r="AA566" i="5"/>
  <c r="AB566" i="5" s="1"/>
  <c r="AC566" i="5"/>
  <c r="C567" i="5"/>
  <c r="AA567" i="5"/>
  <c r="AB567" i="5" s="1"/>
  <c r="AC567" i="5"/>
  <c r="C568" i="5"/>
  <c r="AA568" i="5"/>
  <c r="AB568" i="5" s="1"/>
  <c r="AC568" i="5"/>
  <c r="C569" i="5"/>
  <c r="AA569" i="5"/>
  <c r="AB569" i="5"/>
  <c r="AC569" i="5"/>
  <c r="C570" i="5"/>
  <c r="AA570" i="5"/>
  <c r="AB570" i="5"/>
  <c r="AC570" i="5"/>
  <c r="C571" i="5"/>
  <c r="AA571" i="5"/>
  <c r="AB571" i="5"/>
  <c r="AC571" i="5"/>
  <c r="C572" i="5"/>
  <c r="AA572" i="5"/>
  <c r="AB572" i="5"/>
  <c r="AC572" i="5"/>
  <c r="C573" i="5"/>
  <c r="AA573" i="5"/>
  <c r="AB573" i="5" s="1"/>
  <c r="AC573" i="5"/>
  <c r="C574" i="5"/>
  <c r="AA574" i="5"/>
  <c r="AB574" i="5"/>
  <c r="AC574" i="5"/>
  <c r="C575" i="5"/>
  <c r="AA575" i="5"/>
  <c r="AB575" i="5" s="1"/>
  <c r="AC575" i="5"/>
  <c r="C576" i="5"/>
  <c r="AA576" i="5"/>
  <c r="AB576" i="5" s="1"/>
  <c r="AC576" i="5"/>
  <c r="C577" i="5"/>
  <c r="AA577" i="5"/>
  <c r="AB577" i="5" s="1"/>
  <c r="AC577" i="5"/>
  <c r="C578" i="5"/>
  <c r="AA578" i="5"/>
  <c r="AB578" i="5" s="1"/>
  <c r="AC578" i="5"/>
  <c r="C579" i="5"/>
  <c r="AA579" i="5"/>
  <c r="AB579" i="5" s="1"/>
  <c r="AC579" i="5"/>
  <c r="C580" i="5"/>
  <c r="AA580" i="5"/>
  <c r="AB580" i="5" s="1"/>
  <c r="AC580" i="5"/>
  <c r="C581" i="5"/>
  <c r="AA581" i="5"/>
  <c r="AB581" i="5" s="1"/>
  <c r="AC581" i="5"/>
  <c r="C582" i="5"/>
  <c r="AA582" i="5"/>
  <c r="AB582" i="5" s="1"/>
  <c r="AC582" i="5"/>
  <c r="C583" i="5"/>
  <c r="AA583" i="5"/>
  <c r="AB583" i="5" s="1"/>
  <c r="AC583" i="5"/>
  <c r="C584" i="5"/>
  <c r="AA584" i="5"/>
  <c r="AB584" i="5"/>
  <c r="AC584" i="5"/>
  <c r="C585" i="5"/>
  <c r="AA585" i="5"/>
  <c r="AB585" i="5"/>
  <c r="AC585" i="5"/>
  <c r="C586" i="5"/>
  <c r="AA586" i="5"/>
  <c r="AB586" i="5" s="1"/>
  <c r="AC586" i="5"/>
  <c r="C587" i="5"/>
  <c r="AA587" i="5"/>
  <c r="AB587" i="5" s="1"/>
  <c r="AC587" i="5"/>
  <c r="C588" i="5"/>
  <c r="AA588" i="5"/>
  <c r="AB588" i="5" s="1"/>
  <c r="AC588" i="5"/>
  <c r="C589" i="5"/>
  <c r="AA589" i="5"/>
  <c r="AB589" i="5" s="1"/>
  <c r="AC589" i="5"/>
  <c r="C590" i="5"/>
  <c r="AA590" i="5"/>
  <c r="AB590" i="5" s="1"/>
  <c r="AC590" i="5"/>
  <c r="C591" i="5"/>
  <c r="AA591" i="5"/>
  <c r="AB591" i="5" s="1"/>
  <c r="AC591" i="5"/>
  <c r="C592" i="5"/>
  <c r="AA592" i="5"/>
  <c r="AB592" i="5" s="1"/>
  <c r="AC592" i="5"/>
  <c r="C593" i="5"/>
  <c r="AA593" i="5"/>
  <c r="AB593" i="5" s="1"/>
  <c r="AC593" i="5"/>
  <c r="C594" i="5"/>
  <c r="AA594" i="5"/>
  <c r="AB594" i="5" s="1"/>
  <c r="AC594" i="5"/>
  <c r="C595" i="5"/>
  <c r="AA595" i="5"/>
  <c r="AB595" i="5" s="1"/>
  <c r="AC595" i="5"/>
  <c r="C596" i="5"/>
  <c r="AA596" i="5"/>
  <c r="AB596" i="5" s="1"/>
  <c r="AC596" i="5"/>
  <c r="C597" i="5"/>
  <c r="AA597" i="5"/>
  <c r="AB597" i="5" s="1"/>
  <c r="AC597" i="5"/>
  <c r="C598" i="5"/>
  <c r="AA598" i="5"/>
  <c r="AB598" i="5" s="1"/>
  <c r="AC598" i="5"/>
  <c r="C599" i="5"/>
  <c r="AA599" i="5"/>
  <c r="AB599" i="5" s="1"/>
  <c r="AC599" i="5"/>
  <c r="C600" i="5"/>
  <c r="AA600" i="5"/>
  <c r="AB600" i="5" s="1"/>
  <c r="AC600" i="5"/>
  <c r="C601" i="5"/>
  <c r="AA601" i="5"/>
  <c r="AB601" i="5"/>
  <c r="AC601" i="5"/>
  <c r="C602" i="5"/>
  <c r="AA602" i="5"/>
  <c r="AB602" i="5" s="1"/>
  <c r="AC602" i="5"/>
  <c r="C603" i="5"/>
  <c r="AA603" i="5"/>
  <c r="AB603" i="5" s="1"/>
  <c r="AC603" i="5"/>
  <c r="C604" i="5"/>
  <c r="AA604" i="5"/>
  <c r="AB604" i="5" s="1"/>
  <c r="AC604" i="5"/>
  <c r="C605" i="5"/>
  <c r="AA605" i="5"/>
  <c r="AB605" i="5" s="1"/>
  <c r="AC605" i="5"/>
  <c r="C606" i="5"/>
  <c r="AA606" i="5"/>
  <c r="AB606" i="5" s="1"/>
  <c r="AC606" i="5"/>
  <c r="C607" i="5"/>
  <c r="AA607" i="5"/>
  <c r="AB607" i="5" s="1"/>
  <c r="AC607" i="5"/>
  <c r="C608" i="5"/>
  <c r="AA608" i="5"/>
  <c r="AB608" i="5" s="1"/>
  <c r="AC608" i="5"/>
  <c r="C609" i="5"/>
  <c r="AA609" i="5"/>
  <c r="AB609" i="5" s="1"/>
  <c r="AC609" i="5"/>
  <c r="C610" i="5"/>
  <c r="AA610" i="5"/>
  <c r="AB610" i="5" s="1"/>
  <c r="AC610" i="5"/>
  <c r="C611" i="5"/>
  <c r="AA611" i="5"/>
  <c r="AB611" i="5" s="1"/>
  <c r="AC611" i="5"/>
  <c r="C612" i="5"/>
  <c r="AA612" i="5"/>
  <c r="AB612" i="5"/>
  <c r="AC612" i="5"/>
  <c r="C613" i="5"/>
  <c r="AA613" i="5"/>
  <c r="AB613" i="5" s="1"/>
  <c r="AC613" i="5"/>
  <c r="C614" i="5"/>
  <c r="AA614" i="5"/>
  <c r="AB614" i="5" s="1"/>
  <c r="AC614" i="5"/>
  <c r="C615" i="5"/>
  <c r="AA615" i="5"/>
  <c r="AB615" i="5" s="1"/>
  <c r="AC615" i="5"/>
  <c r="C616" i="5"/>
  <c r="AA616" i="5"/>
  <c r="AB616" i="5" s="1"/>
  <c r="AC616" i="5"/>
  <c r="C617" i="5"/>
  <c r="AA617" i="5"/>
  <c r="AB617" i="5" s="1"/>
  <c r="AC617" i="5"/>
  <c r="C618" i="5"/>
  <c r="AA618" i="5"/>
  <c r="AB618" i="5" s="1"/>
  <c r="AC618" i="5"/>
  <c r="C619" i="5"/>
  <c r="AA619" i="5"/>
  <c r="AB619" i="5" s="1"/>
  <c r="AC619" i="5"/>
  <c r="C620" i="5"/>
  <c r="AA620" i="5"/>
  <c r="AB620" i="5" s="1"/>
  <c r="AC620" i="5"/>
  <c r="C621" i="5"/>
  <c r="AA621" i="5"/>
  <c r="AB621" i="5" s="1"/>
  <c r="AC621" i="5"/>
  <c r="C622" i="5"/>
  <c r="AA622" i="5"/>
  <c r="AB622" i="5" s="1"/>
  <c r="AC622" i="5"/>
  <c r="C623" i="5"/>
  <c r="AA623" i="5"/>
  <c r="AB623" i="5" s="1"/>
  <c r="AC623" i="5"/>
  <c r="C624" i="5"/>
  <c r="AA624" i="5"/>
  <c r="AB624" i="5" s="1"/>
  <c r="AC624" i="5"/>
  <c r="C625" i="5"/>
  <c r="AA625" i="5"/>
  <c r="AB625" i="5" s="1"/>
  <c r="AC625" i="5"/>
  <c r="C626" i="5"/>
  <c r="AA626" i="5"/>
  <c r="AB626" i="5" s="1"/>
  <c r="AC626" i="5"/>
  <c r="C627" i="5"/>
  <c r="AA627" i="5"/>
  <c r="AB627" i="5" s="1"/>
  <c r="AC627" i="5"/>
  <c r="C628" i="5"/>
  <c r="AA628" i="5"/>
  <c r="AB628" i="5" s="1"/>
  <c r="AC628" i="5"/>
  <c r="C629" i="5"/>
  <c r="AA629" i="5"/>
  <c r="AB629" i="5" s="1"/>
  <c r="AC629" i="5"/>
  <c r="C630" i="5"/>
  <c r="AA630" i="5"/>
  <c r="AB630" i="5" s="1"/>
  <c r="AC630" i="5"/>
  <c r="C631" i="5"/>
  <c r="AA631" i="5"/>
  <c r="AB631" i="5" s="1"/>
  <c r="AC631" i="5"/>
  <c r="C632" i="5"/>
  <c r="AA632" i="5"/>
  <c r="AB632" i="5" s="1"/>
  <c r="AC632" i="5"/>
  <c r="C633" i="5"/>
  <c r="AA633" i="5"/>
  <c r="AB633" i="5" s="1"/>
  <c r="AC633" i="5"/>
  <c r="C634" i="5"/>
  <c r="AA634" i="5"/>
  <c r="AB634" i="5" s="1"/>
  <c r="AC634" i="5"/>
  <c r="C635" i="5"/>
  <c r="AA635" i="5"/>
  <c r="AB635" i="5" s="1"/>
  <c r="AC635" i="5"/>
  <c r="C636" i="5"/>
  <c r="AA636" i="5"/>
  <c r="AB636" i="5" s="1"/>
  <c r="AC636" i="5"/>
  <c r="C637" i="5"/>
  <c r="AA637" i="5"/>
  <c r="AB637" i="5" s="1"/>
  <c r="AC637" i="5"/>
  <c r="C638" i="5"/>
  <c r="AA638" i="5"/>
  <c r="AB638" i="5" s="1"/>
  <c r="AC638" i="5"/>
  <c r="C639" i="5"/>
  <c r="AA639" i="5"/>
  <c r="AB639" i="5" s="1"/>
  <c r="AC639" i="5"/>
  <c r="C640" i="5"/>
  <c r="AA640" i="5"/>
  <c r="AB640" i="5" s="1"/>
  <c r="AC640" i="5"/>
  <c r="C641" i="5"/>
  <c r="AA641" i="5"/>
  <c r="AB641" i="5" s="1"/>
  <c r="AC641" i="5"/>
  <c r="C642" i="5"/>
  <c r="AA642" i="5"/>
  <c r="AB642" i="5" s="1"/>
  <c r="AC642" i="5"/>
  <c r="C643" i="5"/>
  <c r="AA643" i="5"/>
  <c r="AB643" i="5" s="1"/>
  <c r="AC643" i="5"/>
  <c r="C644" i="5"/>
  <c r="AA644" i="5"/>
  <c r="AB644" i="5" s="1"/>
  <c r="AC644" i="5"/>
  <c r="C645" i="5"/>
  <c r="AA645" i="5"/>
  <c r="AB645" i="5" s="1"/>
  <c r="AC645" i="5"/>
  <c r="C646" i="5"/>
  <c r="AA646" i="5"/>
  <c r="AB646" i="5" s="1"/>
  <c r="AC646" i="5"/>
  <c r="C647" i="5"/>
  <c r="AA647" i="5"/>
  <c r="AB647" i="5" s="1"/>
  <c r="AC647" i="5"/>
  <c r="C648" i="5"/>
  <c r="AA648" i="5"/>
  <c r="AB648" i="5" s="1"/>
  <c r="AC648" i="5"/>
  <c r="C649" i="5"/>
  <c r="AA649" i="5"/>
  <c r="AB649" i="5" s="1"/>
  <c r="AC649" i="5"/>
  <c r="C650" i="5"/>
  <c r="AA650" i="5"/>
  <c r="AB650" i="5" s="1"/>
  <c r="AC650" i="5"/>
  <c r="C651" i="5"/>
  <c r="AA651" i="5"/>
  <c r="AB651" i="5" s="1"/>
  <c r="AC651" i="5"/>
  <c r="C652" i="5"/>
  <c r="AA652" i="5"/>
  <c r="AB652" i="5" s="1"/>
  <c r="AC652" i="5"/>
  <c r="C653" i="5"/>
  <c r="AA653" i="5"/>
  <c r="AB653" i="5" s="1"/>
  <c r="AC653" i="5"/>
  <c r="C654" i="5"/>
  <c r="AA654" i="5"/>
  <c r="AB654" i="5" s="1"/>
  <c r="AC654" i="5"/>
  <c r="C655" i="5"/>
  <c r="AA655" i="5"/>
  <c r="AB655" i="5" s="1"/>
  <c r="AC655" i="5"/>
  <c r="C656" i="5"/>
  <c r="AA656" i="5"/>
  <c r="AB656" i="5" s="1"/>
  <c r="AC656" i="5"/>
  <c r="C657" i="5"/>
  <c r="AA657" i="5"/>
  <c r="AB657" i="5" s="1"/>
  <c r="AC657" i="5"/>
  <c r="C658" i="5"/>
  <c r="AA658" i="5"/>
  <c r="AB658" i="5" s="1"/>
  <c r="AC658" i="5"/>
  <c r="C659" i="5"/>
  <c r="AA659" i="5"/>
  <c r="AB659" i="5" s="1"/>
  <c r="AC659" i="5"/>
  <c r="C660" i="5"/>
  <c r="AA660" i="5"/>
  <c r="AB660" i="5" s="1"/>
  <c r="AC660" i="5"/>
  <c r="C661" i="5"/>
  <c r="AA661" i="5"/>
  <c r="AB661" i="5" s="1"/>
  <c r="AC661" i="5"/>
  <c r="C662" i="5"/>
  <c r="AA662" i="5"/>
  <c r="AB662" i="5"/>
  <c r="AC662" i="5"/>
  <c r="C663" i="5"/>
  <c r="AA663" i="5"/>
  <c r="AB663" i="5" s="1"/>
  <c r="AC663" i="5"/>
  <c r="C664" i="5"/>
  <c r="AA664" i="5"/>
  <c r="AB664" i="5"/>
  <c r="AC664" i="5"/>
  <c r="C665" i="5"/>
  <c r="AA665" i="5"/>
  <c r="AB665" i="5" s="1"/>
  <c r="AC665" i="5"/>
  <c r="C666" i="5"/>
  <c r="AA666" i="5"/>
  <c r="AB666" i="5" s="1"/>
  <c r="AC666" i="5"/>
  <c r="C667" i="5"/>
  <c r="AA667" i="5"/>
  <c r="AB667" i="5" s="1"/>
  <c r="AC667" i="5"/>
  <c r="C668" i="5"/>
  <c r="AA668" i="5"/>
  <c r="AB668" i="5" s="1"/>
  <c r="AC668" i="5"/>
  <c r="C669" i="5"/>
  <c r="AA669" i="5"/>
  <c r="AB669" i="5" s="1"/>
  <c r="AC669" i="5"/>
  <c r="C670" i="5"/>
  <c r="AA670" i="5"/>
  <c r="AB670" i="5" s="1"/>
  <c r="AC670" i="5"/>
  <c r="C671" i="5"/>
  <c r="AA671" i="5"/>
  <c r="AB671" i="5" s="1"/>
  <c r="AC671" i="5"/>
  <c r="C672" i="5"/>
  <c r="AA672" i="5"/>
  <c r="AB672" i="5" s="1"/>
  <c r="AC672" i="5"/>
  <c r="C673" i="5"/>
  <c r="AA673" i="5"/>
  <c r="AB673" i="5"/>
  <c r="AC673" i="5"/>
  <c r="C674" i="5"/>
  <c r="AA674" i="5"/>
  <c r="AB674" i="5" s="1"/>
  <c r="AC674" i="5"/>
  <c r="C675" i="5"/>
  <c r="AA675" i="5"/>
  <c r="AB675" i="5" s="1"/>
  <c r="AC675" i="5"/>
  <c r="C676" i="5"/>
  <c r="AA676" i="5"/>
  <c r="AB676" i="5" s="1"/>
  <c r="AC676" i="5"/>
  <c r="C677" i="5"/>
  <c r="AA677" i="5"/>
  <c r="AB677" i="5" s="1"/>
  <c r="AC677" i="5"/>
  <c r="C678" i="5"/>
  <c r="AA678" i="5"/>
  <c r="AB678" i="5" s="1"/>
  <c r="AC678" i="5"/>
  <c r="C679" i="5"/>
  <c r="AA679" i="5"/>
  <c r="AB679" i="5" s="1"/>
  <c r="AC679" i="5"/>
  <c r="C680" i="5"/>
  <c r="AA680" i="5"/>
  <c r="AB680" i="5"/>
  <c r="AC680" i="5"/>
  <c r="C681" i="5"/>
  <c r="AA681" i="5"/>
  <c r="AB681" i="5" s="1"/>
  <c r="AC681" i="5"/>
  <c r="C682" i="5"/>
  <c r="AA682" i="5"/>
  <c r="AB682" i="5"/>
  <c r="AC682" i="5"/>
  <c r="C683" i="5"/>
  <c r="AA683" i="5"/>
  <c r="AB683" i="5" s="1"/>
  <c r="AC683" i="5"/>
  <c r="C684" i="5"/>
  <c r="AA684" i="5"/>
  <c r="AB684" i="5"/>
  <c r="AC684" i="5"/>
  <c r="C685" i="5"/>
  <c r="AA685" i="5"/>
  <c r="AB685" i="5" s="1"/>
  <c r="AC685" i="5"/>
  <c r="C686" i="5"/>
  <c r="AA686" i="5"/>
  <c r="AB686" i="5"/>
  <c r="AC686" i="5"/>
  <c r="C687" i="5"/>
  <c r="AA687" i="5"/>
  <c r="AB687" i="5" s="1"/>
  <c r="AC687" i="5"/>
  <c r="C688" i="5"/>
  <c r="AA688" i="5"/>
  <c r="AB688" i="5" s="1"/>
  <c r="AC688" i="5"/>
  <c r="C689" i="5"/>
  <c r="AA689" i="5"/>
  <c r="AB689" i="5" s="1"/>
  <c r="AC689" i="5"/>
  <c r="C690" i="5"/>
  <c r="AA690" i="5"/>
  <c r="AB690" i="5" s="1"/>
  <c r="AC690" i="5"/>
  <c r="C691" i="5"/>
  <c r="AA691" i="5"/>
  <c r="AB691" i="5"/>
  <c r="AC691" i="5"/>
  <c r="C692" i="5"/>
  <c r="AA692" i="5"/>
  <c r="AB692" i="5" s="1"/>
  <c r="AC692" i="5"/>
  <c r="C693" i="5"/>
  <c r="AA693" i="5"/>
  <c r="AB693" i="5" s="1"/>
  <c r="AC693" i="5"/>
  <c r="C694" i="5"/>
  <c r="AA694" i="5"/>
  <c r="AB694" i="5" s="1"/>
  <c r="AC694" i="5"/>
  <c r="C695" i="5"/>
  <c r="AA695" i="5"/>
  <c r="AB695" i="5" s="1"/>
  <c r="AC695" i="5"/>
  <c r="C696" i="5"/>
  <c r="AA696" i="5"/>
  <c r="AB696" i="5" s="1"/>
  <c r="AC696" i="5"/>
  <c r="C697" i="5"/>
  <c r="AA697" i="5"/>
  <c r="AB697" i="5"/>
  <c r="AC697" i="5"/>
  <c r="C698" i="5"/>
  <c r="AA698" i="5"/>
  <c r="AB698" i="5"/>
  <c r="AC698" i="5"/>
  <c r="C699" i="5"/>
  <c r="AA699" i="5"/>
  <c r="AB699" i="5"/>
  <c r="AC699" i="5"/>
  <c r="C700" i="5"/>
  <c r="AA700" i="5"/>
  <c r="AB700" i="5"/>
  <c r="AC700" i="5"/>
  <c r="C701" i="5"/>
  <c r="AA701" i="5"/>
  <c r="AB701" i="5" s="1"/>
  <c r="AC701" i="5"/>
  <c r="C702" i="5"/>
  <c r="AA702" i="5"/>
  <c r="AB702" i="5" s="1"/>
  <c r="AC702" i="5"/>
  <c r="C703" i="5"/>
  <c r="AA703" i="5"/>
  <c r="AB703" i="5" s="1"/>
  <c r="AC703" i="5"/>
  <c r="C704" i="5"/>
  <c r="AA704" i="5"/>
  <c r="AB704" i="5" s="1"/>
  <c r="AC704" i="5"/>
  <c r="C705" i="5"/>
  <c r="AA705" i="5"/>
  <c r="AB705" i="5" s="1"/>
  <c r="AC705" i="5"/>
  <c r="C706" i="5"/>
  <c r="AA706" i="5"/>
  <c r="AB706" i="5" s="1"/>
  <c r="AC706" i="5"/>
  <c r="C707" i="5"/>
  <c r="AA707" i="5"/>
  <c r="AB707" i="5" s="1"/>
  <c r="AC707" i="5"/>
  <c r="C708" i="5"/>
  <c r="AA708" i="5"/>
  <c r="AB708" i="5" s="1"/>
  <c r="AC708" i="5"/>
  <c r="C709" i="5"/>
  <c r="AA709" i="5"/>
  <c r="AB709" i="5"/>
  <c r="AC709" i="5"/>
  <c r="C710" i="5"/>
  <c r="AA710" i="5"/>
  <c r="AB710" i="5" s="1"/>
  <c r="AC710" i="5"/>
  <c r="C711" i="5"/>
  <c r="AA711" i="5"/>
  <c r="AB711" i="5" s="1"/>
  <c r="AC711" i="5"/>
  <c r="C712" i="5"/>
  <c r="AA712" i="5"/>
  <c r="AB712" i="5" s="1"/>
  <c r="AC712" i="5"/>
  <c r="C713" i="5"/>
  <c r="AA713" i="5"/>
  <c r="AB713" i="5" s="1"/>
  <c r="AC713" i="5"/>
  <c r="C714" i="5"/>
  <c r="AA714" i="5"/>
  <c r="AB714" i="5" s="1"/>
  <c r="AC714" i="5"/>
  <c r="C715" i="5"/>
  <c r="AA715" i="5"/>
  <c r="AB715" i="5" s="1"/>
  <c r="AC715" i="5"/>
  <c r="C716" i="5"/>
  <c r="AA716" i="5"/>
  <c r="AB716" i="5" s="1"/>
  <c r="AC716" i="5"/>
  <c r="C717" i="5"/>
  <c r="AA717" i="5"/>
  <c r="AB717" i="5" s="1"/>
  <c r="AC717" i="5"/>
  <c r="C718" i="5"/>
  <c r="AA718" i="5"/>
  <c r="AB718" i="5" s="1"/>
  <c r="AC718" i="5"/>
  <c r="C719" i="5"/>
  <c r="AA719" i="5"/>
  <c r="AB719" i="5" s="1"/>
  <c r="AC719" i="5"/>
  <c r="C720" i="5"/>
  <c r="AA720" i="5"/>
  <c r="AB720" i="5" s="1"/>
  <c r="AC720" i="5"/>
  <c r="C721" i="5"/>
  <c r="AA721" i="5"/>
  <c r="AB721" i="5" s="1"/>
  <c r="AC721" i="5"/>
  <c r="C722" i="5"/>
  <c r="AA722" i="5"/>
  <c r="AB722" i="5" s="1"/>
  <c r="AC722" i="5"/>
  <c r="C723" i="5"/>
  <c r="AA723" i="5"/>
  <c r="AB723" i="5" s="1"/>
  <c r="AC723" i="5"/>
  <c r="C724" i="5"/>
  <c r="AA724" i="5"/>
  <c r="AB724" i="5" s="1"/>
  <c r="AC724" i="5"/>
  <c r="C725" i="5"/>
  <c r="AA725" i="5"/>
  <c r="AB725" i="5" s="1"/>
  <c r="AC725" i="5"/>
  <c r="C726" i="5"/>
  <c r="AA726" i="5"/>
  <c r="AB726" i="5" s="1"/>
  <c r="AC726" i="5"/>
  <c r="C727" i="5"/>
  <c r="AA727" i="5"/>
  <c r="AB727" i="5" s="1"/>
  <c r="AC727" i="5"/>
  <c r="C728" i="5"/>
  <c r="AA728" i="5"/>
  <c r="AB728" i="5"/>
  <c r="AC728" i="5"/>
  <c r="C729" i="5"/>
  <c r="AA729" i="5"/>
  <c r="AB729" i="5" s="1"/>
  <c r="AC729" i="5"/>
  <c r="C730" i="5"/>
  <c r="AA730" i="5"/>
  <c r="AB730" i="5" s="1"/>
  <c r="AC730" i="5"/>
  <c r="C731" i="5"/>
  <c r="AA731" i="5"/>
  <c r="AB731" i="5" s="1"/>
  <c r="AC731" i="5"/>
  <c r="C732" i="5"/>
  <c r="AA732" i="5"/>
  <c r="AB732" i="5" s="1"/>
  <c r="AC732" i="5"/>
  <c r="C733" i="5"/>
  <c r="AA733" i="5"/>
  <c r="AB733" i="5" s="1"/>
  <c r="AC733" i="5"/>
  <c r="C734" i="5"/>
  <c r="AA734" i="5"/>
  <c r="AB734" i="5" s="1"/>
  <c r="AC734" i="5"/>
  <c r="C735" i="5"/>
  <c r="AA735" i="5"/>
  <c r="AB735" i="5" s="1"/>
  <c r="AC735" i="5"/>
  <c r="C736" i="5"/>
  <c r="AA736" i="5"/>
  <c r="AB736" i="5" s="1"/>
  <c r="AC736" i="5"/>
  <c r="C737" i="5"/>
  <c r="AA737" i="5"/>
  <c r="AB737" i="5"/>
  <c r="AC737" i="5"/>
  <c r="C738" i="5"/>
  <c r="AA738" i="5"/>
  <c r="AB738" i="5" s="1"/>
  <c r="AC738" i="5"/>
  <c r="C739" i="5"/>
  <c r="AA739" i="5"/>
  <c r="AB739" i="5" s="1"/>
  <c r="AC739" i="5"/>
  <c r="C740" i="5"/>
  <c r="AA740" i="5"/>
  <c r="AB740" i="5" s="1"/>
  <c r="AC740" i="5"/>
  <c r="C741" i="5"/>
  <c r="AA741" i="5"/>
  <c r="AB741" i="5" s="1"/>
  <c r="AC741" i="5"/>
  <c r="C742" i="5"/>
  <c r="AA742" i="5"/>
  <c r="AB742" i="5" s="1"/>
  <c r="AC742" i="5"/>
  <c r="C743" i="5"/>
  <c r="AA743" i="5"/>
  <c r="AB743" i="5" s="1"/>
  <c r="AC743" i="5"/>
  <c r="C744" i="5"/>
  <c r="AA744" i="5"/>
  <c r="AB744" i="5" s="1"/>
  <c r="AC744" i="5"/>
  <c r="C745" i="5"/>
  <c r="AA745" i="5"/>
  <c r="AB745" i="5" s="1"/>
  <c r="AC745" i="5"/>
  <c r="C746" i="5"/>
  <c r="AA746" i="5"/>
  <c r="AB746" i="5" s="1"/>
  <c r="AC746" i="5"/>
  <c r="C747" i="5"/>
  <c r="AA747" i="5"/>
  <c r="AB747" i="5" s="1"/>
  <c r="AC747" i="5"/>
  <c r="C748" i="5"/>
  <c r="AA748" i="5"/>
  <c r="AB748" i="5" s="1"/>
  <c r="AC748" i="5"/>
  <c r="C749" i="5"/>
  <c r="AA749" i="5"/>
  <c r="AB749" i="5" s="1"/>
  <c r="AC749" i="5"/>
  <c r="C750" i="5"/>
  <c r="AA750" i="5"/>
  <c r="AB750" i="5"/>
  <c r="AC750" i="5"/>
  <c r="C751" i="5"/>
  <c r="AA751" i="5"/>
  <c r="AB751" i="5" s="1"/>
  <c r="AC751" i="5"/>
  <c r="C752" i="5"/>
  <c r="AA752" i="5"/>
  <c r="AB752" i="5" s="1"/>
  <c r="AC752" i="5"/>
  <c r="C753" i="5"/>
  <c r="AA753" i="5"/>
  <c r="AB753" i="5" s="1"/>
  <c r="AC753" i="5"/>
  <c r="C754" i="5"/>
  <c r="AA754" i="5"/>
  <c r="AB754" i="5" s="1"/>
  <c r="AC754" i="5"/>
  <c r="C755" i="5"/>
  <c r="AA755" i="5"/>
  <c r="AB755" i="5" s="1"/>
  <c r="AC755" i="5"/>
  <c r="C756" i="5"/>
  <c r="AA756" i="5"/>
  <c r="AB756" i="5" s="1"/>
  <c r="AC756" i="5"/>
  <c r="C757" i="5"/>
  <c r="AA757" i="5"/>
  <c r="AB757" i="5" s="1"/>
  <c r="AC757" i="5"/>
  <c r="C758" i="5"/>
  <c r="AA758" i="5"/>
  <c r="AB758" i="5" s="1"/>
  <c r="AC758" i="5"/>
  <c r="C759" i="5"/>
  <c r="AA759" i="5"/>
  <c r="AB759" i="5" s="1"/>
  <c r="AC759" i="5"/>
  <c r="C760" i="5"/>
  <c r="AA760" i="5"/>
  <c r="AB760" i="5" s="1"/>
  <c r="AC760" i="5"/>
  <c r="C761" i="5"/>
  <c r="AA761" i="5"/>
  <c r="AB761" i="5" s="1"/>
  <c r="AC761" i="5"/>
  <c r="C762" i="5"/>
  <c r="AA762" i="5"/>
  <c r="AB762" i="5"/>
  <c r="AC762" i="5"/>
  <c r="C763" i="5"/>
  <c r="AA763" i="5"/>
  <c r="AB763" i="5" s="1"/>
  <c r="AC763" i="5"/>
  <c r="C764" i="5"/>
  <c r="AA764" i="5"/>
  <c r="AB764" i="5"/>
  <c r="AC764" i="5"/>
  <c r="C765" i="5"/>
  <c r="AA765" i="5"/>
  <c r="AB765" i="5" s="1"/>
  <c r="AC765" i="5"/>
  <c r="C766" i="5"/>
  <c r="AA766" i="5"/>
  <c r="AB766" i="5" s="1"/>
  <c r="AC766" i="5"/>
  <c r="C767" i="5"/>
  <c r="AA767" i="5"/>
  <c r="AB767" i="5" s="1"/>
  <c r="AC767" i="5"/>
  <c r="C768" i="5"/>
  <c r="AA768" i="5"/>
  <c r="AB768" i="5" s="1"/>
  <c r="AC768" i="5"/>
  <c r="C769" i="5"/>
  <c r="AA769" i="5"/>
  <c r="AB769" i="5"/>
  <c r="AC769" i="5"/>
  <c r="C770" i="5"/>
  <c r="AA770" i="5"/>
  <c r="AB770" i="5" s="1"/>
  <c r="AC770" i="5"/>
  <c r="C771" i="5"/>
  <c r="AA771" i="5"/>
  <c r="AB771" i="5" s="1"/>
  <c r="AC771" i="5"/>
  <c r="C772" i="5"/>
  <c r="AA772" i="5"/>
  <c r="AB772" i="5" s="1"/>
  <c r="AC772" i="5"/>
  <c r="C773" i="5"/>
  <c r="AA773" i="5"/>
  <c r="AB773" i="5"/>
  <c r="AC773" i="5"/>
  <c r="C774" i="5"/>
  <c r="AA774" i="5"/>
  <c r="AB774" i="5" s="1"/>
  <c r="AC774" i="5"/>
  <c r="C775" i="5"/>
  <c r="AA775" i="5"/>
  <c r="AB775" i="5"/>
  <c r="AC775" i="5"/>
  <c r="C776" i="5"/>
  <c r="AA776" i="5"/>
  <c r="AB776" i="5" s="1"/>
  <c r="AC776" i="5"/>
  <c r="C777" i="5"/>
  <c r="AA777" i="5"/>
  <c r="AB777" i="5" s="1"/>
  <c r="AC777" i="5"/>
  <c r="C778" i="5"/>
  <c r="AA778" i="5"/>
  <c r="AB778" i="5"/>
  <c r="AC778" i="5"/>
  <c r="C779" i="5"/>
  <c r="AA779" i="5"/>
  <c r="AB779" i="5" s="1"/>
  <c r="AC779" i="5"/>
  <c r="C780" i="5"/>
  <c r="AA780" i="5"/>
  <c r="AB780" i="5" s="1"/>
  <c r="AC780" i="5"/>
  <c r="C781" i="5"/>
  <c r="AA781" i="5"/>
  <c r="AB781" i="5"/>
  <c r="AC781" i="5"/>
  <c r="C782" i="5"/>
  <c r="AA782" i="5"/>
  <c r="AB782" i="5" s="1"/>
  <c r="AC782" i="5"/>
  <c r="C783" i="5"/>
  <c r="AA783" i="5"/>
  <c r="AB783" i="5"/>
  <c r="AC783" i="5"/>
  <c r="C784" i="5"/>
  <c r="AA784" i="5"/>
  <c r="AB784" i="5" s="1"/>
  <c r="AC784" i="5"/>
  <c r="C785" i="5"/>
  <c r="AA785" i="5"/>
  <c r="AB785" i="5" s="1"/>
  <c r="AC785" i="5"/>
  <c r="C786" i="5"/>
  <c r="AA786" i="5"/>
  <c r="AB786" i="5" s="1"/>
  <c r="AC786" i="5"/>
  <c r="C787" i="5"/>
  <c r="AA787" i="5"/>
  <c r="AB787" i="5" s="1"/>
  <c r="AC787" i="5"/>
  <c r="C788" i="5"/>
  <c r="AA788" i="5"/>
  <c r="AB788" i="5" s="1"/>
  <c r="AC788" i="5"/>
  <c r="C789" i="5"/>
  <c r="AA789" i="5"/>
  <c r="AB789" i="5" s="1"/>
  <c r="AC789" i="5"/>
  <c r="C790" i="5"/>
  <c r="AA790" i="5"/>
  <c r="AB790" i="5" s="1"/>
  <c r="AC790" i="5"/>
  <c r="C791" i="5"/>
  <c r="AA791" i="5"/>
  <c r="AB791" i="5" s="1"/>
  <c r="AC791" i="5"/>
  <c r="C792" i="5"/>
  <c r="AA792" i="5"/>
  <c r="AB792" i="5" s="1"/>
  <c r="AC792" i="5"/>
  <c r="C793" i="5"/>
  <c r="AA793" i="5"/>
  <c r="AB793" i="5" s="1"/>
  <c r="AC793" i="5"/>
  <c r="C794" i="5"/>
  <c r="AA794" i="5"/>
  <c r="AB794" i="5" s="1"/>
  <c r="AC794" i="5"/>
  <c r="C795" i="5"/>
  <c r="AA795" i="5"/>
  <c r="AB795" i="5" s="1"/>
  <c r="AC795" i="5"/>
  <c r="C796" i="5"/>
  <c r="AA796" i="5"/>
  <c r="AB796" i="5" s="1"/>
  <c r="AC796" i="5"/>
  <c r="C797" i="5"/>
  <c r="AA797" i="5"/>
  <c r="AB797" i="5" s="1"/>
  <c r="AC797" i="5"/>
  <c r="C798" i="5"/>
  <c r="AA798" i="5"/>
  <c r="AB798" i="5" s="1"/>
  <c r="AC798" i="5"/>
  <c r="C799" i="5"/>
  <c r="AA799" i="5"/>
  <c r="AB799" i="5" s="1"/>
  <c r="AC799" i="5"/>
  <c r="C800" i="5"/>
  <c r="AA800" i="5"/>
  <c r="AB800" i="5" s="1"/>
  <c r="AC800" i="5"/>
  <c r="C801" i="5"/>
  <c r="AA801" i="5"/>
  <c r="AB801" i="5"/>
  <c r="AC801" i="5"/>
  <c r="C802" i="5"/>
  <c r="AA802" i="5"/>
  <c r="AB802" i="5" s="1"/>
  <c r="AC802" i="5"/>
  <c r="C803" i="5"/>
  <c r="AA803" i="5"/>
  <c r="AB803" i="5"/>
  <c r="AC803" i="5"/>
  <c r="C804" i="5"/>
  <c r="AA804" i="5"/>
  <c r="AB804" i="5" s="1"/>
  <c r="AC804" i="5"/>
  <c r="C805" i="5"/>
  <c r="AA805" i="5"/>
  <c r="AB805" i="5" s="1"/>
  <c r="AC805" i="5"/>
  <c r="C806" i="5"/>
  <c r="AA806" i="5"/>
  <c r="AB806" i="5" s="1"/>
  <c r="AC806" i="5"/>
  <c r="C807" i="5"/>
  <c r="AA807" i="5"/>
  <c r="AB807" i="5" s="1"/>
  <c r="AC807" i="5"/>
  <c r="C808" i="5"/>
  <c r="AA808" i="5"/>
  <c r="AB808" i="5" s="1"/>
  <c r="AC808" i="5"/>
  <c r="C809" i="5"/>
  <c r="AA809" i="5"/>
  <c r="AB809" i="5" s="1"/>
  <c r="AC809" i="5"/>
  <c r="C810" i="5"/>
  <c r="AA810" i="5"/>
  <c r="AB810" i="5"/>
  <c r="AC810" i="5"/>
  <c r="C811" i="5"/>
  <c r="AA811" i="5"/>
  <c r="AB811" i="5" s="1"/>
  <c r="AC811" i="5"/>
  <c r="C812" i="5"/>
  <c r="AA812" i="5"/>
  <c r="AB812" i="5"/>
  <c r="AC812" i="5"/>
  <c r="C813" i="5"/>
  <c r="AA813" i="5"/>
  <c r="AB813" i="5" s="1"/>
  <c r="AC813" i="5"/>
  <c r="C814" i="5"/>
  <c r="AA814" i="5"/>
  <c r="AB814" i="5" s="1"/>
  <c r="AC814" i="5"/>
  <c r="C815" i="5"/>
  <c r="AA815" i="5"/>
  <c r="AB815" i="5" s="1"/>
  <c r="AC815" i="5"/>
  <c r="C816" i="5"/>
  <c r="AA816" i="5"/>
  <c r="AB816" i="5" s="1"/>
  <c r="AC816" i="5"/>
  <c r="C817" i="5"/>
  <c r="AA817" i="5"/>
  <c r="AB817" i="5"/>
  <c r="AC817" i="5"/>
  <c r="C818" i="5"/>
  <c r="AA818" i="5"/>
  <c r="AB818" i="5" s="1"/>
  <c r="AC818" i="5"/>
  <c r="AD818" i="5"/>
  <c r="C819" i="5"/>
  <c r="AA819" i="5"/>
  <c r="AB819" i="5" s="1"/>
  <c r="AC819" i="5"/>
  <c r="C820" i="5"/>
  <c r="AA820" i="5"/>
  <c r="AB820" i="5" s="1"/>
  <c r="AC820" i="5"/>
  <c r="C821" i="5"/>
  <c r="AA821" i="5"/>
  <c r="AB821" i="5" s="1"/>
  <c r="AC821" i="5"/>
  <c r="C822" i="5"/>
  <c r="AA822" i="5"/>
  <c r="AB822" i="5" s="1"/>
  <c r="AC822" i="5"/>
  <c r="C823" i="5"/>
  <c r="AA823" i="5"/>
  <c r="AB823" i="5" s="1"/>
  <c r="AC823" i="5"/>
  <c r="C824" i="5"/>
  <c r="AD824" i="5" s="1"/>
  <c r="AA824" i="5"/>
  <c r="AB824" i="5" s="1"/>
  <c r="AC824" i="5"/>
  <c r="C825" i="5"/>
  <c r="AA825" i="5"/>
  <c r="AB825" i="5" s="1"/>
  <c r="AC825" i="5"/>
  <c r="C826" i="5"/>
  <c r="AA826" i="5"/>
  <c r="AB826" i="5" s="1"/>
  <c r="AC826" i="5"/>
  <c r="C827" i="5"/>
  <c r="AA827" i="5"/>
  <c r="AB827" i="5" s="1"/>
  <c r="AC827" i="5"/>
  <c r="C828" i="5"/>
  <c r="AA828" i="5"/>
  <c r="AB828" i="5"/>
  <c r="AC828" i="5"/>
  <c r="C829" i="5"/>
  <c r="AD829" i="5" s="1"/>
  <c r="AA829" i="5"/>
  <c r="AB829" i="5" s="1"/>
  <c r="AC829" i="5"/>
  <c r="C830" i="5"/>
  <c r="AA830" i="5"/>
  <c r="AB830" i="5"/>
  <c r="AC830" i="5"/>
  <c r="C831" i="5"/>
  <c r="AA831" i="5"/>
  <c r="AB831" i="5" s="1"/>
  <c r="AC831" i="5"/>
  <c r="C832" i="5"/>
  <c r="AA832" i="5"/>
  <c r="AB832" i="5" s="1"/>
  <c r="AC832" i="5"/>
  <c r="C833" i="5"/>
  <c r="AA833" i="5"/>
  <c r="AB833" i="5" s="1"/>
  <c r="AC833" i="5"/>
  <c r="C834" i="5"/>
  <c r="AD834" i="5" s="1"/>
  <c r="AA834" i="5"/>
  <c r="AB834" i="5"/>
  <c r="AC834" i="5"/>
  <c r="C835" i="5"/>
  <c r="AA835" i="5"/>
  <c r="AB835" i="5" s="1"/>
  <c r="AC835" i="5"/>
  <c r="C836" i="5"/>
  <c r="AA836" i="5"/>
  <c r="AB836" i="5"/>
  <c r="AC836" i="5"/>
  <c r="C837" i="5"/>
  <c r="AA837" i="5"/>
  <c r="AB837" i="5" s="1"/>
  <c r="AC837" i="5"/>
  <c r="C838" i="5"/>
  <c r="AA838" i="5"/>
  <c r="AB838" i="5" s="1"/>
  <c r="AC838" i="5"/>
  <c r="C839" i="5"/>
  <c r="AA839" i="5"/>
  <c r="AB839" i="5" s="1"/>
  <c r="AC839" i="5"/>
  <c r="C840" i="5"/>
  <c r="AA840" i="5"/>
  <c r="AB840" i="5" s="1"/>
  <c r="AC840" i="5"/>
  <c r="C841" i="5"/>
  <c r="AA841" i="5"/>
  <c r="AB841" i="5" s="1"/>
  <c r="AC841" i="5"/>
  <c r="C842" i="5"/>
  <c r="AA842" i="5"/>
  <c r="AB842" i="5" s="1"/>
  <c r="AC842" i="5"/>
  <c r="C843" i="5"/>
  <c r="AA843" i="5"/>
  <c r="AB843" i="5"/>
  <c r="AC843" i="5"/>
  <c r="C844" i="5"/>
  <c r="AA844" i="5"/>
  <c r="AB844" i="5" s="1"/>
  <c r="AC844" i="5"/>
  <c r="C845" i="5"/>
  <c r="AA845" i="5"/>
  <c r="AB845" i="5" s="1"/>
  <c r="AC845" i="5"/>
  <c r="C846" i="5"/>
  <c r="AA846" i="5"/>
  <c r="AB846" i="5" s="1"/>
  <c r="AC846" i="5"/>
  <c r="C847" i="5"/>
  <c r="AA847" i="5"/>
  <c r="AB847" i="5" s="1"/>
  <c r="AC847" i="5"/>
  <c r="C848" i="5"/>
  <c r="AA848" i="5"/>
  <c r="AB848" i="5" s="1"/>
  <c r="AC848" i="5"/>
  <c r="C849" i="5"/>
  <c r="AA849" i="5"/>
  <c r="AB849" i="5" s="1"/>
  <c r="AC849" i="5"/>
  <c r="C850" i="5"/>
  <c r="AA850" i="5"/>
  <c r="AB850" i="5" s="1"/>
  <c r="AC850" i="5"/>
  <c r="C851" i="5"/>
  <c r="AA851" i="5"/>
  <c r="AB851" i="5" s="1"/>
  <c r="AC851" i="5"/>
  <c r="C852" i="5"/>
  <c r="AA852" i="5"/>
  <c r="AB852" i="5" s="1"/>
  <c r="AC852" i="5"/>
  <c r="C853" i="5"/>
  <c r="AA853" i="5"/>
  <c r="AB853" i="5" s="1"/>
  <c r="AC853" i="5"/>
  <c r="C854" i="5"/>
  <c r="AA854" i="5"/>
  <c r="AB854" i="5" s="1"/>
  <c r="AC854" i="5"/>
  <c r="C855" i="5"/>
  <c r="AA855" i="5"/>
  <c r="AB855" i="5" s="1"/>
  <c r="AC855" i="5"/>
  <c r="C856" i="5"/>
  <c r="AA856" i="5"/>
  <c r="AB856" i="5" s="1"/>
  <c r="AC856" i="5"/>
  <c r="C857" i="5"/>
  <c r="AA857" i="5"/>
  <c r="AB857" i="5" s="1"/>
  <c r="AC857" i="5"/>
  <c r="C858" i="5"/>
  <c r="AA858" i="5"/>
  <c r="AB858" i="5"/>
  <c r="AC858" i="5"/>
  <c r="C859" i="5"/>
  <c r="AA859" i="5"/>
  <c r="AB859" i="5" s="1"/>
  <c r="AC859" i="5"/>
  <c r="C860" i="5"/>
  <c r="AA860" i="5"/>
  <c r="AB860" i="5" s="1"/>
  <c r="AC860" i="5"/>
  <c r="C861" i="5"/>
  <c r="AA861" i="5"/>
  <c r="AB861" i="5"/>
  <c r="AC861" i="5"/>
  <c r="C862" i="5"/>
  <c r="AA862" i="5"/>
  <c r="AB862" i="5" s="1"/>
  <c r="AC862" i="5"/>
  <c r="C863" i="5"/>
  <c r="AA863" i="5"/>
  <c r="AB863" i="5" s="1"/>
  <c r="AC863" i="5"/>
  <c r="C864" i="5"/>
  <c r="AA864" i="5"/>
  <c r="AB864" i="5" s="1"/>
  <c r="AC864" i="5"/>
  <c r="C865" i="5"/>
  <c r="AA865" i="5"/>
  <c r="AB865" i="5" s="1"/>
  <c r="AC865" i="5"/>
  <c r="C866" i="5"/>
  <c r="AA866" i="5"/>
  <c r="AB866" i="5" s="1"/>
  <c r="AC866" i="5"/>
  <c r="C867" i="5"/>
  <c r="AA867" i="5"/>
  <c r="AB867" i="5" s="1"/>
  <c r="AC867" i="5"/>
  <c r="C868" i="5"/>
  <c r="AA868" i="5"/>
  <c r="AB868" i="5" s="1"/>
  <c r="AC868" i="5"/>
  <c r="C869" i="5"/>
  <c r="AA869" i="5"/>
  <c r="AB869" i="5" s="1"/>
  <c r="AC869" i="5"/>
  <c r="C870" i="5"/>
  <c r="AA870" i="5"/>
  <c r="AB870" i="5" s="1"/>
  <c r="AC870" i="5"/>
  <c r="C871" i="5"/>
  <c r="AA871" i="5"/>
  <c r="AB871" i="5" s="1"/>
  <c r="AC871" i="5"/>
  <c r="C872" i="5"/>
  <c r="AA872" i="5"/>
  <c r="AB872" i="5" s="1"/>
  <c r="AC872" i="5"/>
  <c r="C873" i="5"/>
  <c r="AA873" i="5"/>
  <c r="AB873" i="5" s="1"/>
  <c r="AC873" i="5"/>
  <c r="C874" i="5"/>
  <c r="AA874" i="5"/>
  <c r="AB874" i="5" s="1"/>
  <c r="AC874" i="5"/>
  <c r="C875" i="5"/>
  <c r="AA875" i="5"/>
  <c r="AB875" i="5" s="1"/>
  <c r="AC875" i="5"/>
  <c r="C876" i="5"/>
  <c r="AA876" i="5"/>
  <c r="AB876" i="5"/>
  <c r="AC876" i="5"/>
  <c r="C877" i="5"/>
  <c r="AA877" i="5"/>
  <c r="AB877" i="5" s="1"/>
  <c r="AC877" i="5"/>
  <c r="C878" i="5"/>
  <c r="AA878" i="5"/>
  <c r="AB878" i="5" s="1"/>
  <c r="AC878" i="5"/>
  <c r="C879" i="5"/>
  <c r="AA879" i="5"/>
  <c r="AB879" i="5" s="1"/>
  <c r="AC879" i="5"/>
  <c r="C880" i="5"/>
  <c r="AA880" i="5"/>
  <c r="AB880" i="5" s="1"/>
  <c r="AC880" i="5"/>
  <c r="C881" i="5"/>
  <c r="AA881" i="5"/>
  <c r="AB881" i="5"/>
  <c r="AC881" i="5"/>
  <c r="C882" i="5"/>
  <c r="AA882" i="5"/>
  <c r="AB882" i="5" s="1"/>
  <c r="AC882" i="5"/>
  <c r="C883" i="5"/>
  <c r="AA883" i="5"/>
  <c r="AB883" i="5" s="1"/>
  <c r="AC883" i="5"/>
  <c r="C884" i="5"/>
  <c r="AA884" i="5"/>
  <c r="AB884" i="5" s="1"/>
  <c r="AC884" i="5"/>
  <c r="C885" i="5"/>
  <c r="AA885" i="5"/>
  <c r="AB885" i="5" s="1"/>
  <c r="AC885" i="5"/>
  <c r="C886" i="5"/>
  <c r="AA886" i="5"/>
  <c r="AB886" i="5" s="1"/>
  <c r="AC886" i="5"/>
  <c r="C887" i="5"/>
  <c r="AA887" i="5"/>
  <c r="AB887" i="5" s="1"/>
  <c r="AC887" i="5"/>
  <c r="C888" i="5"/>
  <c r="AA888" i="5"/>
  <c r="AB888" i="5" s="1"/>
  <c r="AC888" i="5"/>
  <c r="C889" i="5"/>
  <c r="AA889" i="5"/>
  <c r="AB889" i="5" s="1"/>
  <c r="AC889" i="5"/>
  <c r="C890" i="5"/>
  <c r="AA890" i="5"/>
  <c r="AB890" i="5" s="1"/>
  <c r="AC890" i="5"/>
  <c r="C891" i="5"/>
  <c r="AA891" i="5"/>
  <c r="AB891" i="5" s="1"/>
  <c r="AC891" i="5"/>
  <c r="C892" i="5"/>
  <c r="AA892" i="5"/>
  <c r="AB892" i="5" s="1"/>
  <c r="AC892" i="5"/>
  <c r="C893" i="5"/>
  <c r="AA893" i="5"/>
  <c r="AB893" i="5"/>
  <c r="AC893" i="5"/>
  <c r="C894" i="5"/>
  <c r="AA894" i="5"/>
  <c r="AB894" i="5"/>
  <c r="AC894" i="5"/>
  <c r="C895" i="5"/>
  <c r="AA895" i="5"/>
  <c r="AB895" i="5"/>
  <c r="AC895" i="5"/>
  <c r="C896" i="5"/>
  <c r="AA896" i="5"/>
  <c r="AB896" i="5" s="1"/>
  <c r="AC896" i="5"/>
  <c r="C897" i="5"/>
  <c r="AA897" i="5"/>
  <c r="AB897" i="5"/>
  <c r="AC897" i="5"/>
  <c r="C898" i="5"/>
  <c r="AA898" i="5"/>
  <c r="AB898" i="5" s="1"/>
  <c r="AC898" i="5"/>
  <c r="C899" i="5"/>
  <c r="AA899" i="5"/>
  <c r="AB899" i="5"/>
  <c r="AC899" i="5"/>
  <c r="C900" i="5"/>
  <c r="AA900" i="5"/>
  <c r="AB900" i="5"/>
  <c r="AC900" i="5"/>
  <c r="C901" i="5"/>
  <c r="AA901" i="5"/>
  <c r="AB901" i="5" s="1"/>
  <c r="AC901" i="5"/>
  <c r="C902" i="5"/>
  <c r="AA902" i="5"/>
  <c r="AB902" i="5" s="1"/>
  <c r="AC902" i="5"/>
  <c r="C903" i="5"/>
  <c r="AA903" i="5"/>
  <c r="AB903" i="5" s="1"/>
  <c r="AC903" i="5"/>
  <c r="C904" i="5"/>
  <c r="AA904" i="5"/>
  <c r="AB904" i="5" s="1"/>
  <c r="AC904" i="5"/>
  <c r="C905" i="5"/>
  <c r="AA905" i="5"/>
  <c r="AB905" i="5" s="1"/>
  <c r="AC905" i="5"/>
  <c r="C906" i="5"/>
  <c r="AA906" i="5"/>
  <c r="AB906" i="5" s="1"/>
  <c r="AC906" i="5"/>
  <c r="C907" i="5"/>
  <c r="AA907" i="5"/>
  <c r="AB907" i="5" s="1"/>
  <c r="AC907" i="5"/>
  <c r="C908" i="5"/>
  <c r="AA908" i="5"/>
  <c r="AB908" i="5" s="1"/>
  <c r="AC908" i="5"/>
  <c r="C909" i="5"/>
  <c r="AA909" i="5"/>
  <c r="AB909" i="5" s="1"/>
  <c r="AC909" i="5"/>
  <c r="C910" i="5"/>
  <c r="AA910" i="5"/>
  <c r="AB910" i="5" s="1"/>
  <c r="AC910" i="5"/>
  <c r="C911" i="5"/>
  <c r="AA911" i="5"/>
  <c r="AB911" i="5" s="1"/>
  <c r="AC911" i="5"/>
  <c r="C912" i="5"/>
  <c r="AA912" i="5"/>
  <c r="AB912" i="5" s="1"/>
  <c r="AC912" i="5"/>
  <c r="C913" i="5"/>
  <c r="AA913" i="5"/>
  <c r="AB913" i="5"/>
  <c r="AC913" i="5"/>
  <c r="C914" i="5"/>
  <c r="AA914" i="5"/>
  <c r="AB914" i="5" s="1"/>
  <c r="AC914" i="5"/>
  <c r="C915" i="5"/>
  <c r="AA915" i="5"/>
  <c r="AB915" i="5" s="1"/>
  <c r="AC915" i="5"/>
  <c r="C916" i="5"/>
  <c r="AA916" i="5"/>
  <c r="AB916" i="5" s="1"/>
  <c r="AC916" i="5"/>
  <c r="C917" i="5"/>
  <c r="AA917" i="5"/>
  <c r="AB917" i="5" s="1"/>
  <c r="AC917" i="5"/>
  <c r="C918" i="5"/>
  <c r="AA918" i="5"/>
  <c r="AB918" i="5" s="1"/>
  <c r="AC918" i="5"/>
  <c r="C919" i="5"/>
  <c r="AA919" i="5"/>
  <c r="AB919" i="5" s="1"/>
  <c r="AC919" i="5"/>
  <c r="C920" i="5"/>
  <c r="AA920" i="5"/>
  <c r="AB920" i="5" s="1"/>
  <c r="AC920" i="5"/>
  <c r="C921" i="5"/>
  <c r="AA921" i="5"/>
  <c r="AB921" i="5" s="1"/>
  <c r="AC921" i="5"/>
  <c r="C922" i="5"/>
  <c r="AA922" i="5"/>
  <c r="AB922" i="5" s="1"/>
  <c r="AC922" i="5"/>
  <c r="C923" i="5"/>
  <c r="AA923" i="5"/>
  <c r="AB923" i="5" s="1"/>
  <c r="AC923" i="5"/>
  <c r="C924" i="5"/>
  <c r="AA924" i="5"/>
  <c r="AB924" i="5" s="1"/>
  <c r="AC924" i="5"/>
  <c r="C925" i="5"/>
  <c r="AA925" i="5"/>
  <c r="AB925" i="5" s="1"/>
  <c r="AC925" i="5"/>
  <c r="C926" i="5"/>
  <c r="AA926" i="5"/>
  <c r="AB926" i="5" s="1"/>
  <c r="AC926" i="5"/>
  <c r="C927" i="5"/>
  <c r="AA927" i="5"/>
  <c r="AB927" i="5" s="1"/>
  <c r="AC927" i="5"/>
  <c r="C928" i="5"/>
  <c r="AA928" i="5"/>
  <c r="AB928" i="5" s="1"/>
  <c r="AC928" i="5"/>
  <c r="C929" i="5"/>
  <c r="AA929" i="5"/>
  <c r="AB929" i="5" s="1"/>
  <c r="AC929" i="5"/>
  <c r="C930" i="5"/>
  <c r="AA930" i="5"/>
  <c r="AB930" i="5" s="1"/>
  <c r="AC930" i="5"/>
  <c r="C931" i="5"/>
  <c r="AA931" i="5"/>
  <c r="AB931" i="5"/>
  <c r="AC931" i="5"/>
  <c r="C932" i="5"/>
  <c r="AA932" i="5"/>
  <c r="AB932" i="5" s="1"/>
  <c r="AC932" i="5"/>
  <c r="C933" i="5"/>
  <c r="AA933" i="5"/>
  <c r="AB933" i="5" s="1"/>
  <c r="AC933" i="5"/>
  <c r="C934" i="5"/>
  <c r="AA934" i="5"/>
  <c r="AB934" i="5"/>
  <c r="AC934" i="5"/>
  <c r="C935" i="5"/>
  <c r="AA935" i="5"/>
  <c r="AB935" i="5" s="1"/>
  <c r="AC935" i="5"/>
  <c r="C936" i="5"/>
  <c r="AA936" i="5"/>
  <c r="AB936" i="5"/>
  <c r="AC936" i="5"/>
  <c r="C937" i="5"/>
  <c r="AA937" i="5"/>
  <c r="AB937" i="5" s="1"/>
  <c r="AC937" i="5"/>
  <c r="C938" i="5"/>
  <c r="AA938" i="5"/>
  <c r="AB938" i="5" s="1"/>
  <c r="AC938" i="5"/>
  <c r="C939" i="5"/>
  <c r="AA939" i="5"/>
  <c r="AB939" i="5" s="1"/>
  <c r="AC939" i="5"/>
  <c r="C940" i="5"/>
  <c r="AA940" i="5"/>
  <c r="AB940" i="5"/>
  <c r="AC940" i="5"/>
  <c r="C941" i="5"/>
  <c r="AA941" i="5"/>
  <c r="AB941" i="5" s="1"/>
  <c r="AC941" i="5"/>
  <c r="C942" i="5"/>
  <c r="AA942" i="5"/>
  <c r="AB942" i="5" s="1"/>
  <c r="AC942" i="5"/>
  <c r="C943" i="5"/>
  <c r="AA943" i="5"/>
  <c r="AB943" i="5" s="1"/>
  <c r="AC943" i="5"/>
  <c r="C944" i="5"/>
  <c r="AA944" i="5"/>
  <c r="AB944" i="5" s="1"/>
  <c r="AC944" i="5"/>
  <c r="C945" i="5"/>
  <c r="AA945" i="5"/>
  <c r="AB945" i="5" s="1"/>
  <c r="AC945" i="5"/>
  <c r="C946" i="5"/>
  <c r="AA946" i="5"/>
  <c r="AB946" i="5" s="1"/>
  <c r="AC946" i="5"/>
  <c r="C947" i="5"/>
  <c r="AA947" i="5"/>
  <c r="AB947" i="5" s="1"/>
  <c r="AC947" i="5"/>
  <c r="C948" i="5"/>
  <c r="AA948" i="5"/>
  <c r="AB948" i="5"/>
  <c r="AC948" i="5"/>
  <c r="C949" i="5"/>
  <c r="AA949" i="5"/>
  <c r="AB949" i="5" s="1"/>
  <c r="AC949" i="5"/>
  <c r="C950" i="5"/>
  <c r="AA950" i="5"/>
  <c r="AB950" i="5" s="1"/>
  <c r="AC950" i="5"/>
  <c r="C951" i="5"/>
  <c r="AA951" i="5"/>
  <c r="AB951" i="5" s="1"/>
  <c r="AC951" i="5"/>
  <c r="C952" i="5"/>
  <c r="AA952" i="5"/>
  <c r="AB952" i="5" s="1"/>
  <c r="AC952" i="5"/>
  <c r="C953" i="5"/>
  <c r="AA953" i="5"/>
  <c r="AB953" i="5" s="1"/>
  <c r="AC953" i="5"/>
  <c r="C954" i="5"/>
  <c r="AA954" i="5"/>
  <c r="AB954" i="5" s="1"/>
  <c r="AC954" i="5"/>
  <c r="C955" i="5"/>
  <c r="AA955" i="5"/>
  <c r="AB955" i="5" s="1"/>
  <c r="AC955" i="5"/>
  <c r="C956" i="5"/>
  <c r="AA956" i="5"/>
  <c r="AB956" i="5" s="1"/>
  <c r="AC956" i="5"/>
  <c r="C957" i="5"/>
  <c r="AA957" i="5"/>
  <c r="AB957" i="5" s="1"/>
  <c r="AC957" i="5"/>
  <c r="C958" i="5"/>
  <c r="AA958" i="5"/>
  <c r="AB958" i="5"/>
  <c r="AC958" i="5"/>
  <c r="C959" i="5"/>
  <c r="AA959" i="5"/>
  <c r="AB959" i="5" s="1"/>
  <c r="AC959" i="5"/>
  <c r="C960" i="5"/>
  <c r="AA960" i="5"/>
  <c r="AB960" i="5" s="1"/>
  <c r="AC960" i="5"/>
  <c r="C961" i="5"/>
  <c r="AA961" i="5"/>
  <c r="AB961" i="5" s="1"/>
  <c r="AC961" i="5"/>
  <c r="C962" i="5"/>
  <c r="AA962" i="5"/>
  <c r="AB962" i="5" s="1"/>
  <c r="AC962" i="5"/>
  <c r="C963" i="5"/>
  <c r="AA963" i="5"/>
  <c r="AB963" i="5" s="1"/>
  <c r="AC963" i="5"/>
  <c r="C964" i="5"/>
  <c r="AA964" i="5"/>
  <c r="AB964" i="5"/>
  <c r="AC964" i="5"/>
  <c r="C965" i="5"/>
  <c r="AA965" i="5"/>
  <c r="AB965" i="5" s="1"/>
  <c r="AC965" i="5"/>
  <c r="C966" i="5"/>
  <c r="AA966" i="5"/>
  <c r="AB966" i="5"/>
  <c r="AC966" i="5"/>
  <c r="C967" i="5"/>
  <c r="AA967" i="5"/>
  <c r="AB967" i="5" s="1"/>
  <c r="AC967" i="5"/>
  <c r="C968" i="5"/>
  <c r="AA968" i="5"/>
  <c r="AB968" i="5"/>
  <c r="AC968" i="5"/>
  <c r="C969" i="5"/>
  <c r="AA969" i="5"/>
  <c r="AB969" i="5" s="1"/>
  <c r="AC969" i="5"/>
  <c r="C970" i="5"/>
  <c r="AA970" i="5"/>
  <c r="AB970" i="5" s="1"/>
  <c r="AC970" i="5"/>
  <c r="C971" i="5"/>
  <c r="AA971" i="5"/>
  <c r="AB971" i="5" s="1"/>
  <c r="AC971" i="5"/>
  <c r="C972" i="5"/>
  <c r="AA972" i="5"/>
  <c r="AB972" i="5" s="1"/>
  <c r="AC972" i="5"/>
  <c r="C973" i="5"/>
  <c r="AA973" i="5"/>
  <c r="AB973" i="5"/>
  <c r="AC973" i="5"/>
  <c r="C974" i="5"/>
  <c r="AA974" i="5"/>
  <c r="AB974" i="5"/>
  <c r="AC974" i="5"/>
  <c r="C975" i="5"/>
  <c r="AA975" i="5"/>
  <c r="AB975" i="5" s="1"/>
  <c r="AC975" i="5"/>
  <c r="C976" i="5"/>
  <c r="AA976" i="5"/>
  <c r="AB976" i="5" s="1"/>
  <c r="AC976" i="5"/>
  <c r="C977" i="5"/>
  <c r="AA977" i="5"/>
  <c r="AB977" i="5" s="1"/>
  <c r="AC977" i="5"/>
  <c r="C978" i="5"/>
  <c r="AA978" i="5"/>
  <c r="AB978" i="5" s="1"/>
  <c r="AC978" i="5"/>
  <c r="C979" i="5"/>
  <c r="AA979" i="5"/>
  <c r="AB979" i="5"/>
  <c r="AC979" i="5"/>
  <c r="C980" i="5"/>
  <c r="AA980" i="5"/>
  <c r="AB980" i="5" s="1"/>
  <c r="AC980" i="5"/>
  <c r="C981" i="5"/>
  <c r="AA981" i="5"/>
  <c r="AB981" i="5" s="1"/>
  <c r="AC981" i="5"/>
  <c r="C982" i="5"/>
  <c r="AA982" i="5"/>
  <c r="AB982" i="5" s="1"/>
  <c r="AC982" i="5"/>
  <c r="C983" i="5"/>
  <c r="AA983" i="5"/>
  <c r="AB983" i="5" s="1"/>
  <c r="AC983" i="5"/>
  <c r="C984" i="5"/>
  <c r="AA984" i="5"/>
  <c r="AB984" i="5" s="1"/>
  <c r="AC984" i="5"/>
  <c r="C985" i="5"/>
  <c r="AA985" i="5"/>
  <c r="AB985" i="5"/>
  <c r="AC985" i="5"/>
  <c r="C986" i="5"/>
  <c r="AA986" i="5"/>
  <c r="AB986" i="5" s="1"/>
  <c r="AC986" i="5"/>
  <c r="C987" i="5"/>
  <c r="AA987" i="5"/>
  <c r="AB987" i="5"/>
  <c r="AC987" i="5"/>
  <c r="C988" i="5"/>
  <c r="AA988" i="5"/>
  <c r="AB988" i="5" s="1"/>
  <c r="AC988" i="5"/>
  <c r="C989" i="5"/>
  <c r="AA989" i="5"/>
  <c r="AB989" i="5" s="1"/>
  <c r="AC989" i="5"/>
  <c r="C990" i="5"/>
  <c r="AA990" i="5"/>
  <c r="AB990" i="5" s="1"/>
  <c r="AC990" i="5"/>
  <c r="C991" i="5"/>
  <c r="AA991" i="5"/>
  <c r="AB991" i="5" s="1"/>
  <c r="AC991" i="5"/>
  <c r="C992" i="5"/>
  <c r="AA992" i="5"/>
  <c r="AB992" i="5" s="1"/>
  <c r="AC992" i="5"/>
  <c r="C993" i="5"/>
  <c r="AA993" i="5"/>
  <c r="AB993" i="5"/>
  <c r="AC993" i="5"/>
  <c r="C994" i="5"/>
  <c r="AA994" i="5"/>
  <c r="AB994" i="5" s="1"/>
  <c r="AC994" i="5"/>
  <c r="C995" i="5"/>
  <c r="AA995" i="5"/>
  <c r="AB995" i="5" s="1"/>
  <c r="AC995" i="5"/>
  <c r="C996" i="5"/>
  <c r="AA996" i="5"/>
  <c r="AB996" i="5" s="1"/>
  <c r="AC996" i="5"/>
  <c r="C997" i="5"/>
  <c r="AA997" i="5"/>
  <c r="AB997" i="5" s="1"/>
  <c r="AC997" i="5"/>
  <c r="C998" i="5"/>
  <c r="AA998" i="5"/>
  <c r="AB998" i="5" s="1"/>
  <c r="AC998" i="5"/>
  <c r="C999" i="5"/>
  <c r="AA999" i="5"/>
  <c r="AB999" i="5" s="1"/>
  <c r="AC999" i="5"/>
  <c r="C1000" i="5"/>
  <c r="AA1000" i="5"/>
  <c r="AB1000" i="5" s="1"/>
  <c r="AC1000" i="5"/>
  <c r="C1001" i="5"/>
  <c r="AA1001" i="5"/>
  <c r="AB1001" i="5" s="1"/>
  <c r="AC1001" i="5"/>
  <c r="C1002" i="5"/>
  <c r="AA1002" i="5"/>
  <c r="AB1002" i="5" s="1"/>
  <c r="AC1002" i="5"/>
  <c r="C1003" i="5"/>
  <c r="AA1003" i="5"/>
  <c r="AB1003" i="5" s="1"/>
  <c r="AC1003" i="5"/>
  <c r="C1004" i="5"/>
  <c r="AA1004" i="5"/>
  <c r="AB1004" i="5"/>
  <c r="AC1004" i="5"/>
  <c r="C1005" i="5"/>
  <c r="AA1005" i="5"/>
  <c r="AB1005" i="5" s="1"/>
  <c r="AC1005" i="5"/>
  <c r="C1006" i="5"/>
  <c r="AA1006" i="5"/>
  <c r="AB1006" i="5"/>
  <c r="AC1006" i="5"/>
  <c r="C1007" i="5"/>
  <c r="AA1007" i="5"/>
  <c r="AB1007" i="5" s="1"/>
  <c r="AC1007" i="5"/>
  <c r="C1008" i="5"/>
  <c r="AA1008" i="5"/>
  <c r="AB1008" i="5"/>
  <c r="AC1008" i="5"/>
  <c r="C1009" i="5"/>
  <c r="AA1009" i="5"/>
  <c r="AB1009" i="5" s="1"/>
  <c r="AC1009" i="5"/>
  <c r="C1010" i="5"/>
  <c r="AA1010" i="5"/>
  <c r="AB1010" i="5"/>
  <c r="AC1010" i="5"/>
  <c r="C1011" i="5"/>
  <c r="AA1011" i="5"/>
  <c r="AB1011" i="5" s="1"/>
  <c r="AC1011" i="5"/>
  <c r="C1012" i="5"/>
  <c r="AA1012" i="5"/>
  <c r="AB1012" i="5"/>
  <c r="AC1012" i="5"/>
  <c r="C1013" i="5"/>
  <c r="AA1013" i="5"/>
  <c r="AB1013" i="5" s="1"/>
  <c r="AC1013" i="5"/>
  <c r="C1014" i="5"/>
  <c r="AA1014" i="5"/>
  <c r="AB1014" i="5" s="1"/>
  <c r="AC1014" i="5"/>
  <c r="C1015" i="5"/>
  <c r="AA1015" i="5"/>
  <c r="AB1015" i="5" s="1"/>
  <c r="AC1015" i="5"/>
  <c r="C1016" i="5"/>
  <c r="AA1016" i="5"/>
  <c r="AB1016" i="5" s="1"/>
  <c r="AC1016" i="5"/>
  <c r="C1017" i="5"/>
  <c r="AA1017" i="5"/>
  <c r="AB1017" i="5" s="1"/>
  <c r="AC1017" i="5"/>
  <c r="C1018" i="5"/>
  <c r="AA1018" i="5"/>
  <c r="AB1018" i="5" s="1"/>
  <c r="AC1018" i="5"/>
  <c r="C1019" i="5"/>
  <c r="AA1019" i="5"/>
  <c r="AB1019" i="5"/>
  <c r="AC1019" i="5"/>
  <c r="C1020" i="5"/>
  <c r="AA1020" i="5"/>
  <c r="AB1020" i="5" s="1"/>
  <c r="AC1020" i="5"/>
  <c r="C1021" i="5"/>
  <c r="AA1021" i="5"/>
  <c r="AB1021" i="5"/>
  <c r="AC1021" i="5"/>
  <c r="C1022" i="5"/>
  <c r="AA1022" i="5"/>
  <c r="AB1022" i="5" s="1"/>
  <c r="AC1022" i="5"/>
  <c r="C1023" i="5"/>
  <c r="AA1023" i="5"/>
  <c r="AB1023" i="5" s="1"/>
  <c r="AC1023" i="5"/>
  <c r="C1024" i="5"/>
  <c r="AA1024" i="5"/>
  <c r="AB1024" i="5" s="1"/>
  <c r="AC1024" i="5"/>
  <c r="C1025" i="5"/>
  <c r="AA1025" i="5"/>
  <c r="AB1025" i="5" s="1"/>
  <c r="AC1025" i="5"/>
  <c r="C1026" i="5"/>
  <c r="AA1026" i="5"/>
  <c r="AB1026" i="5"/>
  <c r="AC1026" i="5"/>
  <c r="AD1026" i="5"/>
  <c r="C1027" i="5"/>
  <c r="AA1027" i="5"/>
  <c r="AB1027" i="5"/>
  <c r="AC1027" i="5"/>
  <c r="C1028" i="5"/>
  <c r="AA1028" i="5"/>
  <c r="AB1028" i="5" s="1"/>
  <c r="AC1028" i="5"/>
  <c r="AD1028" i="5"/>
  <c r="C1029" i="5"/>
  <c r="AA1029" i="5"/>
  <c r="AB1029" i="5" s="1"/>
  <c r="AC1029" i="5"/>
  <c r="C1030" i="5"/>
  <c r="AA1030" i="5"/>
  <c r="AB1030" i="5" s="1"/>
  <c r="AC1030" i="5"/>
  <c r="C1031" i="5"/>
  <c r="AA1031" i="5"/>
  <c r="AB1031" i="5" s="1"/>
  <c r="AC1031" i="5"/>
  <c r="C1032" i="5"/>
  <c r="AA1032" i="5"/>
  <c r="AB1032" i="5" s="1"/>
  <c r="AC1032" i="5"/>
  <c r="C1033" i="5"/>
  <c r="AA1033" i="5"/>
  <c r="AB1033" i="5" s="1"/>
  <c r="AC1033" i="5"/>
  <c r="C1034" i="5"/>
  <c r="AD1034" i="5" s="1"/>
  <c r="AA1034" i="5"/>
  <c r="AB1034" i="5" s="1"/>
  <c r="AC1034" i="5"/>
  <c r="C1035" i="5"/>
  <c r="AA1035" i="5"/>
  <c r="AB1035" i="5" s="1"/>
  <c r="AC1035" i="5"/>
  <c r="C1036" i="5"/>
  <c r="AA1036" i="5"/>
  <c r="AB1036" i="5"/>
  <c r="AC1036" i="5"/>
  <c r="C1037" i="5"/>
  <c r="AA1037" i="5"/>
  <c r="AB1037" i="5" s="1"/>
  <c r="AC1037" i="5"/>
  <c r="C1038" i="5"/>
  <c r="AA1038" i="5"/>
  <c r="AB1038" i="5"/>
  <c r="AC1038" i="5"/>
  <c r="C1039" i="5"/>
  <c r="AA1039" i="5"/>
  <c r="AB1039" i="5" s="1"/>
  <c r="AC1039" i="5"/>
  <c r="C1040" i="5"/>
  <c r="AA1040" i="5"/>
  <c r="AB1040" i="5"/>
  <c r="AC1040" i="5"/>
  <c r="C1041" i="5"/>
  <c r="AD1041" i="5" s="1"/>
  <c r="AA1041" i="5"/>
  <c r="AB1041" i="5" s="1"/>
  <c r="AC1041" i="5"/>
  <c r="C1042" i="5"/>
  <c r="AA1042" i="5"/>
  <c r="AB1042" i="5"/>
  <c r="AC1042" i="5"/>
  <c r="C1043" i="5"/>
  <c r="AA1043" i="5"/>
  <c r="AB1043" i="5" s="1"/>
  <c r="AC1043" i="5"/>
  <c r="C1044" i="5"/>
  <c r="AA1044" i="5"/>
  <c r="AB1044" i="5" s="1"/>
  <c r="AC1044" i="5"/>
  <c r="C1045" i="5"/>
  <c r="AA1045" i="5"/>
  <c r="AB1045" i="5"/>
  <c r="AC1045" i="5"/>
  <c r="C1046" i="5"/>
  <c r="AA1046" i="5"/>
  <c r="AB1046" i="5" s="1"/>
  <c r="AC1046" i="5"/>
  <c r="C1047" i="5"/>
  <c r="AA1047" i="5"/>
  <c r="AB1047" i="5" s="1"/>
  <c r="AC1047" i="5"/>
  <c r="C1048" i="5"/>
  <c r="AA1048" i="5"/>
  <c r="AB1048" i="5" s="1"/>
  <c r="AC1048" i="5"/>
  <c r="C1049" i="5"/>
  <c r="AA1049" i="5"/>
  <c r="AB1049" i="5" s="1"/>
  <c r="AC1049" i="5"/>
  <c r="C1050" i="5"/>
  <c r="AA1050" i="5"/>
  <c r="AB1050" i="5" s="1"/>
  <c r="AC1050" i="5"/>
  <c r="C1051" i="5"/>
  <c r="AD1051" i="5" s="1"/>
  <c r="AA1051" i="5"/>
  <c r="AB1051" i="5" s="1"/>
  <c r="AC1051" i="5"/>
  <c r="C1052" i="5"/>
  <c r="AA1052" i="5"/>
  <c r="AB1052" i="5" s="1"/>
  <c r="AC1052" i="5"/>
  <c r="C1053" i="5"/>
  <c r="AA1053" i="5"/>
  <c r="AB1053" i="5" s="1"/>
  <c r="AC1053" i="5"/>
  <c r="C1054" i="5"/>
  <c r="AA1054" i="5"/>
  <c r="AB1054" i="5" s="1"/>
  <c r="AC1054" i="5"/>
  <c r="C1055" i="5"/>
  <c r="AA1055" i="5"/>
  <c r="AB1055" i="5" s="1"/>
  <c r="AC1055" i="5"/>
  <c r="C1056" i="5"/>
  <c r="AA1056" i="5"/>
  <c r="AB1056" i="5" s="1"/>
  <c r="AC1056" i="5"/>
  <c r="C1057" i="5"/>
  <c r="AA1057" i="5"/>
  <c r="AB1057" i="5" s="1"/>
  <c r="AC1057" i="5"/>
  <c r="C1058" i="5"/>
  <c r="AA1058" i="5"/>
  <c r="AB1058" i="5"/>
  <c r="AC1058" i="5"/>
  <c r="C1059" i="5"/>
  <c r="AA1059" i="5"/>
  <c r="AB1059" i="5" s="1"/>
  <c r="AC1059" i="5"/>
  <c r="C1060" i="5"/>
  <c r="AA1060" i="5"/>
  <c r="AB1060" i="5" s="1"/>
  <c r="AC1060" i="5"/>
  <c r="C1061" i="5"/>
  <c r="AA1061" i="5"/>
  <c r="AB1061" i="5"/>
  <c r="AC1061" i="5"/>
  <c r="C1062" i="5"/>
  <c r="AA1062" i="5"/>
  <c r="AB1062" i="5" s="1"/>
  <c r="AC1062" i="5"/>
  <c r="C1063" i="5"/>
  <c r="AA1063" i="5"/>
  <c r="AB1063" i="5" s="1"/>
  <c r="AC1063" i="5"/>
  <c r="C1064" i="5"/>
  <c r="AA1064" i="5"/>
  <c r="AB1064" i="5" s="1"/>
  <c r="AC1064" i="5"/>
  <c r="C1065" i="5"/>
  <c r="AA1065" i="5"/>
  <c r="AB1065" i="5"/>
  <c r="AC1065" i="5"/>
  <c r="C1066" i="5"/>
  <c r="AA1066" i="5"/>
  <c r="AB1066" i="5" s="1"/>
  <c r="AC1066" i="5"/>
  <c r="C1067" i="5"/>
  <c r="AA1067" i="5"/>
  <c r="AB1067" i="5"/>
  <c r="AC1067" i="5"/>
  <c r="C1068" i="5"/>
  <c r="AA1068" i="5"/>
  <c r="AB1068" i="5" s="1"/>
  <c r="AC1068" i="5"/>
  <c r="C1069" i="5"/>
  <c r="AA1069" i="5"/>
  <c r="AB1069" i="5" s="1"/>
  <c r="AC1069" i="5"/>
  <c r="C1070" i="5"/>
  <c r="AA1070" i="5"/>
  <c r="AB1070" i="5" s="1"/>
  <c r="AC1070" i="5"/>
  <c r="C1071" i="5"/>
  <c r="AA1071" i="5"/>
  <c r="AB1071" i="5" s="1"/>
  <c r="AC1071" i="5"/>
  <c r="C1072" i="5"/>
  <c r="AA1072" i="5"/>
  <c r="AB1072" i="5" s="1"/>
  <c r="AC1072" i="5"/>
  <c r="C1073" i="5"/>
  <c r="AA1073" i="5"/>
  <c r="AB1073" i="5"/>
  <c r="AC1073" i="5"/>
  <c r="C1074" i="5"/>
  <c r="AA1074" i="5"/>
  <c r="AB1074" i="5"/>
  <c r="AC1074" i="5"/>
  <c r="C1075" i="5"/>
  <c r="AA1075" i="5"/>
  <c r="AB1075" i="5" s="1"/>
  <c r="AC1075" i="5"/>
  <c r="C1076" i="5"/>
  <c r="AA1076" i="5"/>
  <c r="AB1076" i="5" s="1"/>
  <c r="AC1076" i="5"/>
  <c r="C1077" i="5"/>
  <c r="AA1077" i="5"/>
  <c r="AB1077" i="5" s="1"/>
  <c r="AC1077" i="5"/>
  <c r="C1078" i="5"/>
  <c r="AA1078" i="5"/>
  <c r="AB1078" i="5" s="1"/>
  <c r="AC1078" i="5"/>
  <c r="C1079" i="5"/>
  <c r="AA1079" i="5"/>
  <c r="AB1079" i="5" s="1"/>
  <c r="AC1079" i="5"/>
  <c r="C1080" i="5"/>
  <c r="AA1080" i="5"/>
  <c r="AB1080" i="5"/>
  <c r="AC1080" i="5"/>
  <c r="C1081" i="5"/>
  <c r="AA1081" i="5"/>
  <c r="AB1081" i="5" s="1"/>
  <c r="AC1081" i="5"/>
  <c r="C1082" i="5"/>
  <c r="AA1082" i="5"/>
  <c r="AB1082" i="5" s="1"/>
  <c r="AC1082" i="5"/>
  <c r="C1083" i="5"/>
  <c r="AA1083" i="5"/>
  <c r="AB1083" i="5" s="1"/>
  <c r="AC1083" i="5"/>
  <c r="C1084" i="5"/>
  <c r="AA1084" i="5"/>
  <c r="AB1084" i="5" s="1"/>
  <c r="AC1084" i="5"/>
  <c r="C1085" i="5"/>
  <c r="AA1085" i="5"/>
  <c r="AB1085" i="5"/>
  <c r="AC1085" i="5"/>
  <c r="C1086" i="5"/>
  <c r="AA1086" i="5"/>
  <c r="AB1086" i="5" s="1"/>
  <c r="AC1086" i="5"/>
  <c r="C1087" i="5"/>
  <c r="AA1087" i="5"/>
  <c r="AB1087" i="5" s="1"/>
  <c r="AC1087" i="5"/>
  <c r="C1088" i="5"/>
  <c r="AA1088" i="5"/>
  <c r="AB1088" i="5" s="1"/>
  <c r="AC1088" i="5"/>
  <c r="C1089" i="5"/>
  <c r="AA1089" i="5"/>
  <c r="AB1089" i="5" s="1"/>
  <c r="AC1089" i="5"/>
  <c r="C1090" i="5"/>
  <c r="AA1090" i="5"/>
  <c r="AB1090" i="5" s="1"/>
  <c r="AC1090" i="5"/>
  <c r="C1091" i="5"/>
  <c r="AA1091" i="5"/>
  <c r="AB1091" i="5" s="1"/>
  <c r="AC1091" i="5"/>
  <c r="C1092" i="5"/>
  <c r="AA1092" i="5"/>
  <c r="AB1092" i="5" s="1"/>
  <c r="AC1092" i="5"/>
  <c r="C1093" i="5"/>
  <c r="AA1093" i="5"/>
  <c r="AB1093" i="5"/>
  <c r="AC1093" i="5"/>
  <c r="C1094" i="5"/>
  <c r="AA1094" i="5"/>
  <c r="AB1094" i="5" s="1"/>
  <c r="AC1094" i="5"/>
  <c r="C1095" i="5"/>
  <c r="AA1095" i="5"/>
  <c r="AB1095" i="5" s="1"/>
  <c r="AC1095" i="5"/>
  <c r="C1096" i="5"/>
  <c r="AA1096" i="5"/>
  <c r="AB1096" i="5" s="1"/>
  <c r="AC1096" i="5"/>
  <c r="C1097" i="5"/>
  <c r="AA1097" i="5"/>
  <c r="AB1097" i="5"/>
  <c r="AC1097" i="5"/>
  <c r="C1098" i="5"/>
  <c r="AA1098" i="5"/>
  <c r="AB1098" i="5" s="1"/>
  <c r="AC1098" i="5"/>
  <c r="C1099" i="5"/>
  <c r="AA1099" i="5"/>
  <c r="AB1099" i="5" s="1"/>
  <c r="AC1099" i="5"/>
  <c r="C1100" i="5"/>
  <c r="AA1100" i="5"/>
  <c r="AB1100" i="5" s="1"/>
  <c r="AC1100" i="5"/>
  <c r="C1101" i="5"/>
  <c r="AA1101" i="5"/>
  <c r="AB1101" i="5"/>
  <c r="AC1101" i="5"/>
  <c r="C1102" i="5"/>
  <c r="AA1102" i="5"/>
  <c r="AB1102" i="5" s="1"/>
  <c r="AC1102" i="5"/>
  <c r="C1103" i="5"/>
  <c r="AA1103" i="5"/>
  <c r="AB1103" i="5" s="1"/>
  <c r="AC1103" i="5"/>
  <c r="C1104" i="5"/>
  <c r="AA1104" i="5"/>
  <c r="AB1104" i="5" s="1"/>
  <c r="AC1104" i="5"/>
  <c r="C1105" i="5"/>
  <c r="AA1105" i="5"/>
  <c r="AB1105" i="5"/>
  <c r="AC1105" i="5"/>
  <c r="C1106" i="5"/>
  <c r="AA1106" i="5"/>
  <c r="AB1106" i="5" s="1"/>
  <c r="AC1106" i="5"/>
  <c r="C1107" i="5"/>
  <c r="AA1107" i="5"/>
  <c r="AB1107" i="5" s="1"/>
  <c r="AC1107" i="5"/>
  <c r="C1108" i="5"/>
  <c r="AA1108" i="5"/>
  <c r="AB1108" i="5" s="1"/>
  <c r="AC1108" i="5"/>
  <c r="C1109" i="5"/>
  <c r="AA1109" i="5"/>
  <c r="AB1109" i="5" s="1"/>
  <c r="AC1109" i="5"/>
  <c r="C1110" i="5"/>
  <c r="AD1110" i="5" s="1"/>
  <c r="AA1110" i="5"/>
  <c r="AB1110" i="5" s="1"/>
  <c r="AC1110" i="5"/>
  <c r="C1111" i="5"/>
  <c r="AA1111" i="5"/>
  <c r="AB1111" i="5" s="1"/>
  <c r="AC1111" i="5"/>
  <c r="C1112" i="5"/>
  <c r="AA1112" i="5"/>
  <c r="AB1112" i="5" s="1"/>
  <c r="AC1112" i="5"/>
  <c r="C1113" i="5"/>
  <c r="AA1113" i="5"/>
  <c r="AB1113" i="5" s="1"/>
  <c r="AC1113" i="5"/>
  <c r="C1114" i="5"/>
  <c r="AA1114" i="5"/>
  <c r="AB1114" i="5" s="1"/>
  <c r="AC1114" i="5"/>
  <c r="C1115" i="5"/>
  <c r="AA1115" i="5"/>
  <c r="AB1115" i="5" s="1"/>
  <c r="AC1115" i="5"/>
  <c r="C1116" i="5"/>
  <c r="AA1116" i="5"/>
  <c r="AB1116" i="5" s="1"/>
  <c r="AC1116" i="5"/>
  <c r="C1117" i="5"/>
  <c r="AA1117" i="5"/>
  <c r="AB1117" i="5"/>
  <c r="AC1117" i="5"/>
  <c r="C1118" i="5"/>
  <c r="AA1118" i="5"/>
  <c r="AB1118" i="5" s="1"/>
  <c r="AC1118" i="5"/>
  <c r="C1119" i="5"/>
  <c r="AA1119" i="5"/>
  <c r="AB1119" i="5" s="1"/>
  <c r="AC1119" i="5"/>
  <c r="C1120" i="5"/>
  <c r="AA1120" i="5"/>
  <c r="AB1120" i="5" s="1"/>
  <c r="AC1120" i="5"/>
  <c r="C1121" i="5"/>
  <c r="AA1121" i="5"/>
  <c r="AB1121" i="5" s="1"/>
  <c r="AC1121" i="5"/>
  <c r="C1122" i="5"/>
  <c r="AA1122" i="5"/>
  <c r="AB1122" i="5" s="1"/>
  <c r="AC1122" i="5"/>
  <c r="C1123" i="5"/>
  <c r="AD1123" i="5" s="1"/>
  <c r="AA1123" i="5"/>
  <c r="AB1123" i="5" s="1"/>
  <c r="AC1123" i="5"/>
  <c r="C1124" i="5"/>
  <c r="AA1124" i="5"/>
  <c r="AB1124" i="5" s="1"/>
  <c r="AC1124" i="5"/>
  <c r="C1125" i="5"/>
  <c r="AA1125" i="5"/>
  <c r="AB1125" i="5" s="1"/>
  <c r="AC1125" i="5"/>
  <c r="C1126" i="5"/>
  <c r="AA1126" i="5"/>
  <c r="AB1126" i="5" s="1"/>
  <c r="AC1126" i="5"/>
  <c r="C1127" i="5"/>
  <c r="AA1127" i="5"/>
  <c r="AB1127" i="5" s="1"/>
  <c r="AC1127" i="5"/>
  <c r="C1128" i="5"/>
  <c r="AA1128" i="5"/>
  <c r="AB1128" i="5" s="1"/>
  <c r="AC1128" i="5"/>
  <c r="C1129" i="5"/>
  <c r="AA1129" i="5"/>
  <c r="AB1129" i="5"/>
  <c r="AC1129" i="5"/>
  <c r="C1130" i="5"/>
  <c r="AA1130" i="5"/>
  <c r="AB1130" i="5" s="1"/>
  <c r="AC1130" i="5"/>
  <c r="C1131" i="5"/>
  <c r="AA1131" i="5"/>
  <c r="AB1131" i="5" s="1"/>
  <c r="AC1131" i="5"/>
  <c r="C1132" i="5"/>
  <c r="AA1132" i="5"/>
  <c r="AB1132" i="5" s="1"/>
  <c r="AC1132" i="5"/>
  <c r="C1133" i="5"/>
  <c r="AA1133" i="5"/>
  <c r="AB1133" i="5" s="1"/>
  <c r="AC1133" i="5"/>
  <c r="C1134" i="5"/>
  <c r="AA1134" i="5"/>
  <c r="AB1134" i="5"/>
  <c r="AC1134" i="5"/>
  <c r="C1135" i="5"/>
  <c r="AA1135" i="5"/>
  <c r="AB1135" i="5" s="1"/>
  <c r="AC1135" i="5"/>
  <c r="C1136" i="5"/>
  <c r="AA1136" i="5"/>
  <c r="AB1136" i="5" s="1"/>
  <c r="AC1136" i="5"/>
  <c r="C1137" i="5"/>
  <c r="AA1137" i="5"/>
  <c r="AB1137" i="5"/>
  <c r="AC1137" i="5"/>
  <c r="C1138" i="5"/>
  <c r="AA1138" i="5"/>
  <c r="AB1138" i="5" s="1"/>
  <c r="AC1138" i="5"/>
  <c r="C1139" i="5"/>
  <c r="AA1139" i="5"/>
  <c r="AB1139" i="5"/>
  <c r="AC1139" i="5"/>
  <c r="C1140" i="5"/>
  <c r="AA1140" i="5"/>
  <c r="AB1140" i="5" s="1"/>
  <c r="AC1140" i="5"/>
  <c r="C1141" i="5"/>
  <c r="AA1141" i="5"/>
  <c r="AB1141" i="5" s="1"/>
  <c r="AC1141" i="5"/>
  <c r="C1142" i="5"/>
  <c r="AA1142" i="5"/>
  <c r="AB1142" i="5" s="1"/>
  <c r="AC1142" i="5"/>
  <c r="C1143" i="5"/>
  <c r="AA1143" i="5"/>
  <c r="AB1143" i="5"/>
  <c r="AC1143" i="5"/>
  <c r="C1144" i="5"/>
  <c r="AA1144" i="5"/>
  <c r="AB1144" i="5" s="1"/>
  <c r="AC1144" i="5"/>
  <c r="C1145" i="5"/>
  <c r="AA1145" i="5"/>
  <c r="AB1145" i="5"/>
  <c r="AC1145" i="5"/>
  <c r="C1146" i="5"/>
  <c r="AA1146" i="5"/>
  <c r="AB1146" i="5" s="1"/>
  <c r="AC1146" i="5"/>
  <c r="C1147" i="5"/>
  <c r="AA1147" i="5"/>
  <c r="AB1147" i="5" s="1"/>
  <c r="AC1147" i="5"/>
  <c r="C1148" i="5"/>
  <c r="AA1148" i="5"/>
  <c r="AB1148" i="5" s="1"/>
  <c r="AC1148" i="5"/>
  <c r="C1149" i="5"/>
  <c r="AA1149" i="5"/>
  <c r="AB1149" i="5" s="1"/>
  <c r="AC1149" i="5"/>
  <c r="C1150" i="5"/>
  <c r="AA1150" i="5"/>
  <c r="AB1150" i="5"/>
  <c r="AC1150" i="5"/>
  <c r="C1151" i="5"/>
  <c r="AA1151" i="5"/>
  <c r="AB1151" i="5" s="1"/>
  <c r="AC1151" i="5"/>
  <c r="C1152" i="5"/>
  <c r="AA1152" i="5"/>
  <c r="AB1152" i="5" s="1"/>
  <c r="AC1152" i="5"/>
  <c r="C1153" i="5"/>
  <c r="AA1153" i="5"/>
  <c r="AB1153" i="5" s="1"/>
  <c r="AC1153" i="5"/>
  <c r="C1154" i="5"/>
  <c r="AA1154" i="5"/>
  <c r="AB1154" i="5" s="1"/>
  <c r="AC1154" i="5"/>
  <c r="C1155" i="5"/>
  <c r="AA1155" i="5"/>
  <c r="AB1155" i="5" s="1"/>
  <c r="AC1155" i="5"/>
  <c r="C1156" i="5"/>
  <c r="AA1156" i="5"/>
  <c r="AB1156" i="5"/>
  <c r="AC1156" i="5"/>
  <c r="C1157" i="5"/>
  <c r="AA1157" i="5"/>
  <c r="AB1157" i="5" s="1"/>
  <c r="AC1157" i="5"/>
  <c r="C1158" i="5"/>
  <c r="AA1158" i="5"/>
  <c r="AB1158" i="5"/>
  <c r="AC1158" i="5"/>
  <c r="C1159" i="5"/>
  <c r="AA1159" i="5"/>
  <c r="AB1159" i="5" s="1"/>
  <c r="AC1159" i="5"/>
  <c r="C1160" i="5"/>
  <c r="AA1160" i="5"/>
  <c r="AB1160" i="5" s="1"/>
  <c r="AC1160" i="5"/>
  <c r="C1161" i="5"/>
  <c r="AA1161" i="5"/>
  <c r="AB1161" i="5" s="1"/>
  <c r="AC1161" i="5"/>
  <c r="C1162" i="5"/>
  <c r="AA1162" i="5"/>
  <c r="AB1162" i="5" s="1"/>
  <c r="AC1162" i="5"/>
  <c r="C1163" i="5"/>
  <c r="AA1163" i="5"/>
  <c r="AB1163" i="5"/>
  <c r="AC1163" i="5"/>
  <c r="C1164" i="5"/>
  <c r="AA1164" i="5"/>
  <c r="AB1164" i="5" s="1"/>
  <c r="AC1164" i="5"/>
  <c r="C1165" i="5"/>
  <c r="AA1165" i="5"/>
  <c r="AB1165" i="5" s="1"/>
  <c r="AC1165" i="5"/>
  <c r="C1166" i="5"/>
  <c r="AA1166" i="5"/>
  <c r="AB1166" i="5" s="1"/>
  <c r="AC1166" i="5"/>
  <c r="C1167" i="5"/>
  <c r="AA1167" i="5"/>
  <c r="AB1167" i="5" s="1"/>
  <c r="AC1167" i="5"/>
  <c r="C1168" i="5"/>
  <c r="AA1168" i="5"/>
  <c r="AB1168" i="5" s="1"/>
  <c r="AC1168" i="5"/>
  <c r="C1169" i="5"/>
  <c r="AA1169" i="5"/>
  <c r="AB1169" i="5" s="1"/>
  <c r="AC1169" i="5"/>
  <c r="C1170" i="5"/>
  <c r="AA1170" i="5"/>
  <c r="AB1170" i="5" s="1"/>
  <c r="AC1170" i="5"/>
  <c r="C1171" i="5"/>
  <c r="AA1171" i="5"/>
  <c r="AB1171" i="5" s="1"/>
  <c r="AC1171" i="5"/>
  <c r="C1172" i="5"/>
  <c r="AA1172" i="5"/>
  <c r="AB1172" i="5" s="1"/>
  <c r="AC1172" i="5"/>
  <c r="C1173" i="5"/>
  <c r="AA1173" i="5"/>
  <c r="AB1173" i="5" s="1"/>
  <c r="AC1173" i="5"/>
  <c r="C1174" i="5"/>
  <c r="AA1174" i="5"/>
  <c r="AB1174" i="5"/>
  <c r="AC1174" i="5"/>
  <c r="C1175" i="5"/>
  <c r="AA1175" i="5"/>
  <c r="AB1175" i="5" s="1"/>
  <c r="AC1175" i="5"/>
  <c r="C1176" i="5"/>
  <c r="AA1176" i="5"/>
  <c r="AB1176" i="5" s="1"/>
  <c r="AC1176" i="5"/>
  <c r="C1177" i="5"/>
  <c r="AA1177" i="5"/>
  <c r="AB1177" i="5" s="1"/>
  <c r="AC1177" i="5"/>
  <c r="C1178" i="5"/>
  <c r="AA1178" i="5"/>
  <c r="AB1178" i="5"/>
  <c r="AC1178" i="5"/>
  <c r="C1179" i="5"/>
  <c r="AA1179" i="5"/>
  <c r="AB1179" i="5" s="1"/>
  <c r="AC1179" i="5"/>
  <c r="C1180" i="5"/>
  <c r="AA1180" i="5"/>
  <c r="AB1180" i="5"/>
  <c r="AC1180" i="5"/>
  <c r="C1181" i="5"/>
  <c r="AA1181" i="5"/>
  <c r="AB1181" i="5" s="1"/>
  <c r="AC1181" i="5"/>
  <c r="C1182" i="5"/>
  <c r="AA1182" i="5"/>
  <c r="AB1182" i="5" s="1"/>
  <c r="AC1182" i="5"/>
  <c r="C1183" i="5"/>
  <c r="AA1183" i="5"/>
  <c r="AB1183" i="5"/>
  <c r="AC1183" i="5"/>
  <c r="C1184" i="5"/>
  <c r="AA1184" i="5"/>
  <c r="AB1184" i="5" s="1"/>
  <c r="AC1184" i="5"/>
  <c r="C1185" i="5"/>
  <c r="AA1185" i="5"/>
  <c r="AB1185" i="5"/>
  <c r="AC1185" i="5"/>
  <c r="C1186" i="5"/>
  <c r="AA1186" i="5"/>
  <c r="AB1186" i="5" s="1"/>
  <c r="AC1186" i="5"/>
  <c r="C1187" i="5"/>
  <c r="AA1187" i="5"/>
  <c r="AB1187" i="5" s="1"/>
  <c r="AC1187" i="5"/>
  <c r="C1188" i="5"/>
  <c r="AA1188" i="5"/>
  <c r="AB1188" i="5" s="1"/>
  <c r="AC1188" i="5"/>
  <c r="C1189" i="5"/>
  <c r="AA1189" i="5"/>
  <c r="AB1189" i="5" s="1"/>
  <c r="AC1189" i="5"/>
  <c r="C1190" i="5"/>
  <c r="AA1190" i="5"/>
  <c r="AB1190" i="5" s="1"/>
  <c r="AC1190" i="5"/>
  <c r="C1191" i="5"/>
  <c r="AA1191" i="5"/>
  <c r="AB1191" i="5"/>
  <c r="AC1191" i="5"/>
  <c r="C1192" i="5"/>
  <c r="AA1192" i="5"/>
  <c r="AB1192" i="5" s="1"/>
  <c r="AC1192" i="5"/>
  <c r="C1193" i="5"/>
  <c r="AA1193" i="5"/>
  <c r="AB1193" i="5" s="1"/>
  <c r="AC1193" i="5"/>
  <c r="C1194" i="5"/>
  <c r="AA1194" i="5"/>
  <c r="AB1194" i="5" s="1"/>
  <c r="AC1194" i="5"/>
  <c r="C1195" i="5"/>
  <c r="AA1195" i="5"/>
  <c r="AB1195" i="5" s="1"/>
  <c r="AC1195" i="5"/>
  <c r="C1196" i="5"/>
  <c r="AA1196" i="5"/>
  <c r="AB1196" i="5" s="1"/>
  <c r="AC1196" i="5"/>
  <c r="C1197" i="5"/>
  <c r="AA1197" i="5"/>
  <c r="AB1197" i="5"/>
  <c r="AC1197" i="5"/>
  <c r="C1198" i="5"/>
  <c r="AA1198" i="5"/>
  <c r="AB1198" i="5"/>
  <c r="AC1198" i="5"/>
  <c r="C1199" i="5"/>
  <c r="AD1199" i="5" s="1"/>
  <c r="AA1199" i="5"/>
  <c r="AB1199" i="5"/>
  <c r="AC1199" i="5"/>
  <c r="C1200" i="5"/>
  <c r="AA1200" i="5"/>
  <c r="AB1200" i="5" s="1"/>
  <c r="AC1200" i="5"/>
  <c r="C1201" i="5"/>
  <c r="AA1201" i="5"/>
  <c r="AB1201" i="5" s="1"/>
  <c r="AC1201" i="5"/>
  <c r="C1202" i="5"/>
  <c r="AA1202" i="5"/>
  <c r="AB1202" i="5" s="1"/>
  <c r="AC1202" i="5"/>
  <c r="C1203" i="5"/>
  <c r="AA1203" i="5"/>
  <c r="AB1203" i="5" s="1"/>
  <c r="AC1203" i="5"/>
  <c r="C1204" i="5"/>
  <c r="AD1204" i="5" s="1"/>
  <c r="AA1204" i="5"/>
  <c r="AB1204" i="5" s="1"/>
  <c r="AC1204" i="5"/>
  <c r="C1205" i="5"/>
  <c r="AA1205" i="5"/>
  <c r="AB1205" i="5"/>
  <c r="AC1205" i="5"/>
  <c r="C1206" i="5"/>
  <c r="AA1206" i="5"/>
  <c r="AB1206" i="5" s="1"/>
  <c r="AC1206" i="5"/>
  <c r="C1207" i="5"/>
  <c r="AA1207" i="5"/>
  <c r="AB1207" i="5"/>
  <c r="AC1207" i="5"/>
  <c r="C1208" i="5"/>
  <c r="AA1208" i="5"/>
  <c r="AB1208" i="5" s="1"/>
  <c r="AC1208" i="5"/>
  <c r="C1209" i="5"/>
  <c r="AA1209" i="5"/>
  <c r="AB1209" i="5"/>
  <c r="AC1209" i="5"/>
  <c r="C1210" i="5"/>
  <c r="AA1210" i="5"/>
  <c r="AB1210" i="5" s="1"/>
  <c r="AC1210" i="5"/>
  <c r="C1211" i="5"/>
  <c r="AA1211" i="5"/>
  <c r="AB1211" i="5"/>
  <c r="AC1211" i="5"/>
  <c r="C1212" i="5"/>
  <c r="AA1212" i="5"/>
  <c r="AB1212" i="5" s="1"/>
  <c r="AC1212" i="5"/>
  <c r="C1213" i="5"/>
  <c r="AA1213" i="5"/>
  <c r="AB1213" i="5" s="1"/>
  <c r="AC1213" i="5"/>
  <c r="C1214" i="5"/>
  <c r="AA1214" i="5"/>
  <c r="AB1214" i="5" s="1"/>
  <c r="AC1214" i="5"/>
  <c r="C1215" i="5"/>
  <c r="AA1215" i="5"/>
  <c r="AB1215" i="5" s="1"/>
  <c r="AC1215" i="5"/>
  <c r="C1216" i="5"/>
  <c r="AA1216" i="5"/>
  <c r="AB1216" i="5" s="1"/>
  <c r="AC1216" i="5"/>
  <c r="C1217" i="5"/>
  <c r="AA1217" i="5"/>
  <c r="AB1217" i="5" s="1"/>
  <c r="AC1217" i="5"/>
  <c r="C1218" i="5"/>
  <c r="AA1218" i="5"/>
  <c r="AB1218" i="5"/>
  <c r="AC1218" i="5"/>
  <c r="C1219" i="5"/>
  <c r="AA1219" i="5"/>
  <c r="AB1219" i="5" s="1"/>
  <c r="AC1219" i="5"/>
  <c r="C1220" i="5"/>
  <c r="AA1220" i="5"/>
  <c r="AB1220" i="5"/>
  <c r="AC1220" i="5"/>
  <c r="C1221" i="5"/>
  <c r="AA1221" i="5"/>
  <c r="AB1221" i="5" s="1"/>
  <c r="AC1221" i="5"/>
  <c r="C1222" i="5"/>
  <c r="AA1222" i="5"/>
  <c r="AB1222" i="5"/>
  <c r="AC1222" i="5"/>
  <c r="C1223" i="5"/>
  <c r="AA1223" i="5"/>
  <c r="AB1223" i="5" s="1"/>
  <c r="AC1223" i="5"/>
  <c r="C1224" i="5"/>
  <c r="AA1224" i="5"/>
  <c r="AB1224" i="5" s="1"/>
  <c r="AC1224" i="5"/>
  <c r="C1225" i="5"/>
  <c r="AA1225" i="5"/>
  <c r="AB1225" i="5" s="1"/>
  <c r="AC1225" i="5"/>
  <c r="C1226" i="5"/>
  <c r="AA1226" i="5"/>
  <c r="AB1226" i="5" s="1"/>
  <c r="AC1226" i="5"/>
  <c r="C1227" i="5"/>
  <c r="AA1227" i="5"/>
  <c r="AB1227" i="5"/>
  <c r="AC1227" i="5"/>
  <c r="C1228" i="5"/>
  <c r="AA1228" i="5"/>
  <c r="AB1228" i="5" s="1"/>
  <c r="AC1228" i="5"/>
  <c r="C1229" i="5"/>
  <c r="AA1229" i="5"/>
  <c r="AB1229" i="5" s="1"/>
  <c r="AC1229" i="5"/>
  <c r="C1230" i="5"/>
  <c r="AA1230" i="5"/>
  <c r="AB1230" i="5"/>
  <c r="AC1230" i="5"/>
  <c r="C1231" i="5"/>
  <c r="AA1231" i="5"/>
  <c r="AB1231" i="5" s="1"/>
  <c r="AC1231" i="5"/>
  <c r="C1232" i="5"/>
  <c r="AA1232" i="5"/>
  <c r="AB1232" i="5" s="1"/>
  <c r="AC1232" i="5"/>
  <c r="C1233" i="5"/>
  <c r="AA1233" i="5"/>
  <c r="AB1233" i="5"/>
  <c r="AC1233" i="5"/>
  <c r="C1234" i="5"/>
  <c r="AA1234" i="5"/>
  <c r="AB1234" i="5" s="1"/>
  <c r="AC1234" i="5"/>
  <c r="C1235" i="5"/>
  <c r="AA1235" i="5"/>
  <c r="AB1235" i="5" s="1"/>
  <c r="AC1235" i="5"/>
  <c r="C1236" i="5"/>
  <c r="AA1236" i="5"/>
  <c r="AB1236" i="5"/>
  <c r="AC1236" i="5"/>
  <c r="C1237" i="5"/>
  <c r="AA1237" i="5"/>
  <c r="AB1237" i="5" s="1"/>
  <c r="AC1237" i="5"/>
  <c r="C1238" i="5"/>
  <c r="AA1238" i="5"/>
  <c r="AB1238" i="5"/>
  <c r="AC1238" i="5"/>
  <c r="C1239" i="5"/>
  <c r="AA1239" i="5"/>
  <c r="AB1239" i="5" s="1"/>
  <c r="AC1239" i="5"/>
  <c r="C1240" i="5"/>
  <c r="AA1240" i="5"/>
  <c r="AB1240" i="5" s="1"/>
  <c r="AC1240" i="5"/>
  <c r="C1241" i="5"/>
  <c r="AA1241" i="5"/>
  <c r="AB1241" i="5" s="1"/>
  <c r="AC1241" i="5"/>
  <c r="C1242" i="5"/>
  <c r="AA1242" i="5"/>
  <c r="AB1242" i="5"/>
  <c r="AC1242" i="5"/>
  <c r="C1243" i="5"/>
  <c r="AA1243" i="5"/>
  <c r="AB1243" i="5" s="1"/>
  <c r="AC1243" i="5"/>
  <c r="C1244" i="5"/>
  <c r="AA1244" i="5"/>
  <c r="AB1244" i="5"/>
  <c r="AC1244" i="5"/>
  <c r="C1245" i="5"/>
  <c r="AA1245" i="5"/>
  <c r="AB1245" i="5"/>
  <c r="AC1245" i="5"/>
  <c r="C1246" i="5"/>
  <c r="AA1246" i="5"/>
  <c r="AB1246" i="5" s="1"/>
  <c r="AC1246" i="5"/>
  <c r="C1247" i="5"/>
  <c r="AA1247" i="5"/>
  <c r="AB1247" i="5"/>
  <c r="AC1247" i="5"/>
  <c r="C1248" i="5"/>
  <c r="AA1248" i="5"/>
  <c r="AB1248" i="5" s="1"/>
  <c r="AC1248" i="5"/>
  <c r="C1249" i="5"/>
  <c r="AA1249" i="5"/>
  <c r="AB1249" i="5" s="1"/>
  <c r="AC1249" i="5"/>
  <c r="C1250" i="5"/>
  <c r="AA1250" i="5"/>
  <c r="AB1250" i="5" s="1"/>
  <c r="AC1250" i="5"/>
  <c r="C1251" i="5"/>
  <c r="AA1251" i="5"/>
  <c r="AB1251" i="5"/>
  <c r="AC1251" i="5"/>
  <c r="C1252" i="5"/>
  <c r="AA1252" i="5"/>
  <c r="AB1252" i="5" s="1"/>
  <c r="AC1252" i="5"/>
  <c r="C1253" i="5"/>
  <c r="AD1253" i="5" s="1"/>
  <c r="AA1253" i="5"/>
  <c r="AB1253" i="5"/>
  <c r="AC1253" i="5"/>
  <c r="C1254" i="5"/>
  <c r="AA1254" i="5"/>
  <c r="AB1254" i="5" s="1"/>
  <c r="AC1254" i="5"/>
  <c r="C1255" i="5"/>
  <c r="AA1255" i="5"/>
  <c r="AB1255" i="5" s="1"/>
  <c r="AC1255" i="5"/>
  <c r="C1256" i="5"/>
  <c r="AA1256" i="5"/>
  <c r="AB1256" i="5" s="1"/>
  <c r="AC1256" i="5"/>
  <c r="C1257" i="5"/>
  <c r="AA1257" i="5"/>
  <c r="AB1257" i="5"/>
  <c r="AC1257" i="5"/>
  <c r="C1258" i="5"/>
  <c r="AA1258" i="5"/>
  <c r="AB1258" i="5"/>
  <c r="AC1258" i="5"/>
  <c r="C1259" i="5"/>
  <c r="AA1259" i="5"/>
  <c r="AB1259" i="5" s="1"/>
  <c r="AC1259" i="5"/>
  <c r="C1260" i="5"/>
  <c r="AD1260" i="5" s="1"/>
  <c r="AA1260" i="5"/>
  <c r="AB1260" i="5"/>
  <c r="AC1260" i="5"/>
  <c r="C1261" i="5"/>
  <c r="AA1261" i="5"/>
  <c r="AB1261" i="5" s="1"/>
  <c r="AC1261" i="5"/>
  <c r="C1262" i="5"/>
  <c r="AA1262" i="5"/>
  <c r="AB1262" i="5"/>
  <c r="AC1262" i="5"/>
  <c r="C1263" i="5"/>
  <c r="AA1263" i="5"/>
  <c r="AB1263" i="5"/>
  <c r="AC1263" i="5"/>
  <c r="C1264" i="5"/>
  <c r="AA1264" i="5"/>
  <c r="AB1264" i="5" s="1"/>
  <c r="AC1264" i="5"/>
  <c r="C1265" i="5"/>
  <c r="AA1265" i="5"/>
  <c r="AB1265" i="5" s="1"/>
  <c r="AC1265" i="5"/>
  <c r="C1266" i="5"/>
  <c r="AA1266" i="5"/>
  <c r="AB1266" i="5"/>
  <c r="AC1266" i="5"/>
  <c r="C1267" i="5"/>
  <c r="AA1267" i="5"/>
  <c r="AB1267" i="5" s="1"/>
  <c r="AC1267" i="5"/>
  <c r="C1268" i="5"/>
  <c r="AA1268" i="5"/>
  <c r="AB1268" i="5" s="1"/>
  <c r="AC1268" i="5"/>
  <c r="C1269" i="5"/>
  <c r="AA1269" i="5"/>
  <c r="AB1269" i="5"/>
  <c r="AC1269" i="5"/>
  <c r="C1270" i="5"/>
  <c r="AA1270" i="5"/>
  <c r="AB1270" i="5" s="1"/>
  <c r="AC1270" i="5"/>
  <c r="C1271" i="5"/>
  <c r="AA1271" i="5"/>
  <c r="AB1271" i="5" s="1"/>
  <c r="AC1271" i="5"/>
  <c r="C1272" i="5"/>
  <c r="AA1272" i="5"/>
  <c r="AB1272" i="5" s="1"/>
  <c r="AC1272" i="5"/>
  <c r="C1273" i="5"/>
  <c r="AA1273" i="5"/>
  <c r="AB1273" i="5" s="1"/>
  <c r="AC1273" i="5"/>
  <c r="C1274" i="5"/>
  <c r="AA1274" i="5"/>
  <c r="AB1274" i="5" s="1"/>
  <c r="AC1274" i="5"/>
  <c r="C1275" i="5"/>
  <c r="AA1275" i="5"/>
  <c r="AB1275" i="5"/>
  <c r="AC1275" i="5"/>
  <c r="C1276" i="5"/>
  <c r="AA1276" i="5"/>
  <c r="AB1276" i="5" s="1"/>
  <c r="AC1276" i="5"/>
  <c r="C1277" i="5"/>
  <c r="AA1277" i="5"/>
  <c r="AB1277" i="5" s="1"/>
  <c r="AC1277" i="5"/>
  <c r="C1278" i="5"/>
  <c r="AA1278" i="5"/>
  <c r="AB1278" i="5"/>
  <c r="AC1278" i="5"/>
  <c r="C1279" i="5"/>
  <c r="AA1279" i="5"/>
  <c r="AB1279" i="5" s="1"/>
  <c r="AC1279" i="5"/>
  <c r="C1280" i="5"/>
  <c r="AA1280" i="5"/>
  <c r="AB1280" i="5" s="1"/>
  <c r="AC1280" i="5"/>
  <c r="C1281" i="5"/>
  <c r="AA1281" i="5"/>
  <c r="AB1281" i="5" s="1"/>
  <c r="AC1281" i="5"/>
  <c r="C1282" i="5"/>
  <c r="AA1282" i="5"/>
  <c r="AB1282" i="5"/>
  <c r="AC1282" i="5"/>
  <c r="C1283" i="5"/>
  <c r="AA1283" i="5"/>
  <c r="AB1283" i="5"/>
  <c r="AC1283" i="5"/>
  <c r="C1284" i="5"/>
  <c r="AA1284" i="5"/>
  <c r="AB1284" i="5" s="1"/>
  <c r="AC1284" i="5"/>
  <c r="C1285" i="5"/>
  <c r="AA1285" i="5"/>
  <c r="AB1285" i="5" s="1"/>
  <c r="AC1285" i="5"/>
  <c r="C1286" i="5"/>
  <c r="AA1286" i="5"/>
  <c r="AB1286" i="5" s="1"/>
  <c r="AC1286" i="5"/>
  <c r="C1287" i="5"/>
  <c r="AA1287" i="5"/>
  <c r="AB1287" i="5" s="1"/>
  <c r="AC1287" i="5"/>
  <c r="C1288" i="5"/>
  <c r="AA1288" i="5"/>
  <c r="AB1288" i="5" s="1"/>
  <c r="AC1288" i="5"/>
  <c r="C1289" i="5"/>
  <c r="AA1289" i="5"/>
  <c r="AB1289" i="5" s="1"/>
  <c r="AC1289" i="5"/>
  <c r="C1290" i="5"/>
  <c r="AA1290" i="5"/>
  <c r="AB1290" i="5" s="1"/>
  <c r="AC1290" i="5"/>
  <c r="C1291" i="5"/>
  <c r="AA1291" i="5"/>
  <c r="AB1291" i="5"/>
  <c r="AC1291" i="5"/>
  <c r="C1292" i="5"/>
  <c r="AA1292" i="5"/>
  <c r="AB1292" i="5" s="1"/>
  <c r="AC1292" i="5"/>
  <c r="C1293" i="5"/>
  <c r="AA1293" i="5"/>
  <c r="AB1293" i="5" s="1"/>
  <c r="AC1293" i="5"/>
  <c r="C1294" i="5"/>
  <c r="AA1294" i="5"/>
  <c r="AB1294" i="5"/>
  <c r="AC1294" i="5"/>
  <c r="C1295" i="5"/>
  <c r="AA1295" i="5"/>
  <c r="AB1295" i="5" s="1"/>
  <c r="AC1295" i="5"/>
  <c r="C1296" i="5"/>
  <c r="AA1296" i="5"/>
  <c r="AB1296" i="5" s="1"/>
  <c r="AC1296" i="5"/>
  <c r="C1297" i="5"/>
  <c r="AA1297" i="5"/>
  <c r="AB1297" i="5" s="1"/>
  <c r="AC1297" i="5"/>
  <c r="C1298" i="5"/>
  <c r="AA1298" i="5"/>
  <c r="AB1298" i="5" s="1"/>
  <c r="AC1298" i="5"/>
  <c r="C1299" i="5"/>
  <c r="AA1299" i="5"/>
  <c r="AB1299" i="5" s="1"/>
  <c r="AC1299" i="5"/>
  <c r="C1300" i="5"/>
  <c r="AA1300" i="5"/>
  <c r="AB1300" i="5"/>
  <c r="AC1300" i="5"/>
  <c r="A701" i="3"/>
  <c r="G701" i="3"/>
  <c r="W701" i="3"/>
  <c r="X701" i="3"/>
  <c r="AA701" i="3"/>
  <c r="A702" i="3"/>
  <c r="G702" i="3"/>
  <c r="W702" i="3"/>
  <c r="X702" i="3"/>
  <c r="AA702" i="3"/>
  <c r="A703" i="3"/>
  <c r="G703" i="3"/>
  <c r="W703" i="3"/>
  <c r="X703" i="3"/>
  <c r="AA703" i="3"/>
  <c r="A704" i="3"/>
  <c r="G704" i="3"/>
  <c r="W704" i="3"/>
  <c r="X704" i="3"/>
  <c r="AA704" i="3"/>
  <c r="A705" i="3"/>
  <c r="G705" i="3"/>
  <c r="W705" i="3"/>
  <c r="X705" i="3"/>
  <c r="AA705" i="3"/>
  <c r="A706" i="3"/>
  <c r="G706" i="3"/>
  <c r="W706" i="3"/>
  <c r="X706" i="3"/>
  <c r="AA706" i="3"/>
  <c r="A707" i="3"/>
  <c r="G707" i="3"/>
  <c r="W707" i="3"/>
  <c r="X707" i="3"/>
  <c r="AA707" i="3"/>
  <c r="A708" i="3"/>
  <c r="G708" i="3"/>
  <c r="W708" i="3"/>
  <c r="X708" i="3"/>
  <c r="AA708" i="3"/>
  <c r="A709" i="3"/>
  <c r="G709" i="3"/>
  <c r="W709" i="3"/>
  <c r="X709" i="3"/>
  <c r="AA709" i="3"/>
  <c r="A710" i="3"/>
  <c r="G710" i="3"/>
  <c r="W710" i="3"/>
  <c r="X710" i="3"/>
  <c r="AA710" i="3"/>
  <c r="A711" i="3"/>
  <c r="G711" i="3"/>
  <c r="W711" i="3"/>
  <c r="X711" i="3"/>
  <c r="Z711" i="3" s="1"/>
  <c r="AA711" i="3"/>
  <c r="A712" i="3"/>
  <c r="G712" i="3"/>
  <c r="W712" i="3"/>
  <c r="X712" i="3"/>
  <c r="AA712" i="3"/>
  <c r="A713" i="3"/>
  <c r="G713" i="3"/>
  <c r="W713" i="3"/>
  <c r="X713" i="3"/>
  <c r="AA713" i="3"/>
  <c r="A714" i="3"/>
  <c r="G714" i="3"/>
  <c r="W714" i="3"/>
  <c r="X714" i="3"/>
  <c r="AA714" i="3"/>
  <c r="A715" i="3"/>
  <c r="G715" i="3"/>
  <c r="W715" i="3"/>
  <c r="X715" i="3"/>
  <c r="AA715" i="3"/>
  <c r="A716" i="3"/>
  <c r="G716" i="3"/>
  <c r="W716" i="3"/>
  <c r="X716" i="3"/>
  <c r="Z716" i="3" s="1"/>
  <c r="AA716" i="3"/>
  <c r="A717" i="3"/>
  <c r="G717" i="3"/>
  <c r="W717" i="3"/>
  <c r="X717" i="3"/>
  <c r="AA717" i="3"/>
  <c r="A718" i="3"/>
  <c r="G718" i="3"/>
  <c r="W718" i="3"/>
  <c r="X718" i="3"/>
  <c r="AA718" i="3"/>
  <c r="A719" i="3"/>
  <c r="G719" i="3"/>
  <c r="W719" i="3"/>
  <c r="X719" i="3"/>
  <c r="Z719" i="3" s="1"/>
  <c r="AA719" i="3"/>
  <c r="A720" i="3"/>
  <c r="G720" i="3"/>
  <c r="W720" i="3"/>
  <c r="X720" i="3"/>
  <c r="AA720" i="3"/>
  <c r="A721" i="3"/>
  <c r="G721" i="3"/>
  <c r="W721" i="3"/>
  <c r="X721" i="3"/>
  <c r="AA721" i="3"/>
  <c r="A722" i="3"/>
  <c r="G722" i="3"/>
  <c r="W722" i="3"/>
  <c r="X722" i="3"/>
  <c r="Z722" i="3" s="1"/>
  <c r="AA722" i="3"/>
  <c r="A723" i="3"/>
  <c r="G723" i="3"/>
  <c r="W723" i="3"/>
  <c r="X723" i="3"/>
  <c r="AA723" i="3"/>
  <c r="A724" i="3"/>
  <c r="G724" i="3"/>
  <c r="W724" i="3"/>
  <c r="X724" i="3"/>
  <c r="Z724" i="3" s="1"/>
  <c r="AA724" i="3"/>
  <c r="A725" i="3"/>
  <c r="G725" i="3"/>
  <c r="W725" i="3"/>
  <c r="X725" i="3"/>
  <c r="AA725" i="3"/>
  <c r="A726" i="3"/>
  <c r="G726" i="3"/>
  <c r="W726" i="3"/>
  <c r="X726" i="3"/>
  <c r="Z726" i="3" s="1"/>
  <c r="AA726" i="3"/>
  <c r="A727" i="3"/>
  <c r="G727" i="3"/>
  <c r="W727" i="3"/>
  <c r="X727" i="3"/>
  <c r="AA727" i="3"/>
  <c r="A728" i="3"/>
  <c r="G728" i="3"/>
  <c r="W728" i="3"/>
  <c r="X728" i="3"/>
  <c r="AA728" i="3"/>
  <c r="A729" i="3"/>
  <c r="G729" i="3"/>
  <c r="W729" i="3"/>
  <c r="X729" i="3"/>
  <c r="AA729" i="3"/>
  <c r="A730" i="3"/>
  <c r="G730" i="3"/>
  <c r="W730" i="3"/>
  <c r="X730" i="3"/>
  <c r="Z730" i="3" s="1"/>
  <c r="AA730" i="3"/>
  <c r="A731" i="3"/>
  <c r="G731" i="3"/>
  <c r="W731" i="3"/>
  <c r="X731" i="3"/>
  <c r="Z731" i="3" s="1"/>
  <c r="AA731" i="3"/>
  <c r="A732" i="3"/>
  <c r="G732" i="3"/>
  <c r="W732" i="3"/>
  <c r="X732" i="3"/>
  <c r="Z732" i="3" s="1"/>
  <c r="AA732" i="3"/>
  <c r="A733" i="3"/>
  <c r="G733" i="3"/>
  <c r="W733" i="3"/>
  <c r="X733" i="3"/>
  <c r="AA733" i="3"/>
  <c r="A734" i="3"/>
  <c r="G734" i="3"/>
  <c r="W734" i="3"/>
  <c r="X734" i="3"/>
  <c r="Z734" i="3" s="1"/>
  <c r="AA734" i="3"/>
  <c r="A735" i="3"/>
  <c r="G735" i="3"/>
  <c r="W735" i="3"/>
  <c r="X735" i="3"/>
  <c r="Z735" i="3" s="1"/>
  <c r="AA735" i="3"/>
  <c r="A736" i="3"/>
  <c r="G736" i="3"/>
  <c r="W736" i="3"/>
  <c r="X736" i="3"/>
  <c r="Z736" i="3" s="1"/>
  <c r="AA736" i="3"/>
  <c r="A737" i="3"/>
  <c r="G737" i="3"/>
  <c r="W737" i="3"/>
  <c r="X737" i="3"/>
  <c r="Z737" i="3" s="1"/>
  <c r="AA737" i="3"/>
  <c r="A738" i="3"/>
  <c r="G738" i="3"/>
  <c r="W738" i="3"/>
  <c r="X738" i="3"/>
  <c r="AA738" i="3"/>
  <c r="A739" i="3"/>
  <c r="G739" i="3"/>
  <c r="W739" i="3"/>
  <c r="X739" i="3"/>
  <c r="Z739" i="3" s="1"/>
  <c r="AA739" i="3"/>
  <c r="A740" i="3"/>
  <c r="G740" i="3"/>
  <c r="W740" i="3"/>
  <c r="X740" i="3"/>
  <c r="AA740" i="3"/>
  <c r="A741" i="3"/>
  <c r="G741" i="3"/>
  <c r="W741" i="3"/>
  <c r="X741" i="3"/>
  <c r="AA741" i="3"/>
  <c r="A742" i="3"/>
  <c r="G742" i="3"/>
  <c r="W742" i="3"/>
  <c r="X742" i="3"/>
  <c r="AA742" i="3"/>
  <c r="A743" i="3"/>
  <c r="G743" i="3"/>
  <c r="W743" i="3"/>
  <c r="X743" i="3"/>
  <c r="Z743" i="3" s="1"/>
  <c r="AA743" i="3"/>
  <c r="A744" i="3"/>
  <c r="G744" i="3"/>
  <c r="W744" i="3"/>
  <c r="X744" i="3"/>
  <c r="Z744" i="3" s="1"/>
  <c r="AA744" i="3"/>
  <c r="A745" i="3"/>
  <c r="G745" i="3"/>
  <c r="W745" i="3"/>
  <c r="X745" i="3"/>
  <c r="Z745" i="3" s="1"/>
  <c r="AA745" i="3"/>
  <c r="A746" i="3"/>
  <c r="G746" i="3"/>
  <c r="W746" i="3"/>
  <c r="X746" i="3"/>
  <c r="AA746" i="3"/>
  <c r="A747" i="3"/>
  <c r="G747" i="3"/>
  <c r="W747" i="3"/>
  <c r="X747" i="3"/>
  <c r="Z747" i="3" s="1"/>
  <c r="AA747" i="3"/>
  <c r="A748" i="3"/>
  <c r="G748" i="3"/>
  <c r="W748" i="3"/>
  <c r="X748" i="3"/>
  <c r="AA748" i="3"/>
  <c r="A749" i="3"/>
  <c r="G749" i="3"/>
  <c r="W749" i="3"/>
  <c r="X749" i="3"/>
  <c r="AA749" i="3"/>
  <c r="A750" i="3"/>
  <c r="G750" i="3"/>
  <c r="W750" i="3"/>
  <c r="X750" i="3"/>
  <c r="AA750" i="3"/>
  <c r="A751" i="3"/>
  <c r="G751" i="3"/>
  <c r="W751" i="3"/>
  <c r="X751" i="3"/>
  <c r="Z751" i="3" s="1"/>
  <c r="AA751" i="3"/>
  <c r="A752" i="3"/>
  <c r="G752" i="3"/>
  <c r="W752" i="3"/>
  <c r="X752" i="3"/>
  <c r="Z752" i="3" s="1"/>
  <c r="AA752" i="3"/>
  <c r="A753" i="3"/>
  <c r="G753" i="3"/>
  <c r="W753" i="3"/>
  <c r="X753" i="3"/>
  <c r="Z753" i="3" s="1"/>
  <c r="AA753" i="3"/>
  <c r="A754" i="3"/>
  <c r="G754" i="3"/>
  <c r="W754" i="3"/>
  <c r="X754" i="3"/>
  <c r="Z754" i="3" s="1"/>
  <c r="AA754" i="3"/>
  <c r="A755" i="3"/>
  <c r="G755" i="3"/>
  <c r="W755" i="3"/>
  <c r="X755" i="3"/>
  <c r="Z755" i="3" s="1"/>
  <c r="AA755" i="3"/>
  <c r="A756" i="3"/>
  <c r="G756" i="3"/>
  <c r="W756" i="3"/>
  <c r="X756" i="3"/>
  <c r="AA756" i="3"/>
  <c r="A757" i="3"/>
  <c r="G757" i="3"/>
  <c r="W757" i="3"/>
  <c r="X757" i="3"/>
  <c r="AA757" i="3"/>
  <c r="A758" i="3"/>
  <c r="G758" i="3"/>
  <c r="W758" i="3"/>
  <c r="X758" i="3"/>
  <c r="AA758" i="3"/>
  <c r="A759" i="3"/>
  <c r="G759" i="3"/>
  <c r="W759" i="3"/>
  <c r="X759" i="3"/>
  <c r="Z759" i="3" s="1"/>
  <c r="AA759" i="3"/>
  <c r="A760" i="3"/>
  <c r="G760" i="3"/>
  <c r="W760" i="3"/>
  <c r="X760" i="3"/>
  <c r="Z760" i="3" s="1"/>
  <c r="AA760" i="3"/>
  <c r="A761" i="3"/>
  <c r="G761" i="3"/>
  <c r="W761" i="3"/>
  <c r="X761" i="3"/>
  <c r="Z761" i="3" s="1"/>
  <c r="AA761" i="3"/>
  <c r="A762" i="3"/>
  <c r="G762" i="3"/>
  <c r="W762" i="3"/>
  <c r="X762" i="3"/>
  <c r="Z762" i="3" s="1"/>
  <c r="AA762" i="3"/>
  <c r="A763" i="3"/>
  <c r="G763" i="3"/>
  <c r="W763" i="3"/>
  <c r="X763" i="3"/>
  <c r="Z763" i="3" s="1"/>
  <c r="AA763" i="3"/>
  <c r="A764" i="3"/>
  <c r="G764" i="3"/>
  <c r="W764" i="3"/>
  <c r="X764" i="3"/>
  <c r="AA764" i="3"/>
  <c r="A765" i="3"/>
  <c r="G765" i="3"/>
  <c r="W765" i="3"/>
  <c r="X765" i="3"/>
  <c r="AA765" i="3"/>
  <c r="A766" i="3"/>
  <c r="G766" i="3"/>
  <c r="W766" i="3"/>
  <c r="X766" i="3"/>
  <c r="AA766" i="3"/>
  <c r="A767" i="3"/>
  <c r="G767" i="3"/>
  <c r="W767" i="3"/>
  <c r="X767" i="3"/>
  <c r="Z767" i="3" s="1"/>
  <c r="AA767" i="3"/>
  <c r="A768" i="3"/>
  <c r="G768" i="3"/>
  <c r="W768" i="3"/>
  <c r="X768" i="3"/>
  <c r="Z768" i="3" s="1"/>
  <c r="AA768" i="3"/>
  <c r="A769" i="3"/>
  <c r="G769" i="3"/>
  <c r="W769" i="3"/>
  <c r="X769" i="3"/>
  <c r="Z769" i="3" s="1"/>
  <c r="AA769" i="3"/>
  <c r="A770" i="3"/>
  <c r="G770" i="3"/>
  <c r="W770" i="3"/>
  <c r="X770" i="3"/>
  <c r="AA770" i="3"/>
  <c r="A771" i="3"/>
  <c r="G771" i="3"/>
  <c r="W771" i="3"/>
  <c r="X771" i="3"/>
  <c r="Z771" i="3" s="1"/>
  <c r="AA771" i="3"/>
  <c r="A772" i="3"/>
  <c r="G772" i="3"/>
  <c r="W772" i="3"/>
  <c r="X772" i="3"/>
  <c r="AA772" i="3"/>
  <c r="A773" i="3"/>
  <c r="G773" i="3"/>
  <c r="W773" i="3"/>
  <c r="X773" i="3"/>
  <c r="AA773" i="3"/>
  <c r="A774" i="3"/>
  <c r="G774" i="3"/>
  <c r="W774" i="3"/>
  <c r="X774" i="3"/>
  <c r="AA774" i="3"/>
  <c r="A775" i="3"/>
  <c r="G775" i="3"/>
  <c r="W775" i="3"/>
  <c r="X775" i="3"/>
  <c r="Z775" i="3" s="1"/>
  <c r="AA775" i="3"/>
  <c r="A776" i="3"/>
  <c r="G776" i="3"/>
  <c r="W776" i="3"/>
  <c r="X776" i="3"/>
  <c r="Z776" i="3" s="1"/>
  <c r="AA776" i="3"/>
  <c r="A777" i="3"/>
  <c r="G777" i="3"/>
  <c r="W777" i="3"/>
  <c r="X777" i="3"/>
  <c r="Z777" i="3" s="1"/>
  <c r="AA777" i="3"/>
  <c r="A778" i="3"/>
  <c r="G778" i="3"/>
  <c r="W778" i="3"/>
  <c r="X778" i="3"/>
  <c r="AA778" i="3"/>
  <c r="A779" i="3"/>
  <c r="G779" i="3"/>
  <c r="W779" i="3"/>
  <c r="X779" i="3"/>
  <c r="Z779" i="3" s="1"/>
  <c r="AA779" i="3"/>
  <c r="A780" i="3"/>
  <c r="G780" i="3"/>
  <c r="W780" i="3"/>
  <c r="X780" i="3"/>
  <c r="AA780" i="3"/>
  <c r="A781" i="3"/>
  <c r="G781" i="3"/>
  <c r="W781" i="3"/>
  <c r="X781" i="3"/>
  <c r="AA781" i="3"/>
  <c r="A782" i="3"/>
  <c r="G782" i="3"/>
  <c r="W782" i="3"/>
  <c r="X782" i="3"/>
  <c r="AA782" i="3"/>
  <c r="A783" i="3"/>
  <c r="G783" i="3"/>
  <c r="W783" i="3"/>
  <c r="X783" i="3"/>
  <c r="Z783" i="3" s="1"/>
  <c r="AA783" i="3"/>
  <c r="A784" i="3"/>
  <c r="G784" i="3"/>
  <c r="W784" i="3"/>
  <c r="X784" i="3"/>
  <c r="Z784" i="3" s="1"/>
  <c r="AA784" i="3"/>
  <c r="A785" i="3"/>
  <c r="G785" i="3"/>
  <c r="W785" i="3"/>
  <c r="X785" i="3"/>
  <c r="Z785" i="3" s="1"/>
  <c r="AA785" i="3"/>
  <c r="A786" i="3"/>
  <c r="G786" i="3"/>
  <c r="W786" i="3"/>
  <c r="X786" i="3"/>
  <c r="AA786" i="3"/>
  <c r="A787" i="3"/>
  <c r="G787" i="3"/>
  <c r="W787" i="3"/>
  <c r="X787" i="3"/>
  <c r="Z787" i="3" s="1"/>
  <c r="AA787" i="3"/>
  <c r="A788" i="3"/>
  <c r="G788" i="3"/>
  <c r="W788" i="3"/>
  <c r="X788" i="3"/>
  <c r="AA788" i="3"/>
  <c r="A789" i="3"/>
  <c r="G789" i="3"/>
  <c r="W789" i="3"/>
  <c r="X789" i="3"/>
  <c r="AA789" i="3"/>
  <c r="A790" i="3"/>
  <c r="G790" i="3"/>
  <c r="W790" i="3"/>
  <c r="X790" i="3"/>
  <c r="AA790" i="3"/>
  <c r="A791" i="3"/>
  <c r="G791" i="3"/>
  <c r="W791" i="3"/>
  <c r="X791" i="3"/>
  <c r="Z791" i="3" s="1"/>
  <c r="AA791" i="3"/>
  <c r="A792" i="3"/>
  <c r="G792" i="3"/>
  <c r="W792" i="3"/>
  <c r="X792" i="3"/>
  <c r="Z792" i="3" s="1"/>
  <c r="AA792" i="3"/>
  <c r="A793" i="3"/>
  <c r="G793" i="3"/>
  <c r="W793" i="3"/>
  <c r="X793" i="3"/>
  <c r="Z793" i="3" s="1"/>
  <c r="AA793" i="3"/>
  <c r="A794" i="3"/>
  <c r="G794" i="3"/>
  <c r="W794" i="3"/>
  <c r="X794" i="3"/>
  <c r="Z794" i="3" s="1"/>
  <c r="AA794" i="3"/>
  <c r="A795" i="3"/>
  <c r="G795" i="3"/>
  <c r="W795" i="3"/>
  <c r="X795" i="3"/>
  <c r="Z795" i="3" s="1"/>
  <c r="AA795" i="3"/>
  <c r="A796" i="3"/>
  <c r="G796" i="3"/>
  <c r="W796" i="3"/>
  <c r="X796" i="3"/>
  <c r="AA796" i="3"/>
  <c r="A797" i="3"/>
  <c r="G797" i="3"/>
  <c r="W797" i="3"/>
  <c r="X797" i="3"/>
  <c r="AA797" i="3"/>
  <c r="A798" i="3"/>
  <c r="G798" i="3"/>
  <c r="W798" i="3"/>
  <c r="X798" i="3"/>
  <c r="AA798" i="3"/>
  <c r="A799" i="3"/>
  <c r="G799" i="3"/>
  <c r="W799" i="3"/>
  <c r="X799" i="3"/>
  <c r="Z799" i="3" s="1"/>
  <c r="AA799" i="3"/>
  <c r="A800" i="3"/>
  <c r="G800" i="3"/>
  <c r="W800" i="3"/>
  <c r="X800" i="3"/>
  <c r="Z800" i="3" s="1"/>
  <c r="AA800" i="3"/>
  <c r="A801" i="3"/>
  <c r="G801" i="3"/>
  <c r="W801" i="3"/>
  <c r="X801" i="3"/>
  <c r="Z801" i="3" s="1"/>
  <c r="AA801" i="3"/>
  <c r="A802" i="3"/>
  <c r="G802" i="3"/>
  <c r="W802" i="3"/>
  <c r="X802" i="3"/>
  <c r="Z802" i="3" s="1"/>
  <c r="AA802" i="3"/>
  <c r="A803" i="3"/>
  <c r="G803" i="3"/>
  <c r="W803" i="3"/>
  <c r="X803" i="3"/>
  <c r="Z803" i="3" s="1"/>
  <c r="AA803" i="3"/>
  <c r="A804" i="3"/>
  <c r="G804" i="3"/>
  <c r="W804" i="3"/>
  <c r="X804" i="3"/>
  <c r="AA804" i="3"/>
  <c r="A805" i="3"/>
  <c r="G805" i="3"/>
  <c r="W805" i="3"/>
  <c r="X805" i="3"/>
  <c r="AA805" i="3"/>
  <c r="A806" i="3"/>
  <c r="G806" i="3"/>
  <c r="W806" i="3"/>
  <c r="X806" i="3"/>
  <c r="AA806" i="3"/>
  <c r="A807" i="3"/>
  <c r="G807" i="3"/>
  <c r="W807" i="3"/>
  <c r="X807" i="3"/>
  <c r="Z807" i="3" s="1"/>
  <c r="AA807" i="3"/>
  <c r="A808" i="3"/>
  <c r="G808" i="3"/>
  <c r="W808" i="3"/>
  <c r="X808" i="3"/>
  <c r="Z808" i="3" s="1"/>
  <c r="AA808" i="3"/>
  <c r="A809" i="3"/>
  <c r="G809" i="3"/>
  <c r="W809" i="3"/>
  <c r="X809" i="3"/>
  <c r="Z809" i="3" s="1"/>
  <c r="AA809" i="3"/>
  <c r="A810" i="3"/>
  <c r="G810" i="3"/>
  <c r="W810" i="3"/>
  <c r="X810" i="3"/>
  <c r="Z810" i="3" s="1"/>
  <c r="AA810" i="3"/>
  <c r="A811" i="3"/>
  <c r="G811" i="3"/>
  <c r="W811" i="3"/>
  <c r="X811" i="3"/>
  <c r="Z811" i="3" s="1"/>
  <c r="AA811" i="3"/>
  <c r="A812" i="3"/>
  <c r="G812" i="3"/>
  <c r="W812" i="3"/>
  <c r="X812" i="3"/>
  <c r="AA812" i="3"/>
  <c r="A813" i="3"/>
  <c r="G813" i="3"/>
  <c r="W813" i="3"/>
  <c r="X813" i="3"/>
  <c r="AA813" i="3"/>
  <c r="A814" i="3"/>
  <c r="G814" i="3"/>
  <c r="W814" i="3"/>
  <c r="X814" i="3"/>
  <c r="AA814" i="3"/>
  <c r="A815" i="3"/>
  <c r="G815" i="3"/>
  <c r="W815" i="3"/>
  <c r="X815" i="3"/>
  <c r="Z815" i="3" s="1"/>
  <c r="AA815" i="3"/>
  <c r="A816" i="3"/>
  <c r="G816" i="3"/>
  <c r="W816" i="3"/>
  <c r="X816" i="3"/>
  <c r="Z816" i="3" s="1"/>
  <c r="AA816" i="3"/>
  <c r="A817" i="3"/>
  <c r="G817" i="3"/>
  <c r="W817" i="3"/>
  <c r="X817" i="3"/>
  <c r="Z817" i="3" s="1"/>
  <c r="AA817" i="3"/>
  <c r="A818" i="3"/>
  <c r="G818" i="3"/>
  <c r="W818" i="3"/>
  <c r="X818" i="3"/>
  <c r="Z818" i="3" s="1"/>
  <c r="AA818" i="3"/>
  <c r="A819" i="3"/>
  <c r="G819" i="3"/>
  <c r="W819" i="3"/>
  <c r="X819" i="3"/>
  <c r="Z819" i="3" s="1"/>
  <c r="AA819" i="3"/>
  <c r="A820" i="3"/>
  <c r="G820" i="3"/>
  <c r="W820" i="3"/>
  <c r="X820" i="3"/>
  <c r="Z820" i="3" s="1"/>
  <c r="AA820" i="3"/>
  <c r="A821" i="3"/>
  <c r="G821" i="3"/>
  <c r="W821" i="3"/>
  <c r="X821" i="3"/>
  <c r="Z821" i="3" s="1"/>
  <c r="AA821" i="3"/>
  <c r="A822" i="3"/>
  <c r="G822" i="3"/>
  <c r="W822" i="3"/>
  <c r="X822" i="3"/>
  <c r="Z822" i="3" s="1"/>
  <c r="AA822" i="3"/>
  <c r="A823" i="3"/>
  <c r="G823" i="3"/>
  <c r="W823" i="3"/>
  <c r="X823" i="3"/>
  <c r="Z823" i="3" s="1"/>
  <c r="AA823" i="3"/>
  <c r="A824" i="3"/>
  <c r="G824" i="3"/>
  <c r="W824" i="3"/>
  <c r="X824" i="3"/>
  <c r="Z824" i="3" s="1"/>
  <c r="AA824" i="3"/>
  <c r="A825" i="3"/>
  <c r="G825" i="3"/>
  <c r="W825" i="3"/>
  <c r="X825" i="3"/>
  <c r="Z825" i="3" s="1"/>
  <c r="AA825" i="3"/>
  <c r="A826" i="3"/>
  <c r="G826" i="3"/>
  <c r="W826" i="3"/>
  <c r="X826" i="3"/>
  <c r="Z826" i="3" s="1"/>
  <c r="AA826" i="3"/>
  <c r="A827" i="3"/>
  <c r="G827" i="3"/>
  <c r="W827" i="3"/>
  <c r="X827" i="3"/>
  <c r="Z827" i="3" s="1"/>
  <c r="AA827" i="3"/>
  <c r="A828" i="3"/>
  <c r="G828" i="3"/>
  <c r="W828" i="3"/>
  <c r="X828" i="3"/>
  <c r="Z828" i="3" s="1"/>
  <c r="AA828" i="3"/>
  <c r="A829" i="3"/>
  <c r="G829" i="3"/>
  <c r="W829" i="3"/>
  <c r="X829" i="3"/>
  <c r="Z829" i="3" s="1"/>
  <c r="AA829" i="3"/>
  <c r="A830" i="3"/>
  <c r="G830" i="3"/>
  <c r="W830" i="3"/>
  <c r="X830" i="3"/>
  <c r="Z830" i="3" s="1"/>
  <c r="AA830" i="3"/>
  <c r="A831" i="3"/>
  <c r="G831" i="3"/>
  <c r="W831" i="3"/>
  <c r="X831" i="3"/>
  <c r="Z831" i="3" s="1"/>
  <c r="AA831" i="3"/>
  <c r="A832" i="3"/>
  <c r="G832" i="3"/>
  <c r="W832" i="3"/>
  <c r="X832" i="3"/>
  <c r="Z832" i="3" s="1"/>
  <c r="AA832" i="3"/>
  <c r="A833" i="3"/>
  <c r="G833" i="3"/>
  <c r="W833" i="3"/>
  <c r="X833" i="3"/>
  <c r="Z833" i="3" s="1"/>
  <c r="AA833" i="3"/>
  <c r="A834" i="3"/>
  <c r="G834" i="3"/>
  <c r="W834" i="3"/>
  <c r="X834" i="3"/>
  <c r="Z834" i="3" s="1"/>
  <c r="AA834" i="3"/>
  <c r="A835" i="3"/>
  <c r="G835" i="3"/>
  <c r="W835" i="3"/>
  <c r="X835" i="3"/>
  <c r="Z835" i="3" s="1"/>
  <c r="AA835" i="3"/>
  <c r="A836" i="3"/>
  <c r="G836" i="3"/>
  <c r="W836" i="3"/>
  <c r="X836" i="3"/>
  <c r="Z836" i="3" s="1"/>
  <c r="AA836" i="3"/>
  <c r="A837" i="3"/>
  <c r="G837" i="3"/>
  <c r="W837" i="3"/>
  <c r="X837" i="3"/>
  <c r="Z837" i="3" s="1"/>
  <c r="AA837" i="3"/>
  <c r="A838" i="3"/>
  <c r="G838" i="3"/>
  <c r="W838" i="3"/>
  <c r="X838" i="3"/>
  <c r="Z838" i="3" s="1"/>
  <c r="AA838" i="3"/>
  <c r="A839" i="3"/>
  <c r="G839" i="3"/>
  <c r="W839" i="3"/>
  <c r="X839" i="3"/>
  <c r="Z839" i="3" s="1"/>
  <c r="AA839" i="3"/>
  <c r="A840" i="3"/>
  <c r="G840" i="3"/>
  <c r="W840" i="3"/>
  <c r="X840" i="3"/>
  <c r="Z840" i="3" s="1"/>
  <c r="AA840" i="3"/>
  <c r="A841" i="3"/>
  <c r="G841" i="3"/>
  <c r="W841" i="3"/>
  <c r="X841" i="3"/>
  <c r="Z841" i="3" s="1"/>
  <c r="AA841" i="3"/>
  <c r="A842" i="3"/>
  <c r="G842" i="3"/>
  <c r="W842" i="3"/>
  <c r="X842" i="3"/>
  <c r="Z842" i="3" s="1"/>
  <c r="AA842" i="3"/>
  <c r="A843" i="3"/>
  <c r="G843" i="3"/>
  <c r="W843" i="3"/>
  <c r="X843" i="3"/>
  <c r="Z843" i="3" s="1"/>
  <c r="AA843" i="3"/>
  <c r="A844" i="3"/>
  <c r="G844" i="3"/>
  <c r="W844" i="3"/>
  <c r="X844" i="3"/>
  <c r="Z844" i="3" s="1"/>
  <c r="AA844" i="3"/>
  <c r="A845" i="3"/>
  <c r="G845" i="3"/>
  <c r="W845" i="3"/>
  <c r="X845" i="3"/>
  <c r="Z845" i="3" s="1"/>
  <c r="AA845" i="3"/>
  <c r="A846" i="3"/>
  <c r="G846" i="3"/>
  <c r="W846" i="3"/>
  <c r="X846" i="3"/>
  <c r="Z846" i="3" s="1"/>
  <c r="AA846" i="3"/>
  <c r="A847" i="3"/>
  <c r="G847" i="3"/>
  <c r="W847" i="3"/>
  <c r="X847" i="3"/>
  <c r="Z847" i="3" s="1"/>
  <c r="AA847" i="3"/>
  <c r="A848" i="3"/>
  <c r="G848" i="3"/>
  <c r="W848" i="3"/>
  <c r="X848" i="3"/>
  <c r="Z848" i="3" s="1"/>
  <c r="AA848" i="3"/>
  <c r="A849" i="3"/>
  <c r="G849" i="3"/>
  <c r="W849" i="3"/>
  <c r="X849" i="3"/>
  <c r="Z849" i="3" s="1"/>
  <c r="AA849" i="3"/>
  <c r="A850" i="3"/>
  <c r="G850" i="3"/>
  <c r="W850" i="3"/>
  <c r="X850" i="3"/>
  <c r="Z850" i="3" s="1"/>
  <c r="AA850" i="3"/>
  <c r="A851" i="3"/>
  <c r="G851" i="3"/>
  <c r="W851" i="3"/>
  <c r="X851" i="3"/>
  <c r="Z851" i="3" s="1"/>
  <c r="AA851" i="3"/>
  <c r="A852" i="3"/>
  <c r="G852" i="3"/>
  <c r="W852" i="3"/>
  <c r="X852" i="3"/>
  <c r="Z852" i="3" s="1"/>
  <c r="AA852" i="3"/>
  <c r="A853" i="3"/>
  <c r="G853" i="3"/>
  <c r="W853" i="3"/>
  <c r="X853" i="3"/>
  <c r="Z853" i="3" s="1"/>
  <c r="AA853" i="3"/>
  <c r="A854" i="3"/>
  <c r="G854" i="3"/>
  <c r="W854" i="3"/>
  <c r="X854" i="3"/>
  <c r="Z854" i="3" s="1"/>
  <c r="AA854" i="3"/>
  <c r="A855" i="3"/>
  <c r="G855" i="3"/>
  <c r="W855" i="3"/>
  <c r="X855" i="3"/>
  <c r="Z855" i="3" s="1"/>
  <c r="AA855" i="3"/>
  <c r="A856" i="3"/>
  <c r="G856" i="3"/>
  <c r="W856" i="3"/>
  <c r="X856" i="3"/>
  <c r="Z856" i="3" s="1"/>
  <c r="AA856" i="3"/>
  <c r="A857" i="3"/>
  <c r="G857" i="3"/>
  <c r="W857" i="3"/>
  <c r="X857" i="3"/>
  <c r="Z857" i="3" s="1"/>
  <c r="AA857" i="3"/>
  <c r="A858" i="3"/>
  <c r="G858" i="3"/>
  <c r="W858" i="3"/>
  <c r="X858" i="3"/>
  <c r="Z858" i="3" s="1"/>
  <c r="AA858" i="3"/>
  <c r="A859" i="3"/>
  <c r="G859" i="3"/>
  <c r="W859" i="3"/>
  <c r="X859" i="3"/>
  <c r="Z859" i="3" s="1"/>
  <c r="AA859" i="3"/>
  <c r="A860" i="3"/>
  <c r="G860" i="3"/>
  <c r="W860" i="3"/>
  <c r="X860" i="3"/>
  <c r="Z860" i="3" s="1"/>
  <c r="AA860" i="3"/>
  <c r="A861" i="3"/>
  <c r="G861" i="3"/>
  <c r="W861" i="3"/>
  <c r="X861" i="3"/>
  <c r="Z861" i="3" s="1"/>
  <c r="AA861" i="3"/>
  <c r="A862" i="3"/>
  <c r="G862" i="3"/>
  <c r="W862" i="3"/>
  <c r="X862" i="3"/>
  <c r="Z862" i="3" s="1"/>
  <c r="AA862" i="3"/>
  <c r="A863" i="3"/>
  <c r="G863" i="3"/>
  <c r="W863" i="3"/>
  <c r="X863" i="3"/>
  <c r="Z863" i="3" s="1"/>
  <c r="AA863" i="3"/>
  <c r="A864" i="3"/>
  <c r="G864" i="3"/>
  <c r="W864" i="3"/>
  <c r="X864" i="3"/>
  <c r="Z864" i="3" s="1"/>
  <c r="AA864" i="3"/>
  <c r="A865" i="3"/>
  <c r="G865" i="3"/>
  <c r="W865" i="3"/>
  <c r="X865" i="3"/>
  <c r="Z865" i="3" s="1"/>
  <c r="AA865" i="3"/>
  <c r="A866" i="3"/>
  <c r="G866" i="3"/>
  <c r="W866" i="3"/>
  <c r="X866" i="3"/>
  <c r="Z866" i="3" s="1"/>
  <c r="AA866" i="3"/>
  <c r="A867" i="3"/>
  <c r="G867" i="3"/>
  <c r="W867" i="3"/>
  <c r="X867" i="3"/>
  <c r="Z867" i="3" s="1"/>
  <c r="AA867" i="3"/>
  <c r="A868" i="3"/>
  <c r="G868" i="3"/>
  <c r="W868" i="3"/>
  <c r="X868" i="3"/>
  <c r="Z868" i="3" s="1"/>
  <c r="AA868" i="3"/>
  <c r="A869" i="3"/>
  <c r="G869" i="3"/>
  <c r="W869" i="3"/>
  <c r="X869" i="3"/>
  <c r="Z869" i="3" s="1"/>
  <c r="AA869" i="3"/>
  <c r="A870" i="3"/>
  <c r="G870" i="3"/>
  <c r="W870" i="3"/>
  <c r="X870" i="3"/>
  <c r="Z870" i="3" s="1"/>
  <c r="AA870" i="3"/>
  <c r="A871" i="3"/>
  <c r="G871" i="3"/>
  <c r="W871" i="3"/>
  <c r="X871" i="3"/>
  <c r="Z871" i="3" s="1"/>
  <c r="AA871" i="3"/>
  <c r="A872" i="3"/>
  <c r="G872" i="3"/>
  <c r="W872" i="3"/>
  <c r="X872" i="3"/>
  <c r="Z872" i="3" s="1"/>
  <c r="AA872" i="3"/>
  <c r="A873" i="3"/>
  <c r="G873" i="3"/>
  <c r="W873" i="3"/>
  <c r="X873" i="3"/>
  <c r="Z873" i="3" s="1"/>
  <c r="AA873" i="3"/>
  <c r="A874" i="3"/>
  <c r="G874" i="3"/>
  <c r="W874" i="3"/>
  <c r="X874" i="3"/>
  <c r="Z874" i="3" s="1"/>
  <c r="AA874" i="3"/>
  <c r="A875" i="3"/>
  <c r="G875" i="3"/>
  <c r="W875" i="3"/>
  <c r="X875" i="3"/>
  <c r="Z875" i="3" s="1"/>
  <c r="AA875" i="3"/>
  <c r="A876" i="3"/>
  <c r="G876" i="3"/>
  <c r="W876" i="3"/>
  <c r="X876" i="3"/>
  <c r="Z876" i="3" s="1"/>
  <c r="AA876" i="3"/>
  <c r="A877" i="3"/>
  <c r="G877" i="3"/>
  <c r="W877" i="3"/>
  <c r="X877" i="3"/>
  <c r="Z877" i="3" s="1"/>
  <c r="AA877" i="3"/>
  <c r="A878" i="3"/>
  <c r="G878" i="3"/>
  <c r="W878" i="3"/>
  <c r="X878" i="3"/>
  <c r="Z878" i="3" s="1"/>
  <c r="AA878" i="3"/>
  <c r="A879" i="3"/>
  <c r="G879" i="3"/>
  <c r="W879" i="3"/>
  <c r="X879" i="3"/>
  <c r="Z879" i="3" s="1"/>
  <c r="AA879" i="3"/>
  <c r="A880" i="3"/>
  <c r="G880" i="3"/>
  <c r="W880" i="3"/>
  <c r="X880" i="3"/>
  <c r="Z880" i="3" s="1"/>
  <c r="AA880" i="3"/>
  <c r="A881" i="3"/>
  <c r="G881" i="3"/>
  <c r="W881" i="3"/>
  <c r="X881" i="3"/>
  <c r="Z881" i="3" s="1"/>
  <c r="AA881" i="3"/>
  <c r="A882" i="3"/>
  <c r="G882" i="3"/>
  <c r="W882" i="3"/>
  <c r="X882" i="3"/>
  <c r="Z882" i="3" s="1"/>
  <c r="AA882" i="3"/>
  <c r="A883" i="3"/>
  <c r="G883" i="3"/>
  <c r="W883" i="3"/>
  <c r="X883" i="3"/>
  <c r="Z883" i="3" s="1"/>
  <c r="AA883" i="3"/>
  <c r="A884" i="3"/>
  <c r="G884" i="3"/>
  <c r="W884" i="3"/>
  <c r="X884" i="3"/>
  <c r="Z884" i="3" s="1"/>
  <c r="AA884" i="3"/>
  <c r="A885" i="3"/>
  <c r="G885" i="3"/>
  <c r="W885" i="3"/>
  <c r="X885" i="3"/>
  <c r="Z885" i="3" s="1"/>
  <c r="AA885" i="3"/>
  <c r="A886" i="3"/>
  <c r="G886" i="3"/>
  <c r="W886" i="3"/>
  <c r="X886" i="3"/>
  <c r="Z886" i="3" s="1"/>
  <c r="AA886" i="3"/>
  <c r="A887" i="3"/>
  <c r="G887" i="3"/>
  <c r="W887" i="3"/>
  <c r="X887" i="3"/>
  <c r="Z887" i="3" s="1"/>
  <c r="AA887" i="3"/>
  <c r="A888" i="3"/>
  <c r="G888" i="3"/>
  <c r="W888" i="3"/>
  <c r="X888" i="3"/>
  <c r="Z888" i="3" s="1"/>
  <c r="AA888" i="3"/>
  <c r="A889" i="3"/>
  <c r="G889" i="3"/>
  <c r="W889" i="3"/>
  <c r="X889" i="3"/>
  <c r="Z889" i="3" s="1"/>
  <c r="AA889" i="3"/>
  <c r="A890" i="3"/>
  <c r="G890" i="3"/>
  <c r="W890" i="3"/>
  <c r="X890" i="3"/>
  <c r="Z890" i="3" s="1"/>
  <c r="AA890" i="3"/>
  <c r="A891" i="3"/>
  <c r="G891" i="3"/>
  <c r="W891" i="3"/>
  <c r="X891" i="3"/>
  <c r="Z891" i="3" s="1"/>
  <c r="AA891" i="3"/>
  <c r="A892" i="3"/>
  <c r="G892" i="3"/>
  <c r="W892" i="3"/>
  <c r="X892" i="3"/>
  <c r="Z892" i="3" s="1"/>
  <c r="AA892" i="3"/>
  <c r="A893" i="3"/>
  <c r="G893" i="3"/>
  <c r="W893" i="3"/>
  <c r="X893" i="3"/>
  <c r="Z893" i="3" s="1"/>
  <c r="AA893" i="3"/>
  <c r="A894" i="3"/>
  <c r="G894" i="3"/>
  <c r="W894" i="3"/>
  <c r="X894" i="3"/>
  <c r="Z894" i="3" s="1"/>
  <c r="AA894" i="3"/>
  <c r="A895" i="3"/>
  <c r="G895" i="3"/>
  <c r="W895" i="3"/>
  <c r="X895" i="3"/>
  <c r="Z895" i="3" s="1"/>
  <c r="AA895" i="3"/>
  <c r="A896" i="3"/>
  <c r="G896" i="3"/>
  <c r="W896" i="3"/>
  <c r="X896" i="3"/>
  <c r="Z896" i="3" s="1"/>
  <c r="AA896" i="3"/>
  <c r="A897" i="3"/>
  <c r="G897" i="3"/>
  <c r="W897" i="3"/>
  <c r="X897" i="3"/>
  <c r="Z897" i="3" s="1"/>
  <c r="AA897" i="3"/>
  <c r="A898" i="3"/>
  <c r="G898" i="3"/>
  <c r="W898" i="3"/>
  <c r="X898" i="3"/>
  <c r="Z898" i="3" s="1"/>
  <c r="AA898" i="3"/>
  <c r="A899" i="3"/>
  <c r="G899" i="3"/>
  <c r="W899" i="3"/>
  <c r="X899" i="3"/>
  <c r="Z899" i="3" s="1"/>
  <c r="AA899" i="3"/>
  <c r="A900" i="3"/>
  <c r="G900" i="3"/>
  <c r="W900" i="3"/>
  <c r="X900" i="3"/>
  <c r="Z900" i="3" s="1"/>
  <c r="AD788" i="5" s="1"/>
  <c r="AA900" i="3"/>
  <c r="A593" i="3"/>
  <c r="G593" i="3"/>
  <c r="W593" i="3"/>
  <c r="X593" i="3"/>
  <c r="AA593" i="3"/>
  <c r="A594" i="3"/>
  <c r="G594" i="3"/>
  <c r="W594" i="3"/>
  <c r="X594" i="3"/>
  <c r="Z594" i="3" s="1"/>
  <c r="AA594" i="3"/>
  <c r="A595" i="3"/>
  <c r="G595" i="3"/>
  <c r="W595" i="3"/>
  <c r="X595" i="3"/>
  <c r="AA595" i="3"/>
  <c r="A596" i="3"/>
  <c r="G596" i="3"/>
  <c r="W596" i="3"/>
  <c r="X596" i="3"/>
  <c r="AA596" i="3"/>
  <c r="A597" i="3"/>
  <c r="G597" i="3"/>
  <c r="W597" i="3"/>
  <c r="X597" i="3"/>
  <c r="Z597" i="3" s="1"/>
  <c r="AA597" i="3"/>
  <c r="A598" i="3"/>
  <c r="G598" i="3"/>
  <c r="W598" i="3"/>
  <c r="X598" i="3"/>
  <c r="Z598" i="3" s="1"/>
  <c r="AA598" i="3"/>
  <c r="A599" i="3"/>
  <c r="G599" i="3"/>
  <c r="W599" i="3"/>
  <c r="X599" i="3"/>
  <c r="AA599" i="3"/>
  <c r="A600" i="3"/>
  <c r="G600" i="3"/>
  <c r="W600" i="3"/>
  <c r="X600" i="3"/>
  <c r="AA600" i="3"/>
  <c r="A601" i="3"/>
  <c r="G601" i="3"/>
  <c r="W601" i="3"/>
  <c r="X601" i="3"/>
  <c r="Z601" i="3" s="1"/>
  <c r="AA601" i="3"/>
  <c r="A602" i="3"/>
  <c r="G602" i="3"/>
  <c r="W602" i="3"/>
  <c r="X602" i="3"/>
  <c r="AA602" i="3"/>
  <c r="A603" i="3"/>
  <c r="G603" i="3"/>
  <c r="W603" i="3"/>
  <c r="X603" i="3"/>
  <c r="AA603" i="3"/>
  <c r="A604" i="3"/>
  <c r="G604" i="3"/>
  <c r="W604" i="3"/>
  <c r="X604" i="3"/>
  <c r="Z604" i="3" s="1"/>
  <c r="AA604" i="3"/>
  <c r="A605" i="3"/>
  <c r="G605" i="3"/>
  <c r="W605" i="3"/>
  <c r="X605" i="3"/>
  <c r="AA605" i="3"/>
  <c r="A606" i="3"/>
  <c r="G606" i="3"/>
  <c r="W606" i="3"/>
  <c r="X606" i="3"/>
  <c r="AA606" i="3"/>
  <c r="A607" i="3"/>
  <c r="G607" i="3"/>
  <c r="W607" i="3"/>
  <c r="X607" i="3"/>
  <c r="AA607" i="3"/>
  <c r="A608" i="3"/>
  <c r="G608" i="3"/>
  <c r="W608" i="3"/>
  <c r="X608" i="3"/>
  <c r="Z608" i="3" s="1"/>
  <c r="AA608" i="3"/>
  <c r="A609" i="3"/>
  <c r="G609" i="3"/>
  <c r="W609" i="3"/>
  <c r="X609" i="3"/>
  <c r="AA609" i="3"/>
  <c r="A610" i="3"/>
  <c r="G610" i="3"/>
  <c r="W610" i="3"/>
  <c r="X610" i="3"/>
  <c r="AA610" i="3"/>
  <c r="A611" i="3"/>
  <c r="G611" i="3"/>
  <c r="W611" i="3"/>
  <c r="X611" i="3"/>
  <c r="Z611" i="3" s="1"/>
  <c r="AA611" i="3"/>
  <c r="A612" i="3"/>
  <c r="G612" i="3"/>
  <c r="W612" i="3"/>
  <c r="X612" i="3"/>
  <c r="AA612" i="3"/>
  <c r="A613" i="3"/>
  <c r="G613" i="3"/>
  <c r="W613" i="3"/>
  <c r="X613" i="3"/>
  <c r="AA613" i="3"/>
  <c r="A614" i="3"/>
  <c r="G614" i="3"/>
  <c r="W614" i="3"/>
  <c r="X614" i="3"/>
  <c r="Z614" i="3" s="1"/>
  <c r="AA614" i="3"/>
  <c r="A615" i="3"/>
  <c r="G615" i="3"/>
  <c r="W615" i="3"/>
  <c r="X615" i="3"/>
  <c r="AA615" i="3"/>
  <c r="A616" i="3"/>
  <c r="G616" i="3"/>
  <c r="W616" i="3"/>
  <c r="X616" i="3"/>
  <c r="AA616" i="3"/>
  <c r="A617" i="3"/>
  <c r="G617" i="3"/>
  <c r="W617" i="3"/>
  <c r="X617" i="3"/>
  <c r="Z617" i="3" s="1"/>
  <c r="AA617" i="3"/>
  <c r="A618" i="3"/>
  <c r="G618" i="3"/>
  <c r="W618" i="3"/>
  <c r="X618" i="3"/>
  <c r="Z618" i="3" s="1"/>
  <c r="AA618" i="3"/>
  <c r="A619" i="3"/>
  <c r="G619" i="3"/>
  <c r="W619" i="3"/>
  <c r="X619" i="3"/>
  <c r="AA619" i="3"/>
  <c r="A620" i="3"/>
  <c r="G620" i="3"/>
  <c r="W620" i="3"/>
  <c r="X620" i="3"/>
  <c r="AA620" i="3"/>
  <c r="A621" i="3"/>
  <c r="G621" i="3"/>
  <c r="W621" i="3"/>
  <c r="X621" i="3"/>
  <c r="AA621" i="3"/>
  <c r="A622" i="3"/>
  <c r="G622" i="3"/>
  <c r="W622" i="3"/>
  <c r="X622" i="3"/>
  <c r="Z622" i="3" s="1"/>
  <c r="AA622" i="3"/>
  <c r="A623" i="3"/>
  <c r="G623" i="3"/>
  <c r="W623" i="3"/>
  <c r="X623" i="3"/>
  <c r="AA623" i="3"/>
  <c r="A624" i="3"/>
  <c r="G624" i="3"/>
  <c r="W624" i="3"/>
  <c r="X624" i="3"/>
  <c r="Z624" i="3" s="1"/>
  <c r="AA624" i="3"/>
  <c r="A625" i="3"/>
  <c r="G625" i="3"/>
  <c r="W625" i="3"/>
  <c r="X625" i="3"/>
  <c r="Z625" i="3" s="1"/>
  <c r="AA625" i="3"/>
  <c r="A626" i="3"/>
  <c r="G626" i="3"/>
  <c r="W626" i="3"/>
  <c r="X626" i="3"/>
  <c r="Z626" i="3" s="1"/>
  <c r="AA626" i="3"/>
  <c r="A627" i="3"/>
  <c r="G627" i="3"/>
  <c r="W627" i="3"/>
  <c r="X627" i="3"/>
  <c r="AA627" i="3"/>
  <c r="A628" i="3"/>
  <c r="G628" i="3"/>
  <c r="W628" i="3"/>
  <c r="X628" i="3"/>
  <c r="AA628" i="3"/>
  <c r="A629" i="3"/>
  <c r="G629" i="3"/>
  <c r="W629" i="3"/>
  <c r="X629" i="3"/>
  <c r="AA629" i="3"/>
  <c r="A630" i="3"/>
  <c r="G630" i="3"/>
  <c r="W630" i="3"/>
  <c r="X630" i="3"/>
  <c r="Z630" i="3" s="1"/>
  <c r="AA630" i="3"/>
  <c r="A631" i="3"/>
  <c r="G631" i="3"/>
  <c r="W631" i="3"/>
  <c r="X631" i="3"/>
  <c r="Z631" i="3" s="1"/>
  <c r="AA631" i="3"/>
  <c r="A632" i="3"/>
  <c r="G632" i="3"/>
  <c r="W632" i="3"/>
  <c r="X632" i="3"/>
  <c r="AA632" i="3"/>
  <c r="A633" i="3"/>
  <c r="G633" i="3"/>
  <c r="W633" i="3"/>
  <c r="X633" i="3"/>
  <c r="AA633" i="3"/>
  <c r="A634" i="3"/>
  <c r="G634" i="3"/>
  <c r="W634" i="3"/>
  <c r="X634" i="3"/>
  <c r="AA634" i="3"/>
  <c r="A635" i="3"/>
  <c r="G635" i="3"/>
  <c r="W635" i="3"/>
  <c r="X635" i="3"/>
  <c r="AA635" i="3"/>
  <c r="A636" i="3"/>
  <c r="G636" i="3"/>
  <c r="W636" i="3"/>
  <c r="X636" i="3"/>
  <c r="AA636" i="3"/>
  <c r="A637" i="3"/>
  <c r="G637" i="3"/>
  <c r="W637" i="3"/>
  <c r="X637" i="3"/>
  <c r="AA637" i="3"/>
  <c r="A638" i="3"/>
  <c r="G638" i="3"/>
  <c r="W638" i="3"/>
  <c r="X638" i="3"/>
  <c r="Z638" i="3" s="1"/>
  <c r="AA638" i="3"/>
  <c r="A639" i="3"/>
  <c r="G639" i="3"/>
  <c r="W639" i="3"/>
  <c r="X639" i="3"/>
  <c r="AA639" i="3"/>
  <c r="A640" i="3"/>
  <c r="G640" i="3"/>
  <c r="W640" i="3"/>
  <c r="X640" i="3"/>
  <c r="Z640" i="3" s="1"/>
  <c r="AA640" i="3"/>
  <c r="A641" i="3"/>
  <c r="G641" i="3"/>
  <c r="W641" i="3"/>
  <c r="X641" i="3"/>
  <c r="AA641" i="3"/>
  <c r="A642" i="3"/>
  <c r="G642" i="3"/>
  <c r="W642" i="3"/>
  <c r="X642" i="3"/>
  <c r="Z642" i="3" s="1"/>
  <c r="AA642" i="3"/>
  <c r="A643" i="3"/>
  <c r="G643" i="3"/>
  <c r="W643" i="3"/>
  <c r="X643" i="3"/>
  <c r="AA643" i="3"/>
  <c r="A644" i="3"/>
  <c r="G644" i="3"/>
  <c r="W644" i="3"/>
  <c r="X644" i="3"/>
  <c r="AA644" i="3"/>
  <c r="A645" i="3"/>
  <c r="G645" i="3"/>
  <c r="W645" i="3"/>
  <c r="X645" i="3"/>
  <c r="Z645" i="3" s="1"/>
  <c r="AA645" i="3"/>
  <c r="A646" i="3"/>
  <c r="G646" i="3"/>
  <c r="W646" i="3"/>
  <c r="X646" i="3"/>
  <c r="AA646" i="3"/>
  <c r="A647" i="3"/>
  <c r="G647" i="3"/>
  <c r="W647" i="3"/>
  <c r="X647" i="3"/>
  <c r="AA647" i="3"/>
  <c r="A648" i="3"/>
  <c r="G648" i="3"/>
  <c r="W648" i="3"/>
  <c r="X648" i="3"/>
  <c r="AA648" i="3"/>
  <c r="A649" i="3"/>
  <c r="G649" i="3"/>
  <c r="W649" i="3"/>
  <c r="X649" i="3"/>
  <c r="Z649" i="3" s="1"/>
  <c r="AA649" i="3"/>
  <c r="A650" i="3"/>
  <c r="G650" i="3"/>
  <c r="W650" i="3"/>
  <c r="X650" i="3"/>
  <c r="AA650" i="3"/>
  <c r="A651" i="3"/>
  <c r="G651" i="3"/>
  <c r="W651" i="3"/>
  <c r="X651" i="3"/>
  <c r="Z651" i="3" s="1"/>
  <c r="AA651" i="3"/>
  <c r="A652" i="3"/>
  <c r="G652" i="3"/>
  <c r="W652" i="3"/>
  <c r="X652" i="3"/>
  <c r="AA652" i="3"/>
  <c r="A653" i="3"/>
  <c r="G653" i="3"/>
  <c r="W653" i="3"/>
  <c r="X653" i="3"/>
  <c r="Z653" i="3" s="1"/>
  <c r="AA653" i="3"/>
  <c r="A654" i="3"/>
  <c r="G654" i="3"/>
  <c r="W654" i="3"/>
  <c r="X654" i="3"/>
  <c r="AA654" i="3"/>
  <c r="A655" i="3"/>
  <c r="G655" i="3"/>
  <c r="W655" i="3"/>
  <c r="X655" i="3"/>
  <c r="AA655" i="3"/>
  <c r="A656" i="3"/>
  <c r="G656" i="3"/>
  <c r="W656" i="3"/>
  <c r="X656" i="3"/>
  <c r="Z656" i="3" s="1"/>
  <c r="AA656" i="3"/>
  <c r="A657" i="3"/>
  <c r="G657" i="3"/>
  <c r="W657" i="3"/>
  <c r="X657" i="3"/>
  <c r="AA657" i="3"/>
  <c r="A658" i="3"/>
  <c r="G658" i="3"/>
  <c r="W658" i="3"/>
  <c r="X658" i="3"/>
  <c r="AA658" i="3"/>
  <c r="A659" i="3"/>
  <c r="G659" i="3"/>
  <c r="W659" i="3"/>
  <c r="X659" i="3"/>
  <c r="AA659" i="3"/>
  <c r="A660" i="3"/>
  <c r="G660" i="3"/>
  <c r="W660" i="3"/>
  <c r="X660" i="3"/>
  <c r="Z660" i="3" s="1"/>
  <c r="AA660" i="3"/>
  <c r="A661" i="3"/>
  <c r="G661" i="3"/>
  <c r="W661" i="3"/>
  <c r="X661" i="3"/>
  <c r="AA661" i="3"/>
  <c r="A662" i="3"/>
  <c r="G662" i="3"/>
  <c r="W662" i="3"/>
  <c r="X662" i="3"/>
  <c r="Z662" i="3" s="1"/>
  <c r="AA662" i="3"/>
  <c r="A663" i="3"/>
  <c r="G663" i="3"/>
  <c r="W663" i="3"/>
  <c r="X663" i="3"/>
  <c r="Z663" i="3" s="1"/>
  <c r="AA663" i="3"/>
  <c r="A664" i="3"/>
  <c r="G664" i="3"/>
  <c r="W664" i="3"/>
  <c r="X664" i="3"/>
  <c r="Z664" i="3" s="1"/>
  <c r="AA664" i="3"/>
  <c r="A665" i="3"/>
  <c r="G665" i="3"/>
  <c r="W665" i="3"/>
  <c r="X665" i="3"/>
  <c r="AA665" i="3"/>
  <c r="A666" i="3"/>
  <c r="G666" i="3"/>
  <c r="W666" i="3"/>
  <c r="X666" i="3"/>
  <c r="AA666" i="3"/>
  <c r="A667" i="3"/>
  <c r="G667" i="3"/>
  <c r="W667" i="3"/>
  <c r="X667" i="3"/>
  <c r="AA667" i="3"/>
  <c r="A668" i="3"/>
  <c r="G668" i="3"/>
  <c r="W668" i="3"/>
  <c r="X668" i="3"/>
  <c r="Z668" i="3" s="1"/>
  <c r="AA668" i="3"/>
  <c r="A669" i="3"/>
  <c r="G669" i="3"/>
  <c r="W669" i="3"/>
  <c r="X669" i="3"/>
  <c r="AA669" i="3"/>
  <c r="A670" i="3"/>
  <c r="G670" i="3"/>
  <c r="W670" i="3"/>
  <c r="X670" i="3"/>
  <c r="Z670" i="3" s="1"/>
  <c r="AA670" i="3"/>
  <c r="A671" i="3"/>
  <c r="G671" i="3"/>
  <c r="W671" i="3"/>
  <c r="X671" i="3"/>
  <c r="Z671" i="3" s="1"/>
  <c r="AA671" i="3"/>
  <c r="A672" i="3"/>
  <c r="G672" i="3"/>
  <c r="W672" i="3"/>
  <c r="X672" i="3"/>
  <c r="Z672" i="3" s="1"/>
  <c r="AA672" i="3"/>
  <c r="A673" i="3"/>
  <c r="G673" i="3"/>
  <c r="W673" i="3"/>
  <c r="X673" i="3"/>
  <c r="AA673" i="3"/>
  <c r="A674" i="3"/>
  <c r="G674" i="3"/>
  <c r="W674" i="3"/>
  <c r="X674" i="3"/>
  <c r="AA674" i="3"/>
  <c r="A675" i="3"/>
  <c r="G675" i="3"/>
  <c r="W675" i="3"/>
  <c r="X675" i="3"/>
  <c r="AA675" i="3"/>
  <c r="A676" i="3"/>
  <c r="G676" i="3"/>
  <c r="W676" i="3"/>
  <c r="X676" i="3"/>
  <c r="Z676" i="3" s="1"/>
  <c r="AA676" i="3"/>
  <c r="A677" i="3"/>
  <c r="G677" i="3"/>
  <c r="W677" i="3"/>
  <c r="X677" i="3"/>
  <c r="AA677" i="3"/>
  <c r="A678" i="3"/>
  <c r="G678" i="3"/>
  <c r="W678" i="3"/>
  <c r="X678" i="3"/>
  <c r="Z678" i="3" s="1"/>
  <c r="AA678" i="3"/>
  <c r="A679" i="3"/>
  <c r="G679" i="3"/>
  <c r="W679" i="3"/>
  <c r="X679" i="3"/>
  <c r="Z679" i="3" s="1"/>
  <c r="AA679" i="3"/>
  <c r="A680" i="3"/>
  <c r="G680" i="3"/>
  <c r="W680" i="3"/>
  <c r="X680" i="3"/>
  <c r="Z680" i="3" s="1"/>
  <c r="AA680" i="3"/>
  <c r="A681" i="3"/>
  <c r="G681" i="3"/>
  <c r="W681" i="3"/>
  <c r="X681" i="3"/>
  <c r="AA681" i="3"/>
  <c r="A682" i="3"/>
  <c r="G682" i="3"/>
  <c r="W682" i="3"/>
  <c r="X682" i="3"/>
  <c r="AA682" i="3"/>
  <c r="A683" i="3"/>
  <c r="G683" i="3"/>
  <c r="W683" i="3"/>
  <c r="X683" i="3"/>
  <c r="AA683" i="3"/>
  <c r="A684" i="3"/>
  <c r="G684" i="3"/>
  <c r="W684" i="3"/>
  <c r="X684" i="3"/>
  <c r="Z684" i="3" s="1"/>
  <c r="AA684" i="3"/>
  <c r="A685" i="3"/>
  <c r="G685" i="3"/>
  <c r="W685" i="3"/>
  <c r="X685" i="3"/>
  <c r="AA685" i="3"/>
  <c r="A686" i="3"/>
  <c r="G686" i="3"/>
  <c r="W686" i="3"/>
  <c r="X686" i="3"/>
  <c r="Z686" i="3" s="1"/>
  <c r="AA686" i="3"/>
  <c r="A687" i="3"/>
  <c r="G687" i="3"/>
  <c r="W687" i="3"/>
  <c r="X687" i="3"/>
  <c r="Z687" i="3" s="1"/>
  <c r="AA687" i="3"/>
  <c r="A688" i="3"/>
  <c r="G688" i="3"/>
  <c r="W688" i="3"/>
  <c r="X688" i="3"/>
  <c r="AA688" i="3"/>
  <c r="A689" i="3"/>
  <c r="G689" i="3"/>
  <c r="W689" i="3"/>
  <c r="X689" i="3"/>
  <c r="AA689" i="3"/>
  <c r="A690" i="3"/>
  <c r="G690" i="3"/>
  <c r="W690" i="3"/>
  <c r="X690" i="3"/>
  <c r="AA690" i="3"/>
  <c r="A691" i="3"/>
  <c r="G691" i="3"/>
  <c r="W691" i="3"/>
  <c r="X691" i="3"/>
  <c r="AA691" i="3"/>
  <c r="A692" i="3"/>
  <c r="G692" i="3"/>
  <c r="W692" i="3"/>
  <c r="X692" i="3"/>
  <c r="AA692" i="3"/>
  <c r="A693" i="3"/>
  <c r="G693" i="3"/>
  <c r="W693" i="3"/>
  <c r="X693" i="3"/>
  <c r="AA693" i="3"/>
  <c r="A694" i="3"/>
  <c r="G694" i="3"/>
  <c r="W694" i="3"/>
  <c r="X694" i="3"/>
  <c r="AA694" i="3"/>
  <c r="A695" i="3"/>
  <c r="G695" i="3"/>
  <c r="W695" i="3"/>
  <c r="X695" i="3"/>
  <c r="Z695" i="3" s="1"/>
  <c r="AA695" i="3"/>
  <c r="A696" i="3"/>
  <c r="G696" i="3"/>
  <c r="W696" i="3"/>
  <c r="X696" i="3"/>
  <c r="AA696" i="3"/>
  <c r="A697" i="3"/>
  <c r="G697" i="3"/>
  <c r="W697" i="3"/>
  <c r="X697" i="3"/>
  <c r="AA697" i="3"/>
  <c r="A698" i="3"/>
  <c r="G698" i="3"/>
  <c r="W698" i="3"/>
  <c r="X698" i="3"/>
  <c r="AA698" i="3"/>
  <c r="A699" i="3"/>
  <c r="G699" i="3"/>
  <c r="W699" i="3"/>
  <c r="X699" i="3"/>
  <c r="AA699" i="3"/>
  <c r="A700" i="3"/>
  <c r="G700" i="3"/>
  <c r="W700" i="3"/>
  <c r="X700" i="3"/>
  <c r="AA700" i="3"/>
  <c r="A103" i="1"/>
  <c r="X591" i="3" s="1"/>
  <c r="Z591" i="3" s="1"/>
  <c r="A104" i="1"/>
  <c r="A105" i="1"/>
  <c r="A106" i="1"/>
  <c r="A107" i="1"/>
  <c r="A108" i="1"/>
  <c r="G587" i="3" s="1"/>
  <c r="A109" i="1"/>
  <c r="A110" i="1"/>
  <c r="A111" i="1"/>
  <c r="A92" i="1"/>
  <c r="A93" i="1"/>
  <c r="A94" i="1"/>
  <c r="A95" i="1"/>
  <c r="A96" i="1"/>
  <c r="A97" i="1"/>
  <c r="A98" i="1"/>
  <c r="A99" i="1"/>
  <c r="A100" i="1"/>
  <c r="A101" i="1"/>
  <c r="A102" i="1"/>
  <c r="A90" i="1"/>
  <c r="X555" i="3" s="1"/>
  <c r="A91" i="1"/>
  <c r="A84" i="1"/>
  <c r="A85" i="1"/>
  <c r="X552" i="3" s="1"/>
  <c r="Z552" i="3" s="1"/>
  <c r="A86" i="1"/>
  <c r="A87" i="1"/>
  <c r="A88" i="1"/>
  <c r="A89" i="1"/>
  <c r="A81" i="1"/>
  <c r="A82" i="1"/>
  <c r="A83" i="1"/>
  <c r="A551" i="3"/>
  <c r="G551" i="3"/>
  <c r="W551" i="3"/>
  <c r="AA551" i="3"/>
  <c r="A552" i="3"/>
  <c r="W552" i="3"/>
  <c r="AA552" i="3"/>
  <c r="A553" i="3"/>
  <c r="G553" i="3"/>
  <c r="W553" i="3"/>
  <c r="AA553" i="3"/>
  <c r="A554" i="3"/>
  <c r="G554" i="3"/>
  <c r="W554" i="3"/>
  <c r="AA554" i="3"/>
  <c r="A555" i="3"/>
  <c r="G555" i="3"/>
  <c r="W555" i="3"/>
  <c r="AA555" i="3"/>
  <c r="A556" i="3"/>
  <c r="G556" i="3"/>
  <c r="W556" i="3"/>
  <c r="X556" i="3"/>
  <c r="Z556" i="3" s="1"/>
  <c r="AA556" i="3"/>
  <c r="A557" i="3"/>
  <c r="W557" i="3"/>
  <c r="AA557" i="3"/>
  <c r="A558" i="3"/>
  <c r="G558" i="3"/>
  <c r="W558" i="3"/>
  <c r="X558" i="3"/>
  <c r="Z558" i="3" s="1"/>
  <c r="AA558" i="3"/>
  <c r="A559" i="3"/>
  <c r="W559" i="3"/>
  <c r="AA559" i="3"/>
  <c r="A560" i="3"/>
  <c r="W560" i="3"/>
  <c r="AA560" i="3"/>
  <c r="A561" i="3"/>
  <c r="G561" i="3"/>
  <c r="W561" i="3"/>
  <c r="AA561" i="3"/>
  <c r="A562" i="3"/>
  <c r="G562" i="3"/>
  <c r="W562" i="3"/>
  <c r="X562" i="3"/>
  <c r="AA562" i="3"/>
  <c r="A563" i="3"/>
  <c r="W563" i="3"/>
  <c r="AA563" i="3"/>
  <c r="A564" i="3"/>
  <c r="W564" i="3"/>
  <c r="AA564" i="3"/>
  <c r="A565" i="3"/>
  <c r="G565" i="3"/>
  <c r="W565" i="3"/>
  <c r="AA565" i="3"/>
  <c r="A566" i="3"/>
  <c r="W566" i="3"/>
  <c r="AA566" i="3"/>
  <c r="A567" i="3"/>
  <c r="G567" i="3"/>
  <c r="W567" i="3"/>
  <c r="AA567" i="3"/>
  <c r="A568" i="3"/>
  <c r="G568" i="3"/>
  <c r="W568" i="3"/>
  <c r="X568" i="3"/>
  <c r="AA568" i="3"/>
  <c r="A569" i="3"/>
  <c r="W569" i="3"/>
  <c r="AA569" i="3"/>
  <c r="A570" i="3"/>
  <c r="W570" i="3"/>
  <c r="X570" i="3"/>
  <c r="Z570" i="3" s="1"/>
  <c r="AA570" i="3"/>
  <c r="A571" i="3"/>
  <c r="W571" i="3"/>
  <c r="X571" i="3"/>
  <c r="AA571" i="3"/>
  <c r="A572" i="3"/>
  <c r="W572" i="3"/>
  <c r="X572" i="3"/>
  <c r="Z572" i="3" s="1"/>
  <c r="AA572" i="3"/>
  <c r="A573" i="3"/>
  <c r="W573" i="3"/>
  <c r="AA573" i="3"/>
  <c r="A574" i="3"/>
  <c r="W574" i="3"/>
  <c r="AA574" i="3"/>
  <c r="A575" i="3"/>
  <c r="W575" i="3"/>
  <c r="AA575" i="3"/>
  <c r="A576" i="3"/>
  <c r="W576" i="3"/>
  <c r="AA576" i="3"/>
  <c r="A577" i="3"/>
  <c r="W577" i="3"/>
  <c r="AA577" i="3"/>
  <c r="A578" i="3"/>
  <c r="W578" i="3"/>
  <c r="AA578" i="3"/>
  <c r="A579" i="3"/>
  <c r="W579" i="3"/>
  <c r="AA579" i="3"/>
  <c r="A580" i="3"/>
  <c r="W580" i="3"/>
  <c r="AA580" i="3"/>
  <c r="A581" i="3"/>
  <c r="W581" i="3"/>
  <c r="AA581" i="3"/>
  <c r="A582" i="3"/>
  <c r="W582" i="3"/>
  <c r="AA582" i="3"/>
  <c r="A583" i="3"/>
  <c r="G583" i="3"/>
  <c r="W583" i="3"/>
  <c r="AA583" i="3"/>
  <c r="A584" i="3"/>
  <c r="W584" i="3"/>
  <c r="AA584" i="3"/>
  <c r="A585" i="3"/>
  <c r="W585" i="3"/>
  <c r="AA585" i="3"/>
  <c r="A586" i="3"/>
  <c r="W586" i="3"/>
  <c r="AA586" i="3"/>
  <c r="A587" i="3"/>
  <c r="W587" i="3"/>
  <c r="AA587" i="3"/>
  <c r="A588" i="3"/>
  <c r="W588" i="3"/>
  <c r="AA588" i="3"/>
  <c r="A589" i="3"/>
  <c r="W589" i="3"/>
  <c r="AA589" i="3"/>
  <c r="A590" i="3"/>
  <c r="W590" i="3"/>
  <c r="AA590" i="3"/>
  <c r="A591" i="3"/>
  <c r="W591" i="3"/>
  <c r="AA591" i="3"/>
  <c r="A592" i="3"/>
  <c r="W592" i="3"/>
  <c r="AA592" i="3"/>
  <c r="A2" i="5" a="1"/>
  <c r="C469" i="5" s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2" i="3"/>
  <c r="A501" i="3"/>
  <c r="G501" i="3"/>
  <c r="W501" i="3"/>
  <c r="X501" i="3"/>
  <c r="A502" i="3"/>
  <c r="G502" i="3"/>
  <c r="W502" i="3"/>
  <c r="X502" i="3"/>
  <c r="Z502" i="3" s="1"/>
  <c r="A503" i="3"/>
  <c r="G503" i="3"/>
  <c r="W503" i="3"/>
  <c r="X503" i="3"/>
  <c r="A504" i="3"/>
  <c r="G504" i="3"/>
  <c r="W504" i="3"/>
  <c r="X504" i="3"/>
  <c r="A505" i="3"/>
  <c r="G505" i="3"/>
  <c r="W505" i="3"/>
  <c r="X505" i="3"/>
  <c r="A506" i="3"/>
  <c r="G506" i="3"/>
  <c r="W506" i="3"/>
  <c r="X506" i="3"/>
  <c r="A507" i="3"/>
  <c r="G507" i="3"/>
  <c r="W507" i="3"/>
  <c r="X507" i="3"/>
  <c r="A508" i="3"/>
  <c r="G508" i="3"/>
  <c r="W508" i="3"/>
  <c r="X508" i="3"/>
  <c r="A509" i="3"/>
  <c r="G509" i="3"/>
  <c r="W509" i="3"/>
  <c r="X509" i="3"/>
  <c r="Z509" i="3" s="1"/>
  <c r="A510" i="3"/>
  <c r="G510" i="3"/>
  <c r="W510" i="3"/>
  <c r="X510" i="3"/>
  <c r="Z510" i="3" s="1"/>
  <c r="A511" i="3"/>
  <c r="G511" i="3"/>
  <c r="W511" i="3"/>
  <c r="X511" i="3"/>
  <c r="A512" i="3"/>
  <c r="G512" i="3"/>
  <c r="W512" i="3"/>
  <c r="X512" i="3"/>
  <c r="A513" i="3"/>
  <c r="G513" i="3"/>
  <c r="W513" i="3"/>
  <c r="X513" i="3"/>
  <c r="A514" i="3"/>
  <c r="G514" i="3"/>
  <c r="W514" i="3"/>
  <c r="X514" i="3"/>
  <c r="A515" i="3"/>
  <c r="G515" i="3"/>
  <c r="W515" i="3"/>
  <c r="X515" i="3"/>
  <c r="A516" i="3"/>
  <c r="G516" i="3"/>
  <c r="W516" i="3"/>
  <c r="X516" i="3"/>
  <c r="Z516" i="3" s="1"/>
  <c r="A517" i="3"/>
  <c r="G517" i="3"/>
  <c r="W517" i="3"/>
  <c r="X517" i="3"/>
  <c r="A518" i="3"/>
  <c r="G518" i="3"/>
  <c r="W518" i="3"/>
  <c r="X518" i="3"/>
  <c r="Z518" i="3" s="1"/>
  <c r="A519" i="3"/>
  <c r="G519" i="3"/>
  <c r="W519" i="3"/>
  <c r="X519" i="3"/>
  <c r="A520" i="3"/>
  <c r="G520" i="3"/>
  <c r="W520" i="3"/>
  <c r="X520" i="3"/>
  <c r="A521" i="3"/>
  <c r="G521" i="3"/>
  <c r="W521" i="3"/>
  <c r="X521" i="3"/>
  <c r="A522" i="3"/>
  <c r="G522" i="3"/>
  <c r="W522" i="3"/>
  <c r="X522" i="3"/>
  <c r="A523" i="3"/>
  <c r="G523" i="3"/>
  <c r="W523" i="3"/>
  <c r="X523" i="3"/>
  <c r="A524" i="3"/>
  <c r="G524" i="3"/>
  <c r="W524" i="3"/>
  <c r="X524" i="3"/>
  <c r="Z524" i="3" s="1"/>
  <c r="A525" i="3"/>
  <c r="G525" i="3"/>
  <c r="W525" i="3"/>
  <c r="X525" i="3"/>
  <c r="A526" i="3"/>
  <c r="G526" i="3"/>
  <c r="W526" i="3"/>
  <c r="X526" i="3"/>
  <c r="Z526" i="3" s="1"/>
  <c r="A527" i="3"/>
  <c r="G527" i="3"/>
  <c r="W527" i="3"/>
  <c r="X527" i="3"/>
  <c r="A528" i="3"/>
  <c r="G528" i="3"/>
  <c r="W528" i="3"/>
  <c r="X528" i="3"/>
  <c r="A529" i="3"/>
  <c r="G529" i="3"/>
  <c r="W529" i="3"/>
  <c r="X529" i="3"/>
  <c r="A530" i="3"/>
  <c r="G530" i="3"/>
  <c r="W530" i="3"/>
  <c r="X530" i="3"/>
  <c r="A531" i="3"/>
  <c r="G531" i="3"/>
  <c r="W531" i="3"/>
  <c r="X531" i="3"/>
  <c r="A532" i="3"/>
  <c r="G532" i="3"/>
  <c r="W532" i="3"/>
  <c r="X532" i="3"/>
  <c r="Z532" i="3" s="1"/>
  <c r="A533" i="3"/>
  <c r="G533" i="3"/>
  <c r="W533" i="3"/>
  <c r="X533" i="3"/>
  <c r="A534" i="3"/>
  <c r="G534" i="3"/>
  <c r="W534" i="3"/>
  <c r="X534" i="3"/>
  <c r="Z534" i="3" s="1"/>
  <c r="A535" i="3"/>
  <c r="G535" i="3"/>
  <c r="W535" i="3"/>
  <c r="X535" i="3"/>
  <c r="A536" i="3"/>
  <c r="G536" i="3"/>
  <c r="W536" i="3"/>
  <c r="X536" i="3"/>
  <c r="A537" i="3"/>
  <c r="G537" i="3"/>
  <c r="W537" i="3"/>
  <c r="X537" i="3"/>
  <c r="A538" i="3"/>
  <c r="G538" i="3"/>
  <c r="W538" i="3"/>
  <c r="X538" i="3"/>
  <c r="Z538" i="3" s="1"/>
  <c r="A539" i="3"/>
  <c r="G539" i="3"/>
  <c r="W539" i="3"/>
  <c r="X539" i="3"/>
  <c r="A540" i="3"/>
  <c r="G540" i="3"/>
  <c r="W540" i="3"/>
  <c r="X540" i="3"/>
  <c r="Z540" i="3" s="1"/>
  <c r="A541" i="3"/>
  <c r="G541" i="3"/>
  <c r="W541" i="3"/>
  <c r="X541" i="3"/>
  <c r="A542" i="3"/>
  <c r="G542" i="3"/>
  <c r="W542" i="3"/>
  <c r="X542" i="3"/>
  <c r="Z542" i="3" s="1"/>
  <c r="A543" i="3"/>
  <c r="G543" i="3"/>
  <c r="W543" i="3"/>
  <c r="X543" i="3"/>
  <c r="A544" i="3"/>
  <c r="G544" i="3"/>
  <c r="W544" i="3"/>
  <c r="X544" i="3"/>
  <c r="A545" i="3"/>
  <c r="G545" i="3"/>
  <c r="W545" i="3"/>
  <c r="X545" i="3"/>
  <c r="A546" i="3"/>
  <c r="G546" i="3"/>
  <c r="W546" i="3"/>
  <c r="X546" i="3"/>
  <c r="A547" i="3"/>
  <c r="G547" i="3"/>
  <c r="W547" i="3"/>
  <c r="X547" i="3"/>
  <c r="A548" i="3"/>
  <c r="G548" i="3"/>
  <c r="W548" i="3"/>
  <c r="X548" i="3"/>
  <c r="A549" i="3"/>
  <c r="G549" i="3"/>
  <c r="W549" i="3"/>
  <c r="X549" i="3"/>
  <c r="A550" i="3"/>
  <c r="G550" i="3"/>
  <c r="W550" i="3"/>
  <c r="X550" i="3"/>
  <c r="A72" i="1"/>
  <c r="A73" i="1"/>
  <c r="A74" i="1"/>
  <c r="A75" i="1"/>
  <c r="A76" i="1"/>
  <c r="X475" i="3" s="1"/>
  <c r="A77" i="1"/>
  <c r="A78" i="1"/>
  <c r="G471" i="3" s="1"/>
  <c r="A79" i="1"/>
  <c r="A80" i="1"/>
  <c r="A474" i="3"/>
  <c r="W474" i="3"/>
  <c r="A475" i="3"/>
  <c r="G475" i="3"/>
  <c r="W475" i="3"/>
  <c r="A476" i="3"/>
  <c r="W476" i="3"/>
  <c r="A477" i="3"/>
  <c r="G477" i="3"/>
  <c r="W477" i="3"/>
  <c r="A478" i="3"/>
  <c r="W478" i="3"/>
  <c r="A479" i="3"/>
  <c r="G479" i="3"/>
  <c r="W479" i="3"/>
  <c r="A480" i="3"/>
  <c r="W480" i="3"/>
  <c r="A481" i="3"/>
  <c r="G481" i="3"/>
  <c r="W481" i="3"/>
  <c r="A482" i="3"/>
  <c r="W482" i="3"/>
  <c r="A483" i="3"/>
  <c r="G483" i="3"/>
  <c r="W483" i="3"/>
  <c r="A484" i="3"/>
  <c r="W484" i="3"/>
  <c r="A485" i="3"/>
  <c r="W485" i="3"/>
  <c r="A486" i="3"/>
  <c r="W486" i="3"/>
  <c r="A487" i="3"/>
  <c r="W487" i="3"/>
  <c r="A488" i="3"/>
  <c r="W488" i="3"/>
  <c r="A489" i="3"/>
  <c r="W489" i="3"/>
  <c r="A490" i="3"/>
  <c r="W490" i="3"/>
  <c r="A491" i="3"/>
  <c r="W491" i="3"/>
  <c r="A492" i="3"/>
  <c r="W492" i="3"/>
  <c r="X492" i="3"/>
  <c r="A493" i="3"/>
  <c r="W493" i="3"/>
  <c r="A494" i="3"/>
  <c r="W494" i="3"/>
  <c r="X494" i="3"/>
  <c r="A495" i="3"/>
  <c r="W495" i="3"/>
  <c r="A496" i="3"/>
  <c r="W496" i="3"/>
  <c r="X496" i="3"/>
  <c r="Z496" i="3" s="1"/>
  <c r="A497" i="3"/>
  <c r="W497" i="3"/>
  <c r="A498" i="3"/>
  <c r="W498" i="3"/>
  <c r="X498" i="3"/>
  <c r="A499" i="3"/>
  <c r="W499" i="3"/>
  <c r="A500" i="3"/>
  <c r="W500" i="3"/>
  <c r="A463" i="3"/>
  <c r="G463" i="3"/>
  <c r="W463" i="3"/>
  <c r="X463" i="3"/>
  <c r="A464" i="3"/>
  <c r="G464" i="3"/>
  <c r="W464" i="3"/>
  <c r="X464" i="3"/>
  <c r="A465" i="3"/>
  <c r="G465" i="3"/>
  <c r="W465" i="3"/>
  <c r="X465" i="3"/>
  <c r="A466" i="3"/>
  <c r="G466" i="3"/>
  <c r="W466" i="3"/>
  <c r="X466" i="3"/>
  <c r="A467" i="3"/>
  <c r="G467" i="3"/>
  <c r="W467" i="3"/>
  <c r="X467" i="3"/>
  <c r="A468" i="3"/>
  <c r="G468" i="3"/>
  <c r="W468" i="3"/>
  <c r="X468" i="3"/>
  <c r="A469" i="3"/>
  <c r="G469" i="3"/>
  <c r="W469" i="3"/>
  <c r="X469" i="3"/>
  <c r="A470" i="3"/>
  <c r="W470" i="3"/>
  <c r="A471" i="3"/>
  <c r="W471" i="3"/>
  <c r="A472" i="3"/>
  <c r="W472" i="3"/>
  <c r="A473" i="3"/>
  <c r="W473" i="3"/>
  <c r="A71" i="1"/>
  <c r="X455" i="3" s="1"/>
  <c r="A454" i="3"/>
  <c r="G454" i="3"/>
  <c r="W454" i="3"/>
  <c r="X454" i="3"/>
  <c r="A455" i="3"/>
  <c r="G455" i="3"/>
  <c r="W455" i="3"/>
  <c r="A456" i="3"/>
  <c r="G456" i="3"/>
  <c r="W456" i="3"/>
  <c r="X456" i="3"/>
  <c r="A457" i="3"/>
  <c r="G457" i="3"/>
  <c r="W457" i="3"/>
  <c r="A458" i="3"/>
  <c r="G458" i="3"/>
  <c r="W458" i="3"/>
  <c r="X458" i="3"/>
  <c r="Z458" i="3" s="1"/>
  <c r="A459" i="3"/>
  <c r="G459" i="3"/>
  <c r="W459" i="3"/>
  <c r="A460" i="3"/>
  <c r="G460" i="3"/>
  <c r="W460" i="3"/>
  <c r="X460" i="3"/>
  <c r="A461" i="3"/>
  <c r="G461" i="3"/>
  <c r="W461" i="3"/>
  <c r="A462" i="3"/>
  <c r="G462" i="3"/>
  <c r="W462" i="3"/>
  <c r="X462" i="3"/>
  <c r="A63" i="1"/>
  <c r="X446" i="3" s="1"/>
  <c r="A64" i="1"/>
  <c r="A65" i="1"/>
  <c r="A66" i="1"/>
  <c r="X447" i="3" s="1"/>
  <c r="A67" i="1"/>
  <c r="A68" i="1"/>
  <c r="G450" i="3" s="1"/>
  <c r="A69" i="1"/>
  <c r="G433" i="3" s="1"/>
  <c r="A70" i="1"/>
  <c r="A440" i="3"/>
  <c r="W440" i="3"/>
  <c r="A441" i="3"/>
  <c r="W441" i="3"/>
  <c r="A442" i="3"/>
  <c r="W442" i="3"/>
  <c r="A443" i="3"/>
  <c r="W443" i="3"/>
  <c r="A444" i="3"/>
  <c r="W444" i="3"/>
  <c r="A445" i="3"/>
  <c r="W445" i="3"/>
  <c r="A446" i="3"/>
  <c r="W446" i="3"/>
  <c r="A447" i="3"/>
  <c r="G447" i="3"/>
  <c r="W447" i="3"/>
  <c r="A448" i="3"/>
  <c r="W448" i="3"/>
  <c r="A449" i="3"/>
  <c r="G449" i="3"/>
  <c r="W449" i="3"/>
  <c r="A450" i="3"/>
  <c r="W450" i="3"/>
  <c r="A451" i="3"/>
  <c r="G451" i="3"/>
  <c r="W451" i="3"/>
  <c r="A452" i="3"/>
  <c r="W452" i="3"/>
  <c r="A453" i="3"/>
  <c r="G453" i="3"/>
  <c r="W453" i="3"/>
  <c r="A414" i="3"/>
  <c r="G414" i="3"/>
  <c r="W414" i="3"/>
  <c r="X414" i="3"/>
  <c r="A415" i="3"/>
  <c r="G415" i="3"/>
  <c r="W415" i="3"/>
  <c r="X415" i="3"/>
  <c r="A416" i="3"/>
  <c r="G416" i="3"/>
  <c r="W416" i="3"/>
  <c r="X416" i="3"/>
  <c r="A417" i="3"/>
  <c r="G417" i="3"/>
  <c r="W417" i="3"/>
  <c r="X417" i="3"/>
  <c r="A418" i="3"/>
  <c r="G418" i="3"/>
  <c r="W418" i="3"/>
  <c r="X418" i="3"/>
  <c r="A419" i="3"/>
  <c r="G419" i="3"/>
  <c r="W419" i="3"/>
  <c r="X419" i="3"/>
  <c r="A420" i="3"/>
  <c r="G420" i="3"/>
  <c r="W420" i="3"/>
  <c r="X420" i="3"/>
  <c r="A421" i="3"/>
  <c r="G421" i="3"/>
  <c r="W421" i="3"/>
  <c r="X421" i="3"/>
  <c r="A422" i="3"/>
  <c r="G422" i="3"/>
  <c r="W422" i="3"/>
  <c r="X422" i="3"/>
  <c r="A423" i="3"/>
  <c r="G423" i="3"/>
  <c r="W423" i="3"/>
  <c r="X423" i="3"/>
  <c r="A424" i="3"/>
  <c r="G424" i="3"/>
  <c r="W424" i="3"/>
  <c r="X424" i="3"/>
  <c r="A425" i="3"/>
  <c r="G425" i="3"/>
  <c r="W425" i="3"/>
  <c r="X425" i="3"/>
  <c r="A426" i="3"/>
  <c r="G426" i="3"/>
  <c r="W426" i="3"/>
  <c r="X426" i="3"/>
  <c r="A427" i="3"/>
  <c r="W427" i="3"/>
  <c r="A428" i="3"/>
  <c r="W428" i="3"/>
  <c r="A429" i="3"/>
  <c r="W429" i="3"/>
  <c r="A430" i="3"/>
  <c r="W430" i="3"/>
  <c r="A431" i="3"/>
  <c r="W431" i="3"/>
  <c r="A432" i="3"/>
  <c r="W432" i="3"/>
  <c r="A433" i="3"/>
  <c r="W433" i="3"/>
  <c r="A434" i="3"/>
  <c r="W434" i="3"/>
  <c r="X434" i="3"/>
  <c r="A435" i="3"/>
  <c r="W435" i="3"/>
  <c r="A436" i="3"/>
  <c r="W436" i="3"/>
  <c r="X436" i="3"/>
  <c r="Z436" i="3" s="1"/>
  <c r="A437" i="3"/>
  <c r="W437" i="3"/>
  <c r="A438" i="3"/>
  <c r="W438" i="3"/>
  <c r="X438" i="3"/>
  <c r="A439" i="3"/>
  <c r="W439" i="3"/>
  <c r="A56" i="1"/>
  <c r="A57" i="1"/>
  <c r="X407" i="3" s="1"/>
  <c r="A58" i="1"/>
  <c r="A59" i="1"/>
  <c r="A60" i="1"/>
  <c r="A61" i="1"/>
  <c r="A62" i="1"/>
  <c r="A55" i="1"/>
  <c r="W387" i="3"/>
  <c r="X387" i="3"/>
  <c r="W388" i="3"/>
  <c r="X388" i="3"/>
  <c r="W389" i="3"/>
  <c r="X389" i="3"/>
  <c r="W390" i="3"/>
  <c r="X390" i="3"/>
  <c r="W391" i="3"/>
  <c r="X391" i="3"/>
  <c r="W392" i="3"/>
  <c r="X392" i="3"/>
  <c r="W393" i="3"/>
  <c r="X393" i="3"/>
  <c r="W394" i="3"/>
  <c r="X394" i="3"/>
  <c r="W395" i="3"/>
  <c r="X395" i="3"/>
  <c r="W396" i="3"/>
  <c r="X396" i="3"/>
  <c r="W397" i="3"/>
  <c r="X397" i="3"/>
  <c r="W398" i="3"/>
  <c r="X398" i="3"/>
  <c r="W399" i="3"/>
  <c r="X399" i="3"/>
  <c r="W400" i="3"/>
  <c r="X400" i="3"/>
  <c r="W401" i="3"/>
  <c r="X401" i="3"/>
  <c r="W402" i="3"/>
  <c r="X402" i="3"/>
  <c r="W403" i="3"/>
  <c r="X403" i="3"/>
  <c r="W404" i="3"/>
  <c r="X404" i="3"/>
  <c r="W405" i="3"/>
  <c r="W406" i="3"/>
  <c r="X406" i="3"/>
  <c r="W407" i="3"/>
  <c r="W408" i="3"/>
  <c r="W409" i="3"/>
  <c r="W410" i="3"/>
  <c r="X410" i="3"/>
  <c r="W411" i="3"/>
  <c r="W412" i="3"/>
  <c r="W413" i="3"/>
  <c r="A401" i="3"/>
  <c r="G401" i="3"/>
  <c r="A402" i="3"/>
  <c r="G402" i="3"/>
  <c r="A403" i="3"/>
  <c r="G403" i="3"/>
  <c r="A404" i="3"/>
  <c r="G404" i="3"/>
  <c r="A405" i="3"/>
  <c r="A406" i="3"/>
  <c r="A407" i="3"/>
  <c r="A408" i="3"/>
  <c r="G408" i="3"/>
  <c r="A409" i="3"/>
  <c r="A410" i="3"/>
  <c r="A411" i="3"/>
  <c r="A412" i="3"/>
  <c r="G412" i="3"/>
  <c r="A413" i="3"/>
  <c r="A54" i="1"/>
  <c r="W370" i="3"/>
  <c r="X370" i="3"/>
  <c r="W371" i="3"/>
  <c r="X371" i="3"/>
  <c r="W372" i="3"/>
  <c r="X372" i="3"/>
  <c r="Z372" i="3" s="1"/>
  <c r="W373" i="3"/>
  <c r="X373" i="3"/>
  <c r="W374" i="3"/>
  <c r="X374" i="3"/>
  <c r="W375" i="3"/>
  <c r="X375" i="3"/>
  <c r="W376" i="3"/>
  <c r="X376" i="3"/>
  <c r="Z376" i="3" s="1"/>
  <c r="W377" i="3"/>
  <c r="X377" i="3"/>
  <c r="W378" i="3"/>
  <c r="X378" i="3"/>
  <c r="W379" i="3"/>
  <c r="X379" i="3"/>
  <c r="W380" i="3"/>
  <c r="X380" i="3"/>
  <c r="Z380" i="3" s="1"/>
  <c r="W381" i="3"/>
  <c r="X381" i="3"/>
  <c r="W382" i="3"/>
  <c r="X382" i="3"/>
  <c r="W383" i="3"/>
  <c r="X383" i="3"/>
  <c r="W384" i="3"/>
  <c r="X384" i="3"/>
  <c r="W385" i="3"/>
  <c r="X385" i="3"/>
  <c r="W386" i="3"/>
  <c r="X386" i="3"/>
  <c r="A53" i="1"/>
  <c r="W362" i="3"/>
  <c r="X362" i="3"/>
  <c r="W363" i="3"/>
  <c r="X363" i="3"/>
  <c r="W364" i="3"/>
  <c r="X364" i="3"/>
  <c r="W365" i="3"/>
  <c r="X365" i="3"/>
  <c r="W366" i="3"/>
  <c r="X366" i="3"/>
  <c r="W367" i="3"/>
  <c r="X367" i="3"/>
  <c r="W368" i="3"/>
  <c r="X368" i="3"/>
  <c r="W369" i="3"/>
  <c r="X369" i="3"/>
  <c r="A52" i="1"/>
  <c r="A51" i="1"/>
  <c r="X354" i="3" s="1"/>
  <c r="W340" i="3"/>
  <c r="X340" i="3"/>
  <c r="W341" i="3"/>
  <c r="X341" i="3"/>
  <c r="W342" i="3"/>
  <c r="X342" i="3"/>
  <c r="W343" i="3"/>
  <c r="X343" i="3"/>
  <c r="W344" i="3"/>
  <c r="X344" i="3"/>
  <c r="W345" i="3"/>
  <c r="X345" i="3"/>
  <c r="W346" i="3"/>
  <c r="X346" i="3"/>
  <c r="W347" i="3"/>
  <c r="X347" i="3"/>
  <c r="W348" i="3"/>
  <c r="X348" i="3"/>
  <c r="W349" i="3"/>
  <c r="X349" i="3"/>
  <c r="W350" i="3"/>
  <c r="X350" i="3"/>
  <c r="W351" i="3"/>
  <c r="X351" i="3"/>
  <c r="W352" i="3"/>
  <c r="X352" i="3"/>
  <c r="W353" i="3"/>
  <c r="W354" i="3"/>
  <c r="W355" i="3"/>
  <c r="W356" i="3"/>
  <c r="W357" i="3"/>
  <c r="W358" i="3"/>
  <c r="W359" i="3"/>
  <c r="W360" i="3"/>
  <c r="W361" i="3"/>
  <c r="A48" i="1"/>
  <c r="A49" i="1"/>
  <c r="A50" i="1"/>
  <c r="W323" i="3"/>
  <c r="X323" i="3"/>
  <c r="W324" i="3"/>
  <c r="X324" i="3"/>
  <c r="W325" i="3"/>
  <c r="X325" i="3"/>
  <c r="W326" i="3"/>
  <c r="X326" i="3"/>
  <c r="W327" i="3"/>
  <c r="X327" i="3"/>
  <c r="W328" i="3"/>
  <c r="X328" i="3"/>
  <c r="W329" i="3"/>
  <c r="X329" i="3"/>
  <c r="W330" i="3"/>
  <c r="X330" i="3"/>
  <c r="W331" i="3"/>
  <c r="X331" i="3"/>
  <c r="W332" i="3"/>
  <c r="X332" i="3"/>
  <c r="W333" i="3"/>
  <c r="X333" i="3"/>
  <c r="W334" i="3"/>
  <c r="X334" i="3"/>
  <c r="W335" i="3"/>
  <c r="X335" i="3"/>
  <c r="W336" i="3"/>
  <c r="X336" i="3"/>
  <c r="W337" i="3"/>
  <c r="X337" i="3"/>
  <c r="W338" i="3"/>
  <c r="X338" i="3"/>
  <c r="W339" i="3"/>
  <c r="X339" i="3"/>
  <c r="A47" i="1"/>
  <c r="A46" i="1"/>
  <c r="W310" i="3"/>
  <c r="X310" i="3"/>
  <c r="W311" i="3"/>
  <c r="X311" i="3"/>
  <c r="W312" i="3"/>
  <c r="X312" i="3"/>
  <c r="W313" i="3"/>
  <c r="X313" i="3"/>
  <c r="W314" i="3"/>
  <c r="X314" i="3"/>
  <c r="W315" i="3"/>
  <c r="X315" i="3"/>
  <c r="W316" i="3"/>
  <c r="X316" i="3"/>
  <c r="W317" i="3"/>
  <c r="X317" i="3"/>
  <c r="W318" i="3"/>
  <c r="X318" i="3"/>
  <c r="W319" i="3"/>
  <c r="X319" i="3"/>
  <c r="W320" i="3"/>
  <c r="X320" i="3"/>
  <c r="W321" i="3"/>
  <c r="X321" i="3"/>
  <c r="W322" i="3"/>
  <c r="X322" i="3"/>
  <c r="A45" i="1"/>
  <c r="A44" i="1"/>
  <c r="W306" i="3"/>
  <c r="X306" i="3"/>
  <c r="W307" i="3"/>
  <c r="X307" i="3"/>
  <c r="W308" i="3"/>
  <c r="X308" i="3"/>
  <c r="W309" i="3"/>
  <c r="X309" i="3"/>
  <c r="A43" i="1"/>
  <c r="A42" i="1"/>
  <c r="A41" i="1"/>
  <c r="W232" i="3"/>
  <c r="X232" i="3"/>
  <c r="W233" i="3"/>
  <c r="X233" i="3"/>
  <c r="W234" i="3"/>
  <c r="X234" i="3"/>
  <c r="W235" i="3"/>
  <c r="X235" i="3"/>
  <c r="W236" i="3"/>
  <c r="X236" i="3"/>
  <c r="W237" i="3"/>
  <c r="X237" i="3"/>
  <c r="W238" i="3"/>
  <c r="X238" i="3"/>
  <c r="W239" i="3"/>
  <c r="X239" i="3"/>
  <c r="W240" i="3"/>
  <c r="X240" i="3"/>
  <c r="W241" i="3"/>
  <c r="X241" i="3"/>
  <c r="W242" i="3"/>
  <c r="X242" i="3"/>
  <c r="W243" i="3"/>
  <c r="X243" i="3"/>
  <c r="W244" i="3"/>
  <c r="X244" i="3"/>
  <c r="W245" i="3"/>
  <c r="X245" i="3"/>
  <c r="W246" i="3"/>
  <c r="X246" i="3"/>
  <c r="W247" i="3"/>
  <c r="X247" i="3"/>
  <c r="W248" i="3"/>
  <c r="X248" i="3"/>
  <c r="W249" i="3"/>
  <c r="X249" i="3"/>
  <c r="W250" i="3"/>
  <c r="X250" i="3"/>
  <c r="W251" i="3"/>
  <c r="X251" i="3"/>
  <c r="W252" i="3"/>
  <c r="X252" i="3"/>
  <c r="W253" i="3"/>
  <c r="X253" i="3"/>
  <c r="W254" i="3"/>
  <c r="X254" i="3"/>
  <c r="W255" i="3"/>
  <c r="X255" i="3"/>
  <c r="W256" i="3"/>
  <c r="X256" i="3"/>
  <c r="W257" i="3"/>
  <c r="X257" i="3"/>
  <c r="W258" i="3"/>
  <c r="X258" i="3"/>
  <c r="W259" i="3"/>
  <c r="X259" i="3"/>
  <c r="W260" i="3"/>
  <c r="X260" i="3"/>
  <c r="W261" i="3"/>
  <c r="X261" i="3"/>
  <c r="W262" i="3"/>
  <c r="X262" i="3"/>
  <c r="W263" i="3"/>
  <c r="X263" i="3"/>
  <c r="Z263" i="3" s="1"/>
  <c r="W264" i="3"/>
  <c r="X264" i="3"/>
  <c r="W265" i="3"/>
  <c r="X265" i="3"/>
  <c r="W266" i="3"/>
  <c r="X266" i="3"/>
  <c r="W267" i="3"/>
  <c r="X267" i="3"/>
  <c r="W268" i="3"/>
  <c r="X268" i="3"/>
  <c r="W269" i="3"/>
  <c r="X269" i="3"/>
  <c r="W270" i="3"/>
  <c r="X270" i="3"/>
  <c r="W271" i="3"/>
  <c r="X271" i="3"/>
  <c r="W272" i="3"/>
  <c r="X272" i="3"/>
  <c r="W273" i="3"/>
  <c r="X273" i="3"/>
  <c r="W274" i="3"/>
  <c r="X274" i="3"/>
  <c r="W275" i="3"/>
  <c r="X275" i="3"/>
  <c r="W276" i="3"/>
  <c r="X276" i="3"/>
  <c r="W277" i="3"/>
  <c r="X277" i="3"/>
  <c r="W278" i="3"/>
  <c r="X278" i="3"/>
  <c r="W279" i="3"/>
  <c r="X279" i="3"/>
  <c r="W280" i="3"/>
  <c r="X280" i="3"/>
  <c r="W281" i="3"/>
  <c r="X281" i="3"/>
  <c r="W282" i="3"/>
  <c r="X282" i="3"/>
  <c r="W283" i="3"/>
  <c r="X283" i="3"/>
  <c r="W284" i="3"/>
  <c r="X284" i="3"/>
  <c r="W285" i="3"/>
  <c r="X285" i="3"/>
  <c r="W286" i="3"/>
  <c r="X286" i="3"/>
  <c r="W287" i="3"/>
  <c r="X287" i="3"/>
  <c r="W288" i="3"/>
  <c r="X288" i="3"/>
  <c r="W289" i="3"/>
  <c r="X289" i="3"/>
  <c r="W290" i="3"/>
  <c r="X290" i="3"/>
  <c r="W291" i="3"/>
  <c r="X291" i="3"/>
  <c r="W292" i="3"/>
  <c r="X292" i="3"/>
  <c r="W293" i="3"/>
  <c r="X293" i="3"/>
  <c r="W294" i="3"/>
  <c r="X294" i="3"/>
  <c r="W295" i="3"/>
  <c r="X295" i="3"/>
  <c r="W296" i="3"/>
  <c r="X296" i="3"/>
  <c r="W297" i="3"/>
  <c r="X297" i="3"/>
  <c r="W298" i="3"/>
  <c r="X298" i="3"/>
  <c r="W299" i="3"/>
  <c r="X299" i="3"/>
  <c r="W300" i="3"/>
  <c r="X300" i="3"/>
  <c r="W301" i="3"/>
  <c r="X301" i="3"/>
  <c r="W302" i="3"/>
  <c r="X302" i="3"/>
  <c r="W303" i="3"/>
  <c r="X303" i="3"/>
  <c r="W304" i="3"/>
  <c r="X304" i="3"/>
  <c r="W305" i="3"/>
  <c r="X305" i="3"/>
  <c r="A39" i="1"/>
  <c r="A40" i="1"/>
  <c r="A38" i="1"/>
  <c r="A37" i="1"/>
  <c r="A36" i="1"/>
  <c r="A35" i="1"/>
  <c r="A301" i="3"/>
  <c r="G301" i="3"/>
  <c r="A302" i="3"/>
  <c r="G302" i="3"/>
  <c r="A303" i="3"/>
  <c r="G303" i="3"/>
  <c r="A304" i="3"/>
  <c r="G304" i="3"/>
  <c r="A305" i="3"/>
  <c r="G305" i="3"/>
  <c r="A306" i="3"/>
  <c r="G306" i="3"/>
  <c r="A307" i="3"/>
  <c r="G307" i="3"/>
  <c r="A308" i="3"/>
  <c r="G308" i="3"/>
  <c r="A309" i="3"/>
  <c r="G309" i="3"/>
  <c r="A310" i="3"/>
  <c r="G310" i="3"/>
  <c r="A311" i="3"/>
  <c r="G311" i="3"/>
  <c r="A312" i="3"/>
  <c r="G312" i="3"/>
  <c r="A313" i="3"/>
  <c r="G313" i="3"/>
  <c r="A314" i="3"/>
  <c r="G314" i="3"/>
  <c r="A315" i="3"/>
  <c r="G315" i="3"/>
  <c r="A316" i="3"/>
  <c r="G316" i="3"/>
  <c r="A317" i="3"/>
  <c r="G317" i="3"/>
  <c r="A318" i="3"/>
  <c r="G318" i="3"/>
  <c r="A319" i="3"/>
  <c r="G319" i="3"/>
  <c r="A320" i="3"/>
  <c r="G320" i="3"/>
  <c r="A321" i="3"/>
  <c r="G321" i="3"/>
  <c r="A322" i="3"/>
  <c r="G322" i="3"/>
  <c r="A323" i="3"/>
  <c r="G323" i="3"/>
  <c r="A324" i="3"/>
  <c r="G324" i="3"/>
  <c r="A325" i="3"/>
  <c r="G325" i="3"/>
  <c r="A326" i="3"/>
  <c r="G326" i="3"/>
  <c r="A327" i="3"/>
  <c r="G327" i="3"/>
  <c r="A328" i="3"/>
  <c r="G328" i="3"/>
  <c r="A329" i="3"/>
  <c r="G329" i="3"/>
  <c r="A330" i="3"/>
  <c r="G330" i="3"/>
  <c r="A331" i="3"/>
  <c r="G331" i="3"/>
  <c r="A332" i="3"/>
  <c r="G332" i="3"/>
  <c r="A333" i="3"/>
  <c r="G333" i="3"/>
  <c r="A334" i="3"/>
  <c r="G334" i="3"/>
  <c r="A335" i="3"/>
  <c r="G335" i="3"/>
  <c r="A336" i="3"/>
  <c r="G336" i="3"/>
  <c r="A337" i="3"/>
  <c r="G337" i="3"/>
  <c r="A338" i="3"/>
  <c r="G338" i="3"/>
  <c r="A339" i="3"/>
  <c r="G339" i="3"/>
  <c r="A340" i="3"/>
  <c r="G340" i="3"/>
  <c r="A341" i="3"/>
  <c r="G341" i="3"/>
  <c r="A342" i="3"/>
  <c r="G342" i="3"/>
  <c r="A343" i="3"/>
  <c r="G343" i="3"/>
  <c r="A344" i="3"/>
  <c r="G344" i="3"/>
  <c r="A345" i="3"/>
  <c r="G345" i="3"/>
  <c r="A346" i="3"/>
  <c r="G346" i="3"/>
  <c r="A347" i="3"/>
  <c r="G347" i="3"/>
  <c r="A348" i="3"/>
  <c r="G348" i="3"/>
  <c r="A349" i="3"/>
  <c r="G349" i="3"/>
  <c r="A350" i="3"/>
  <c r="G350" i="3"/>
  <c r="A351" i="3"/>
  <c r="G351" i="3"/>
  <c r="A352" i="3"/>
  <c r="G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32" i="1"/>
  <c r="A33" i="1"/>
  <c r="A34" i="1"/>
  <c r="A244" i="3"/>
  <c r="G244" i="3"/>
  <c r="A245" i="3"/>
  <c r="G245" i="3"/>
  <c r="A246" i="3"/>
  <c r="G246" i="3"/>
  <c r="A247" i="3"/>
  <c r="G247" i="3"/>
  <c r="A248" i="3"/>
  <c r="G248" i="3"/>
  <c r="A249" i="3"/>
  <c r="G249" i="3"/>
  <c r="A250" i="3"/>
  <c r="G250" i="3"/>
  <c r="A251" i="3"/>
  <c r="G251" i="3"/>
  <c r="A252" i="3"/>
  <c r="G252" i="3"/>
  <c r="A253" i="3"/>
  <c r="G253" i="3"/>
  <c r="A254" i="3"/>
  <c r="G254" i="3"/>
  <c r="A255" i="3"/>
  <c r="G255" i="3"/>
  <c r="A256" i="3"/>
  <c r="G256" i="3"/>
  <c r="A257" i="3"/>
  <c r="G257" i="3"/>
  <c r="A258" i="3"/>
  <c r="G258" i="3"/>
  <c r="A259" i="3"/>
  <c r="G259" i="3"/>
  <c r="A260" i="3"/>
  <c r="G260" i="3"/>
  <c r="A261" i="3"/>
  <c r="G261" i="3"/>
  <c r="A262" i="3"/>
  <c r="G262" i="3"/>
  <c r="A263" i="3"/>
  <c r="G263" i="3"/>
  <c r="A264" i="3"/>
  <c r="G264" i="3"/>
  <c r="A265" i="3"/>
  <c r="G265" i="3"/>
  <c r="A266" i="3"/>
  <c r="G266" i="3"/>
  <c r="A267" i="3"/>
  <c r="G267" i="3"/>
  <c r="A268" i="3"/>
  <c r="G268" i="3"/>
  <c r="A269" i="3"/>
  <c r="G269" i="3"/>
  <c r="A270" i="3"/>
  <c r="G270" i="3"/>
  <c r="A271" i="3"/>
  <c r="G271" i="3"/>
  <c r="A272" i="3"/>
  <c r="G272" i="3"/>
  <c r="A273" i="3"/>
  <c r="G273" i="3"/>
  <c r="A274" i="3"/>
  <c r="G274" i="3"/>
  <c r="A275" i="3"/>
  <c r="G275" i="3"/>
  <c r="A276" i="3"/>
  <c r="G276" i="3"/>
  <c r="A277" i="3"/>
  <c r="G277" i="3"/>
  <c r="A278" i="3"/>
  <c r="G278" i="3"/>
  <c r="A279" i="3"/>
  <c r="G279" i="3"/>
  <c r="A280" i="3"/>
  <c r="G280" i="3"/>
  <c r="A281" i="3"/>
  <c r="G281" i="3"/>
  <c r="A282" i="3"/>
  <c r="G282" i="3"/>
  <c r="A283" i="3"/>
  <c r="G283" i="3"/>
  <c r="A284" i="3"/>
  <c r="G284" i="3"/>
  <c r="A285" i="3"/>
  <c r="G285" i="3"/>
  <c r="A286" i="3"/>
  <c r="G286" i="3"/>
  <c r="A287" i="3"/>
  <c r="G287" i="3"/>
  <c r="A288" i="3"/>
  <c r="G288" i="3"/>
  <c r="A289" i="3"/>
  <c r="G289" i="3"/>
  <c r="A290" i="3"/>
  <c r="G290" i="3"/>
  <c r="A291" i="3"/>
  <c r="G291" i="3"/>
  <c r="A292" i="3"/>
  <c r="G292" i="3"/>
  <c r="A293" i="3"/>
  <c r="G293" i="3"/>
  <c r="A294" i="3"/>
  <c r="G294" i="3"/>
  <c r="A295" i="3"/>
  <c r="G295" i="3"/>
  <c r="A296" i="3"/>
  <c r="G296" i="3"/>
  <c r="A297" i="3"/>
  <c r="G297" i="3"/>
  <c r="A298" i="3"/>
  <c r="G298" i="3"/>
  <c r="A299" i="3"/>
  <c r="G299" i="3"/>
  <c r="A300" i="3"/>
  <c r="G300" i="3"/>
  <c r="A31" i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" i="3"/>
  <c r="A225" i="3"/>
  <c r="W225" i="3"/>
  <c r="X225" i="3"/>
  <c r="A226" i="3"/>
  <c r="W226" i="3"/>
  <c r="X226" i="3"/>
  <c r="A227" i="3"/>
  <c r="W227" i="3"/>
  <c r="X227" i="3"/>
  <c r="A228" i="3"/>
  <c r="W228" i="3"/>
  <c r="X228" i="3"/>
  <c r="A229" i="3"/>
  <c r="W229" i="3"/>
  <c r="X229" i="3"/>
  <c r="A230" i="3"/>
  <c r="W230" i="3"/>
  <c r="X230" i="3"/>
  <c r="A231" i="3"/>
  <c r="W231" i="3"/>
  <c r="X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30" i="1"/>
  <c r="A29" i="1"/>
  <c r="A217" i="3"/>
  <c r="A218" i="3"/>
  <c r="A219" i="3"/>
  <c r="A220" i="3"/>
  <c r="A221" i="3"/>
  <c r="A222" i="3"/>
  <c r="A223" i="3"/>
  <c r="A224" i="3"/>
  <c r="W204" i="3"/>
  <c r="X204" i="3"/>
  <c r="W205" i="3"/>
  <c r="X205" i="3"/>
  <c r="W206" i="3"/>
  <c r="X206" i="3"/>
  <c r="W207" i="3"/>
  <c r="X207" i="3"/>
  <c r="W208" i="3"/>
  <c r="X208" i="3"/>
  <c r="W209" i="3"/>
  <c r="X209" i="3"/>
  <c r="W210" i="3"/>
  <c r="X210" i="3"/>
  <c r="W211" i="3"/>
  <c r="X211" i="3"/>
  <c r="W212" i="3"/>
  <c r="X212" i="3"/>
  <c r="W213" i="3"/>
  <c r="X213" i="3"/>
  <c r="W214" i="3"/>
  <c r="X214" i="3"/>
  <c r="W215" i="3"/>
  <c r="X215" i="3"/>
  <c r="W216" i="3"/>
  <c r="X216" i="3"/>
  <c r="W217" i="3"/>
  <c r="X217" i="3"/>
  <c r="W218" i="3"/>
  <c r="X218" i="3"/>
  <c r="W219" i="3"/>
  <c r="X219" i="3"/>
  <c r="W220" i="3"/>
  <c r="X220" i="3"/>
  <c r="W221" i="3"/>
  <c r="X221" i="3"/>
  <c r="W222" i="3"/>
  <c r="X222" i="3"/>
  <c r="W223" i="3"/>
  <c r="X223" i="3"/>
  <c r="W224" i="3"/>
  <c r="X224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8" i="1"/>
  <c r="A27" i="1"/>
  <c r="A192" i="3"/>
  <c r="W192" i="3"/>
  <c r="X192" i="3"/>
  <c r="A193" i="3"/>
  <c r="W193" i="3"/>
  <c r="X193" i="3"/>
  <c r="A194" i="3"/>
  <c r="W194" i="3"/>
  <c r="X194" i="3"/>
  <c r="A195" i="3"/>
  <c r="W195" i="3"/>
  <c r="X195" i="3"/>
  <c r="A196" i="3"/>
  <c r="W196" i="3"/>
  <c r="X196" i="3"/>
  <c r="A197" i="3"/>
  <c r="W197" i="3"/>
  <c r="X197" i="3"/>
  <c r="A198" i="3"/>
  <c r="W198" i="3"/>
  <c r="X198" i="3"/>
  <c r="A199" i="3"/>
  <c r="W199" i="3"/>
  <c r="X199" i="3"/>
  <c r="A200" i="3"/>
  <c r="W200" i="3"/>
  <c r="X200" i="3"/>
  <c r="A201" i="3"/>
  <c r="W201" i="3"/>
  <c r="X201" i="3"/>
  <c r="A202" i="3"/>
  <c r="W202" i="3"/>
  <c r="X202" i="3"/>
  <c r="A203" i="3"/>
  <c r="W203" i="3"/>
  <c r="X203" i="3"/>
  <c r="A181" i="3"/>
  <c r="W181" i="3"/>
  <c r="X181" i="3"/>
  <c r="A182" i="3"/>
  <c r="W182" i="3"/>
  <c r="X182" i="3"/>
  <c r="A183" i="3"/>
  <c r="W183" i="3"/>
  <c r="X183" i="3"/>
  <c r="A184" i="3"/>
  <c r="W184" i="3"/>
  <c r="X184" i="3"/>
  <c r="A185" i="3"/>
  <c r="W185" i="3"/>
  <c r="X185" i="3"/>
  <c r="A186" i="3"/>
  <c r="W186" i="3"/>
  <c r="X186" i="3"/>
  <c r="A187" i="3"/>
  <c r="W187" i="3"/>
  <c r="X187" i="3"/>
  <c r="A188" i="3"/>
  <c r="W188" i="3"/>
  <c r="X188" i="3"/>
  <c r="A189" i="3"/>
  <c r="W189" i="3"/>
  <c r="X189" i="3"/>
  <c r="A190" i="3"/>
  <c r="W190" i="3"/>
  <c r="X190" i="3"/>
  <c r="A191" i="3"/>
  <c r="W191" i="3"/>
  <c r="X191" i="3"/>
  <c r="A161" i="3"/>
  <c r="W161" i="3"/>
  <c r="X161" i="3"/>
  <c r="A162" i="3"/>
  <c r="W162" i="3"/>
  <c r="X162" i="3"/>
  <c r="A163" i="3"/>
  <c r="W163" i="3"/>
  <c r="X163" i="3"/>
  <c r="A164" i="3"/>
  <c r="W164" i="3"/>
  <c r="X164" i="3"/>
  <c r="A165" i="3"/>
  <c r="W165" i="3"/>
  <c r="X165" i="3"/>
  <c r="A166" i="3"/>
  <c r="W166" i="3"/>
  <c r="X166" i="3"/>
  <c r="A167" i="3"/>
  <c r="W167" i="3"/>
  <c r="X167" i="3"/>
  <c r="A168" i="3"/>
  <c r="W168" i="3"/>
  <c r="X168" i="3"/>
  <c r="A169" i="3"/>
  <c r="W169" i="3"/>
  <c r="X169" i="3"/>
  <c r="A170" i="3"/>
  <c r="W170" i="3"/>
  <c r="X170" i="3"/>
  <c r="A171" i="3"/>
  <c r="W171" i="3"/>
  <c r="X171" i="3"/>
  <c r="A172" i="3"/>
  <c r="W172" i="3"/>
  <c r="X172" i="3"/>
  <c r="A173" i="3"/>
  <c r="W173" i="3"/>
  <c r="X173" i="3"/>
  <c r="A174" i="3"/>
  <c r="W174" i="3"/>
  <c r="X174" i="3"/>
  <c r="A175" i="3"/>
  <c r="W175" i="3"/>
  <c r="X175" i="3"/>
  <c r="A176" i="3"/>
  <c r="W176" i="3"/>
  <c r="X176" i="3"/>
  <c r="A177" i="3"/>
  <c r="W177" i="3"/>
  <c r="X177" i="3"/>
  <c r="A178" i="3"/>
  <c r="W178" i="3"/>
  <c r="X178" i="3"/>
  <c r="A179" i="3"/>
  <c r="W179" i="3"/>
  <c r="X179" i="3"/>
  <c r="A180" i="3"/>
  <c r="W180" i="3"/>
  <c r="X180" i="3"/>
  <c r="A25" i="1"/>
  <c r="A151" i="3"/>
  <c r="W151" i="3"/>
  <c r="X151" i="3"/>
  <c r="A152" i="3"/>
  <c r="W152" i="3"/>
  <c r="X152" i="3"/>
  <c r="A153" i="3"/>
  <c r="W153" i="3"/>
  <c r="X153" i="3"/>
  <c r="A154" i="3"/>
  <c r="W154" i="3"/>
  <c r="X154" i="3"/>
  <c r="A155" i="3"/>
  <c r="W155" i="3"/>
  <c r="X155" i="3"/>
  <c r="A156" i="3"/>
  <c r="W156" i="3"/>
  <c r="X156" i="3"/>
  <c r="A157" i="3"/>
  <c r="W157" i="3"/>
  <c r="X157" i="3"/>
  <c r="A158" i="3"/>
  <c r="W158" i="3"/>
  <c r="X158" i="3"/>
  <c r="A159" i="3"/>
  <c r="W159" i="3"/>
  <c r="X159" i="3"/>
  <c r="A160" i="3"/>
  <c r="W160" i="3"/>
  <c r="X160" i="3"/>
  <c r="A135" i="3"/>
  <c r="W135" i="3"/>
  <c r="X135" i="3"/>
  <c r="A136" i="3"/>
  <c r="W136" i="3"/>
  <c r="X136" i="3"/>
  <c r="A137" i="3"/>
  <c r="W137" i="3"/>
  <c r="X137" i="3"/>
  <c r="A138" i="3"/>
  <c r="W138" i="3"/>
  <c r="X138" i="3"/>
  <c r="A139" i="3"/>
  <c r="W139" i="3"/>
  <c r="X139" i="3"/>
  <c r="A140" i="3"/>
  <c r="W140" i="3"/>
  <c r="X140" i="3"/>
  <c r="A141" i="3"/>
  <c r="W141" i="3"/>
  <c r="X141" i="3"/>
  <c r="A142" i="3"/>
  <c r="W142" i="3"/>
  <c r="X142" i="3"/>
  <c r="A143" i="3"/>
  <c r="W143" i="3"/>
  <c r="X143" i="3"/>
  <c r="A144" i="3"/>
  <c r="W144" i="3"/>
  <c r="X144" i="3"/>
  <c r="A145" i="3"/>
  <c r="W145" i="3"/>
  <c r="X145" i="3"/>
  <c r="A146" i="3"/>
  <c r="W146" i="3"/>
  <c r="X146" i="3"/>
  <c r="A147" i="3"/>
  <c r="W147" i="3"/>
  <c r="X147" i="3"/>
  <c r="A148" i="3"/>
  <c r="W148" i="3"/>
  <c r="X148" i="3"/>
  <c r="A149" i="3"/>
  <c r="W149" i="3"/>
  <c r="X149" i="3"/>
  <c r="A150" i="3"/>
  <c r="W150" i="3"/>
  <c r="X150" i="3"/>
  <c r="A22" i="1"/>
  <c r="A23" i="1"/>
  <c r="A24" i="1"/>
  <c r="A105" i="3"/>
  <c r="W105" i="3"/>
  <c r="A106" i="3"/>
  <c r="W106" i="3"/>
  <c r="A107" i="3"/>
  <c r="W107" i="3"/>
  <c r="A108" i="3"/>
  <c r="W108" i="3"/>
  <c r="A109" i="3"/>
  <c r="W109" i="3"/>
  <c r="A110" i="3"/>
  <c r="W110" i="3"/>
  <c r="A111" i="3"/>
  <c r="W111" i="3"/>
  <c r="A112" i="3"/>
  <c r="W112" i="3"/>
  <c r="A113" i="3"/>
  <c r="W113" i="3"/>
  <c r="A114" i="3"/>
  <c r="W114" i="3"/>
  <c r="A115" i="3"/>
  <c r="W115" i="3"/>
  <c r="A116" i="3"/>
  <c r="W116" i="3"/>
  <c r="A117" i="3"/>
  <c r="W117" i="3"/>
  <c r="A118" i="3"/>
  <c r="W118" i="3"/>
  <c r="A119" i="3"/>
  <c r="W119" i="3"/>
  <c r="A120" i="3"/>
  <c r="W120" i="3"/>
  <c r="X120" i="3"/>
  <c r="A121" i="3"/>
  <c r="W121" i="3"/>
  <c r="A122" i="3"/>
  <c r="W122" i="3"/>
  <c r="A123" i="3"/>
  <c r="W123" i="3"/>
  <c r="A124" i="3"/>
  <c r="W124" i="3"/>
  <c r="A125" i="3"/>
  <c r="W125" i="3"/>
  <c r="A126" i="3"/>
  <c r="W126" i="3"/>
  <c r="A127" i="3"/>
  <c r="W127" i="3"/>
  <c r="A128" i="3"/>
  <c r="W128" i="3"/>
  <c r="A129" i="3"/>
  <c r="W129" i="3"/>
  <c r="A130" i="3"/>
  <c r="W130" i="3"/>
  <c r="A131" i="3"/>
  <c r="W131" i="3"/>
  <c r="A132" i="3"/>
  <c r="W132" i="3"/>
  <c r="A133" i="3"/>
  <c r="W133" i="3"/>
  <c r="A134" i="3"/>
  <c r="W134" i="3"/>
  <c r="A101" i="3"/>
  <c r="W101" i="3"/>
  <c r="A102" i="3"/>
  <c r="W102" i="3"/>
  <c r="A103" i="3"/>
  <c r="W103" i="3"/>
  <c r="A104" i="3"/>
  <c r="W104" i="3"/>
  <c r="A91" i="3"/>
  <c r="W91" i="3"/>
  <c r="A92" i="3"/>
  <c r="W92" i="3"/>
  <c r="A93" i="3"/>
  <c r="W93" i="3"/>
  <c r="A94" i="3"/>
  <c r="W94" i="3"/>
  <c r="A95" i="3"/>
  <c r="W95" i="3"/>
  <c r="A96" i="3"/>
  <c r="W96" i="3"/>
  <c r="A97" i="3"/>
  <c r="W97" i="3"/>
  <c r="A98" i="3"/>
  <c r="W98" i="3"/>
  <c r="A99" i="3"/>
  <c r="W99" i="3"/>
  <c r="A100" i="3"/>
  <c r="W100" i="3"/>
  <c r="A81" i="3"/>
  <c r="W81" i="3"/>
  <c r="A82" i="3"/>
  <c r="W82" i="3"/>
  <c r="A83" i="3"/>
  <c r="W83" i="3"/>
  <c r="A84" i="3"/>
  <c r="W84" i="3"/>
  <c r="A85" i="3"/>
  <c r="W85" i="3"/>
  <c r="A86" i="3"/>
  <c r="W86" i="3"/>
  <c r="A87" i="3"/>
  <c r="W87" i="3"/>
  <c r="A88" i="3"/>
  <c r="W88" i="3"/>
  <c r="A89" i="3"/>
  <c r="W89" i="3"/>
  <c r="A90" i="3"/>
  <c r="W90" i="3"/>
  <c r="A64" i="3"/>
  <c r="W64" i="3"/>
  <c r="A65" i="3"/>
  <c r="W65" i="3"/>
  <c r="X65" i="3"/>
  <c r="A66" i="3"/>
  <c r="W66" i="3"/>
  <c r="A67" i="3"/>
  <c r="W67" i="3"/>
  <c r="A68" i="3"/>
  <c r="W68" i="3"/>
  <c r="A69" i="3"/>
  <c r="W69" i="3"/>
  <c r="A70" i="3"/>
  <c r="W70" i="3"/>
  <c r="A71" i="3"/>
  <c r="W71" i="3"/>
  <c r="A72" i="3"/>
  <c r="W72" i="3"/>
  <c r="A73" i="3"/>
  <c r="W73" i="3"/>
  <c r="X73" i="3"/>
  <c r="A74" i="3"/>
  <c r="W74" i="3"/>
  <c r="A75" i="3"/>
  <c r="W75" i="3"/>
  <c r="A76" i="3"/>
  <c r="W76" i="3"/>
  <c r="A77" i="3"/>
  <c r="W77" i="3"/>
  <c r="A78" i="3"/>
  <c r="W78" i="3"/>
  <c r="A79" i="3"/>
  <c r="W79" i="3"/>
  <c r="A80" i="3"/>
  <c r="W80" i="3"/>
  <c r="A10" i="1"/>
  <c r="A11" i="1"/>
  <c r="A12" i="1"/>
  <c r="A13" i="1"/>
  <c r="A14" i="1"/>
  <c r="A15" i="1"/>
  <c r="A16" i="1"/>
  <c r="A17" i="1"/>
  <c r="A18" i="1"/>
  <c r="A19" i="1"/>
  <c r="A20" i="1"/>
  <c r="A21" i="1"/>
  <c r="A41" i="3"/>
  <c r="W41" i="3"/>
  <c r="A42" i="3"/>
  <c r="W42" i="3"/>
  <c r="A43" i="3"/>
  <c r="W43" i="3"/>
  <c r="A44" i="3"/>
  <c r="W44" i="3"/>
  <c r="A45" i="3"/>
  <c r="W45" i="3"/>
  <c r="A46" i="3"/>
  <c r="W46" i="3"/>
  <c r="A47" i="3"/>
  <c r="W47" i="3"/>
  <c r="A48" i="3"/>
  <c r="W48" i="3"/>
  <c r="A49" i="3"/>
  <c r="W49" i="3"/>
  <c r="A50" i="3"/>
  <c r="W50" i="3"/>
  <c r="A51" i="3"/>
  <c r="W51" i="3"/>
  <c r="A52" i="3"/>
  <c r="W52" i="3"/>
  <c r="A53" i="3"/>
  <c r="W53" i="3"/>
  <c r="A54" i="3"/>
  <c r="W54" i="3"/>
  <c r="A55" i="3"/>
  <c r="W55" i="3"/>
  <c r="A56" i="3"/>
  <c r="W56" i="3"/>
  <c r="A57" i="3"/>
  <c r="W57" i="3"/>
  <c r="A58" i="3"/>
  <c r="W58" i="3"/>
  <c r="A59" i="3"/>
  <c r="W59" i="3"/>
  <c r="A60" i="3"/>
  <c r="W60" i="3"/>
  <c r="A61" i="3"/>
  <c r="W61" i="3"/>
  <c r="A62" i="3"/>
  <c r="W62" i="3"/>
  <c r="A63" i="3"/>
  <c r="W63" i="3"/>
  <c r="A26" i="3"/>
  <c r="W26" i="3"/>
  <c r="A27" i="3"/>
  <c r="W27" i="3"/>
  <c r="A28" i="3"/>
  <c r="W28" i="3"/>
  <c r="A29" i="3"/>
  <c r="W29" i="3"/>
  <c r="A30" i="3"/>
  <c r="W30" i="3"/>
  <c r="A31" i="3"/>
  <c r="W31" i="3"/>
  <c r="A32" i="3"/>
  <c r="W32" i="3"/>
  <c r="A33" i="3"/>
  <c r="W33" i="3"/>
  <c r="A34" i="3"/>
  <c r="W34" i="3"/>
  <c r="A35" i="3"/>
  <c r="W35" i="3"/>
  <c r="A36" i="3"/>
  <c r="W36" i="3"/>
  <c r="A37" i="3"/>
  <c r="W37" i="3"/>
  <c r="A38" i="3"/>
  <c r="W38" i="3"/>
  <c r="A39" i="3"/>
  <c r="W39" i="3"/>
  <c r="A40" i="3"/>
  <c r="W40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3" i="4"/>
  <c r="A4" i="4"/>
  <c r="A5" i="4"/>
  <c r="A2" i="4"/>
  <c r="A10" i="3"/>
  <c r="A9" i="3"/>
  <c r="A8" i="3"/>
  <c r="A7" i="3"/>
  <c r="A6" i="3"/>
  <c r="A5" i="3"/>
  <c r="A3" i="1"/>
  <c r="X107" i="3" s="1"/>
  <c r="A4" i="1"/>
  <c r="A5" i="1"/>
  <c r="X68" i="3" s="1"/>
  <c r="A6" i="1"/>
  <c r="A7" i="1"/>
  <c r="X102" i="3" s="1"/>
  <c r="A8" i="1"/>
  <c r="A9" i="1"/>
  <c r="A2" i="1"/>
  <c r="X111" i="3" s="1"/>
  <c r="Z812" i="3" l="1"/>
  <c r="Z804" i="3"/>
  <c r="C474" i="5"/>
  <c r="AA471" i="5"/>
  <c r="AB471" i="5" s="1"/>
  <c r="AC475" i="5"/>
  <c r="AC473" i="5"/>
  <c r="C471" i="5"/>
  <c r="AA473" i="5"/>
  <c r="AB473" i="5" s="1"/>
  <c r="AC470" i="5"/>
  <c r="Z813" i="3"/>
  <c r="Z805" i="3"/>
  <c r="Z797" i="3"/>
  <c r="AA475" i="5"/>
  <c r="AB475" i="5" s="1"/>
  <c r="C473" i="5"/>
  <c r="AA470" i="5"/>
  <c r="AB470" i="5" s="1"/>
  <c r="C475" i="5"/>
  <c r="AC472" i="5"/>
  <c r="C470" i="5"/>
  <c r="AC474" i="5"/>
  <c r="AA472" i="5"/>
  <c r="AB472" i="5" s="1"/>
  <c r="AC469" i="5"/>
  <c r="Z814" i="3"/>
  <c r="Z806" i="3"/>
  <c r="Z798" i="3"/>
  <c r="C472" i="5"/>
  <c r="AA469" i="5"/>
  <c r="AB469" i="5" s="1"/>
  <c r="AA474" i="5"/>
  <c r="AB474" i="5" s="1"/>
  <c r="AC471" i="5"/>
  <c r="C452" i="5"/>
  <c r="C462" i="5"/>
  <c r="AC464" i="5"/>
  <c r="AA467" i="5"/>
  <c r="AB467" i="5" s="1"/>
  <c r="AA462" i="5"/>
  <c r="AB462" i="5" s="1"/>
  <c r="C465" i="5"/>
  <c r="AC467" i="5"/>
  <c r="AC462" i="5"/>
  <c r="AA465" i="5"/>
  <c r="AB465" i="5" s="1"/>
  <c r="C468" i="5"/>
  <c r="C467" i="5"/>
  <c r="AA464" i="5"/>
  <c r="AB464" i="5" s="1"/>
  <c r="Z790" i="3"/>
  <c r="AC466" i="5"/>
  <c r="C464" i="5"/>
  <c r="AA466" i="5"/>
  <c r="AB466" i="5" s="1"/>
  <c r="AC463" i="5"/>
  <c r="Z796" i="3"/>
  <c r="AC468" i="5"/>
  <c r="C466" i="5"/>
  <c r="AA463" i="5"/>
  <c r="AB463" i="5" s="1"/>
  <c r="AA468" i="5"/>
  <c r="AB468" i="5" s="1"/>
  <c r="AC465" i="5"/>
  <c r="C463" i="5"/>
  <c r="Z782" i="3"/>
  <c r="Z788" i="3"/>
  <c r="Z786" i="3"/>
  <c r="Z789" i="3"/>
  <c r="Z781" i="3"/>
  <c r="Z774" i="3"/>
  <c r="AA461" i="5"/>
  <c r="AB461" i="5" s="1"/>
  <c r="AA459" i="5"/>
  <c r="AB459" i="5" s="1"/>
  <c r="C457" i="5"/>
  <c r="AA454" i="5"/>
  <c r="AB454" i="5" s="1"/>
  <c r="C461" i="5"/>
  <c r="C459" i="5"/>
  <c r="AC456" i="5"/>
  <c r="C454" i="5"/>
  <c r="Z780" i="3"/>
  <c r="Z772" i="3"/>
  <c r="AC460" i="5"/>
  <c r="AC458" i="5"/>
  <c r="AA456" i="5"/>
  <c r="AB456" i="5" s="1"/>
  <c r="AC453" i="5"/>
  <c r="C456" i="5"/>
  <c r="AA453" i="5"/>
  <c r="AB453" i="5" s="1"/>
  <c r="Z778" i="3"/>
  <c r="Z770" i="3"/>
  <c r="AA460" i="5"/>
  <c r="AB460" i="5" s="1"/>
  <c r="AA458" i="5"/>
  <c r="AB458" i="5" s="1"/>
  <c r="AC455" i="5"/>
  <c r="C453" i="5"/>
  <c r="Z773" i="3"/>
  <c r="C460" i="5"/>
  <c r="C458" i="5"/>
  <c r="AA455" i="5"/>
  <c r="AB455" i="5" s="1"/>
  <c r="AC452" i="5"/>
  <c r="AC459" i="5"/>
  <c r="AC457" i="5"/>
  <c r="C455" i="5"/>
  <c r="AA452" i="5"/>
  <c r="AB452" i="5" s="1"/>
  <c r="AC461" i="5"/>
  <c r="AA457" i="5"/>
  <c r="AB457" i="5" s="1"/>
  <c r="AC454" i="5"/>
  <c r="C444" i="5"/>
  <c r="AC446" i="5"/>
  <c r="AA449" i="5"/>
  <c r="AB449" i="5" s="1"/>
  <c r="AC451" i="5"/>
  <c r="AA444" i="5"/>
  <c r="AB444" i="5" s="1"/>
  <c r="C447" i="5"/>
  <c r="AC449" i="5"/>
  <c r="AC444" i="5"/>
  <c r="AA447" i="5"/>
  <c r="AB447" i="5" s="1"/>
  <c r="C450" i="5"/>
  <c r="C445" i="5"/>
  <c r="AC447" i="5"/>
  <c r="AA450" i="5"/>
  <c r="AB450" i="5" s="1"/>
  <c r="AA445" i="5"/>
  <c r="AB445" i="5" s="1"/>
  <c r="C448" i="5"/>
  <c r="AC450" i="5"/>
  <c r="AC445" i="5"/>
  <c r="AA448" i="5"/>
  <c r="AB448" i="5" s="1"/>
  <c r="C451" i="5"/>
  <c r="Z764" i="3"/>
  <c r="Z756" i="3"/>
  <c r="C449" i="5"/>
  <c r="AA446" i="5"/>
  <c r="AB446" i="5" s="1"/>
  <c r="AA451" i="5"/>
  <c r="AB451" i="5" s="1"/>
  <c r="AC448" i="5"/>
  <c r="C446" i="5"/>
  <c r="Z765" i="3"/>
  <c r="Z757" i="3"/>
  <c r="Z766" i="3"/>
  <c r="Z758" i="3"/>
  <c r="Z750" i="3"/>
  <c r="C403" i="5"/>
  <c r="AA442" i="5"/>
  <c r="AB442" i="5" s="1"/>
  <c r="AC442" i="5"/>
  <c r="C443" i="5"/>
  <c r="C442" i="5"/>
  <c r="Z742" i="3"/>
  <c r="Z748" i="3"/>
  <c r="Z740" i="3"/>
  <c r="AC443" i="5"/>
  <c r="AA443" i="5"/>
  <c r="AB443" i="5" s="1"/>
  <c r="Z746" i="3"/>
  <c r="Z738" i="3"/>
  <c r="Z749" i="3"/>
  <c r="Z741" i="3"/>
  <c r="AD1281" i="5"/>
  <c r="AD1276" i="5"/>
  <c r="AD1273" i="5"/>
  <c r="AD1105" i="5"/>
  <c r="AD1100" i="5"/>
  <c r="AD1095" i="5"/>
  <c r="AD1090" i="5"/>
  <c r="AD1167" i="5"/>
  <c r="AD1152" i="5"/>
  <c r="AD1197" i="5"/>
  <c r="AD1162" i="5"/>
  <c r="AD1147" i="5"/>
  <c r="AD1182" i="5"/>
  <c r="AD1157" i="5"/>
  <c r="AD1135" i="5"/>
  <c r="AD814" i="5"/>
  <c r="AD804" i="5"/>
  <c r="AD794" i="5"/>
  <c r="AD1248" i="5"/>
  <c r="AD1078" i="5"/>
  <c r="AD1068" i="5"/>
  <c r="Z729" i="3"/>
  <c r="Z727" i="3"/>
  <c r="Z733" i="3"/>
  <c r="Z725" i="3"/>
  <c r="Z728" i="3"/>
  <c r="AD989" i="5"/>
  <c r="AD972" i="5"/>
  <c r="AD967" i="5"/>
  <c r="AD952" i="5"/>
  <c r="AD947" i="5"/>
  <c r="AD1132" i="5"/>
  <c r="AD735" i="5"/>
  <c r="AD999" i="5"/>
  <c r="AD722" i="5"/>
  <c r="AD714" i="5"/>
  <c r="AD1225" i="5"/>
  <c r="AD750" i="5"/>
  <c r="AD742" i="5"/>
  <c r="AD583" i="5"/>
  <c r="AD1230" i="5"/>
  <c r="AD1218" i="5"/>
  <c r="AD1020" i="5"/>
  <c r="AD1015" i="5"/>
  <c r="AD779" i="5"/>
  <c r="AD772" i="5"/>
  <c r="AD757" i="5"/>
  <c r="AD1061" i="5"/>
  <c r="AD854" i="5"/>
  <c r="AD846" i="5"/>
  <c r="AD841" i="5"/>
  <c r="AD1298" i="5"/>
  <c r="AD1293" i="5"/>
  <c r="AD1288" i="5"/>
  <c r="AD707" i="5"/>
  <c r="AD695" i="5"/>
  <c r="AD487" i="5"/>
  <c r="AD502" i="5"/>
  <c r="AD504" i="5"/>
  <c r="AD506" i="5"/>
  <c r="AD514" i="5"/>
  <c r="AD558" i="5"/>
  <c r="AD481" i="5"/>
  <c r="AD494" i="5"/>
  <c r="AD496" i="5"/>
  <c r="AD546" i="5"/>
  <c r="AD486" i="5"/>
  <c r="AD488" i="5"/>
  <c r="AD503" i="5"/>
  <c r="AD575" i="5"/>
  <c r="AD592" i="5"/>
  <c r="AD599" i="5"/>
  <c r="AD601" i="5"/>
  <c r="AD495" i="5"/>
  <c r="AD562" i="5"/>
  <c r="AD545" i="5"/>
  <c r="AD694" i="5"/>
  <c r="AD842" i="5"/>
  <c r="AD875" i="5"/>
  <c r="AD932" i="5"/>
  <c r="AD934" i="5"/>
  <c r="AD1038" i="5"/>
  <c r="AD1040" i="5"/>
  <c r="AD576" i="5"/>
  <c r="AD591" i="5"/>
  <c r="AD767" i="5"/>
  <c r="AD856" i="5"/>
  <c r="AD1291" i="5"/>
  <c r="AD1274" i="5"/>
  <c r="AD1271" i="5"/>
  <c r="AD1267" i="5"/>
  <c r="AD1258" i="5"/>
  <c r="AD1251" i="5"/>
  <c r="AD1246" i="5"/>
  <c r="AD1244" i="5"/>
  <c r="AD1239" i="5"/>
  <c r="AD1236" i="5"/>
  <c r="AD1234" i="5"/>
  <c r="AD1213" i="5"/>
  <c r="AD1192" i="5"/>
  <c r="AD1187" i="5"/>
  <c r="AD1180" i="5"/>
  <c r="AD1175" i="5"/>
  <c r="AD1170" i="5"/>
  <c r="AD1155" i="5"/>
  <c r="AD1150" i="5"/>
  <c r="AD1145" i="5"/>
  <c r="AD1140" i="5"/>
  <c r="AD1133" i="5"/>
  <c r="AD1130" i="5"/>
  <c r="AD1126" i="5"/>
  <c r="AD1118" i="5"/>
  <c r="AD1113" i="5"/>
  <c r="AD1093" i="5"/>
  <c r="AD1087" i="5"/>
  <c r="AD1083" i="5"/>
  <c r="AD1071" i="5"/>
  <c r="AD1066" i="5"/>
  <c r="AD1054" i="5"/>
  <c r="AD1046" i="5"/>
  <c r="AD1039" i="5"/>
  <c r="AD930" i="5"/>
  <c r="AD922" i="5"/>
  <c r="AD907" i="5"/>
  <c r="AD895" i="5"/>
  <c r="AD893" i="5"/>
  <c r="AD885" i="5"/>
  <c r="AD880" i="5"/>
  <c r="AD839" i="5"/>
  <c r="AD827" i="5"/>
  <c r="AD819" i="5"/>
  <c r="AD817" i="5"/>
  <c r="AD812" i="5"/>
  <c r="AD807" i="5"/>
  <c r="AD802" i="5"/>
  <c r="AD797" i="5"/>
  <c r="AD789" i="5"/>
  <c r="AD784" i="5"/>
  <c r="AD777" i="5"/>
  <c r="AD760" i="5"/>
  <c r="AD754" i="5"/>
  <c r="AD745" i="5"/>
  <c r="AD739" i="5"/>
  <c r="AD730" i="5"/>
  <c r="AD725" i="5"/>
  <c r="AD717" i="5"/>
  <c r="AD711" i="5"/>
  <c r="AD702" i="5"/>
  <c r="AD683" i="5"/>
  <c r="AD680" i="5"/>
  <c r="AD678" i="5"/>
  <c r="AD673" i="5"/>
  <c r="AD671" i="5"/>
  <c r="AD662" i="5"/>
  <c r="AD652" i="5"/>
  <c r="AD644" i="5"/>
  <c r="AD636" i="5"/>
  <c r="AD631" i="5"/>
  <c r="AD616" i="5"/>
  <c r="AD611" i="5"/>
  <c r="AD603" i="5"/>
  <c r="AD573" i="5"/>
  <c r="AD571" i="5"/>
  <c r="AD569" i="5"/>
  <c r="AD564" i="5"/>
  <c r="AD556" i="5"/>
  <c r="AD1295" i="5"/>
  <c r="AD1285" i="5"/>
  <c r="AD1283" i="5"/>
  <c r="AD1269" i="5"/>
  <c r="AD1264" i="5"/>
  <c r="AD1262" i="5"/>
  <c r="AD1255" i="5"/>
  <c r="AD1241" i="5"/>
  <c r="AD1232" i="5"/>
  <c r="AD1220" i="5"/>
  <c r="AD1031" i="5"/>
  <c r="AD1022" i="5"/>
  <c r="AD1010" i="5"/>
  <c r="AD996" i="5"/>
  <c r="AD984" i="5"/>
  <c r="AD979" i="5"/>
  <c r="AD974" i="5"/>
  <c r="AD969" i="5"/>
  <c r="AD962" i="5"/>
  <c r="AD957" i="5"/>
  <c r="AD949" i="5"/>
  <c r="AD944" i="5"/>
  <c r="AD939" i="5"/>
  <c r="AD869" i="5"/>
  <c r="AD851" i="5"/>
  <c r="AD840" i="5"/>
  <c r="AD836" i="5"/>
  <c r="AD831" i="5"/>
  <c r="AD821" i="5"/>
  <c r="AD809" i="5"/>
  <c r="AD799" i="5"/>
  <c r="AD791" i="5"/>
  <c r="AD786" i="5"/>
  <c r="AD774" i="5"/>
  <c r="AD692" i="5"/>
  <c r="AD687" i="5"/>
  <c r="AD666" i="5"/>
  <c r="AD656" i="5"/>
  <c r="AD646" i="5"/>
  <c r="AD638" i="5"/>
  <c r="AD623" i="5"/>
  <c r="AD618" i="5"/>
  <c r="AD605" i="5"/>
  <c r="AD590" i="5"/>
  <c r="AD585" i="5"/>
  <c r="AD580" i="5"/>
  <c r="AD1300" i="5"/>
  <c r="AD1290" i="5"/>
  <c r="AD1284" i="5"/>
  <c r="AD1278" i="5"/>
  <c r="AD1250" i="5"/>
  <c r="AD1243" i="5"/>
  <c r="AD1227" i="5"/>
  <c r="AD1222" i="5"/>
  <c r="AD1212" i="5"/>
  <c r="AD1209" i="5"/>
  <c r="AD1207" i="5"/>
  <c r="AD1186" i="5"/>
  <c r="AD1179" i="5"/>
  <c r="AD1169" i="5"/>
  <c r="AD1154" i="5"/>
  <c r="AD1149" i="5"/>
  <c r="AD1144" i="5"/>
  <c r="AD1137" i="5"/>
  <c r="AD1125" i="5"/>
  <c r="AD1112" i="5"/>
  <c r="AD1097" i="5"/>
  <c r="AD1092" i="5"/>
  <c r="AD1082" i="5"/>
  <c r="AD1080" i="5"/>
  <c r="AD1070" i="5"/>
  <c r="AD1058" i="5"/>
  <c r="AD1053" i="5"/>
  <c r="AD929" i="5"/>
  <c r="AD921" i="5"/>
  <c r="AD916" i="5"/>
  <c r="AD906" i="5"/>
  <c r="AD892" i="5"/>
  <c r="AD884" i="5"/>
  <c r="AD879" i="5"/>
  <c r="AD874" i="5"/>
  <c r="AD866" i="5"/>
  <c r="AD861" i="5"/>
  <c r="AD848" i="5"/>
  <c r="AD843" i="5"/>
  <c r="AD764" i="5"/>
  <c r="AD759" i="5"/>
  <c r="AD744" i="5"/>
  <c r="AD729" i="5"/>
  <c r="AD724" i="5"/>
  <c r="AD716" i="5"/>
  <c r="AD708" i="5"/>
  <c r="AD701" i="5"/>
  <c r="AD699" i="5"/>
  <c r="AD697" i="5"/>
  <c r="AD661" i="5"/>
  <c r="AD655" i="5"/>
  <c r="AD651" i="5"/>
  <c r="AD643" i="5"/>
  <c r="AD635" i="5"/>
  <c r="AD630" i="5"/>
  <c r="AD622" i="5"/>
  <c r="AD615" i="5"/>
  <c r="AD610" i="5"/>
  <c r="AD602" i="5"/>
  <c r="AD1297" i="5"/>
  <c r="AD1292" i="5"/>
  <c r="AD1287" i="5"/>
  <c r="AD1280" i="5"/>
  <c r="AD1266" i="5"/>
  <c r="AD1259" i="5"/>
  <c r="AD1257" i="5"/>
  <c r="AD1252" i="5"/>
  <c r="AD1245" i="5"/>
  <c r="AD1238" i="5"/>
  <c r="AD1229" i="5"/>
  <c r="AD1224" i="5"/>
  <c r="AD1217" i="5"/>
  <c r="AD1203" i="5"/>
  <c r="AD1196" i="5"/>
  <c r="AD1191" i="5"/>
  <c r="AD1181" i="5"/>
  <c r="AD1174" i="5"/>
  <c r="AD1166" i="5"/>
  <c r="AD1161" i="5"/>
  <c r="AD1151" i="5"/>
  <c r="AD1146" i="5"/>
  <c r="AD1139" i="5"/>
  <c r="AD1122" i="5"/>
  <c r="AD1117" i="5"/>
  <c r="AD1109" i="5"/>
  <c r="AD1104" i="5"/>
  <c r="AD1099" i="5"/>
  <c r="AD1094" i="5"/>
  <c r="AD1089" i="5"/>
  <c r="AD1081" i="5"/>
  <c r="AD1077" i="5"/>
  <c r="AD1065" i="5"/>
  <c r="AD1060" i="5"/>
  <c r="AD1057" i="5"/>
  <c r="AD1050" i="5"/>
  <c r="AD1045" i="5"/>
  <c r="AD926" i="5"/>
  <c r="AD918" i="5"/>
  <c r="AD915" i="5"/>
  <c r="AD911" i="5"/>
  <c r="AD903" i="5"/>
  <c r="AD896" i="5"/>
  <c r="AD894" i="5"/>
  <c r="AD889" i="5"/>
  <c r="AD871" i="5"/>
  <c r="AD863" i="5"/>
  <c r="AD833" i="5"/>
  <c r="AD823" i="5"/>
  <c r="AD813" i="5"/>
  <c r="AD801" i="5"/>
  <c r="AD793" i="5"/>
  <c r="AD783" i="5"/>
  <c r="AD771" i="5"/>
  <c r="AD766" i="5"/>
  <c r="AD756" i="5"/>
  <c r="AD749" i="5"/>
  <c r="AD741" i="5"/>
  <c r="AD734" i="5"/>
  <c r="AD721" i="5"/>
  <c r="AD713" i="5"/>
  <c r="AD706" i="5"/>
  <c r="AD572" i="5"/>
  <c r="AD570" i="5"/>
  <c r="AD567" i="5"/>
  <c r="AD1030" i="5"/>
  <c r="AD1019" i="5"/>
  <c r="AD1009" i="5"/>
  <c r="AD1007" i="5"/>
  <c r="AD1005" i="5"/>
  <c r="AD1003" i="5"/>
  <c r="AD995" i="5"/>
  <c r="AD993" i="5"/>
  <c r="AD983" i="5"/>
  <c r="AD978" i="5"/>
  <c r="AD966" i="5"/>
  <c r="AD961" i="5"/>
  <c r="AD956" i="5"/>
  <c r="AD943" i="5"/>
  <c r="AD938" i="5"/>
  <c r="AD931" i="5"/>
  <c r="AD923" i="5"/>
  <c r="AD917" i="5"/>
  <c r="AD908" i="5"/>
  <c r="AD898" i="5"/>
  <c r="AD886" i="5"/>
  <c r="AD881" i="5"/>
  <c r="AD876" i="5"/>
  <c r="AD850" i="5"/>
  <c r="AD835" i="5"/>
  <c r="AD828" i="5"/>
  <c r="AD820" i="5"/>
  <c r="AD808" i="5"/>
  <c r="AD803" i="5"/>
  <c r="AD798" i="5"/>
  <c r="AD790" i="5"/>
  <c r="AD785" i="5"/>
  <c r="AD778" i="5"/>
  <c r="AD1299" i="5"/>
  <c r="AD1035" i="5"/>
  <c r="AD1025" i="5"/>
  <c r="AD1021" i="5"/>
  <c r="AD1016" i="5"/>
  <c r="AD1011" i="5"/>
  <c r="AD1008" i="5"/>
  <c r="AD1006" i="5"/>
  <c r="AD1004" i="5"/>
  <c r="AD1000" i="5"/>
  <c r="AD994" i="5"/>
  <c r="AD990" i="5"/>
  <c r="AD980" i="5"/>
  <c r="AD975" i="5"/>
  <c r="AD973" i="5"/>
  <c r="AD968" i="5"/>
  <c r="AD953" i="5"/>
  <c r="AD948" i="5"/>
  <c r="AD933" i="5"/>
  <c r="AD873" i="5"/>
  <c r="AD865" i="5"/>
  <c r="AD860" i="5"/>
  <c r="AD855" i="5"/>
  <c r="AD847" i="5"/>
  <c r="AD691" i="5"/>
  <c r="AD686" i="5"/>
  <c r="AD677" i="5"/>
  <c r="AD670" i="5"/>
  <c r="AD660" i="5"/>
  <c r="AD650" i="5"/>
  <c r="AD642" i="5"/>
  <c r="AD634" i="5"/>
  <c r="AD629" i="5"/>
  <c r="AD626" i="5"/>
  <c r="AD614" i="5"/>
  <c r="AD609" i="5"/>
  <c r="AD598" i="5"/>
  <c r="AD593" i="5"/>
  <c r="AD586" i="5"/>
  <c r="AD554" i="5"/>
  <c r="AD548" i="5"/>
  <c r="AD541" i="5"/>
  <c r="AD533" i="5"/>
  <c r="AD1296" i="5"/>
  <c r="AD1286" i="5"/>
  <c r="AD1279" i="5"/>
  <c r="AD1272" i="5"/>
  <c r="AD1265" i="5"/>
  <c r="AD1256" i="5"/>
  <c r="AD1242" i="5"/>
  <c r="AD1237" i="5"/>
  <c r="AD1235" i="5"/>
  <c r="AD1233" i="5"/>
  <c r="AD1228" i="5"/>
  <c r="AD1223" i="5"/>
  <c r="AD1216" i="5"/>
  <c r="AD1211" i="5"/>
  <c r="AD1202" i="5"/>
  <c r="AD1195" i="5"/>
  <c r="AD1190" i="5"/>
  <c r="AD1185" i="5"/>
  <c r="AD1178" i="5"/>
  <c r="AD1173" i="5"/>
  <c r="AD1165" i="5"/>
  <c r="AD1160" i="5"/>
  <c r="AD1143" i="5"/>
  <c r="AD1138" i="5"/>
  <c r="AD1131" i="5"/>
  <c r="AD1129" i="5"/>
  <c r="AD1121" i="5"/>
  <c r="AD1116" i="5"/>
  <c r="AD1108" i="5"/>
  <c r="AD1103" i="5"/>
  <c r="AD1098" i="5"/>
  <c r="AD1088" i="5"/>
  <c r="AD1076" i="5"/>
  <c r="AD1064" i="5"/>
  <c r="AD1059" i="5"/>
  <c r="AD1049" i="5"/>
  <c r="AD1044" i="5"/>
  <c r="AD1037" i="5"/>
  <c r="AD1032" i="5"/>
  <c r="AD1023" i="5"/>
  <c r="AD1013" i="5"/>
  <c r="AD997" i="5"/>
  <c r="AD985" i="5"/>
  <c r="AD970" i="5"/>
  <c r="AD963" i="5"/>
  <c r="AD958" i="5"/>
  <c r="AD950" i="5"/>
  <c r="AD945" i="5"/>
  <c r="AD940" i="5"/>
  <c r="AD935" i="5"/>
  <c r="AD925" i="5"/>
  <c r="AD910" i="5"/>
  <c r="AD902" i="5"/>
  <c r="AD888" i="5"/>
  <c r="AD870" i="5"/>
  <c r="AD862" i="5"/>
  <c r="AD765" i="5"/>
  <c r="AD755" i="5"/>
  <c r="AD752" i="5"/>
  <c r="AD748" i="5"/>
  <c r="AD740" i="5"/>
  <c r="AD737" i="5"/>
  <c r="AD733" i="5"/>
  <c r="AD728" i="5"/>
  <c r="AD720" i="5"/>
  <c r="AD712" i="5"/>
  <c r="AD705" i="5"/>
  <c r="AD700" i="5"/>
  <c r="AD698" i="5"/>
  <c r="AD693" i="5"/>
  <c r="AD688" i="5"/>
  <c r="AD681" i="5"/>
  <c r="AD679" i="5"/>
  <c r="AD674" i="5"/>
  <c r="AD672" i="5"/>
  <c r="AD667" i="5"/>
  <c r="AD657" i="5"/>
  <c r="AD654" i="5"/>
  <c r="AD647" i="5"/>
  <c r="AD639" i="5"/>
  <c r="AD633" i="5"/>
  <c r="AD628" i="5"/>
  <c r="AD624" i="5"/>
  <c r="AD619" i="5"/>
  <c r="AD606" i="5"/>
  <c r="AD561" i="5"/>
  <c r="AD1275" i="5"/>
  <c r="AD1268" i="5"/>
  <c r="AD1261" i="5"/>
  <c r="AD1254" i="5"/>
  <c r="AD1247" i="5"/>
  <c r="AD1240" i="5"/>
  <c r="AD1231" i="5"/>
  <c r="AD1219" i="5"/>
  <c r="AD1214" i="5"/>
  <c r="AD1200" i="5"/>
  <c r="AD1198" i="5"/>
  <c r="AD1193" i="5"/>
  <c r="AD1188" i="5"/>
  <c r="AD1176" i="5"/>
  <c r="AD1171" i="5"/>
  <c r="AD1156" i="5"/>
  <c r="AD597" i="5"/>
  <c r="AD566" i="5"/>
  <c r="AD1294" i="5"/>
  <c r="AD1289" i="5"/>
  <c r="AD1282" i="5"/>
  <c r="AD1277" i="5"/>
  <c r="AD1270" i="5"/>
  <c r="AD1263" i="5"/>
  <c r="AD1249" i="5"/>
  <c r="AD1226" i="5"/>
  <c r="AD1221" i="5"/>
  <c r="AD1205" i="5"/>
  <c r="AD1183" i="5"/>
  <c r="AD1168" i="5"/>
  <c r="AD1163" i="5"/>
  <c r="AD1158" i="5"/>
  <c r="AD1153" i="5"/>
  <c r="AD1148" i="5"/>
  <c r="AD1136" i="5"/>
  <c r="AD1124" i="5"/>
  <c r="AD1111" i="5"/>
  <c r="AD1101" i="5"/>
  <c r="AD1096" i="5"/>
  <c r="AD1091" i="5"/>
  <c r="AD1086" i="5"/>
  <c r="AD1079" i="5"/>
  <c r="AD1074" i="5"/>
  <c r="AD1069" i="5"/>
  <c r="AD1052" i="5"/>
  <c r="AD1042" i="5"/>
  <c r="AD1033" i="5"/>
  <c r="AD1024" i="5"/>
  <c r="AD1014" i="5"/>
  <c r="AD998" i="5"/>
  <c r="AD988" i="5"/>
  <c r="AD971" i="5"/>
  <c r="AD964" i="5"/>
  <c r="AD951" i="5"/>
  <c r="AD946" i="5"/>
  <c r="AD936" i="5"/>
  <c r="AD924" i="5"/>
  <c r="AD914" i="5"/>
  <c r="AD909" i="5"/>
  <c r="AD901" i="5"/>
  <c r="AD899" i="5"/>
  <c r="AD887" i="5"/>
  <c r="AD872" i="5"/>
  <c r="AD864" i="5"/>
  <c r="AD859" i="5"/>
  <c r="AD849" i="5"/>
  <c r="AD832" i="5"/>
  <c r="AD822" i="5"/>
  <c r="AD810" i="5"/>
  <c r="AD800" i="5"/>
  <c r="AD792" i="5"/>
  <c r="AD787" i="5"/>
  <c r="AD782" i="5"/>
  <c r="AD775" i="5"/>
  <c r="AD770" i="5"/>
  <c r="AD763" i="5"/>
  <c r="AD758" i="5"/>
  <c r="AD753" i="5"/>
  <c r="AD743" i="5"/>
  <c r="AD738" i="5"/>
  <c r="AD736" i="5"/>
  <c r="AD723" i="5"/>
  <c r="AD715" i="5"/>
  <c r="AD710" i="5"/>
  <c r="AD696" i="5"/>
  <c r="AD684" i="5"/>
  <c r="AD665" i="5"/>
  <c r="AD653" i="5"/>
  <c r="AD645" i="5"/>
  <c r="AD637" i="5"/>
  <c r="AD632" i="5"/>
  <c r="AD627" i="5"/>
  <c r="AD617" i="5"/>
  <c r="AD612" i="5"/>
  <c r="AD604" i="5"/>
  <c r="AD594" i="5"/>
  <c r="AD582" i="5"/>
  <c r="AD539" i="5"/>
  <c r="AD584" i="5"/>
  <c r="AD525" i="5"/>
  <c r="AD1215" i="5"/>
  <c r="AD1210" i="5"/>
  <c r="AD1208" i="5"/>
  <c r="AD1206" i="5"/>
  <c r="AD1201" i="5"/>
  <c r="AD1194" i="5"/>
  <c r="AD1189" i="5"/>
  <c r="AD1184" i="5"/>
  <c r="AD1177" i="5"/>
  <c r="AD1172" i="5"/>
  <c r="AD1164" i="5"/>
  <c r="AD1159" i="5"/>
  <c r="AD1142" i="5"/>
  <c r="AD1128" i="5"/>
  <c r="AD1120" i="5"/>
  <c r="AD1115" i="5"/>
  <c r="AD1107" i="5"/>
  <c r="AD1102" i="5"/>
  <c r="AD1085" i="5"/>
  <c r="AD1075" i="5"/>
  <c r="AD1073" i="5"/>
  <c r="AD1063" i="5"/>
  <c r="AD1056" i="5"/>
  <c r="AD1048" i="5"/>
  <c r="AD1043" i="5"/>
  <c r="AD1029" i="5"/>
  <c r="AD1027" i="5"/>
  <c r="AD1018" i="5"/>
  <c r="AD1002" i="5"/>
  <c r="AD992" i="5"/>
  <c r="AD987" i="5"/>
  <c r="AD982" i="5"/>
  <c r="AD977" i="5"/>
  <c r="AD965" i="5"/>
  <c r="AD960" i="5"/>
  <c r="AD955" i="5"/>
  <c r="AD942" i="5"/>
  <c r="AD937" i="5"/>
  <c r="AD928" i="5"/>
  <c r="AD920" i="5"/>
  <c r="AD913" i="5"/>
  <c r="AD905" i="5"/>
  <c r="AD900" i="5"/>
  <c r="AD891" i="5"/>
  <c r="AD883" i="5"/>
  <c r="AD878" i="5"/>
  <c r="AD868" i="5"/>
  <c r="AD858" i="5"/>
  <c r="AD853" i="5"/>
  <c r="AD845" i="5"/>
  <c r="AD838" i="5"/>
  <c r="AD826" i="5"/>
  <c r="AD816" i="5"/>
  <c r="AD811" i="5"/>
  <c r="AD806" i="5"/>
  <c r="AD796" i="5"/>
  <c r="AD781" i="5"/>
  <c r="AD776" i="5"/>
  <c r="AD769" i="5"/>
  <c r="AD762" i="5"/>
  <c r="AD747" i="5"/>
  <c r="AD732" i="5"/>
  <c r="AD727" i="5"/>
  <c r="AD719" i="5"/>
  <c r="AD709" i="5"/>
  <c r="AD704" i="5"/>
  <c r="AD690" i="5"/>
  <c r="AD685" i="5"/>
  <c r="AD676" i="5"/>
  <c r="AD669" i="5"/>
  <c r="AD664" i="5"/>
  <c r="AD659" i="5"/>
  <c r="AD649" i="5"/>
  <c r="AD641" i="5"/>
  <c r="AD621" i="5"/>
  <c r="AD613" i="5"/>
  <c r="AD608" i="5"/>
  <c r="AD559" i="5"/>
  <c r="AD596" i="5"/>
  <c r="AD589" i="5"/>
  <c r="AD579" i="5"/>
  <c r="AD568" i="5"/>
  <c r="AD563" i="5"/>
  <c r="AD553" i="5"/>
  <c r="AD538" i="5"/>
  <c r="AD530" i="5"/>
  <c r="AD522" i="5"/>
  <c r="AD509" i="5"/>
  <c r="AD550" i="5"/>
  <c r="AD543" i="5"/>
  <c r="AD535" i="5"/>
  <c r="AD527" i="5"/>
  <c r="AD519" i="5"/>
  <c r="AD500" i="5"/>
  <c r="AD498" i="5"/>
  <c r="AD485" i="5"/>
  <c r="AD483" i="5"/>
  <c r="AD478" i="5"/>
  <c r="AD600" i="5"/>
  <c r="AD581" i="5"/>
  <c r="AD574" i="5"/>
  <c r="AD565" i="5"/>
  <c r="AD560" i="5"/>
  <c r="AD555" i="5"/>
  <c r="AD540" i="5"/>
  <c r="AD532" i="5"/>
  <c r="AD524" i="5"/>
  <c r="AD516" i="5"/>
  <c r="AD511" i="5"/>
  <c r="AD489" i="5"/>
  <c r="AD1141" i="5"/>
  <c r="AD1134" i="5"/>
  <c r="AD1127" i="5"/>
  <c r="AD1119" i="5"/>
  <c r="AD1114" i="5"/>
  <c r="AD1106" i="5"/>
  <c r="AD1084" i="5"/>
  <c r="AD1072" i="5"/>
  <c r="AD1067" i="5"/>
  <c r="AD1062" i="5"/>
  <c r="AD1055" i="5"/>
  <c r="AD1047" i="5"/>
  <c r="AD1036" i="5"/>
  <c r="AD1017" i="5"/>
  <c r="AD1012" i="5"/>
  <c r="AD1001" i="5"/>
  <c r="AD991" i="5"/>
  <c r="AD986" i="5"/>
  <c r="AD981" i="5"/>
  <c r="AD976" i="5"/>
  <c r="AD959" i="5"/>
  <c r="AD954" i="5"/>
  <c r="AD941" i="5"/>
  <c r="AD927" i="5"/>
  <c r="AD919" i="5"/>
  <c r="AD912" i="5"/>
  <c r="AD904" i="5"/>
  <c r="AD897" i="5"/>
  <c r="AD890" i="5"/>
  <c r="AD882" i="5"/>
  <c r="AD877" i="5"/>
  <c r="AD867" i="5"/>
  <c r="AD857" i="5"/>
  <c r="AD852" i="5"/>
  <c r="AD844" i="5"/>
  <c r="AD837" i="5"/>
  <c r="AD830" i="5"/>
  <c r="AD825" i="5"/>
  <c r="AD815" i="5"/>
  <c r="AD805" i="5"/>
  <c r="AD795" i="5"/>
  <c r="AD780" i="5"/>
  <c r="AD773" i="5"/>
  <c r="AD768" i="5"/>
  <c r="AD761" i="5"/>
  <c r="AD751" i="5"/>
  <c r="AD746" i="5"/>
  <c r="AD731" i="5"/>
  <c r="AD726" i="5"/>
  <c r="AD718" i="5"/>
  <c r="AD703" i="5"/>
  <c r="AD689" i="5"/>
  <c r="AD682" i="5"/>
  <c r="AD675" i="5"/>
  <c r="AD668" i="5"/>
  <c r="AD663" i="5"/>
  <c r="AD658" i="5"/>
  <c r="AD648" i="5"/>
  <c r="AD640" i="5"/>
  <c r="AD625" i="5"/>
  <c r="AD620" i="5"/>
  <c r="AD607" i="5"/>
  <c r="AD595" i="5"/>
  <c r="AD588" i="5"/>
  <c r="AD578" i="5"/>
  <c r="AD552" i="5"/>
  <c r="AD547" i="5"/>
  <c r="AD537" i="5"/>
  <c r="AD529" i="5"/>
  <c r="AD521" i="5"/>
  <c r="AD508" i="5"/>
  <c r="AD493" i="5"/>
  <c r="AD491" i="5"/>
  <c r="AD480" i="5"/>
  <c r="AD475" i="5"/>
  <c r="AD557" i="5"/>
  <c r="AD549" i="5"/>
  <c r="AD542" i="5"/>
  <c r="AD534" i="5"/>
  <c r="AD526" i="5"/>
  <c r="AD518" i="5"/>
  <c r="AD513" i="5"/>
  <c r="AD497" i="5"/>
  <c r="AD482" i="5"/>
  <c r="AD477" i="5"/>
  <c r="AD531" i="5"/>
  <c r="AD523" i="5"/>
  <c r="AD515" i="5"/>
  <c r="AD510" i="5"/>
  <c r="AD501" i="5"/>
  <c r="AD499" i="5"/>
  <c r="AD484" i="5"/>
  <c r="AD462" i="5"/>
  <c r="AD587" i="5"/>
  <c r="AD577" i="5"/>
  <c r="AD551" i="5"/>
  <c r="AD544" i="5"/>
  <c r="AD536" i="5"/>
  <c r="AD528" i="5"/>
  <c r="AD520" i="5"/>
  <c r="AD507" i="5"/>
  <c r="AD505" i="5"/>
  <c r="AD479" i="5"/>
  <c r="AD517" i="5"/>
  <c r="AD512" i="5"/>
  <c r="AD492" i="5"/>
  <c r="AD490" i="5"/>
  <c r="AD476" i="5"/>
  <c r="AC418" i="5"/>
  <c r="C417" i="5"/>
  <c r="C415" i="5"/>
  <c r="AC412" i="5"/>
  <c r="AC410" i="5"/>
  <c r="C409" i="5"/>
  <c r="C407" i="5"/>
  <c r="AC404" i="5"/>
  <c r="AC440" i="5"/>
  <c r="AC438" i="5"/>
  <c r="AA436" i="5"/>
  <c r="AB436" i="5" s="1"/>
  <c r="AA434" i="5"/>
  <c r="AB434" i="5" s="1"/>
  <c r="AC432" i="5"/>
  <c r="AC430" i="5"/>
  <c r="AA428" i="5"/>
  <c r="AB428" i="5" s="1"/>
  <c r="AA426" i="5"/>
  <c r="AB426" i="5" s="1"/>
  <c r="AC424" i="5"/>
  <c r="AC422" i="5"/>
  <c r="AA420" i="5"/>
  <c r="AB420" i="5" s="1"/>
  <c r="AA440" i="5"/>
  <c r="AB440" i="5" s="1"/>
  <c r="AA438" i="5"/>
  <c r="AB438" i="5" s="1"/>
  <c r="C436" i="5"/>
  <c r="C434" i="5"/>
  <c r="AA432" i="5"/>
  <c r="AB432" i="5" s="1"/>
  <c r="AA430" i="5"/>
  <c r="AB430" i="5" s="1"/>
  <c r="C428" i="5"/>
  <c r="C426" i="5"/>
  <c r="AA424" i="5"/>
  <c r="AB424" i="5" s="1"/>
  <c r="AA422" i="5"/>
  <c r="AB422" i="5" s="1"/>
  <c r="C420" i="5"/>
  <c r="AA418" i="5"/>
  <c r="AB418" i="5" s="1"/>
  <c r="AC416" i="5"/>
  <c r="AC414" i="5"/>
  <c r="AA412" i="5"/>
  <c r="AB412" i="5" s="1"/>
  <c r="AA410" i="5"/>
  <c r="AB410" i="5" s="1"/>
  <c r="AC408" i="5"/>
  <c r="AC406" i="5"/>
  <c r="AA404" i="5"/>
  <c r="AB404" i="5" s="1"/>
  <c r="C440" i="5"/>
  <c r="C438" i="5"/>
  <c r="AC435" i="5"/>
  <c r="C432" i="5"/>
  <c r="C430" i="5"/>
  <c r="AC427" i="5"/>
  <c r="C424" i="5"/>
  <c r="C422" i="5"/>
  <c r="AC419" i="5"/>
  <c r="C418" i="5"/>
  <c r="AA416" i="5"/>
  <c r="AB416" i="5" s="1"/>
  <c r="AA414" i="5"/>
  <c r="AB414" i="5" s="1"/>
  <c r="C412" i="5"/>
  <c r="C410" i="5"/>
  <c r="AA408" i="5"/>
  <c r="AB408" i="5" s="1"/>
  <c r="AA406" i="5"/>
  <c r="AB406" i="5" s="1"/>
  <c r="C404" i="5"/>
  <c r="AC441" i="5"/>
  <c r="AC437" i="5"/>
  <c r="AC433" i="5"/>
  <c r="AC429" i="5"/>
  <c r="AC425" i="5"/>
  <c r="AC421" i="5"/>
  <c r="C416" i="5"/>
  <c r="C414" i="5"/>
  <c r="AC411" i="5"/>
  <c r="C408" i="5"/>
  <c r="C406" i="5"/>
  <c r="AC403" i="5"/>
  <c r="AC439" i="5"/>
  <c r="AA437" i="5"/>
  <c r="AB437" i="5" s="1"/>
  <c r="AA435" i="5"/>
  <c r="AB435" i="5" s="1"/>
  <c r="AC431" i="5"/>
  <c r="AA429" i="5"/>
  <c r="AB429" i="5" s="1"/>
  <c r="AA427" i="5"/>
  <c r="AB427" i="5" s="1"/>
  <c r="AC423" i="5"/>
  <c r="AA421" i="5"/>
  <c r="AB421" i="5" s="1"/>
  <c r="AA419" i="5"/>
  <c r="AB419" i="5" s="1"/>
  <c r="AC417" i="5"/>
  <c r="AC413" i="5"/>
  <c r="AC409" i="5"/>
  <c r="AC405" i="5"/>
  <c r="AA441" i="5"/>
  <c r="AB441" i="5" s="1"/>
  <c r="AA439" i="5"/>
  <c r="AB439" i="5" s="1"/>
  <c r="C437" i="5"/>
  <c r="C435" i="5"/>
  <c r="AA433" i="5"/>
  <c r="AB433" i="5" s="1"/>
  <c r="AA431" i="5"/>
  <c r="AB431" i="5" s="1"/>
  <c r="C429" i="5"/>
  <c r="C427" i="5"/>
  <c r="AA425" i="5"/>
  <c r="AB425" i="5" s="1"/>
  <c r="AA423" i="5"/>
  <c r="AB423" i="5" s="1"/>
  <c r="C421" i="5"/>
  <c r="C419" i="5"/>
  <c r="AC415" i="5"/>
  <c r="AA413" i="5"/>
  <c r="AB413" i="5" s="1"/>
  <c r="AA411" i="5"/>
  <c r="AB411" i="5" s="1"/>
  <c r="AC407" i="5"/>
  <c r="AA405" i="5"/>
  <c r="AB405" i="5" s="1"/>
  <c r="AA403" i="5"/>
  <c r="AB403" i="5" s="1"/>
  <c r="C441" i="5"/>
  <c r="C439" i="5"/>
  <c r="AC436" i="5"/>
  <c r="AC434" i="5"/>
  <c r="C433" i="5"/>
  <c r="C431" i="5"/>
  <c r="AC428" i="5"/>
  <c r="AC426" i="5"/>
  <c r="C425" i="5"/>
  <c r="C423" i="5"/>
  <c r="AC420" i="5"/>
  <c r="AA417" i="5"/>
  <c r="AB417" i="5" s="1"/>
  <c r="AA415" i="5"/>
  <c r="AB415" i="5" s="1"/>
  <c r="C413" i="5"/>
  <c r="C411" i="5"/>
  <c r="AA409" i="5"/>
  <c r="AB409" i="5" s="1"/>
  <c r="AA407" i="5"/>
  <c r="AB407" i="5" s="1"/>
  <c r="C405" i="5"/>
  <c r="Z720" i="3"/>
  <c r="Z717" i="3"/>
  <c r="Z714" i="3"/>
  <c r="Z723" i="3"/>
  <c r="Z721" i="3"/>
  <c r="Z718" i="3"/>
  <c r="Z715" i="3"/>
  <c r="Z708" i="3"/>
  <c r="Z712" i="3"/>
  <c r="Z704" i="3"/>
  <c r="Z709" i="3"/>
  <c r="Z706" i="3"/>
  <c r="Z703" i="3"/>
  <c r="Z696" i="3"/>
  <c r="Z688" i="3"/>
  <c r="Z701" i="3"/>
  <c r="AD463" i="5" s="1"/>
  <c r="Z694" i="3"/>
  <c r="Z713" i="3"/>
  <c r="Z710" i="3"/>
  <c r="Z707" i="3"/>
  <c r="Z700" i="3"/>
  <c r="AD461" i="5" s="1"/>
  <c r="Z692" i="3"/>
  <c r="Z705" i="3"/>
  <c r="Z702" i="3"/>
  <c r="Z644" i="3"/>
  <c r="C400" i="5"/>
  <c r="AA402" i="5"/>
  <c r="AB402" i="5" s="1"/>
  <c r="AA400" i="5"/>
  <c r="AB400" i="5" s="1"/>
  <c r="AC402" i="5"/>
  <c r="C402" i="5"/>
  <c r="Z697" i="3"/>
  <c r="Z689" i="3"/>
  <c r="Z681" i="3"/>
  <c r="Z673" i="3"/>
  <c r="Z665" i="3"/>
  <c r="Z657" i="3"/>
  <c r="Z654" i="3"/>
  <c r="Z646" i="3"/>
  <c r="Z643" i="3"/>
  <c r="AA401" i="5"/>
  <c r="AB401" i="5" s="1"/>
  <c r="Z652" i="3"/>
  <c r="Z641" i="3"/>
  <c r="C401" i="5"/>
  <c r="Z698" i="3"/>
  <c r="AD473" i="5" s="1"/>
  <c r="Z690" i="3"/>
  <c r="Z682" i="3"/>
  <c r="Z674" i="3"/>
  <c r="Z666" i="3"/>
  <c r="AD468" i="5" s="1"/>
  <c r="Z658" i="3"/>
  <c r="Z655" i="3"/>
  <c r="Z647" i="3"/>
  <c r="AC401" i="5"/>
  <c r="AC400" i="5"/>
  <c r="Z693" i="3"/>
  <c r="Z685" i="3"/>
  <c r="Z677" i="3"/>
  <c r="Z669" i="3"/>
  <c r="Z661" i="3"/>
  <c r="Z650" i="3"/>
  <c r="Z639" i="3"/>
  <c r="Z699" i="3"/>
  <c r="Z691" i="3"/>
  <c r="Z683" i="3"/>
  <c r="Z675" i="3"/>
  <c r="Z667" i="3"/>
  <c r="Z659" i="3"/>
  <c r="Z648" i="3"/>
  <c r="C396" i="5"/>
  <c r="AC398" i="5"/>
  <c r="AA396" i="5"/>
  <c r="AB396" i="5" s="1"/>
  <c r="C399" i="5"/>
  <c r="AC396" i="5"/>
  <c r="AA399" i="5"/>
  <c r="AB399" i="5" s="1"/>
  <c r="C397" i="5"/>
  <c r="AC399" i="5"/>
  <c r="AA397" i="5"/>
  <c r="AB397" i="5" s="1"/>
  <c r="AC397" i="5"/>
  <c r="C398" i="5"/>
  <c r="AA398" i="5"/>
  <c r="AB398" i="5" s="1"/>
  <c r="Z635" i="3"/>
  <c r="Z633" i="3"/>
  <c r="Z636" i="3"/>
  <c r="Z634" i="3"/>
  <c r="Z637" i="3"/>
  <c r="Z629" i="3"/>
  <c r="Z632" i="3"/>
  <c r="C390" i="5"/>
  <c r="AA392" i="5"/>
  <c r="AB392" i="5" s="1"/>
  <c r="AC394" i="5"/>
  <c r="AA388" i="5"/>
  <c r="AB388" i="5" s="1"/>
  <c r="AC392" i="5"/>
  <c r="AA395" i="5"/>
  <c r="AB395" i="5" s="1"/>
  <c r="AC390" i="5"/>
  <c r="AA394" i="5"/>
  <c r="AB394" i="5" s="1"/>
  <c r="C392" i="5"/>
  <c r="AC389" i="5"/>
  <c r="Z627" i="3"/>
  <c r="Z619" i="3"/>
  <c r="AA393" i="5"/>
  <c r="AB393" i="5" s="1"/>
  <c r="AA391" i="5"/>
  <c r="AB391" i="5" s="1"/>
  <c r="C389" i="5"/>
  <c r="Z628" i="3"/>
  <c r="Z620" i="3"/>
  <c r="AC391" i="5"/>
  <c r="AC393" i="5"/>
  <c r="AA389" i="5"/>
  <c r="AB389" i="5" s="1"/>
  <c r="AC395" i="5"/>
  <c r="C393" i="5"/>
  <c r="C391" i="5"/>
  <c r="AC388" i="5"/>
  <c r="Z623" i="3"/>
  <c r="C394" i="5"/>
  <c r="C395" i="5"/>
  <c r="AA390" i="5"/>
  <c r="AB390" i="5" s="1"/>
  <c r="C388" i="5"/>
  <c r="Z621" i="3"/>
  <c r="Z616" i="3"/>
  <c r="Z612" i="3"/>
  <c r="Z600" i="3"/>
  <c r="Z609" i="3"/>
  <c r="Z606" i="3"/>
  <c r="Z615" i="3"/>
  <c r="Z613" i="3"/>
  <c r="Z610" i="3"/>
  <c r="Z607" i="3"/>
  <c r="Z605" i="3"/>
  <c r="Z602" i="3"/>
  <c r="Z603" i="3"/>
  <c r="Z596" i="3"/>
  <c r="Z599" i="3"/>
  <c r="Z595" i="3"/>
  <c r="Z593" i="3"/>
  <c r="A2" i="5"/>
  <c r="C2" i="5" s="1"/>
  <c r="C380" i="5"/>
  <c r="AC383" i="5"/>
  <c r="C386" i="5"/>
  <c r="AA380" i="5"/>
  <c r="AB380" i="5" s="1"/>
  <c r="C382" i="5"/>
  <c r="C384" i="5"/>
  <c r="AA386" i="5"/>
  <c r="AB386" i="5" s="1"/>
  <c r="AC380" i="5"/>
  <c r="AA382" i="5"/>
  <c r="AB382" i="5" s="1"/>
  <c r="AA384" i="5"/>
  <c r="AB384" i="5" s="1"/>
  <c r="AC386" i="5"/>
  <c r="C387" i="5"/>
  <c r="AA379" i="5"/>
  <c r="AB379" i="5" s="1"/>
  <c r="C381" i="5"/>
  <c r="AC382" i="5"/>
  <c r="AC384" i="5"/>
  <c r="AA387" i="5"/>
  <c r="AB387" i="5" s="1"/>
  <c r="AC379" i="5"/>
  <c r="AA381" i="5"/>
  <c r="AB381" i="5" s="1"/>
  <c r="C383" i="5"/>
  <c r="C385" i="5"/>
  <c r="AC387" i="5"/>
  <c r="AA383" i="5"/>
  <c r="AB383" i="5" s="1"/>
  <c r="AA385" i="5"/>
  <c r="AB385" i="5" s="1"/>
  <c r="C378" i="5"/>
  <c r="AA378" i="5"/>
  <c r="AB378" i="5" s="1"/>
  <c r="AC378" i="5"/>
  <c r="C379" i="5"/>
  <c r="AC385" i="5"/>
  <c r="AC381" i="5"/>
  <c r="AA377" i="5"/>
  <c r="AB377" i="5" s="1"/>
  <c r="C377" i="5"/>
  <c r="AC377" i="5"/>
  <c r="G579" i="3"/>
  <c r="G576" i="3"/>
  <c r="G581" i="3"/>
  <c r="X589" i="3"/>
  <c r="Z589" i="3" s="1"/>
  <c r="G574" i="3"/>
  <c r="X577" i="3"/>
  <c r="Z577" i="3" s="1"/>
  <c r="G577" i="3"/>
  <c r="X575" i="3"/>
  <c r="Z575" i="3" s="1"/>
  <c r="G591" i="3"/>
  <c r="G584" i="3"/>
  <c r="X582" i="3"/>
  <c r="Z582" i="3" s="1"/>
  <c r="X592" i="3"/>
  <c r="Z592" i="3" s="1"/>
  <c r="G578" i="3"/>
  <c r="X576" i="3"/>
  <c r="Z576" i="3" s="1"/>
  <c r="X574" i="3"/>
  <c r="Z574" i="3" s="1"/>
  <c r="X585" i="3"/>
  <c r="Z585" i="3" s="1"/>
  <c r="X583" i="3"/>
  <c r="Z583" i="3" s="1"/>
  <c r="X579" i="3"/>
  <c r="Z579" i="3" s="1"/>
  <c r="Z568" i="3"/>
  <c r="Z571" i="3"/>
  <c r="C374" i="5"/>
  <c r="C372" i="5"/>
  <c r="AA370" i="5"/>
  <c r="AB370" i="5" s="1"/>
  <c r="AA376" i="5"/>
  <c r="AB376" i="5" s="1"/>
  <c r="AC373" i="5"/>
  <c r="C370" i="5"/>
  <c r="C376" i="5"/>
  <c r="AC371" i="5"/>
  <c r="AC369" i="5"/>
  <c r="AC375" i="5"/>
  <c r="AA373" i="5"/>
  <c r="AB373" i="5" s="1"/>
  <c r="AC374" i="5"/>
  <c r="AC370" i="5"/>
  <c r="AC376" i="5"/>
  <c r="AA374" i="5"/>
  <c r="AB374" i="5" s="1"/>
  <c r="AA372" i="5"/>
  <c r="AB372" i="5" s="1"/>
  <c r="AA375" i="5"/>
  <c r="AB375" i="5" s="1"/>
  <c r="C373" i="5"/>
  <c r="AA371" i="5"/>
  <c r="AB371" i="5" s="1"/>
  <c r="AA369" i="5"/>
  <c r="AB369" i="5" s="1"/>
  <c r="C375" i="5"/>
  <c r="AC372" i="5"/>
  <c r="C371" i="5"/>
  <c r="C369" i="5"/>
  <c r="Z562" i="3"/>
  <c r="AA368" i="5"/>
  <c r="AB368" i="5" s="1"/>
  <c r="AC368" i="5"/>
  <c r="C368" i="5"/>
  <c r="AA365" i="5"/>
  <c r="AB365" i="5" s="1"/>
  <c r="AC366" i="5"/>
  <c r="C364" i="5"/>
  <c r="AA366" i="5"/>
  <c r="AB366" i="5" s="1"/>
  <c r="AA363" i="5"/>
  <c r="AB363" i="5" s="1"/>
  <c r="C363" i="5"/>
  <c r="AC365" i="5"/>
  <c r="AC362" i="5"/>
  <c r="C362" i="5"/>
  <c r="AA362" i="5"/>
  <c r="AB362" i="5" s="1"/>
  <c r="C361" i="5"/>
  <c r="AC367" i="5"/>
  <c r="AC364" i="5"/>
  <c r="AA364" i="5"/>
  <c r="AB364" i="5" s="1"/>
  <c r="C366" i="5"/>
  <c r="C367" i="5"/>
  <c r="AA367" i="5"/>
  <c r="AB367" i="5" s="1"/>
  <c r="AC363" i="5"/>
  <c r="C365" i="5"/>
  <c r="Z550" i="3"/>
  <c r="Z548" i="3"/>
  <c r="Z546" i="3"/>
  <c r="Z549" i="3"/>
  <c r="Z547" i="3"/>
  <c r="Z555" i="3"/>
  <c r="X580" i="3"/>
  <c r="Z580" i="3" s="1"/>
  <c r="X569" i="3"/>
  <c r="Z569" i="3" s="1"/>
  <c r="X565" i="3"/>
  <c r="Z565" i="3" s="1"/>
  <c r="X563" i="3"/>
  <c r="Z563" i="3" s="1"/>
  <c r="X559" i="3"/>
  <c r="Z559" i="3" s="1"/>
  <c r="G590" i="3"/>
  <c r="G582" i="3"/>
  <c r="G571" i="3"/>
  <c r="G588" i="3"/>
  <c r="X586" i="3"/>
  <c r="Z586" i="3" s="1"/>
  <c r="G573" i="3"/>
  <c r="G564" i="3"/>
  <c r="X560" i="3"/>
  <c r="Z560" i="3" s="1"/>
  <c r="X553" i="3"/>
  <c r="Z553" i="3" s="1"/>
  <c r="G552" i="3"/>
  <c r="G557" i="3"/>
  <c r="X588" i="3"/>
  <c r="Z588" i="3" s="1"/>
  <c r="G585" i="3"/>
  <c r="G580" i="3"/>
  <c r="X573" i="3"/>
  <c r="Z573" i="3" s="1"/>
  <c r="G570" i="3"/>
  <c r="X566" i="3"/>
  <c r="Z566" i="3" s="1"/>
  <c r="G559" i="3"/>
  <c r="X557" i="3"/>
  <c r="Z557" i="3" s="1"/>
  <c r="G592" i="3"/>
  <c r="G589" i="3"/>
  <c r="X587" i="3"/>
  <c r="Z587" i="3" s="1"/>
  <c r="G586" i="3"/>
  <c r="X584" i="3"/>
  <c r="Z584" i="3" s="1"/>
  <c r="X581" i="3"/>
  <c r="Z581" i="3" s="1"/>
  <c r="X578" i="3"/>
  <c r="Z578" i="3" s="1"/>
  <c r="G563" i="3"/>
  <c r="X554" i="3"/>
  <c r="Z554" i="3" s="1"/>
  <c r="X551" i="3"/>
  <c r="Z551" i="3" s="1"/>
  <c r="X590" i="3"/>
  <c r="Z590" i="3" s="1"/>
  <c r="G575" i="3"/>
  <c r="G572" i="3"/>
  <c r="G569" i="3"/>
  <c r="X567" i="3"/>
  <c r="Z567" i="3" s="1"/>
  <c r="G566" i="3"/>
  <c r="X564" i="3"/>
  <c r="Z564" i="3" s="1"/>
  <c r="X561" i="3"/>
  <c r="Z561" i="3" s="1"/>
  <c r="G560" i="3"/>
  <c r="Z543" i="3"/>
  <c r="Z541" i="3"/>
  <c r="Z539" i="3"/>
  <c r="Z507" i="3"/>
  <c r="Z505" i="3"/>
  <c r="Z535" i="3"/>
  <c r="Z533" i="3"/>
  <c r="Z531" i="3"/>
  <c r="Z527" i="3"/>
  <c r="Z525" i="3"/>
  <c r="Z523" i="3"/>
  <c r="Z519" i="3"/>
  <c r="Z522" i="3"/>
  <c r="Z537" i="3"/>
  <c r="Z508" i="3"/>
  <c r="Z517" i="3"/>
  <c r="Z515" i="3"/>
  <c r="Z511" i="3"/>
  <c r="Z529" i="3"/>
  <c r="Z514" i="3"/>
  <c r="Z521" i="3"/>
  <c r="Z506" i="3"/>
  <c r="Z504" i="3"/>
  <c r="Z545" i="3"/>
  <c r="Z530" i="3"/>
  <c r="Z513" i="3"/>
  <c r="C357" i="5"/>
  <c r="C341" i="5"/>
  <c r="C325" i="5"/>
  <c r="C309" i="5"/>
  <c r="C293" i="5"/>
  <c r="C277" i="5"/>
  <c r="C261" i="5"/>
  <c r="C245" i="5"/>
  <c r="C227" i="5"/>
  <c r="C205" i="5"/>
  <c r="C186" i="5"/>
  <c r="C155" i="5"/>
  <c r="C123" i="5"/>
  <c r="C91" i="5"/>
  <c r="C59" i="5"/>
  <c r="C27" i="5"/>
  <c r="C355" i="5"/>
  <c r="C339" i="5"/>
  <c r="C323" i="5"/>
  <c r="C307" i="5"/>
  <c r="C291" i="5"/>
  <c r="C275" i="5"/>
  <c r="C259" i="5"/>
  <c r="C243" i="5"/>
  <c r="C226" i="5"/>
  <c r="C203" i="5"/>
  <c r="C181" i="5"/>
  <c r="C154" i="5"/>
  <c r="C122" i="5"/>
  <c r="C90" i="5"/>
  <c r="C58" i="5"/>
  <c r="C26" i="5"/>
  <c r="C329" i="5"/>
  <c r="C229" i="5"/>
  <c r="C98" i="5"/>
  <c r="C115" i="5"/>
  <c r="C353" i="5"/>
  <c r="C337" i="5"/>
  <c r="C321" i="5"/>
  <c r="C305" i="5"/>
  <c r="C289" i="5"/>
  <c r="C273" i="5"/>
  <c r="C257" i="5"/>
  <c r="C237" i="5"/>
  <c r="C219" i="5"/>
  <c r="C197" i="5"/>
  <c r="C178" i="5"/>
  <c r="C146" i="5"/>
  <c r="C114" i="5"/>
  <c r="C82" i="5"/>
  <c r="C50" i="5"/>
  <c r="C18" i="5"/>
  <c r="C345" i="5"/>
  <c r="C297" i="5"/>
  <c r="C265" i="5"/>
  <c r="C187" i="5"/>
  <c r="C130" i="5"/>
  <c r="C34" i="5"/>
  <c r="C322" i="5"/>
  <c r="C274" i="5"/>
  <c r="C258" i="5"/>
  <c r="C221" i="5"/>
  <c r="C202" i="5"/>
  <c r="C147" i="5"/>
  <c r="C19" i="5"/>
  <c r="C349" i="5"/>
  <c r="C333" i="5"/>
  <c r="C317" i="5"/>
  <c r="C301" i="5"/>
  <c r="C285" i="5"/>
  <c r="C269" i="5"/>
  <c r="C253" i="5"/>
  <c r="C235" i="5"/>
  <c r="C218" i="5"/>
  <c r="C195" i="5"/>
  <c r="C171" i="5"/>
  <c r="C139" i="5"/>
  <c r="C107" i="5"/>
  <c r="C75" i="5"/>
  <c r="C43" i="5"/>
  <c r="C11" i="5"/>
  <c r="C354" i="5"/>
  <c r="C306" i="5"/>
  <c r="C242" i="5"/>
  <c r="C83" i="5"/>
  <c r="C347" i="5"/>
  <c r="C331" i="5"/>
  <c r="C315" i="5"/>
  <c r="C299" i="5"/>
  <c r="C283" i="5"/>
  <c r="C267" i="5"/>
  <c r="C251" i="5"/>
  <c r="C234" i="5"/>
  <c r="C213" i="5"/>
  <c r="C194" i="5"/>
  <c r="C170" i="5"/>
  <c r="C138" i="5"/>
  <c r="C106" i="5"/>
  <c r="C74" i="5"/>
  <c r="C42" i="5"/>
  <c r="C10" i="5"/>
  <c r="C313" i="5"/>
  <c r="C281" i="5"/>
  <c r="C249" i="5"/>
  <c r="C210" i="5"/>
  <c r="C162" i="5"/>
  <c r="C66" i="5"/>
  <c r="C338" i="5"/>
  <c r="C290" i="5"/>
  <c r="C179" i="5"/>
  <c r="C51" i="5"/>
  <c r="C346" i="5"/>
  <c r="C330" i="5"/>
  <c r="C314" i="5"/>
  <c r="C298" i="5"/>
  <c r="C282" i="5"/>
  <c r="C266" i="5"/>
  <c r="C250" i="5"/>
  <c r="C233" i="5"/>
  <c r="C211" i="5"/>
  <c r="C189" i="5"/>
  <c r="C163" i="5"/>
  <c r="C131" i="5"/>
  <c r="C99" i="5"/>
  <c r="C67" i="5"/>
  <c r="C35" i="5"/>
  <c r="C3" i="5"/>
  <c r="C360" i="5"/>
  <c r="C352" i="5"/>
  <c r="C344" i="5"/>
  <c r="C336" i="5"/>
  <c r="C328" i="5"/>
  <c r="C320" i="5"/>
  <c r="C312" i="5"/>
  <c r="C304" i="5"/>
  <c r="C296" i="5"/>
  <c r="C288" i="5"/>
  <c r="C280" i="5"/>
  <c r="C272" i="5"/>
  <c r="C264" i="5"/>
  <c r="C256" i="5"/>
  <c r="C248" i="5"/>
  <c r="C240" i="5"/>
  <c r="C232" i="5"/>
  <c r="C224" i="5"/>
  <c r="C216" i="5"/>
  <c r="C208" i="5"/>
  <c r="C200" i="5"/>
  <c r="C192" i="5"/>
  <c r="C184" i="5"/>
  <c r="C176" i="5"/>
  <c r="C168" i="5"/>
  <c r="C160" i="5"/>
  <c r="C152" i="5"/>
  <c r="C144" i="5"/>
  <c r="C136" i="5"/>
  <c r="C128" i="5"/>
  <c r="C120" i="5"/>
  <c r="C112" i="5"/>
  <c r="C104" i="5"/>
  <c r="C96" i="5"/>
  <c r="C88" i="5"/>
  <c r="C80" i="5"/>
  <c r="C72" i="5"/>
  <c r="C64" i="5"/>
  <c r="C56" i="5"/>
  <c r="C48" i="5"/>
  <c r="C40" i="5"/>
  <c r="C32" i="5"/>
  <c r="C24" i="5"/>
  <c r="C16" i="5"/>
  <c r="C8" i="5"/>
  <c r="C241" i="5"/>
  <c r="C225" i="5"/>
  <c r="C201" i="5"/>
  <c r="C193" i="5"/>
  <c r="C177" i="5"/>
  <c r="C153" i="5"/>
  <c r="C137" i="5"/>
  <c r="C121" i="5"/>
  <c r="C89" i="5"/>
  <c r="C65" i="5"/>
  <c r="C49" i="5"/>
  <c r="C33" i="5"/>
  <c r="C17" i="5"/>
  <c r="AA9" i="5"/>
  <c r="AB9" i="5" s="1"/>
  <c r="C359" i="5"/>
  <c r="C351" i="5"/>
  <c r="C343" i="5"/>
  <c r="C335" i="5"/>
  <c r="C327" i="5"/>
  <c r="C319" i="5"/>
  <c r="C311" i="5"/>
  <c r="C303" i="5"/>
  <c r="C295" i="5"/>
  <c r="C287" i="5"/>
  <c r="C279" i="5"/>
  <c r="C271" i="5"/>
  <c r="C263" i="5"/>
  <c r="C255" i="5"/>
  <c r="C247" i="5"/>
  <c r="C239" i="5"/>
  <c r="C231" i="5"/>
  <c r="C223" i="5"/>
  <c r="C215" i="5"/>
  <c r="C207" i="5"/>
  <c r="C199" i="5"/>
  <c r="C191" i="5"/>
  <c r="C183" i="5"/>
  <c r="C175" i="5"/>
  <c r="C167" i="5"/>
  <c r="C159" i="5"/>
  <c r="C151" i="5"/>
  <c r="C143" i="5"/>
  <c r="C135" i="5"/>
  <c r="C127" i="5"/>
  <c r="C119" i="5"/>
  <c r="C111" i="5"/>
  <c r="C103" i="5"/>
  <c r="C95" i="5"/>
  <c r="C87" i="5"/>
  <c r="C79" i="5"/>
  <c r="C71" i="5"/>
  <c r="C63" i="5"/>
  <c r="C55" i="5"/>
  <c r="C47" i="5"/>
  <c r="C39" i="5"/>
  <c r="C31" i="5"/>
  <c r="C23" i="5"/>
  <c r="C15" i="5"/>
  <c r="C7" i="5"/>
  <c r="C217" i="5"/>
  <c r="C209" i="5"/>
  <c r="C185" i="5"/>
  <c r="C169" i="5"/>
  <c r="C161" i="5"/>
  <c r="C145" i="5"/>
  <c r="C129" i="5"/>
  <c r="C113" i="5"/>
  <c r="C105" i="5"/>
  <c r="C97" i="5"/>
  <c r="C81" i="5"/>
  <c r="C73" i="5"/>
  <c r="C57" i="5"/>
  <c r="C41" i="5"/>
  <c r="C25" i="5"/>
  <c r="C9" i="5"/>
  <c r="C358" i="5"/>
  <c r="C350" i="5"/>
  <c r="C342" i="5"/>
  <c r="C334" i="5"/>
  <c r="C326" i="5"/>
  <c r="C318" i="5"/>
  <c r="C310" i="5"/>
  <c r="C302" i="5"/>
  <c r="C294" i="5"/>
  <c r="C286" i="5"/>
  <c r="C278" i="5"/>
  <c r="C270" i="5"/>
  <c r="C262" i="5"/>
  <c r="C254" i="5"/>
  <c r="C246" i="5"/>
  <c r="C238" i="5"/>
  <c r="C230" i="5"/>
  <c r="C222" i="5"/>
  <c r="C214" i="5"/>
  <c r="C206" i="5"/>
  <c r="C198" i="5"/>
  <c r="C190" i="5"/>
  <c r="C182" i="5"/>
  <c r="C174" i="5"/>
  <c r="C166" i="5"/>
  <c r="C158" i="5"/>
  <c r="C150" i="5"/>
  <c r="C142" i="5"/>
  <c r="C134" i="5"/>
  <c r="C126" i="5"/>
  <c r="C118" i="5"/>
  <c r="C110" i="5"/>
  <c r="C102" i="5"/>
  <c r="C94" i="5"/>
  <c r="C86" i="5"/>
  <c r="C78" i="5"/>
  <c r="C70" i="5"/>
  <c r="C62" i="5"/>
  <c r="C54" i="5"/>
  <c r="C46" i="5"/>
  <c r="C38" i="5"/>
  <c r="C30" i="5"/>
  <c r="C22" i="5"/>
  <c r="C14" i="5"/>
  <c r="C6" i="5"/>
  <c r="C165" i="5"/>
  <c r="C149" i="5"/>
  <c r="C133" i="5"/>
  <c r="C117" i="5"/>
  <c r="C85" i="5"/>
  <c r="C69" i="5"/>
  <c r="C53" i="5"/>
  <c r="C37" i="5"/>
  <c r="C13" i="5"/>
  <c r="C173" i="5"/>
  <c r="C157" i="5"/>
  <c r="C141" i="5"/>
  <c r="C125" i="5"/>
  <c r="C109" i="5"/>
  <c r="C101" i="5"/>
  <c r="C93" i="5"/>
  <c r="C77" i="5"/>
  <c r="C61" i="5"/>
  <c r="C45" i="5"/>
  <c r="C29" i="5"/>
  <c r="C21" i="5"/>
  <c r="C5" i="5"/>
  <c r="C356" i="5"/>
  <c r="C348" i="5"/>
  <c r="C340" i="5"/>
  <c r="C332" i="5"/>
  <c r="C324" i="5"/>
  <c r="C316" i="5"/>
  <c r="C308" i="5"/>
  <c r="C300" i="5"/>
  <c r="C292" i="5"/>
  <c r="C284" i="5"/>
  <c r="C276" i="5"/>
  <c r="C268" i="5"/>
  <c r="C260" i="5"/>
  <c r="C252" i="5"/>
  <c r="C244" i="5"/>
  <c r="C236" i="5"/>
  <c r="C228" i="5"/>
  <c r="C220" i="5"/>
  <c r="C212" i="5"/>
  <c r="C204" i="5"/>
  <c r="C196" i="5"/>
  <c r="C188" i="5"/>
  <c r="C180" i="5"/>
  <c r="C172" i="5"/>
  <c r="C164" i="5"/>
  <c r="C156" i="5"/>
  <c r="C148" i="5"/>
  <c r="C140" i="5"/>
  <c r="C132" i="5"/>
  <c r="C124" i="5"/>
  <c r="C116" i="5"/>
  <c r="C108" i="5"/>
  <c r="C100" i="5"/>
  <c r="C92" i="5"/>
  <c r="C84" i="5"/>
  <c r="C76" i="5"/>
  <c r="C68" i="5"/>
  <c r="C60" i="5"/>
  <c r="C52" i="5"/>
  <c r="C44" i="5"/>
  <c r="C36" i="5"/>
  <c r="C28" i="5"/>
  <c r="C20" i="5"/>
  <c r="C12" i="5"/>
  <c r="C4" i="5"/>
  <c r="Z302" i="3"/>
  <c r="Z298" i="3"/>
  <c r="Z294" i="3"/>
  <c r="Z290" i="3"/>
  <c r="Z286" i="3"/>
  <c r="Z282" i="3"/>
  <c r="Z278" i="3"/>
  <c r="Z274" i="3"/>
  <c r="Z270" i="3"/>
  <c r="Z266" i="3"/>
  <c r="Z262" i="3"/>
  <c r="Z258" i="3"/>
  <c r="Z254" i="3"/>
  <c r="Z250" i="3"/>
  <c r="Z246" i="3"/>
  <c r="Z242" i="3"/>
  <c r="Z238" i="3"/>
  <c r="Z234" i="3"/>
  <c r="Z379" i="3"/>
  <c r="AD466" i="5" s="1"/>
  <c r="Z375" i="3"/>
  <c r="Z371" i="3"/>
  <c r="Z462" i="3"/>
  <c r="Z475" i="3"/>
  <c r="Z544" i="3"/>
  <c r="Z528" i="3"/>
  <c r="Z512" i="3"/>
  <c r="AC361" i="5"/>
  <c r="AC357" i="5"/>
  <c r="AC353" i="5"/>
  <c r="AC349" i="5"/>
  <c r="AC345" i="5"/>
  <c r="AA341" i="5"/>
  <c r="AB341" i="5" s="1"/>
  <c r="AC335" i="5"/>
  <c r="AC330" i="5"/>
  <c r="AA325" i="5"/>
  <c r="AB325" i="5" s="1"/>
  <c r="AC319" i="5"/>
  <c r="AC314" i="5"/>
  <c r="AA309" i="5"/>
  <c r="AB309" i="5" s="1"/>
  <c r="AC303" i="5"/>
  <c r="AC298" i="5"/>
  <c r="AA293" i="5"/>
  <c r="AB293" i="5" s="1"/>
  <c r="AC287" i="5"/>
  <c r="AC282" i="5"/>
  <c r="AA277" i="5"/>
  <c r="AB277" i="5" s="1"/>
  <c r="AC270" i="5"/>
  <c r="AC263" i="5"/>
  <c r="AA258" i="5"/>
  <c r="AB258" i="5" s="1"/>
  <c r="AA251" i="5"/>
  <c r="AB251" i="5" s="1"/>
  <c r="AA245" i="5"/>
  <c r="AB245" i="5" s="1"/>
  <c r="AC238" i="5"/>
  <c r="AC231" i="5"/>
  <c r="AA226" i="5"/>
  <c r="AB226" i="5" s="1"/>
  <c r="AA219" i="5"/>
  <c r="AB219" i="5" s="1"/>
  <c r="AA213" i="5"/>
  <c r="AB213" i="5" s="1"/>
  <c r="AC206" i="5"/>
  <c r="AC199" i="5"/>
  <c r="AA194" i="5"/>
  <c r="AB194" i="5" s="1"/>
  <c r="AA187" i="5"/>
  <c r="AB187" i="5" s="1"/>
  <c r="AA181" i="5"/>
  <c r="AB181" i="5" s="1"/>
  <c r="AC174" i="5"/>
  <c r="AC167" i="5"/>
  <c r="AA162" i="5"/>
  <c r="AB162" i="5" s="1"/>
  <c r="AA155" i="5"/>
  <c r="AB155" i="5" s="1"/>
  <c r="AA149" i="5"/>
  <c r="AB149" i="5" s="1"/>
  <c r="AA141" i="5"/>
  <c r="AB141" i="5" s="1"/>
  <c r="AA133" i="5"/>
  <c r="AB133" i="5" s="1"/>
  <c r="AA125" i="5"/>
  <c r="AB125" i="5" s="1"/>
  <c r="AA117" i="5"/>
  <c r="AB117" i="5" s="1"/>
  <c r="AA109" i="5"/>
  <c r="AB109" i="5" s="1"/>
  <c r="AA101" i="5"/>
  <c r="AB101" i="5" s="1"/>
  <c r="AA93" i="5"/>
  <c r="AB93" i="5" s="1"/>
  <c r="AA85" i="5"/>
  <c r="AB85" i="5" s="1"/>
  <c r="AA77" i="5"/>
  <c r="AB77" i="5" s="1"/>
  <c r="AA69" i="5"/>
  <c r="AB69" i="5" s="1"/>
  <c r="AA61" i="5"/>
  <c r="AB61" i="5" s="1"/>
  <c r="AA53" i="5"/>
  <c r="AB53" i="5" s="1"/>
  <c r="AA45" i="5"/>
  <c r="AB45" i="5" s="1"/>
  <c r="AA37" i="5"/>
  <c r="AB37" i="5" s="1"/>
  <c r="AA29" i="5"/>
  <c r="AB29" i="5" s="1"/>
  <c r="AA21" i="5"/>
  <c r="AB21" i="5" s="1"/>
  <c r="AA13" i="5"/>
  <c r="AB13" i="5" s="1"/>
  <c r="AA5" i="5"/>
  <c r="AB5" i="5" s="1"/>
  <c r="AA361" i="5"/>
  <c r="AB361" i="5" s="1"/>
  <c r="AA349" i="5"/>
  <c r="AB349" i="5" s="1"/>
  <c r="AA335" i="5"/>
  <c r="AB335" i="5" s="1"/>
  <c r="AA319" i="5"/>
  <c r="AB319" i="5" s="1"/>
  <c r="AA298" i="5"/>
  <c r="AB298" i="5" s="1"/>
  <c r="AA287" i="5"/>
  <c r="AB287" i="5" s="1"/>
  <c r="AA270" i="5"/>
  <c r="AB270" i="5" s="1"/>
  <c r="AC250" i="5"/>
  <c r="AA231" i="5"/>
  <c r="AB231" i="5" s="1"/>
  <c r="AC211" i="5"/>
  <c r="AA193" i="5"/>
  <c r="AB193" i="5" s="1"/>
  <c r="AA174" i="5"/>
  <c r="AB174" i="5" s="1"/>
  <c r="AC154" i="5"/>
  <c r="AC139" i="5"/>
  <c r="AC123" i="5"/>
  <c r="AC99" i="5"/>
  <c r="AC75" i="5"/>
  <c r="AC51" i="5"/>
  <c r="AC35" i="5"/>
  <c r="AC27" i="5"/>
  <c r="AC11" i="5"/>
  <c r="AC360" i="5"/>
  <c r="AC356" i="5"/>
  <c r="AC352" i="5"/>
  <c r="AC348" i="5"/>
  <c r="AC344" i="5"/>
  <c r="AC339" i="5"/>
  <c r="AC334" i="5"/>
  <c r="AA329" i="5"/>
  <c r="AB329" i="5" s="1"/>
  <c r="AC323" i="5"/>
  <c r="AC318" i="5"/>
  <c r="AA313" i="5"/>
  <c r="AB313" i="5" s="1"/>
  <c r="AC307" i="5"/>
  <c r="AC302" i="5"/>
  <c r="AA297" i="5"/>
  <c r="AB297" i="5" s="1"/>
  <c r="AC291" i="5"/>
  <c r="AC286" i="5"/>
  <c r="AA281" i="5"/>
  <c r="AB281" i="5" s="1"/>
  <c r="AA275" i="5"/>
  <c r="AB275" i="5" s="1"/>
  <c r="AA269" i="5"/>
  <c r="AB269" i="5" s="1"/>
  <c r="AC262" i="5"/>
  <c r="AC255" i="5"/>
  <c r="AA250" i="5"/>
  <c r="AB250" i="5" s="1"/>
  <c r="AA243" i="5"/>
  <c r="AB243" i="5" s="1"/>
  <c r="AA237" i="5"/>
  <c r="AB237" i="5" s="1"/>
  <c r="AC230" i="5"/>
  <c r="AC223" i="5"/>
  <c r="AA218" i="5"/>
  <c r="AB218" i="5" s="1"/>
  <c r="AA211" i="5"/>
  <c r="AB211" i="5" s="1"/>
  <c r="AA205" i="5"/>
  <c r="AB205" i="5" s="1"/>
  <c r="AC198" i="5"/>
  <c r="AC191" i="5"/>
  <c r="AA186" i="5"/>
  <c r="AB186" i="5" s="1"/>
  <c r="AA179" i="5"/>
  <c r="AB179" i="5" s="1"/>
  <c r="AA173" i="5"/>
  <c r="AB173" i="5" s="1"/>
  <c r="AC166" i="5"/>
  <c r="AC159" i="5"/>
  <c r="AA154" i="5"/>
  <c r="AB154" i="5" s="1"/>
  <c r="AA147" i="5"/>
  <c r="AB147" i="5" s="1"/>
  <c r="AA139" i="5"/>
  <c r="AB139" i="5" s="1"/>
  <c r="AA131" i="5"/>
  <c r="AB131" i="5" s="1"/>
  <c r="AA123" i="5"/>
  <c r="AB123" i="5" s="1"/>
  <c r="AA115" i="5"/>
  <c r="AB115" i="5" s="1"/>
  <c r="AA107" i="5"/>
  <c r="AB107" i="5" s="1"/>
  <c r="AA99" i="5"/>
  <c r="AB99" i="5" s="1"/>
  <c r="AA91" i="5"/>
  <c r="AB91" i="5" s="1"/>
  <c r="AA83" i="5"/>
  <c r="AB83" i="5" s="1"/>
  <c r="AA75" i="5"/>
  <c r="AB75" i="5" s="1"/>
  <c r="AA67" i="5"/>
  <c r="AB67" i="5" s="1"/>
  <c r="AA59" i="5"/>
  <c r="AB59" i="5" s="1"/>
  <c r="AA51" i="5"/>
  <c r="AB51" i="5" s="1"/>
  <c r="AA43" i="5"/>
  <c r="AB43" i="5" s="1"/>
  <c r="AA35" i="5"/>
  <c r="AB35" i="5" s="1"/>
  <c r="AA27" i="5"/>
  <c r="AB27" i="5" s="1"/>
  <c r="AA19" i="5"/>
  <c r="AB19" i="5" s="1"/>
  <c r="AA11" i="5"/>
  <c r="AB11" i="5" s="1"/>
  <c r="AA3" i="5"/>
  <c r="AB3" i="5" s="1"/>
  <c r="AA357" i="5"/>
  <c r="AB357" i="5" s="1"/>
  <c r="AA345" i="5"/>
  <c r="AB345" i="5" s="1"/>
  <c r="AA324" i="5"/>
  <c r="AB324" i="5" s="1"/>
  <c r="AA308" i="5"/>
  <c r="AB308" i="5" s="1"/>
  <c r="AA292" i="5"/>
  <c r="AB292" i="5" s="1"/>
  <c r="AC275" i="5"/>
  <c r="AA257" i="5"/>
  <c r="AB257" i="5" s="1"/>
  <c r="AA238" i="5"/>
  <c r="AB238" i="5" s="1"/>
  <c r="AA225" i="5"/>
  <c r="AB225" i="5" s="1"/>
  <c r="AA206" i="5"/>
  <c r="AB206" i="5" s="1"/>
  <c r="AC186" i="5"/>
  <c r="AA167" i="5"/>
  <c r="AB167" i="5" s="1"/>
  <c r="AA161" i="5"/>
  <c r="AB161" i="5" s="1"/>
  <c r="AC131" i="5"/>
  <c r="AC107" i="5"/>
  <c r="AC91" i="5"/>
  <c r="AC67" i="5"/>
  <c r="AC59" i="5"/>
  <c r="AC43" i="5"/>
  <c r="AC19" i="5"/>
  <c r="AA360" i="5"/>
  <c r="AB360" i="5" s="1"/>
  <c r="AA356" i="5"/>
  <c r="AB356" i="5" s="1"/>
  <c r="AA352" i="5"/>
  <c r="AB352" i="5" s="1"/>
  <c r="AA348" i="5"/>
  <c r="AB348" i="5" s="1"/>
  <c r="AA344" i="5"/>
  <c r="AB344" i="5" s="1"/>
  <c r="AA339" i="5"/>
  <c r="AB339" i="5" s="1"/>
  <c r="AA334" i="5"/>
  <c r="AB334" i="5" s="1"/>
  <c r="AA328" i="5"/>
  <c r="AB328" i="5" s="1"/>
  <c r="AA323" i="5"/>
  <c r="AB323" i="5" s="1"/>
  <c r="AA318" i="5"/>
  <c r="AB318" i="5" s="1"/>
  <c r="AA312" i="5"/>
  <c r="AB312" i="5" s="1"/>
  <c r="AA307" i="5"/>
  <c r="AB307" i="5" s="1"/>
  <c r="AA302" i="5"/>
  <c r="AB302" i="5" s="1"/>
  <c r="AA296" i="5"/>
  <c r="AB296" i="5" s="1"/>
  <c r="AA291" i="5"/>
  <c r="AB291" i="5" s="1"/>
  <c r="AA286" i="5"/>
  <c r="AB286" i="5" s="1"/>
  <c r="AA280" i="5"/>
  <c r="AB280" i="5" s="1"/>
  <c r="AC274" i="5"/>
  <c r="AC267" i="5"/>
  <c r="AA262" i="5"/>
  <c r="AB262" i="5" s="1"/>
  <c r="AA255" i="5"/>
  <c r="AB255" i="5" s="1"/>
  <c r="AA249" i="5"/>
  <c r="AB249" i="5" s="1"/>
  <c r="AC242" i="5"/>
  <c r="AC235" i="5"/>
  <c r="AA230" i="5"/>
  <c r="AB230" i="5" s="1"/>
  <c r="AA223" i="5"/>
  <c r="AB223" i="5" s="1"/>
  <c r="AA217" i="5"/>
  <c r="AB217" i="5" s="1"/>
  <c r="AC210" i="5"/>
  <c r="AC203" i="5"/>
  <c r="AA198" i="5"/>
  <c r="AB198" i="5" s="1"/>
  <c r="AA191" i="5"/>
  <c r="AB191" i="5" s="1"/>
  <c r="AA185" i="5"/>
  <c r="AB185" i="5" s="1"/>
  <c r="AC178" i="5"/>
  <c r="AC171" i="5"/>
  <c r="AA166" i="5"/>
  <c r="AB166" i="5" s="1"/>
  <c r="AA159" i="5"/>
  <c r="AB159" i="5" s="1"/>
  <c r="AA153" i="5"/>
  <c r="AB153" i="5" s="1"/>
  <c r="AC146" i="5"/>
  <c r="AC138" i="5"/>
  <c r="AC130" i="5"/>
  <c r="AC122" i="5"/>
  <c r="AC114" i="5"/>
  <c r="AC106" i="5"/>
  <c r="AC98" i="5"/>
  <c r="AC90" i="5"/>
  <c r="AC82" i="5"/>
  <c r="AC74" i="5"/>
  <c r="AC66" i="5"/>
  <c r="AC58" i="5"/>
  <c r="AC50" i="5"/>
  <c r="AC42" i="5"/>
  <c r="AC34" i="5"/>
  <c r="AC26" i="5"/>
  <c r="AC18" i="5"/>
  <c r="AC10" i="5"/>
  <c r="AA353" i="5"/>
  <c r="AB353" i="5" s="1"/>
  <c r="AA340" i="5"/>
  <c r="AB340" i="5" s="1"/>
  <c r="AA330" i="5"/>
  <c r="AB330" i="5" s="1"/>
  <c r="AA314" i="5"/>
  <c r="AB314" i="5" s="1"/>
  <c r="AA303" i="5"/>
  <c r="AB303" i="5" s="1"/>
  <c r="AA282" i="5"/>
  <c r="AB282" i="5" s="1"/>
  <c r="AA263" i="5"/>
  <c r="AB263" i="5" s="1"/>
  <c r="AC243" i="5"/>
  <c r="AC218" i="5"/>
  <c r="AA199" i="5"/>
  <c r="AB199" i="5" s="1"/>
  <c r="AC179" i="5"/>
  <c r="AC147" i="5"/>
  <c r="AC115" i="5"/>
  <c r="AC83" i="5"/>
  <c r="AC3" i="5"/>
  <c r="Z385" i="3"/>
  <c r="Z381" i="3"/>
  <c r="Z377" i="3"/>
  <c r="Z373" i="3"/>
  <c r="Z536" i="3"/>
  <c r="Z520" i="3"/>
  <c r="AC359" i="5"/>
  <c r="AC355" i="5"/>
  <c r="AC351" i="5"/>
  <c r="AC347" i="5"/>
  <c r="AC343" i="5"/>
  <c r="AC338" i="5"/>
  <c r="AA333" i="5"/>
  <c r="AB333" i="5" s="1"/>
  <c r="AC327" i="5"/>
  <c r="AC322" i="5"/>
  <c r="AA317" i="5"/>
  <c r="AB317" i="5" s="1"/>
  <c r="AC311" i="5"/>
  <c r="AC306" i="5"/>
  <c r="AA301" i="5"/>
  <c r="AB301" i="5" s="1"/>
  <c r="AC295" i="5"/>
  <c r="AC290" i="5"/>
  <c r="AA285" i="5"/>
  <c r="AB285" i="5" s="1"/>
  <c r="AC279" i="5"/>
  <c r="AA274" i="5"/>
  <c r="AB274" i="5" s="1"/>
  <c r="AA267" i="5"/>
  <c r="AB267" i="5" s="1"/>
  <c r="AA261" i="5"/>
  <c r="AB261" i="5" s="1"/>
  <c r="AC254" i="5"/>
  <c r="AC247" i="5"/>
  <c r="AA242" i="5"/>
  <c r="AB242" i="5" s="1"/>
  <c r="AA235" i="5"/>
  <c r="AB235" i="5" s="1"/>
  <c r="AA229" i="5"/>
  <c r="AB229" i="5" s="1"/>
  <c r="AC222" i="5"/>
  <c r="AC215" i="5"/>
  <c r="AA210" i="5"/>
  <c r="AB210" i="5" s="1"/>
  <c r="AA203" i="5"/>
  <c r="AB203" i="5" s="1"/>
  <c r="AA197" i="5"/>
  <c r="AB197" i="5" s="1"/>
  <c r="AC190" i="5"/>
  <c r="AC183" i="5"/>
  <c r="AA178" i="5"/>
  <c r="AB178" i="5" s="1"/>
  <c r="AA171" i="5"/>
  <c r="AB171" i="5" s="1"/>
  <c r="AA165" i="5"/>
  <c r="AB165" i="5" s="1"/>
  <c r="AC158" i="5"/>
  <c r="AC151" i="5"/>
  <c r="AA145" i="5"/>
  <c r="AB145" i="5" s="1"/>
  <c r="AA137" i="5"/>
  <c r="AB137" i="5" s="1"/>
  <c r="AA129" i="5"/>
  <c r="AB129" i="5" s="1"/>
  <c r="AA121" i="5"/>
  <c r="AB121" i="5" s="1"/>
  <c r="AA113" i="5"/>
  <c r="AB113" i="5" s="1"/>
  <c r="AA105" i="5"/>
  <c r="AB105" i="5" s="1"/>
  <c r="AA97" i="5"/>
  <c r="AB97" i="5" s="1"/>
  <c r="AA89" i="5"/>
  <c r="AB89" i="5" s="1"/>
  <c r="AA81" i="5"/>
  <c r="AB81" i="5" s="1"/>
  <c r="AA73" i="5"/>
  <c r="AB73" i="5" s="1"/>
  <c r="AA65" i="5"/>
  <c r="AB65" i="5" s="1"/>
  <c r="AA57" i="5"/>
  <c r="AB57" i="5" s="1"/>
  <c r="AA49" i="5"/>
  <c r="AB49" i="5" s="1"/>
  <c r="AA41" i="5"/>
  <c r="AB41" i="5" s="1"/>
  <c r="AA33" i="5"/>
  <c r="AB33" i="5" s="1"/>
  <c r="AA25" i="5"/>
  <c r="AB25" i="5" s="1"/>
  <c r="AA17" i="5"/>
  <c r="AB17" i="5" s="1"/>
  <c r="AC4" i="5"/>
  <c r="AC8" i="5"/>
  <c r="AC12" i="5"/>
  <c r="AC16" i="5"/>
  <c r="AC20" i="5"/>
  <c r="AC24" i="5"/>
  <c r="AC28" i="5"/>
  <c r="AC32" i="5"/>
  <c r="AC36" i="5"/>
  <c r="AC40" i="5"/>
  <c r="AC44" i="5"/>
  <c r="AC48" i="5"/>
  <c r="AC52" i="5"/>
  <c r="AC56" i="5"/>
  <c r="AC60" i="5"/>
  <c r="AC64" i="5"/>
  <c r="AC68" i="5"/>
  <c r="AC72" i="5"/>
  <c r="AC76" i="5"/>
  <c r="AC80" i="5"/>
  <c r="AC84" i="5"/>
  <c r="AC88" i="5"/>
  <c r="AC92" i="5"/>
  <c r="AC96" i="5"/>
  <c r="AC100" i="5"/>
  <c r="AC104" i="5"/>
  <c r="AC108" i="5"/>
  <c r="AC112" i="5"/>
  <c r="AC116" i="5"/>
  <c r="AC120" i="5"/>
  <c r="AC124" i="5"/>
  <c r="AC128" i="5"/>
  <c r="AC132" i="5"/>
  <c r="AC136" i="5"/>
  <c r="AC140" i="5"/>
  <c r="AC144" i="5"/>
  <c r="AC148" i="5"/>
  <c r="AC152" i="5"/>
  <c r="AC156" i="5"/>
  <c r="AC160" i="5"/>
  <c r="AC164" i="5"/>
  <c r="AC168" i="5"/>
  <c r="AC172" i="5"/>
  <c r="AC176" i="5"/>
  <c r="AC180" i="5"/>
  <c r="AC184" i="5"/>
  <c r="AC188" i="5"/>
  <c r="AC192" i="5"/>
  <c r="AC196" i="5"/>
  <c r="AC200" i="5"/>
  <c r="AC204" i="5"/>
  <c r="AC208" i="5"/>
  <c r="AC212" i="5"/>
  <c r="AC216" i="5"/>
  <c r="AC220" i="5"/>
  <c r="AC224" i="5"/>
  <c r="AC228" i="5"/>
  <c r="AC232" i="5"/>
  <c r="AC236" i="5"/>
  <c r="AC240" i="5"/>
  <c r="AC244" i="5"/>
  <c r="AC248" i="5"/>
  <c r="AC252" i="5"/>
  <c r="AC256" i="5"/>
  <c r="AC260" i="5"/>
  <c r="AC264" i="5"/>
  <c r="AC268" i="5"/>
  <c r="AC272" i="5"/>
  <c r="AC276" i="5"/>
  <c r="AC280" i="5"/>
  <c r="AC284" i="5"/>
  <c r="AC288" i="5"/>
  <c r="AC292" i="5"/>
  <c r="AC296" i="5"/>
  <c r="AC300" i="5"/>
  <c r="AC304" i="5"/>
  <c r="AC308" i="5"/>
  <c r="AC312" i="5"/>
  <c r="AC316" i="5"/>
  <c r="AC320" i="5"/>
  <c r="AC324" i="5"/>
  <c r="AC328" i="5"/>
  <c r="AC332" i="5"/>
  <c r="AC336" i="5"/>
  <c r="AC340" i="5"/>
  <c r="AC5" i="5"/>
  <c r="AC9" i="5"/>
  <c r="AC13" i="5"/>
  <c r="AC17" i="5"/>
  <c r="AC21" i="5"/>
  <c r="AC25" i="5"/>
  <c r="AC29" i="5"/>
  <c r="AC33" i="5"/>
  <c r="AC37" i="5"/>
  <c r="AC41" i="5"/>
  <c r="AC45" i="5"/>
  <c r="AC49" i="5"/>
  <c r="AC53" i="5"/>
  <c r="AC57" i="5"/>
  <c r="AC61" i="5"/>
  <c r="AC65" i="5"/>
  <c r="AC69" i="5"/>
  <c r="AC73" i="5"/>
  <c r="AC77" i="5"/>
  <c r="AC81" i="5"/>
  <c r="AC85" i="5"/>
  <c r="AC89" i="5"/>
  <c r="AC93" i="5"/>
  <c r="AC97" i="5"/>
  <c r="AC101" i="5"/>
  <c r="AC105" i="5"/>
  <c r="AC109" i="5"/>
  <c r="AC113" i="5"/>
  <c r="AC117" i="5"/>
  <c r="AC121" i="5"/>
  <c r="AC125" i="5"/>
  <c r="AC129" i="5"/>
  <c r="AC133" i="5"/>
  <c r="AC137" i="5"/>
  <c r="AC141" i="5"/>
  <c r="AC145" i="5"/>
  <c r="AC149" i="5"/>
  <c r="AC153" i="5"/>
  <c r="AC157" i="5"/>
  <c r="AC161" i="5"/>
  <c r="AC165" i="5"/>
  <c r="AC169" i="5"/>
  <c r="AC173" i="5"/>
  <c r="AC177" i="5"/>
  <c r="AC181" i="5"/>
  <c r="AC185" i="5"/>
  <c r="AC189" i="5"/>
  <c r="AC193" i="5"/>
  <c r="AC197" i="5"/>
  <c r="AC201" i="5"/>
  <c r="AC205" i="5"/>
  <c r="AC209" i="5"/>
  <c r="AC213" i="5"/>
  <c r="AC217" i="5"/>
  <c r="AC221" i="5"/>
  <c r="AC225" i="5"/>
  <c r="AC229" i="5"/>
  <c r="AC233" i="5"/>
  <c r="AC237" i="5"/>
  <c r="AC241" i="5"/>
  <c r="AC245" i="5"/>
  <c r="AC249" i="5"/>
  <c r="AC253" i="5"/>
  <c r="AC257" i="5"/>
  <c r="AC261" i="5"/>
  <c r="AC265" i="5"/>
  <c r="AC269" i="5"/>
  <c r="AC273" i="5"/>
  <c r="AC277" i="5"/>
  <c r="AC281" i="5"/>
  <c r="AC285" i="5"/>
  <c r="AC289" i="5"/>
  <c r="AC293" i="5"/>
  <c r="AC297" i="5"/>
  <c r="AC301" i="5"/>
  <c r="AC305" i="5"/>
  <c r="AC309" i="5"/>
  <c r="AC313" i="5"/>
  <c r="AC317" i="5"/>
  <c r="AC321" i="5"/>
  <c r="AC325" i="5"/>
  <c r="AC329" i="5"/>
  <c r="AC333" i="5"/>
  <c r="AC337" i="5"/>
  <c r="AC341" i="5"/>
  <c r="AA6" i="5"/>
  <c r="AB6" i="5" s="1"/>
  <c r="AA10" i="5"/>
  <c r="AB10" i="5" s="1"/>
  <c r="AA14" i="5"/>
  <c r="AB14" i="5" s="1"/>
  <c r="AA18" i="5"/>
  <c r="AB18" i="5" s="1"/>
  <c r="AA22" i="5"/>
  <c r="AB22" i="5" s="1"/>
  <c r="AA26" i="5"/>
  <c r="AB26" i="5" s="1"/>
  <c r="AA30" i="5"/>
  <c r="AB30" i="5" s="1"/>
  <c r="AA34" i="5"/>
  <c r="AB34" i="5" s="1"/>
  <c r="AA38" i="5"/>
  <c r="AB38" i="5" s="1"/>
  <c r="AA42" i="5"/>
  <c r="AB42" i="5" s="1"/>
  <c r="AA46" i="5"/>
  <c r="AB46" i="5" s="1"/>
  <c r="AA50" i="5"/>
  <c r="AB50" i="5" s="1"/>
  <c r="AA54" i="5"/>
  <c r="AB54" i="5" s="1"/>
  <c r="AA58" i="5"/>
  <c r="AB58" i="5" s="1"/>
  <c r="AA62" i="5"/>
  <c r="AB62" i="5" s="1"/>
  <c r="AA66" i="5"/>
  <c r="AB66" i="5" s="1"/>
  <c r="AA70" i="5"/>
  <c r="AB70" i="5" s="1"/>
  <c r="AA74" i="5"/>
  <c r="AB74" i="5" s="1"/>
  <c r="AA78" i="5"/>
  <c r="AB78" i="5" s="1"/>
  <c r="AA82" i="5"/>
  <c r="AB82" i="5" s="1"/>
  <c r="AA86" i="5"/>
  <c r="AB86" i="5" s="1"/>
  <c r="AA90" i="5"/>
  <c r="AB90" i="5" s="1"/>
  <c r="AA94" i="5"/>
  <c r="AB94" i="5" s="1"/>
  <c r="AA98" i="5"/>
  <c r="AB98" i="5" s="1"/>
  <c r="AA102" i="5"/>
  <c r="AB102" i="5" s="1"/>
  <c r="AA106" i="5"/>
  <c r="AB106" i="5" s="1"/>
  <c r="AA110" i="5"/>
  <c r="AB110" i="5" s="1"/>
  <c r="AA114" i="5"/>
  <c r="AB114" i="5" s="1"/>
  <c r="AA118" i="5"/>
  <c r="AB118" i="5" s="1"/>
  <c r="AA122" i="5"/>
  <c r="AB122" i="5" s="1"/>
  <c r="AA126" i="5"/>
  <c r="AB126" i="5" s="1"/>
  <c r="AA130" i="5"/>
  <c r="AB130" i="5" s="1"/>
  <c r="AA134" i="5"/>
  <c r="AB134" i="5" s="1"/>
  <c r="AA138" i="5"/>
  <c r="AB138" i="5" s="1"/>
  <c r="AA142" i="5"/>
  <c r="AB142" i="5" s="1"/>
  <c r="AA146" i="5"/>
  <c r="AB146" i="5" s="1"/>
  <c r="AA4" i="5"/>
  <c r="AB4" i="5" s="1"/>
  <c r="AA8" i="5"/>
  <c r="AB8" i="5" s="1"/>
  <c r="AA12" i="5"/>
  <c r="AB12" i="5" s="1"/>
  <c r="AA16" i="5"/>
  <c r="AB16" i="5" s="1"/>
  <c r="AA20" i="5"/>
  <c r="AB20" i="5" s="1"/>
  <c r="AA24" i="5"/>
  <c r="AB24" i="5" s="1"/>
  <c r="AA28" i="5"/>
  <c r="AB28" i="5" s="1"/>
  <c r="AA32" i="5"/>
  <c r="AB32" i="5" s="1"/>
  <c r="AA36" i="5"/>
  <c r="AB36" i="5" s="1"/>
  <c r="AA40" i="5"/>
  <c r="AB40" i="5" s="1"/>
  <c r="AA44" i="5"/>
  <c r="AB44" i="5" s="1"/>
  <c r="AA48" i="5"/>
  <c r="AB48" i="5" s="1"/>
  <c r="AA52" i="5"/>
  <c r="AB52" i="5" s="1"/>
  <c r="AA56" i="5"/>
  <c r="AB56" i="5" s="1"/>
  <c r="AA60" i="5"/>
  <c r="AB60" i="5" s="1"/>
  <c r="AA64" i="5"/>
  <c r="AB64" i="5" s="1"/>
  <c r="AA68" i="5"/>
  <c r="AB68" i="5" s="1"/>
  <c r="AA72" i="5"/>
  <c r="AB72" i="5" s="1"/>
  <c r="AA76" i="5"/>
  <c r="AB76" i="5" s="1"/>
  <c r="AA80" i="5"/>
  <c r="AB80" i="5" s="1"/>
  <c r="AA84" i="5"/>
  <c r="AB84" i="5" s="1"/>
  <c r="AA88" i="5"/>
  <c r="AB88" i="5" s="1"/>
  <c r="AA92" i="5"/>
  <c r="AB92" i="5" s="1"/>
  <c r="AA96" i="5"/>
  <c r="AB96" i="5" s="1"/>
  <c r="AA100" i="5"/>
  <c r="AB100" i="5" s="1"/>
  <c r="AA104" i="5"/>
  <c r="AB104" i="5" s="1"/>
  <c r="AA108" i="5"/>
  <c r="AB108" i="5" s="1"/>
  <c r="AA112" i="5"/>
  <c r="AB112" i="5" s="1"/>
  <c r="AA116" i="5"/>
  <c r="AB116" i="5" s="1"/>
  <c r="AA120" i="5"/>
  <c r="AB120" i="5" s="1"/>
  <c r="AA124" i="5"/>
  <c r="AB124" i="5" s="1"/>
  <c r="AA128" i="5"/>
  <c r="AB128" i="5" s="1"/>
  <c r="AA132" i="5"/>
  <c r="AB132" i="5" s="1"/>
  <c r="AA136" i="5"/>
  <c r="AB136" i="5" s="1"/>
  <c r="AA140" i="5"/>
  <c r="AB140" i="5" s="1"/>
  <c r="AA144" i="5"/>
  <c r="AB144" i="5" s="1"/>
  <c r="AA148" i="5"/>
  <c r="AB148" i="5" s="1"/>
  <c r="AA152" i="5"/>
  <c r="AB152" i="5" s="1"/>
  <c r="AA156" i="5"/>
  <c r="AB156" i="5" s="1"/>
  <c r="AA160" i="5"/>
  <c r="AB160" i="5" s="1"/>
  <c r="AA164" i="5"/>
  <c r="AB164" i="5" s="1"/>
  <c r="AA168" i="5"/>
  <c r="AB168" i="5" s="1"/>
  <c r="AA172" i="5"/>
  <c r="AB172" i="5" s="1"/>
  <c r="AA176" i="5"/>
  <c r="AB176" i="5" s="1"/>
  <c r="AA180" i="5"/>
  <c r="AB180" i="5" s="1"/>
  <c r="AA184" i="5"/>
  <c r="AB184" i="5" s="1"/>
  <c r="AA188" i="5"/>
  <c r="AB188" i="5" s="1"/>
  <c r="AA192" i="5"/>
  <c r="AB192" i="5" s="1"/>
  <c r="AA196" i="5"/>
  <c r="AB196" i="5" s="1"/>
  <c r="AA200" i="5"/>
  <c r="AB200" i="5" s="1"/>
  <c r="AA204" i="5"/>
  <c r="AB204" i="5" s="1"/>
  <c r="AA208" i="5"/>
  <c r="AB208" i="5" s="1"/>
  <c r="AA212" i="5"/>
  <c r="AB212" i="5" s="1"/>
  <c r="AA216" i="5"/>
  <c r="AB216" i="5" s="1"/>
  <c r="AA220" i="5"/>
  <c r="AB220" i="5" s="1"/>
  <c r="AA224" i="5"/>
  <c r="AB224" i="5" s="1"/>
  <c r="AA228" i="5"/>
  <c r="AB228" i="5" s="1"/>
  <c r="AA232" i="5"/>
  <c r="AB232" i="5" s="1"/>
  <c r="AA236" i="5"/>
  <c r="AB236" i="5" s="1"/>
  <c r="AA240" i="5"/>
  <c r="AB240" i="5" s="1"/>
  <c r="AA244" i="5"/>
  <c r="AB244" i="5" s="1"/>
  <c r="AA248" i="5"/>
  <c r="AB248" i="5" s="1"/>
  <c r="AA252" i="5"/>
  <c r="AB252" i="5" s="1"/>
  <c r="AA256" i="5"/>
  <c r="AB256" i="5" s="1"/>
  <c r="AA260" i="5"/>
  <c r="AB260" i="5" s="1"/>
  <c r="AA264" i="5"/>
  <c r="AB264" i="5" s="1"/>
  <c r="AA268" i="5"/>
  <c r="AB268" i="5" s="1"/>
  <c r="AA272" i="5"/>
  <c r="AB272" i="5" s="1"/>
  <c r="AA276" i="5"/>
  <c r="AB276" i="5" s="1"/>
  <c r="AA359" i="5"/>
  <c r="AB359" i="5" s="1"/>
  <c r="AA355" i="5"/>
  <c r="AB355" i="5" s="1"/>
  <c r="AA351" i="5"/>
  <c r="AB351" i="5" s="1"/>
  <c r="AA347" i="5"/>
  <c r="AB347" i="5" s="1"/>
  <c r="AA343" i="5"/>
  <c r="AB343" i="5" s="1"/>
  <c r="AA338" i="5"/>
  <c r="AB338" i="5" s="1"/>
  <c r="AA332" i="5"/>
  <c r="AB332" i="5" s="1"/>
  <c r="AA327" i="5"/>
  <c r="AB327" i="5" s="1"/>
  <c r="AA322" i="5"/>
  <c r="AB322" i="5" s="1"/>
  <c r="AA316" i="5"/>
  <c r="AB316" i="5" s="1"/>
  <c r="AA311" i="5"/>
  <c r="AB311" i="5" s="1"/>
  <c r="AA306" i="5"/>
  <c r="AB306" i="5" s="1"/>
  <c r="AA300" i="5"/>
  <c r="AB300" i="5" s="1"/>
  <c r="AA295" i="5"/>
  <c r="AB295" i="5" s="1"/>
  <c r="AA290" i="5"/>
  <c r="AB290" i="5" s="1"/>
  <c r="AA284" i="5"/>
  <c r="AB284" i="5" s="1"/>
  <c r="AA279" i="5"/>
  <c r="AB279" i="5" s="1"/>
  <c r="AA273" i="5"/>
  <c r="AB273" i="5" s="1"/>
  <c r="AC266" i="5"/>
  <c r="AC259" i="5"/>
  <c r="AA254" i="5"/>
  <c r="AB254" i="5" s="1"/>
  <c r="AA247" i="5"/>
  <c r="AB247" i="5" s="1"/>
  <c r="AA241" i="5"/>
  <c r="AB241" i="5" s="1"/>
  <c r="AC234" i="5"/>
  <c r="AC227" i="5"/>
  <c r="AA222" i="5"/>
  <c r="AB222" i="5" s="1"/>
  <c r="AA215" i="5"/>
  <c r="AB215" i="5" s="1"/>
  <c r="AA209" i="5"/>
  <c r="AB209" i="5" s="1"/>
  <c r="AC202" i="5"/>
  <c r="AC195" i="5"/>
  <c r="AA190" i="5"/>
  <c r="AB190" i="5" s="1"/>
  <c r="AA183" i="5"/>
  <c r="AB183" i="5" s="1"/>
  <c r="AA177" i="5"/>
  <c r="AB177" i="5" s="1"/>
  <c r="AC170" i="5"/>
  <c r="AC163" i="5"/>
  <c r="AA158" i="5"/>
  <c r="AB158" i="5" s="1"/>
  <c r="AA151" i="5"/>
  <c r="AB151" i="5" s="1"/>
  <c r="AC143" i="5"/>
  <c r="AC135" i="5"/>
  <c r="AC127" i="5"/>
  <c r="AC119" i="5"/>
  <c r="AC111" i="5"/>
  <c r="AC103" i="5"/>
  <c r="AC95" i="5"/>
  <c r="AC87" i="5"/>
  <c r="AC79" i="5"/>
  <c r="AC71" i="5"/>
  <c r="AC63" i="5"/>
  <c r="AC55" i="5"/>
  <c r="AC47" i="5"/>
  <c r="AC39" i="5"/>
  <c r="AC31" i="5"/>
  <c r="AC23" i="5"/>
  <c r="AC15" i="5"/>
  <c r="AC7" i="5"/>
  <c r="AA2" i="5"/>
  <c r="AB2" i="5" s="1"/>
  <c r="AC358" i="5"/>
  <c r="AC354" i="5"/>
  <c r="AC350" i="5"/>
  <c r="AC346" i="5"/>
  <c r="AC342" i="5"/>
  <c r="AA337" i="5"/>
  <c r="AB337" i="5" s="1"/>
  <c r="AC331" i="5"/>
  <c r="AC326" i="5"/>
  <c r="AA321" i="5"/>
  <c r="AB321" i="5" s="1"/>
  <c r="AC315" i="5"/>
  <c r="AC310" i="5"/>
  <c r="AA305" i="5"/>
  <c r="AB305" i="5" s="1"/>
  <c r="AC299" i="5"/>
  <c r="AC294" i="5"/>
  <c r="AA289" i="5"/>
  <c r="AB289" i="5" s="1"/>
  <c r="AC283" i="5"/>
  <c r="AC278" i="5"/>
  <c r="AC271" i="5"/>
  <c r="AA266" i="5"/>
  <c r="AB266" i="5" s="1"/>
  <c r="AA259" i="5"/>
  <c r="AB259" i="5" s="1"/>
  <c r="AA253" i="5"/>
  <c r="AB253" i="5" s="1"/>
  <c r="AC246" i="5"/>
  <c r="AC239" i="5"/>
  <c r="AA234" i="5"/>
  <c r="AB234" i="5" s="1"/>
  <c r="AA227" i="5"/>
  <c r="AB227" i="5" s="1"/>
  <c r="AA221" i="5"/>
  <c r="AB221" i="5" s="1"/>
  <c r="AC214" i="5"/>
  <c r="AC207" i="5"/>
  <c r="AA202" i="5"/>
  <c r="AB202" i="5" s="1"/>
  <c r="AA195" i="5"/>
  <c r="AB195" i="5" s="1"/>
  <c r="AA189" i="5"/>
  <c r="AB189" i="5" s="1"/>
  <c r="AC182" i="5"/>
  <c r="AC175" i="5"/>
  <c r="AA170" i="5"/>
  <c r="AB170" i="5" s="1"/>
  <c r="AA163" i="5"/>
  <c r="AB163" i="5" s="1"/>
  <c r="AA157" i="5"/>
  <c r="AB157" i="5" s="1"/>
  <c r="AC150" i="5"/>
  <c r="AA143" i="5"/>
  <c r="AB143" i="5" s="1"/>
  <c r="AA135" i="5"/>
  <c r="AB135" i="5" s="1"/>
  <c r="AA127" i="5"/>
  <c r="AB127" i="5" s="1"/>
  <c r="AA119" i="5"/>
  <c r="AB119" i="5" s="1"/>
  <c r="AA111" i="5"/>
  <c r="AB111" i="5" s="1"/>
  <c r="AA103" i="5"/>
  <c r="AB103" i="5" s="1"/>
  <c r="AA95" i="5"/>
  <c r="AB95" i="5" s="1"/>
  <c r="AA87" i="5"/>
  <c r="AB87" i="5" s="1"/>
  <c r="AA79" i="5"/>
  <c r="AB79" i="5" s="1"/>
  <c r="AA71" i="5"/>
  <c r="AB71" i="5" s="1"/>
  <c r="AA63" i="5"/>
  <c r="AB63" i="5" s="1"/>
  <c r="AA55" i="5"/>
  <c r="AB55" i="5" s="1"/>
  <c r="AA47" i="5"/>
  <c r="AB47" i="5" s="1"/>
  <c r="AA39" i="5"/>
  <c r="AB39" i="5" s="1"/>
  <c r="AA31" i="5"/>
  <c r="AB31" i="5" s="1"/>
  <c r="AA23" i="5"/>
  <c r="AB23" i="5" s="1"/>
  <c r="AA15" i="5"/>
  <c r="AB15" i="5" s="1"/>
  <c r="AA7" i="5"/>
  <c r="AB7" i="5" s="1"/>
  <c r="AA358" i="5"/>
  <c r="AB358" i="5" s="1"/>
  <c r="AA354" i="5"/>
  <c r="AB354" i="5" s="1"/>
  <c r="AA350" i="5"/>
  <c r="AB350" i="5" s="1"/>
  <c r="AA346" i="5"/>
  <c r="AB346" i="5" s="1"/>
  <c r="AA342" i="5"/>
  <c r="AB342" i="5" s="1"/>
  <c r="AA336" i="5"/>
  <c r="AB336" i="5" s="1"/>
  <c r="AA331" i="5"/>
  <c r="AB331" i="5" s="1"/>
  <c r="AA326" i="5"/>
  <c r="AB326" i="5" s="1"/>
  <c r="AA320" i="5"/>
  <c r="AB320" i="5" s="1"/>
  <c r="AA315" i="5"/>
  <c r="AB315" i="5" s="1"/>
  <c r="AA310" i="5"/>
  <c r="AB310" i="5" s="1"/>
  <c r="AA304" i="5"/>
  <c r="AB304" i="5" s="1"/>
  <c r="AA299" i="5"/>
  <c r="AB299" i="5" s="1"/>
  <c r="AA294" i="5"/>
  <c r="AB294" i="5" s="1"/>
  <c r="AA288" i="5"/>
  <c r="AB288" i="5" s="1"/>
  <c r="AA283" i="5"/>
  <c r="AB283" i="5" s="1"/>
  <c r="AA278" i="5"/>
  <c r="AB278" i="5" s="1"/>
  <c r="AA271" i="5"/>
  <c r="AB271" i="5" s="1"/>
  <c r="AA265" i="5"/>
  <c r="AB265" i="5" s="1"/>
  <c r="AC258" i="5"/>
  <c r="AC251" i="5"/>
  <c r="AA246" i="5"/>
  <c r="AB246" i="5" s="1"/>
  <c r="AA239" i="5"/>
  <c r="AB239" i="5" s="1"/>
  <c r="AA233" i="5"/>
  <c r="AB233" i="5" s="1"/>
  <c r="AC226" i="5"/>
  <c r="AC219" i="5"/>
  <c r="AA214" i="5"/>
  <c r="AB214" i="5" s="1"/>
  <c r="AA207" i="5"/>
  <c r="AB207" i="5" s="1"/>
  <c r="AA201" i="5"/>
  <c r="AB201" i="5" s="1"/>
  <c r="AC194" i="5"/>
  <c r="AC187" i="5"/>
  <c r="AA182" i="5"/>
  <c r="AB182" i="5" s="1"/>
  <c r="AA175" i="5"/>
  <c r="AB175" i="5" s="1"/>
  <c r="AA169" i="5"/>
  <c r="AB169" i="5" s="1"/>
  <c r="AC162" i="5"/>
  <c r="AC155" i="5"/>
  <c r="AA150" i="5"/>
  <c r="AB150" i="5" s="1"/>
  <c r="AC142" i="5"/>
  <c r="AC134" i="5"/>
  <c r="AC126" i="5"/>
  <c r="AC118" i="5"/>
  <c r="AC110" i="5"/>
  <c r="AC102" i="5"/>
  <c r="AC94" i="5"/>
  <c r="AC86" i="5"/>
  <c r="AC78" i="5"/>
  <c r="AC70" i="5"/>
  <c r="AC62" i="5"/>
  <c r="AC54" i="5"/>
  <c r="AC46" i="5"/>
  <c r="AC38" i="5"/>
  <c r="AC30" i="5"/>
  <c r="AC22" i="5"/>
  <c r="AC14" i="5"/>
  <c r="AC6" i="5"/>
  <c r="Z503" i="3"/>
  <c r="Z492" i="3"/>
  <c r="Z498" i="3"/>
  <c r="Z501" i="3"/>
  <c r="X472" i="3"/>
  <c r="Z472" i="3" s="1"/>
  <c r="X470" i="3"/>
  <c r="Z470" i="3" s="1"/>
  <c r="X500" i="3"/>
  <c r="Z500" i="3" s="1"/>
  <c r="G491" i="3"/>
  <c r="G489" i="3"/>
  <c r="G487" i="3"/>
  <c r="G485" i="3"/>
  <c r="G472" i="3"/>
  <c r="G470" i="3"/>
  <c r="G500" i="3"/>
  <c r="X490" i="3"/>
  <c r="Z490" i="3" s="1"/>
  <c r="X488" i="3"/>
  <c r="Z488" i="3" s="1"/>
  <c r="X486" i="3"/>
  <c r="Z486" i="3" s="1"/>
  <c r="G498" i="3"/>
  <c r="G496" i="3"/>
  <c r="G494" i="3"/>
  <c r="G492" i="3"/>
  <c r="X484" i="3"/>
  <c r="Z484" i="3" s="1"/>
  <c r="X482" i="3"/>
  <c r="Z482" i="3" s="1"/>
  <c r="X480" i="3"/>
  <c r="Z480" i="3" s="1"/>
  <c r="X478" i="3"/>
  <c r="Z478" i="3" s="1"/>
  <c r="X476" i="3"/>
  <c r="Z476" i="3" s="1"/>
  <c r="X474" i="3"/>
  <c r="Z474" i="3" s="1"/>
  <c r="X473" i="3"/>
  <c r="Z473" i="3" s="1"/>
  <c r="X471" i="3"/>
  <c r="Z471" i="3" s="1"/>
  <c r="X499" i="3"/>
  <c r="Z499" i="3" s="1"/>
  <c r="G490" i="3"/>
  <c r="G488" i="3"/>
  <c r="G486" i="3"/>
  <c r="X497" i="3"/>
  <c r="Z497" i="3" s="1"/>
  <c r="X495" i="3"/>
  <c r="Z495" i="3" s="1"/>
  <c r="X493" i="3"/>
  <c r="Z493" i="3" s="1"/>
  <c r="G484" i="3"/>
  <c r="G482" i="3"/>
  <c r="G480" i="3"/>
  <c r="G478" i="3"/>
  <c r="G476" i="3"/>
  <c r="G474" i="3"/>
  <c r="G473" i="3"/>
  <c r="G499" i="3"/>
  <c r="X491" i="3"/>
  <c r="Z491" i="3" s="1"/>
  <c r="X489" i="3"/>
  <c r="Z489" i="3" s="1"/>
  <c r="X487" i="3"/>
  <c r="Z487" i="3" s="1"/>
  <c r="X485" i="3"/>
  <c r="Z485" i="3" s="1"/>
  <c r="G497" i="3"/>
  <c r="G495" i="3"/>
  <c r="G493" i="3"/>
  <c r="X483" i="3"/>
  <c r="Z483" i="3" s="1"/>
  <c r="X481" i="3"/>
  <c r="Z481" i="3" s="1"/>
  <c r="X479" i="3"/>
  <c r="Z479" i="3" s="1"/>
  <c r="X477" i="3"/>
  <c r="Z477" i="3" s="1"/>
  <c r="Z466" i="3"/>
  <c r="Z494" i="3"/>
  <c r="Z467" i="3"/>
  <c r="Z349" i="3"/>
  <c r="Z345" i="3"/>
  <c r="Z341" i="3"/>
  <c r="Z368" i="3"/>
  <c r="Z364" i="3"/>
  <c r="Z410" i="3"/>
  <c r="Z404" i="3"/>
  <c r="Z465" i="3"/>
  <c r="Z468" i="3"/>
  <c r="Z464" i="3"/>
  <c r="Z460" i="3"/>
  <c r="Z469" i="3"/>
  <c r="Z463" i="3"/>
  <c r="Z455" i="3"/>
  <c r="Z417" i="3"/>
  <c r="Z415" i="3"/>
  <c r="X461" i="3"/>
  <c r="Z461" i="3" s="1"/>
  <c r="X459" i="3"/>
  <c r="Z459" i="3" s="1"/>
  <c r="X457" i="3"/>
  <c r="Z457" i="3" s="1"/>
  <c r="Z456" i="3"/>
  <c r="Z454" i="3"/>
  <c r="Z446" i="3"/>
  <c r="Z438" i="3"/>
  <c r="G431" i="3"/>
  <c r="G429" i="3"/>
  <c r="G427" i="3"/>
  <c r="Z447" i="3"/>
  <c r="X445" i="3"/>
  <c r="Z445" i="3" s="1"/>
  <c r="X443" i="3"/>
  <c r="Z443" i="3" s="1"/>
  <c r="X441" i="3"/>
  <c r="Z441" i="3" s="1"/>
  <c r="X432" i="3"/>
  <c r="Z432" i="3" s="1"/>
  <c r="X430" i="3"/>
  <c r="Z430" i="3" s="1"/>
  <c r="X428" i="3"/>
  <c r="Z428" i="3" s="1"/>
  <c r="G445" i="3"/>
  <c r="G443" i="3"/>
  <c r="G441" i="3"/>
  <c r="G438" i="3"/>
  <c r="G436" i="3"/>
  <c r="G434" i="3"/>
  <c r="X452" i="3"/>
  <c r="Z452" i="3" s="1"/>
  <c r="X450" i="3"/>
  <c r="Z450" i="3" s="1"/>
  <c r="X448" i="3"/>
  <c r="Z448" i="3" s="1"/>
  <c r="G432" i="3"/>
  <c r="G430" i="3"/>
  <c r="G428" i="3"/>
  <c r="X444" i="3"/>
  <c r="Z444" i="3" s="1"/>
  <c r="X442" i="3"/>
  <c r="Z442" i="3" s="1"/>
  <c r="X440" i="3"/>
  <c r="Z440" i="3" s="1"/>
  <c r="X439" i="3"/>
  <c r="Z439" i="3" s="1"/>
  <c r="X437" i="3"/>
  <c r="Z437" i="3" s="1"/>
  <c r="X435" i="3"/>
  <c r="Z435" i="3" s="1"/>
  <c r="X433" i="3"/>
  <c r="Z433" i="3" s="1"/>
  <c r="G452" i="3"/>
  <c r="G448" i="3"/>
  <c r="G446" i="3"/>
  <c r="X431" i="3"/>
  <c r="Z431" i="3" s="1"/>
  <c r="X429" i="3"/>
  <c r="Z429" i="3" s="1"/>
  <c r="X427" i="3"/>
  <c r="Z427" i="3" s="1"/>
  <c r="G444" i="3"/>
  <c r="G442" i="3"/>
  <c r="G440" i="3"/>
  <c r="G439" i="3"/>
  <c r="G437" i="3"/>
  <c r="G435" i="3"/>
  <c r="X453" i="3"/>
  <c r="Z453" i="3" s="1"/>
  <c r="X451" i="3"/>
  <c r="Z451" i="3" s="1"/>
  <c r="X449" i="3"/>
  <c r="Z449" i="3" s="1"/>
  <c r="Z230" i="3"/>
  <c r="Z301" i="3"/>
  <c r="Z297" i="3"/>
  <c r="Z293" i="3"/>
  <c r="Z289" i="3"/>
  <c r="Z285" i="3"/>
  <c r="Z281" i="3"/>
  <c r="Z277" i="3"/>
  <c r="Z273" i="3"/>
  <c r="Z269" i="3"/>
  <c r="Z265" i="3"/>
  <c r="Z261" i="3"/>
  <c r="Z257" i="3"/>
  <c r="Z253" i="3"/>
  <c r="Z249" i="3"/>
  <c r="Z245" i="3"/>
  <c r="Z241" i="3"/>
  <c r="Z237" i="3"/>
  <c r="Z233" i="3"/>
  <c r="Z386" i="3"/>
  <c r="Z382" i="3"/>
  <c r="Z378" i="3"/>
  <c r="Z370" i="3"/>
  <c r="Z423" i="3"/>
  <c r="Z421" i="3"/>
  <c r="Z419" i="3"/>
  <c r="Z348" i="3"/>
  <c r="Z340" i="3"/>
  <c r="Z395" i="3"/>
  <c r="Z387" i="3"/>
  <c r="Z407" i="3"/>
  <c r="Z434" i="3"/>
  <c r="Z347" i="3"/>
  <c r="Z343" i="3"/>
  <c r="Z366" i="3"/>
  <c r="Z362" i="3"/>
  <c r="Z398" i="3"/>
  <c r="Z394" i="3"/>
  <c r="Z390" i="3"/>
  <c r="Z424" i="3"/>
  <c r="Z346" i="3"/>
  <c r="Z393" i="3"/>
  <c r="Z422" i="3"/>
  <c r="Z420" i="3"/>
  <c r="Z416" i="3"/>
  <c r="Z414" i="3"/>
  <c r="Z425" i="3"/>
  <c r="Z418" i="3"/>
  <c r="Z426" i="3"/>
  <c r="G411" i="3"/>
  <c r="G407" i="3"/>
  <c r="X413" i="3"/>
  <c r="Z413" i="3" s="1"/>
  <c r="X409" i="3"/>
  <c r="Z409" i="3" s="1"/>
  <c r="X405" i="3"/>
  <c r="Z405" i="3" s="1"/>
  <c r="G410" i="3"/>
  <c r="G406" i="3"/>
  <c r="X412" i="3"/>
  <c r="Z412" i="3" s="1"/>
  <c r="X408" i="3"/>
  <c r="Z408" i="3" s="1"/>
  <c r="G413" i="3"/>
  <c r="G409" i="3"/>
  <c r="G405" i="3"/>
  <c r="X411" i="3"/>
  <c r="Z411" i="3" s="1"/>
  <c r="Z401" i="3"/>
  <c r="Z403" i="3"/>
  <c r="Z399" i="3"/>
  <c r="Z383" i="3"/>
  <c r="Z400" i="3"/>
  <c r="Z396" i="3"/>
  <c r="Z392" i="3"/>
  <c r="Z388" i="3"/>
  <c r="Z384" i="3"/>
  <c r="Z402" i="3"/>
  <c r="Z397" i="3"/>
  <c r="Z406" i="3"/>
  <c r="Z389" i="3"/>
  <c r="Z391" i="3"/>
  <c r="Z374" i="3"/>
  <c r="Z367" i="3"/>
  <c r="Z365" i="3"/>
  <c r="Z363" i="3"/>
  <c r="Z369" i="3"/>
  <c r="Z354" i="3"/>
  <c r="AD453" i="5" s="1"/>
  <c r="G399" i="3"/>
  <c r="G395" i="3"/>
  <c r="G391" i="3"/>
  <c r="G387" i="3"/>
  <c r="G383" i="3"/>
  <c r="G379" i="3"/>
  <c r="G375" i="3"/>
  <c r="G371" i="3"/>
  <c r="G367" i="3"/>
  <c r="G363" i="3"/>
  <c r="G359" i="3"/>
  <c r="G355" i="3"/>
  <c r="Z350" i="3"/>
  <c r="X357" i="3"/>
  <c r="Z357" i="3" s="1"/>
  <c r="X360" i="3"/>
  <c r="Z360" i="3" s="1"/>
  <c r="X356" i="3"/>
  <c r="Z356" i="3" s="1"/>
  <c r="X353" i="3"/>
  <c r="Z353" i="3" s="1"/>
  <c r="G398" i="3"/>
  <c r="G394" i="3"/>
  <c r="G390" i="3"/>
  <c r="G386" i="3"/>
  <c r="G382" i="3"/>
  <c r="G378" i="3"/>
  <c r="G374" i="3"/>
  <c r="G370" i="3"/>
  <c r="G366" i="3"/>
  <c r="G362" i="3"/>
  <c r="G358" i="3"/>
  <c r="G354" i="3"/>
  <c r="Z342" i="3"/>
  <c r="X359" i="3"/>
  <c r="Z359" i="3" s="1"/>
  <c r="X355" i="3"/>
  <c r="Z355" i="3" s="1"/>
  <c r="G397" i="3"/>
  <c r="G393" i="3"/>
  <c r="G389" i="3"/>
  <c r="G385" i="3"/>
  <c r="G381" i="3"/>
  <c r="G377" i="3"/>
  <c r="G373" i="3"/>
  <c r="G369" i="3"/>
  <c r="G365" i="3"/>
  <c r="G361" i="3"/>
  <c r="G357" i="3"/>
  <c r="G353" i="3"/>
  <c r="Z352" i="3"/>
  <c r="X361" i="3"/>
  <c r="Z361" i="3" s="1"/>
  <c r="X358" i="3"/>
  <c r="Z358" i="3" s="1"/>
  <c r="G400" i="3"/>
  <c r="G396" i="3"/>
  <c r="G392" i="3"/>
  <c r="G388" i="3"/>
  <c r="G384" i="3"/>
  <c r="G380" i="3"/>
  <c r="G376" i="3"/>
  <c r="G372" i="3"/>
  <c r="G368" i="3"/>
  <c r="G364" i="3"/>
  <c r="G360" i="3"/>
  <c r="G356" i="3"/>
  <c r="Z351" i="3"/>
  <c r="Z344" i="3"/>
  <c r="Z304" i="3"/>
  <c r="Z300" i="3"/>
  <c r="Z296" i="3"/>
  <c r="Z292" i="3"/>
  <c r="Z288" i="3"/>
  <c r="AD458" i="5" s="1"/>
  <c r="Z284" i="3"/>
  <c r="Z280" i="3"/>
  <c r="Z276" i="3"/>
  <c r="Z272" i="3"/>
  <c r="Z268" i="3"/>
  <c r="Z264" i="3"/>
  <c r="Z260" i="3"/>
  <c r="Z256" i="3"/>
  <c r="Z252" i="3"/>
  <c r="Z248" i="3"/>
  <c r="Z244" i="3"/>
  <c r="Z240" i="3"/>
  <c r="Z236" i="3"/>
  <c r="Z232" i="3"/>
  <c r="Z307" i="3"/>
  <c r="Z313" i="3"/>
  <c r="Z336" i="3"/>
  <c r="Z332" i="3"/>
  <c r="Z328" i="3"/>
  <c r="Z324" i="3"/>
  <c r="Z320" i="3"/>
  <c r="Z316" i="3"/>
  <c r="Z312" i="3"/>
  <c r="Z339" i="3"/>
  <c r="Z335" i="3"/>
  <c r="Z331" i="3"/>
  <c r="Z327" i="3"/>
  <c r="Z323" i="3"/>
  <c r="Z319" i="3"/>
  <c r="Z311" i="3"/>
  <c r="Z338" i="3"/>
  <c r="Z330" i="3"/>
  <c r="Z318" i="3"/>
  <c r="Z314" i="3"/>
  <c r="Z310" i="3"/>
  <c r="Z337" i="3"/>
  <c r="Z329" i="3"/>
  <c r="Z325" i="3"/>
  <c r="Z334" i="3"/>
  <c r="Z333" i="3"/>
  <c r="Z326" i="3"/>
  <c r="Z321" i="3"/>
  <c r="Z322" i="3"/>
  <c r="Z315" i="3"/>
  <c r="Z317" i="3"/>
  <c r="Z309" i="3"/>
  <c r="Z308" i="3"/>
  <c r="Z306" i="3"/>
  <c r="Z303" i="3"/>
  <c r="Z299" i="3"/>
  <c r="Z295" i="3"/>
  <c r="Z291" i="3"/>
  <c r="Z287" i="3"/>
  <c r="Z283" i="3"/>
  <c r="Z279" i="3"/>
  <c r="Z275" i="3"/>
  <c r="Z271" i="3"/>
  <c r="Z267" i="3"/>
  <c r="Z259" i="3"/>
  <c r="Z255" i="3"/>
  <c r="Z251" i="3"/>
  <c r="Z247" i="3"/>
  <c r="Z243" i="3"/>
  <c r="Z239" i="3"/>
  <c r="Z235" i="3"/>
  <c r="Z305" i="3"/>
  <c r="Z145" i="3"/>
  <c r="Z137" i="3"/>
  <c r="Z180" i="3"/>
  <c r="Z172" i="3"/>
  <c r="Z187" i="3"/>
  <c r="Z214" i="3"/>
  <c r="Z210" i="3"/>
  <c r="Z228" i="3"/>
  <c r="Z221" i="3"/>
  <c r="Z217" i="3"/>
  <c r="Z229" i="3"/>
  <c r="Z226" i="3"/>
  <c r="Z219" i="3"/>
  <c r="Z165" i="3"/>
  <c r="Z231" i="3"/>
  <c r="Z224" i="3"/>
  <c r="Z220" i="3"/>
  <c r="Z216" i="3"/>
  <c r="Z225" i="3"/>
  <c r="Z222" i="3"/>
  <c r="Z218" i="3"/>
  <c r="Z227" i="3"/>
  <c r="Z215" i="3"/>
  <c r="Z207" i="3"/>
  <c r="Z209" i="3"/>
  <c r="Z208" i="3"/>
  <c r="Z213" i="3"/>
  <c r="Z206" i="3"/>
  <c r="Z212" i="3"/>
  <c r="Z205" i="3"/>
  <c r="Z211" i="3"/>
  <c r="Z204" i="3"/>
  <c r="Z223" i="3"/>
  <c r="Z198" i="3"/>
  <c r="Z203" i="3"/>
  <c r="Z196" i="3"/>
  <c r="Z195" i="3"/>
  <c r="Z202" i="3"/>
  <c r="Z194" i="3"/>
  <c r="Z199" i="3"/>
  <c r="Z166" i="3"/>
  <c r="Z201" i="3"/>
  <c r="Z191" i="3"/>
  <c r="Z200" i="3"/>
  <c r="Z197" i="3"/>
  <c r="Z174" i="3"/>
  <c r="Z189" i="3"/>
  <c r="Z183" i="3"/>
  <c r="Z173" i="3"/>
  <c r="Z188" i="3"/>
  <c r="Z177" i="3"/>
  <c r="Z184" i="3"/>
  <c r="Z181" i="3"/>
  <c r="Z179" i="3"/>
  <c r="Z186" i="3"/>
  <c r="Z193" i="3"/>
  <c r="Z176" i="3"/>
  <c r="Z178" i="3"/>
  <c r="Z185" i="3"/>
  <c r="Z192" i="3"/>
  <c r="Z175" i="3"/>
  <c r="Z190" i="3"/>
  <c r="Z182" i="3"/>
  <c r="Z135" i="3"/>
  <c r="Z168" i="3"/>
  <c r="Z156" i="3"/>
  <c r="Z170" i="3"/>
  <c r="Z162" i="3"/>
  <c r="Z167" i="3"/>
  <c r="Z158" i="3"/>
  <c r="Z164" i="3"/>
  <c r="Z169" i="3"/>
  <c r="Z161" i="3"/>
  <c r="Z157" i="3"/>
  <c r="Z171" i="3"/>
  <c r="Z163" i="3"/>
  <c r="Z111" i="3"/>
  <c r="AD460" i="5" s="1"/>
  <c r="Z146" i="3"/>
  <c r="Z138" i="3"/>
  <c r="Z153" i="3"/>
  <c r="Z144" i="3"/>
  <c r="Z136" i="3"/>
  <c r="Z155" i="3"/>
  <c r="Z160" i="3"/>
  <c r="Z152" i="3"/>
  <c r="Z143" i="3"/>
  <c r="Z154" i="3"/>
  <c r="Z159" i="3"/>
  <c r="Z151" i="3"/>
  <c r="Z148" i="3"/>
  <c r="Z140" i="3"/>
  <c r="Z150" i="3"/>
  <c r="Z142" i="3"/>
  <c r="Z147" i="3"/>
  <c r="Z139" i="3"/>
  <c r="Z149" i="3"/>
  <c r="Z141" i="3"/>
  <c r="X112" i="3"/>
  <c r="Z112" i="3" s="1"/>
  <c r="X70" i="3"/>
  <c r="Z70" i="3" s="1"/>
  <c r="X97" i="3"/>
  <c r="Z97" i="3" s="1"/>
  <c r="X133" i="3"/>
  <c r="Z133" i="3" s="1"/>
  <c r="X125" i="3"/>
  <c r="Z125" i="3" s="1"/>
  <c r="X117" i="3"/>
  <c r="Z117" i="3" s="1"/>
  <c r="X109" i="3"/>
  <c r="Z109" i="3" s="1"/>
  <c r="X128" i="3"/>
  <c r="Z128" i="3" s="1"/>
  <c r="X88" i="3"/>
  <c r="Z88" i="3" s="1"/>
  <c r="X130" i="3"/>
  <c r="Z130" i="3" s="1"/>
  <c r="X122" i="3"/>
  <c r="Z122" i="3" s="1"/>
  <c r="X114" i="3"/>
  <c r="Z114" i="3" s="1"/>
  <c r="X106" i="3"/>
  <c r="Z106" i="3" s="1"/>
  <c r="X72" i="3"/>
  <c r="Z72" i="3" s="1"/>
  <c r="X64" i="3"/>
  <c r="Z64" i="3" s="1"/>
  <c r="X101" i="3"/>
  <c r="Z101" i="3" s="1"/>
  <c r="X127" i="3"/>
  <c r="Z127" i="3" s="1"/>
  <c r="X119" i="3"/>
  <c r="Z119" i="3" s="1"/>
  <c r="X75" i="3"/>
  <c r="Z75" i="3" s="1"/>
  <c r="X77" i="3"/>
  <c r="Z77" i="3" s="1"/>
  <c r="X124" i="3"/>
  <c r="Z124" i="3" s="1"/>
  <c r="X108" i="3"/>
  <c r="Z108" i="3" s="1"/>
  <c r="X104" i="3"/>
  <c r="Z104" i="3" s="1"/>
  <c r="X69" i="3"/>
  <c r="Z69" i="3" s="1"/>
  <c r="X132" i="3"/>
  <c r="Z132" i="3" s="1"/>
  <c r="X43" i="3"/>
  <c r="Z43" i="3" s="1"/>
  <c r="X74" i="3"/>
  <c r="Z74" i="3" s="1"/>
  <c r="X66" i="3"/>
  <c r="Z66" i="3" s="1"/>
  <c r="X99" i="3"/>
  <c r="Z99" i="3" s="1"/>
  <c r="X103" i="3"/>
  <c r="Z103" i="3" s="1"/>
  <c r="X129" i="3"/>
  <c r="Z129" i="3" s="1"/>
  <c r="X121" i="3"/>
  <c r="Z121" i="3" s="1"/>
  <c r="X113" i="3"/>
  <c r="Z113" i="3" s="1"/>
  <c r="AD469" i="5" s="1"/>
  <c r="X105" i="3"/>
  <c r="Z105" i="3" s="1"/>
  <c r="X67" i="3"/>
  <c r="Z67" i="3" s="1"/>
  <c r="X92" i="3"/>
  <c r="Z92" i="3" s="1"/>
  <c r="X116" i="3"/>
  <c r="Z116" i="3" s="1"/>
  <c r="X71" i="3"/>
  <c r="Z71" i="3" s="1"/>
  <c r="X134" i="3"/>
  <c r="Z134" i="3" s="1"/>
  <c r="X126" i="3"/>
  <c r="Z126" i="3" s="1"/>
  <c r="X118" i="3"/>
  <c r="Z118" i="3" s="1"/>
  <c r="X110" i="3"/>
  <c r="Z110" i="3" s="1"/>
  <c r="X76" i="3"/>
  <c r="Z76" i="3" s="1"/>
  <c r="X131" i="3"/>
  <c r="Z131" i="3" s="1"/>
  <c r="X123" i="3"/>
  <c r="Z123" i="3" s="1"/>
  <c r="X115" i="3"/>
  <c r="Z115" i="3" s="1"/>
  <c r="Z120" i="3"/>
  <c r="Z102" i="3"/>
  <c r="Z107" i="3"/>
  <c r="X90" i="3"/>
  <c r="Z90" i="3" s="1"/>
  <c r="X81" i="3"/>
  <c r="Z81" i="3" s="1"/>
  <c r="X94" i="3"/>
  <c r="Z94" i="3" s="1"/>
  <c r="X83" i="3"/>
  <c r="Z83" i="3" s="1"/>
  <c r="X96" i="3"/>
  <c r="Z96" i="3" s="1"/>
  <c r="X79" i="3"/>
  <c r="Z79" i="3" s="1"/>
  <c r="X85" i="3"/>
  <c r="Z85" i="3" s="1"/>
  <c r="X91" i="3"/>
  <c r="Z91" i="3" s="1"/>
  <c r="X87" i="3"/>
  <c r="Z87" i="3" s="1"/>
  <c r="X98" i="3"/>
  <c r="Z98" i="3" s="1"/>
  <c r="X93" i="3"/>
  <c r="Z93" i="3" s="1"/>
  <c r="X78" i="3"/>
  <c r="Z78" i="3" s="1"/>
  <c r="X89" i="3"/>
  <c r="Z89" i="3" s="1"/>
  <c r="X82" i="3"/>
  <c r="Z82" i="3" s="1"/>
  <c r="X100" i="3"/>
  <c r="Z100" i="3" s="1"/>
  <c r="X95" i="3"/>
  <c r="Z95" i="3" s="1"/>
  <c r="X84" i="3"/>
  <c r="Z84" i="3" s="1"/>
  <c r="X80" i="3"/>
  <c r="Z80" i="3" s="1"/>
  <c r="X86" i="3"/>
  <c r="Z86" i="3" s="1"/>
  <c r="Z68" i="3"/>
  <c r="Z73" i="3"/>
  <c r="Z65" i="3"/>
  <c r="X31" i="3"/>
  <c r="Z31" i="3" s="1"/>
  <c r="X48" i="3"/>
  <c r="Z48" i="3" s="1"/>
  <c r="X6" i="3"/>
  <c r="Z6" i="3" s="1"/>
  <c r="X23" i="3"/>
  <c r="Z23" i="3" s="1"/>
  <c r="X19" i="3"/>
  <c r="Z19" i="3" s="1"/>
  <c r="X15" i="3"/>
  <c r="Z15" i="3" s="1"/>
  <c r="X11" i="3"/>
  <c r="Z11" i="3" s="1"/>
  <c r="X36" i="3"/>
  <c r="Z36" i="3" s="1"/>
  <c r="X28" i="3"/>
  <c r="Z28" i="3" s="1"/>
  <c r="X58" i="3"/>
  <c r="Z58" i="3" s="1"/>
  <c r="X53" i="3"/>
  <c r="Z53" i="3" s="1"/>
  <c r="X45" i="3"/>
  <c r="Z45" i="3" s="1"/>
  <c r="X50" i="3"/>
  <c r="Z50" i="3" s="1"/>
  <c r="X4" i="3"/>
  <c r="Z4" i="3" s="1"/>
  <c r="X22" i="3"/>
  <c r="Z22" i="3" s="1"/>
  <c r="X18" i="3"/>
  <c r="Z18" i="3" s="1"/>
  <c r="X14" i="3"/>
  <c r="Z14" i="3" s="1"/>
  <c r="X38" i="3"/>
  <c r="Z38" i="3" s="1"/>
  <c r="X30" i="3"/>
  <c r="Z30" i="3" s="1"/>
  <c r="X60" i="3"/>
  <c r="Z60" i="3" s="1"/>
  <c r="X47" i="3"/>
  <c r="Z47" i="3" s="1"/>
  <c r="X39" i="3"/>
  <c r="Z39" i="3" s="1"/>
  <c r="X42" i="3"/>
  <c r="Z42" i="3" s="1"/>
  <c r="X2" i="3"/>
  <c r="Z2" i="3" s="1"/>
  <c r="X3" i="3"/>
  <c r="Z3" i="3" s="1"/>
  <c r="X35" i="3"/>
  <c r="Z35" i="3" s="1"/>
  <c r="X27" i="3"/>
  <c r="Z27" i="3" s="1"/>
  <c r="X57" i="3"/>
  <c r="Z57" i="3" s="1"/>
  <c r="X52" i="3"/>
  <c r="Z52" i="3" s="1"/>
  <c r="X44" i="3"/>
  <c r="Z44" i="3" s="1"/>
  <c r="X5" i="3"/>
  <c r="Z5" i="3" s="1"/>
  <c r="X63" i="3"/>
  <c r="Z63" i="3" s="1"/>
  <c r="X10" i="3"/>
  <c r="Z10" i="3" s="1"/>
  <c r="X25" i="3"/>
  <c r="Z25" i="3" s="1"/>
  <c r="X21" i="3"/>
  <c r="Z21" i="3" s="1"/>
  <c r="X17" i="3"/>
  <c r="Z17" i="3" s="1"/>
  <c r="X13" i="3"/>
  <c r="Z13" i="3" s="1"/>
  <c r="X40" i="3"/>
  <c r="Z40" i="3" s="1"/>
  <c r="X32" i="3"/>
  <c r="Z32" i="3" s="1"/>
  <c r="X62" i="3"/>
  <c r="Z62" i="3" s="1"/>
  <c r="X49" i="3"/>
  <c r="Z49" i="3" s="1"/>
  <c r="X41" i="3"/>
  <c r="Z41" i="3" s="1"/>
  <c r="X7" i="3"/>
  <c r="Z7" i="3" s="1"/>
  <c r="X55" i="3"/>
  <c r="Z55" i="3" s="1"/>
  <c r="X9" i="3"/>
  <c r="Z9" i="3" s="1"/>
  <c r="X37" i="3"/>
  <c r="Z37" i="3" s="1"/>
  <c r="X29" i="3"/>
  <c r="Z29" i="3" s="1"/>
  <c r="X59" i="3"/>
  <c r="Z59" i="3" s="1"/>
  <c r="X54" i="3"/>
  <c r="Z54" i="3" s="1"/>
  <c r="X46" i="3"/>
  <c r="Z46" i="3" s="1"/>
  <c r="X61" i="3"/>
  <c r="Z61" i="3" s="1"/>
  <c r="X33" i="3"/>
  <c r="Z33" i="3" s="1"/>
  <c r="X8" i="3"/>
  <c r="Z8" i="3" s="1"/>
  <c r="X24" i="3"/>
  <c r="Z24" i="3" s="1"/>
  <c r="X20" i="3"/>
  <c r="Z20" i="3" s="1"/>
  <c r="X16" i="3"/>
  <c r="Z16" i="3" s="1"/>
  <c r="X12" i="3"/>
  <c r="Z12" i="3" s="1"/>
  <c r="X34" i="3"/>
  <c r="Z34" i="3" s="1"/>
  <c r="X26" i="3"/>
  <c r="Z26" i="3" s="1"/>
  <c r="X56" i="3"/>
  <c r="Z56" i="3" s="1"/>
  <c r="X51" i="3"/>
  <c r="Z51" i="3" s="1"/>
  <c r="AD474" i="5" l="1"/>
  <c r="AD446" i="5"/>
  <c r="AD444" i="5"/>
  <c r="AD443" i="5"/>
  <c r="AD472" i="5"/>
  <c r="AD470" i="5"/>
  <c r="AD457" i="5"/>
  <c r="AD454" i="5"/>
  <c r="AD471" i="5"/>
  <c r="AD465" i="5"/>
  <c r="AD467" i="5"/>
  <c r="AD448" i="5"/>
  <c r="AD464" i="5"/>
  <c r="AD447" i="5"/>
  <c r="AD451" i="5"/>
  <c r="AD400" i="5"/>
  <c r="AD445" i="5"/>
  <c r="AD442" i="5"/>
  <c r="AD455" i="5"/>
  <c r="AD426" i="5"/>
  <c r="AD449" i="5"/>
  <c r="AD452" i="5"/>
  <c r="AD459" i="5"/>
  <c r="AD429" i="5"/>
  <c r="AD450" i="5"/>
  <c r="AD456" i="5"/>
  <c r="AD413" i="5"/>
  <c r="AD440" i="5"/>
  <c r="AD422" i="5"/>
  <c r="AD419" i="5"/>
  <c r="AD222" i="5"/>
  <c r="AD414" i="5"/>
  <c r="AD407" i="5"/>
  <c r="AD435" i="5"/>
  <c r="AD410" i="5"/>
  <c r="AD441" i="5"/>
  <c r="AD403" i="5"/>
  <c r="AD85" i="5"/>
  <c r="AD183" i="5"/>
  <c r="AD316" i="5"/>
  <c r="AD141" i="5"/>
  <c r="AD418" i="5"/>
  <c r="AD405" i="5"/>
  <c r="AD439" i="5"/>
  <c r="AD425" i="5"/>
  <c r="AD421" i="5"/>
  <c r="AD412" i="5"/>
  <c r="AD430" i="5"/>
  <c r="AD415" i="5"/>
  <c r="AD428" i="5"/>
  <c r="AD433" i="5"/>
  <c r="AD404" i="5"/>
  <c r="AD434" i="5"/>
  <c r="AD416" i="5"/>
  <c r="AD420" i="5"/>
  <c r="AD436" i="5"/>
  <c r="AD409" i="5"/>
  <c r="AD379" i="5"/>
  <c r="AD424" i="5"/>
  <c r="AD361" i="5"/>
  <c r="AD423" i="5"/>
  <c r="AD437" i="5"/>
  <c r="AD406" i="5"/>
  <c r="AD432" i="5"/>
  <c r="AD417" i="5"/>
  <c r="AD116" i="5"/>
  <c r="AD180" i="5"/>
  <c r="AD308" i="5"/>
  <c r="AD21" i="5"/>
  <c r="AD125" i="5"/>
  <c r="AD158" i="5"/>
  <c r="AD17" i="5"/>
  <c r="AD177" i="5"/>
  <c r="AD411" i="5"/>
  <c r="AD408" i="5"/>
  <c r="AD431" i="5"/>
  <c r="AD427" i="5"/>
  <c r="AD438" i="5"/>
  <c r="AC2" i="5"/>
  <c r="AD2" i="5"/>
  <c r="AD119" i="5"/>
  <c r="AD30" i="5"/>
  <c r="AD381" i="5"/>
  <c r="AD286" i="5"/>
  <c r="AD124" i="5"/>
  <c r="AD382" i="5"/>
  <c r="AD32" i="5"/>
  <c r="AD224" i="5"/>
  <c r="AD399" i="5"/>
  <c r="AD102" i="5"/>
  <c r="AD388" i="5"/>
  <c r="AD401" i="5"/>
  <c r="AD384" i="5"/>
  <c r="AD395" i="5"/>
  <c r="AD394" i="5"/>
  <c r="AD385" i="5"/>
  <c r="AD398" i="5"/>
  <c r="AD402" i="5"/>
  <c r="AD387" i="5"/>
  <c r="AD393" i="5"/>
  <c r="AD392" i="5"/>
  <c r="AD383" i="5"/>
  <c r="AD386" i="5"/>
  <c r="AD391" i="5"/>
  <c r="AD397" i="5"/>
  <c r="AD362" i="5"/>
  <c r="AD396" i="5"/>
  <c r="AD390" i="5"/>
  <c r="AD378" i="5"/>
  <c r="AD380" i="5"/>
  <c r="AD389" i="5"/>
  <c r="AD367" i="5"/>
  <c r="AD373" i="5"/>
  <c r="AD358" i="5"/>
  <c r="AD230" i="5"/>
  <c r="AD189" i="5"/>
  <c r="AD76" i="5"/>
  <c r="AD365" i="5"/>
  <c r="AD191" i="5"/>
  <c r="AD268" i="5"/>
  <c r="AD372" i="5"/>
  <c r="AD375" i="5"/>
  <c r="AD350" i="5"/>
  <c r="AD288" i="5"/>
  <c r="AD377" i="5"/>
  <c r="AD369" i="5"/>
  <c r="AD127" i="5"/>
  <c r="AD371" i="5"/>
  <c r="AD376" i="5"/>
  <c r="AD29" i="5"/>
  <c r="AD65" i="5"/>
  <c r="AD41" i="5"/>
  <c r="AD374" i="5"/>
  <c r="AD55" i="5"/>
  <c r="AD148" i="5"/>
  <c r="AD370" i="5"/>
  <c r="AD13" i="5"/>
  <c r="AD364" i="5"/>
  <c r="AD166" i="5"/>
  <c r="AD173" i="5"/>
  <c r="AD366" i="5"/>
  <c r="AD368" i="5"/>
  <c r="AD363" i="5"/>
  <c r="AD210" i="5"/>
  <c r="AD311" i="5"/>
  <c r="AD204" i="5"/>
  <c r="AD355" i="5"/>
  <c r="AD217" i="5"/>
  <c r="AD276" i="5"/>
  <c r="AD360" i="5"/>
  <c r="AD252" i="5"/>
  <c r="AD12" i="5"/>
  <c r="AD68" i="5"/>
  <c r="AD255" i="5"/>
  <c r="AD160" i="5"/>
  <c r="AD117" i="5"/>
  <c r="AD196" i="5"/>
  <c r="AD324" i="5"/>
  <c r="AD45" i="5"/>
  <c r="AD110" i="5"/>
  <c r="AD182" i="5"/>
  <c r="AD129" i="5"/>
  <c r="AD97" i="5"/>
  <c r="AD96" i="5"/>
  <c r="AD63" i="5"/>
  <c r="AD254" i="5"/>
  <c r="AD23" i="5"/>
  <c r="AD128" i="5"/>
  <c r="AD6" i="5"/>
  <c r="AD159" i="5"/>
  <c r="AD121" i="5"/>
  <c r="AD356" i="5"/>
  <c r="AD359" i="5"/>
  <c r="AD165" i="5"/>
  <c r="AD326" i="5"/>
  <c r="AD153" i="5"/>
  <c r="AD339" i="5"/>
  <c r="AD330" i="5"/>
  <c r="AD227" i="5"/>
  <c r="AD357" i="5"/>
  <c r="AD174" i="5"/>
  <c r="AD113" i="5"/>
  <c r="AD225" i="5"/>
  <c r="AD72" i="5"/>
  <c r="AD136" i="5"/>
  <c r="AD71" i="5"/>
  <c r="AD263" i="5"/>
  <c r="AD327" i="5"/>
  <c r="AD201" i="5"/>
  <c r="AD56" i="5"/>
  <c r="AD184" i="5"/>
  <c r="AD94" i="5"/>
  <c r="AD200" i="5"/>
  <c r="AD352" i="5"/>
  <c r="AD319" i="5"/>
  <c r="AD33" i="5"/>
  <c r="AD104" i="5"/>
  <c r="AD168" i="5"/>
  <c r="AD232" i="5"/>
  <c r="AD296" i="5"/>
  <c r="AD211" i="5"/>
  <c r="AD346" i="5"/>
  <c r="AD199" i="5"/>
  <c r="AD49" i="5"/>
  <c r="AD48" i="5"/>
  <c r="AD176" i="5"/>
  <c r="AD304" i="5"/>
  <c r="AD3" i="5"/>
  <c r="AD233" i="5"/>
  <c r="AD51" i="5"/>
  <c r="AD260" i="5"/>
  <c r="AD302" i="5"/>
  <c r="AD246" i="5"/>
  <c r="AD271" i="5"/>
  <c r="AD248" i="5"/>
  <c r="AD35" i="5"/>
  <c r="AD250" i="5"/>
  <c r="AD313" i="5"/>
  <c r="AD105" i="5"/>
  <c r="AD332" i="5"/>
  <c r="AD25" i="5"/>
  <c r="AD20" i="5"/>
  <c r="AD87" i="5"/>
  <c r="AD343" i="5"/>
  <c r="AD89" i="5"/>
  <c r="AD188" i="5"/>
  <c r="AD84" i="5"/>
  <c r="AD93" i="5"/>
  <c r="AD287" i="5"/>
  <c r="AD328" i="5"/>
  <c r="AD99" i="5"/>
  <c r="AD143" i="5"/>
  <c r="AD272" i="5"/>
  <c r="AD157" i="5"/>
  <c r="AD61" i="5"/>
  <c r="AD79" i="5"/>
  <c r="AD92" i="5"/>
  <c r="AD228" i="5"/>
  <c r="AD103" i="5"/>
  <c r="AD247" i="5"/>
  <c r="AD46" i="5"/>
  <c r="AD7" i="5"/>
  <c r="AD112" i="5"/>
  <c r="AD145" i="5"/>
  <c r="AD151" i="5"/>
  <c r="AD279" i="5"/>
  <c r="AD192" i="5"/>
  <c r="AD256" i="5"/>
  <c r="AD209" i="5"/>
  <c r="AD294" i="5"/>
  <c r="AD193" i="5"/>
  <c r="AD132" i="5"/>
  <c r="AD133" i="5"/>
  <c r="AD9" i="5"/>
  <c r="AD140" i="5"/>
  <c r="AD54" i="5"/>
  <c r="AD310" i="5"/>
  <c r="AD207" i="5"/>
  <c r="AD335" i="5"/>
  <c r="AD120" i="5"/>
  <c r="AD312" i="5"/>
  <c r="AD179" i="5"/>
  <c r="AD212" i="5"/>
  <c r="AD340" i="5"/>
  <c r="AD62" i="5"/>
  <c r="AD126" i="5"/>
  <c r="AD215" i="5"/>
  <c r="AD64" i="5"/>
  <c r="AD52" i="5"/>
  <c r="AD244" i="5"/>
  <c r="AD60" i="5"/>
  <c r="AD38" i="5"/>
  <c r="AD40" i="5"/>
  <c r="AD4" i="5"/>
  <c r="AD238" i="5"/>
  <c r="AD135" i="5"/>
  <c r="AD240" i="5"/>
  <c r="AD149" i="5"/>
  <c r="AD118" i="5"/>
  <c r="AD15" i="5"/>
  <c r="AD77" i="5"/>
  <c r="AD190" i="5"/>
  <c r="AD318" i="5"/>
  <c r="AD241" i="5"/>
  <c r="AD213" i="5"/>
  <c r="AD347" i="5"/>
  <c r="AD107" i="5"/>
  <c r="AD285" i="5"/>
  <c r="AD221" i="5"/>
  <c r="AD297" i="5"/>
  <c r="AD197" i="5"/>
  <c r="AD337" i="5"/>
  <c r="AD90" i="5"/>
  <c r="AD275" i="5"/>
  <c r="AD91" i="5"/>
  <c r="AD277" i="5"/>
  <c r="AD67" i="5"/>
  <c r="AD266" i="5"/>
  <c r="AD290" i="5"/>
  <c r="AD10" i="5"/>
  <c r="AD234" i="5"/>
  <c r="AD83" i="5"/>
  <c r="AD139" i="5"/>
  <c r="AD301" i="5"/>
  <c r="AD258" i="5"/>
  <c r="AD345" i="5"/>
  <c r="AD219" i="5"/>
  <c r="AD353" i="5"/>
  <c r="AD122" i="5"/>
  <c r="AD291" i="5"/>
  <c r="AD123" i="5"/>
  <c r="AD293" i="5"/>
  <c r="AD282" i="5"/>
  <c r="AD338" i="5"/>
  <c r="AD42" i="5"/>
  <c r="AD251" i="5"/>
  <c r="AD242" i="5"/>
  <c r="AD171" i="5"/>
  <c r="AD317" i="5"/>
  <c r="AD274" i="5"/>
  <c r="AD18" i="5"/>
  <c r="AD237" i="5"/>
  <c r="AD115" i="5"/>
  <c r="AD154" i="5"/>
  <c r="AD307" i="5"/>
  <c r="AD155" i="5"/>
  <c r="AD309" i="5"/>
  <c r="AD131" i="5"/>
  <c r="AD298" i="5"/>
  <c r="AD66" i="5"/>
  <c r="AD74" i="5"/>
  <c r="AD267" i="5"/>
  <c r="AD306" i="5"/>
  <c r="AD195" i="5"/>
  <c r="AD333" i="5"/>
  <c r="AD322" i="5"/>
  <c r="AD50" i="5"/>
  <c r="AD257" i="5"/>
  <c r="AD98" i="5"/>
  <c r="AD181" i="5"/>
  <c r="AD323" i="5"/>
  <c r="AD186" i="5"/>
  <c r="AD325" i="5"/>
  <c r="AD320" i="5"/>
  <c r="AD28" i="5"/>
  <c r="AD156" i="5"/>
  <c r="AD220" i="5"/>
  <c r="AD284" i="5"/>
  <c r="AD348" i="5"/>
  <c r="AD37" i="5"/>
  <c r="AD70" i="5"/>
  <c r="AD134" i="5"/>
  <c r="AD198" i="5"/>
  <c r="AD262" i="5"/>
  <c r="AD57" i="5"/>
  <c r="AD161" i="5"/>
  <c r="AD31" i="5"/>
  <c r="AD95" i="5"/>
  <c r="AD223" i="5"/>
  <c r="AD351" i="5"/>
  <c r="AD8" i="5"/>
  <c r="AD264" i="5"/>
  <c r="AD36" i="5"/>
  <c r="AD100" i="5"/>
  <c r="AD164" i="5"/>
  <c r="AD292" i="5"/>
  <c r="AD101" i="5"/>
  <c r="AD53" i="5"/>
  <c r="AD14" i="5"/>
  <c r="AD78" i="5"/>
  <c r="AD142" i="5"/>
  <c r="AD206" i="5"/>
  <c r="AD270" i="5"/>
  <c r="AD334" i="5"/>
  <c r="AD73" i="5"/>
  <c r="AD169" i="5"/>
  <c r="AD39" i="5"/>
  <c r="AD167" i="5"/>
  <c r="AD231" i="5"/>
  <c r="AD295" i="5"/>
  <c r="AD137" i="5"/>
  <c r="AD16" i="5"/>
  <c r="AD80" i="5"/>
  <c r="AD144" i="5"/>
  <c r="AD208" i="5"/>
  <c r="AD336" i="5"/>
  <c r="AD44" i="5"/>
  <c r="AD108" i="5"/>
  <c r="AD172" i="5"/>
  <c r="AD236" i="5"/>
  <c r="AD300" i="5"/>
  <c r="AD5" i="5"/>
  <c r="AD109" i="5"/>
  <c r="AD69" i="5"/>
  <c r="AD22" i="5"/>
  <c r="AD86" i="5"/>
  <c r="AD150" i="5"/>
  <c r="AD214" i="5"/>
  <c r="AD278" i="5"/>
  <c r="AD342" i="5"/>
  <c r="AD81" i="5"/>
  <c r="AD185" i="5"/>
  <c r="AD47" i="5"/>
  <c r="AD111" i="5"/>
  <c r="AD175" i="5"/>
  <c r="AD239" i="5"/>
  <c r="AD303" i="5"/>
  <c r="AD24" i="5"/>
  <c r="AD88" i="5"/>
  <c r="AD152" i="5"/>
  <c r="AD216" i="5"/>
  <c r="AD280" i="5"/>
  <c r="AD344" i="5"/>
  <c r="AD163" i="5"/>
  <c r="AD314" i="5"/>
  <c r="AD162" i="5"/>
  <c r="AD106" i="5"/>
  <c r="AD283" i="5"/>
  <c r="AD354" i="5"/>
  <c r="AD218" i="5"/>
  <c r="AD349" i="5"/>
  <c r="AD34" i="5"/>
  <c r="AD82" i="5"/>
  <c r="AD273" i="5"/>
  <c r="AD229" i="5"/>
  <c r="AD203" i="5"/>
  <c r="AD205" i="5"/>
  <c r="AD341" i="5"/>
  <c r="AD138" i="5"/>
  <c r="AD299" i="5"/>
  <c r="AD11" i="5"/>
  <c r="AD235" i="5"/>
  <c r="AD19" i="5"/>
  <c r="AD130" i="5"/>
  <c r="AD114" i="5"/>
  <c r="AD289" i="5"/>
  <c r="AD329" i="5"/>
  <c r="AD226" i="5"/>
  <c r="AD249" i="5"/>
  <c r="AD170" i="5"/>
  <c r="AD315" i="5"/>
  <c r="AD43" i="5"/>
  <c r="AD253" i="5"/>
  <c r="AD147" i="5"/>
  <c r="AD187" i="5"/>
  <c r="AD146" i="5"/>
  <c r="AD305" i="5"/>
  <c r="AD26" i="5"/>
  <c r="AD243" i="5"/>
  <c r="AD27" i="5"/>
  <c r="AD245" i="5"/>
  <c r="AD281" i="5"/>
  <c r="AD194" i="5"/>
  <c r="AD331" i="5"/>
  <c r="AD75" i="5"/>
  <c r="AD269" i="5"/>
  <c r="AD202" i="5"/>
  <c r="AD265" i="5"/>
  <c r="AD178" i="5"/>
  <c r="AD321" i="5"/>
  <c r="AD58" i="5"/>
  <c r="AD259" i="5"/>
  <c r="AD59" i="5"/>
  <c r="AD26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<sst xmlns="http://schemas.openxmlformats.org/spreadsheetml/2006/main" count="3276" uniqueCount="1958">
  <si>
    <t>ID</t>
  </si>
  <si>
    <t>ID</t>
    <phoneticPr fontId="2"/>
  </si>
  <si>
    <t>配信日</t>
    <rPh sb="0" eb="3">
      <t>ハイシンビ</t>
    </rPh>
    <phoneticPr fontId="2"/>
  </si>
  <si>
    <t>タイトル</t>
    <phoneticPr fontId="2"/>
  </si>
  <si>
    <t>【初配信】おばけじゃないから、怖くないよ〜.。o○【幽音しの:ななしいんく】</t>
    <phoneticPr fontId="2"/>
  </si>
  <si>
    <t>URL</t>
    <phoneticPr fontId="2"/>
  </si>
  <si>
    <t>https://www.youtube.com/live/rPoEadXC5ck?si=PyjsfpuwHgwH2fjV</t>
    <phoneticPr fontId="2"/>
  </si>
  <si>
    <t>LIVE_ID</t>
  </si>
  <si>
    <t>曲名</t>
  </si>
  <si>
    <t>タイムスタンプ</t>
  </si>
  <si>
    <t>かすかなおと</t>
  </si>
  <si>
    <t>アーティスト</t>
  </si>
  <si>
    <t>時分秒変換</t>
    <rPh sb="0" eb="3">
      <t>ジフンビョウ</t>
    </rPh>
    <rPh sb="3" eb="5">
      <t>ヘンカン</t>
    </rPh>
    <phoneticPr fontId="2"/>
  </si>
  <si>
    <t>項目</t>
    <rPh sb="0" eb="2">
      <t>コウモク</t>
    </rPh>
    <phoneticPr fontId="2"/>
  </si>
  <si>
    <t>値</t>
    <rPh sb="0" eb="1">
      <t>アタイ</t>
    </rPh>
    <phoneticPr fontId="2"/>
  </si>
  <si>
    <t>0:01:47</t>
  </si>
  <si>
    <t>タイムスタンプ秒</t>
    <rPh sb="7" eb="8">
      <t>ビョウ</t>
    </rPh>
    <phoneticPr fontId="2"/>
  </si>
  <si>
    <t>&amp;t=XXXXXs</t>
    <phoneticPr fontId="2"/>
  </si>
  <si>
    <t>リンク</t>
    <phoneticPr fontId="2"/>
  </si>
  <si>
    <t>怪獣の花唄</t>
  </si>
  <si>
    <t>Vaundy</t>
  </si>
  <si>
    <t>初配信兼入浴の歌</t>
  </si>
  <si>
    <t>0:03:13</t>
  </si>
  <si>
    <t>0:26:45</t>
  </si>
  <si>
    <t>【雑談】今日こそはアップのしのを見せます！！【幽音しの:ななしいんく】</t>
    <phoneticPr fontId="2"/>
  </si>
  <si>
    <t>https://www.youtube.com/live/ManpEHIFXt8?si=FaF-JgKp6sZN0EAV</t>
    <phoneticPr fontId="2"/>
  </si>
  <si>
    <t>【弾き語り】あったかいので、春に聞きたい歌を歌う日です！！【幽音しの:ななしいんく】</t>
    <phoneticPr fontId="2"/>
  </si>
  <si>
    <t>https://www.youtube.com/live/UnI_NxQlyr8?si=2zvgEeRPzShWMpBP</t>
    <phoneticPr fontId="2"/>
  </si>
  <si>
    <t>0:06:09</t>
  </si>
  <si>
    <t>憂、燦々</t>
  </si>
  <si>
    <t>0:15:28</t>
  </si>
  <si>
    <t>プラトニック・ラヴ</t>
  </si>
  <si>
    <t>0:22:59</t>
  </si>
  <si>
    <t>さようなら、花泥棒さん</t>
  </si>
  <si>
    <t>0:31:28</t>
  </si>
  <si>
    <t>踊り子</t>
  </si>
  <si>
    <t>0:41:18</t>
  </si>
  <si>
    <t>春擬き</t>
  </si>
  <si>
    <t>0:51:17</t>
  </si>
  <si>
    <t>CHE.R.RY</t>
  </si>
  <si>
    <t>1:00:20</t>
  </si>
  <si>
    <t>春泥棒</t>
  </si>
  <si>
    <t>クリープハイプ</t>
    <phoneticPr fontId="2"/>
  </si>
  <si>
    <t>メル feat.IA</t>
    <phoneticPr fontId="2"/>
  </si>
  <si>
    <t>メル feat.初音ミク</t>
  </si>
  <si>
    <t>メル feat.初音ミク</t>
    <phoneticPr fontId="2"/>
  </si>
  <si>
    <t>Vaundy</t>
    <phoneticPr fontId="2"/>
  </si>
  <si>
    <t>やなぎなぎ</t>
    <phoneticPr fontId="2"/>
  </si>
  <si>
    <t>YUI</t>
    <phoneticPr fontId="2"/>
  </si>
  <si>
    <t>ヨルシカ</t>
    <phoneticPr fontId="2"/>
  </si>
  <si>
    <t>【弾き語り】夜にピッタリな曲を歌っていきます！！【幽音しの:ななしいんく】</t>
    <phoneticPr fontId="2"/>
  </si>
  <si>
    <t>https://www.youtube.com/live/qX9bxWpkH6E?si=OkODsP1XDKgR0qeY</t>
    <phoneticPr fontId="2"/>
  </si>
  <si>
    <t>0:05:55</t>
  </si>
  <si>
    <t>ヒカリヘ</t>
  </si>
  <si>
    <t>miwa</t>
  </si>
  <si>
    <t>0:13:23</t>
  </si>
  <si>
    <t>more than words</t>
  </si>
  <si>
    <t>羊文学</t>
  </si>
  <si>
    <t>0:21:20</t>
  </si>
  <si>
    <t>お気に召すまま</t>
  </si>
  <si>
    <t>0:28:43</t>
  </si>
  <si>
    <t>Laugh away</t>
  </si>
  <si>
    <t>Yui</t>
  </si>
  <si>
    <t>0:35:56</t>
  </si>
  <si>
    <t>flos</t>
  </si>
  <si>
    <t>R Sound Design feat.初音ミク</t>
  </si>
  <si>
    <t>0:43:20</t>
  </si>
  <si>
    <t>灯火</t>
  </si>
  <si>
    <t>0:48:23</t>
  </si>
  <si>
    <t>鼓膜の歌</t>
  </si>
  <si>
    <t>0:52:20</t>
  </si>
  <si>
    <t>ドライフラワー</t>
  </si>
  <si>
    <t>優里</t>
  </si>
  <si>
    <t>1:01:17</t>
  </si>
  <si>
    <t>秒針を噛む</t>
  </si>
  <si>
    <t>ずっと真夜中でいいのに</t>
  </si>
  <si>
    <t>1:09:49</t>
  </si>
  <si>
    <t>真夜中遊園地</t>
  </si>
  <si>
    <t>チャットモンチー</t>
  </si>
  <si>
    <t>1:18:11</t>
  </si>
  <si>
    <t>想像フォレスト</t>
  </si>
  <si>
    <t>じん(自然の敵P) feat.IA</t>
  </si>
  <si>
    <t>1:27:05</t>
  </si>
  <si>
    <t>いのちの名前</t>
  </si>
  <si>
    <t>木村弓</t>
  </si>
  <si>
    <t>1:35:51</t>
  </si>
  <si>
    <t>1:42:50</t>
  </si>
  <si>
    <t>カワキヲアメク</t>
  </si>
  <si>
    <t>美波</t>
  </si>
  <si>
    <t>いつも何度でも</t>
    <phoneticPr fontId="2"/>
  </si>
  <si>
    <t>【マイクラ】いざ！！はじめてのななしマイクラへ！【幽音しの:ななしいんく】</t>
    <phoneticPr fontId="2"/>
  </si>
  <si>
    <t>https://www.youtube.com/live/teQHty590Zo?si=v5B1y_6kXfHA0GoX</t>
    <phoneticPr fontId="2"/>
  </si>
  <si>
    <t>【弾き語り】ボカロ多めの弾き語り歌枠！！【幽音しの:ななしいんく】</t>
    <phoneticPr fontId="2"/>
  </si>
  <si>
    <t>https://www.youtube.com/live/kbdEHcoJcQs?si=VS3EodMJVsy1DVZQ</t>
    <phoneticPr fontId="2"/>
  </si>
  <si>
    <t xml:space="preserve">【弾き語り】ボカロ多めの弾き語り歌枠！！【幽音しの:ななしいんく】 </t>
    <phoneticPr fontId="2"/>
  </si>
  <si>
    <t>https://www.youtube.com/live/BIOCmyo4mQU?si=mUE7u0kM5d94T-4A</t>
    <phoneticPr fontId="2"/>
  </si>
  <si>
    <t>0:01:43</t>
  </si>
  <si>
    <t>Just Be Friends</t>
  </si>
  <si>
    <t>Dixie Flatline feat.巡音ルカ</t>
  </si>
  <si>
    <t>0:09:44</t>
  </si>
  <si>
    <t>夜明けと蛍</t>
  </si>
  <si>
    <t>n-buna(ヨルシカ) feat.初音ミク</t>
  </si>
  <si>
    <t>0:16:35</t>
  </si>
  <si>
    <t>絶え間なく藍色</t>
  </si>
  <si>
    <t>獅子志司 feat.初音ミク</t>
  </si>
  <si>
    <t>0:22:22</t>
  </si>
  <si>
    <t>レディーレ</t>
  </si>
  <si>
    <t>バルーン feat.flower</t>
  </si>
  <si>
    <t>0:29:29</t>
  </si>
  <si>
    <t>翡翠のまち</t>
  </si>
  <si>
    <t>0:33:35</t>
  </si>
  <si>
    <t>妄想感傷代償連盟</t>
  </si>
  <si>
    <t>DECO*27 feat.初音ミク</t>
  </si>
  <si>
    <t>0:41:37</t>
  </si>
  <si>
    <t>Calc.</t>
  </si>
  <si>
    <t>ジミーサムP feat.初音ミク</t>
  </si>
  <si>
    <t>0:48:07</t>
  </si>
  <si>
    <t>快晴</t>
  </si>
  <si>
    <t>Orangestar feat.初音ミク</t>
  </si>
  <si>
    <t>0:57:04</t>
  </si>
  <si>
    <t>アスノヨゾラ哨戒班</t>
  </si>
  <si>
    <t>1:01:03</t>
  </si>
  <si>
    <t>やめるやめる詐欺</t>
  </si>
  <si>
    <t>1:02:07</t>
  </si>
  <si>
    <t>雨き声残響</t>
  </si>
  <si>
    <t>Orangestar feat.IA</t>
  </si>
  <si>
    <t>【Cチームコラボ】ガーティックフォンやっていくぞ～！【幽音しの:ななしいんく】</t>
    <phoneticPr fontId="2"/>
  </si>
  <si>
    <t>https://www.youtube.com/live/4-U-XxXCyOM?si=BEJWFGAa9QkkJd2W</t>
    <phoneticPr fontId="2"/>
  </si>
  <si>
    <t>https://www.youtube.com/live/gtzKshYmOXY?si=1Gz8lwbOe32zbbqo</t>
    <phoneticPr fontId="2"/>
  </si>
  <si>
    <t>【弾き語り】チルタイム！夜の弾き語り歌枠！！【幽音しの:ななしいんく】</t>
    <phoneticPr fontId="2"/>
  </si>
  <si>
    <t>0:04:07</t>
  </si>
  <si>
    <t>ツキヨミ</t>
  </si>
  <si>
    <t>phatmans after school</t>
  </si>
  <si>
    <t>0:12:20</t>
  </si>
  <si>
    <t>Ghost of a smile</t>
  </si>
  <si>
    <t>EGOIST</t>
  </si>
  <si>
    <t>0:20:13</t>
  </si>
  <si>
    <t>トゲめくスピカ</t>
  </si>
  <si>
    <t>ポルカドットスティングレイ</t>
  </si>
  <si>
    <t>0:27:55</t>
  </si>
  <si>
    <t>靴の花火</t>
  </si>
  <si>
    <t>ヨルシカ</t>
  </si>
  <si>
    <t>0:33:51</t>
  </si>
  <si>
    <t>ブルーベリー・ナイツ</t>
  </si>
  <si>
    <t>マカロニえんぴつ</t>
  </si>
  <si>
    <t>0:40:20</t>
  </si>
  <si>
    <t>from Y to Y</t>
  </si>
  <si>
    <t>ジミーサムP feat.初音ミク＆巡音ルカ(コーラス)</t>
  </si>
  <si>
    <t>0:50:00</t>
  </si>
  <si>
    <t>少女レイ</t>
  </si>
  <si>
    <t>みきとP feat.初音ミク</t>
  </si>
  <si>
    <t>0:57:05</t>
  </si>
  <si>
    <t>記憶の水槽</t>
  </si>
  <si>
    <t>こんにちは谷田さん(キタニタツヤ) feat.初音ミク</t>
  </si>
  <si>
    <t>1:03:05</t>
  </si>
  <si>
    <t>弱虫モンブラン</t>
  </si>
  <si>
    <t>DECO*27 feat.GUMI</t>
  </si>
  <si>
    <t>1:10:08</t>
  </si>
  <si>
    <t>君という神話</t>
  </si>
  <si>
    <t>やなぎなぎ&amp; 麻枝准</t>
  </si>
  <si>
    <t>1:18:30</t>
  </si>
  <si>
    <t>夏の半券</t>
  </si>
  <si>
    <t>1:26:46</t>
  </si>
  <si>
    <t>Alice in 冷凍庫</t>
  </si>
  <si>
    <t>1:35:20</t>
  </si>
  <si>
    <t>回る空うさぎ</t>
  </si>
  <si>
    <t>1:42:25</t>
  </si>
  <si>
    <t>カタオモイ</t>
  </si>
  <si>
    <t>Aimer</t>
  </si>
  <si>
    <t>https://www.youtube.com/live/kdlYMlLAv-0?si=_bP0uWXKt4eYdLz1</t>
    <phoneticPr fontId="2"/>
  </si>
  <si>
    <t>【マインクラフト】のんびりやっていく！！うーぱー捕まえてから考える【幽音しの:ななしいんく】</t>
    <phoneticPr fontId="2"/>
  </si>
  <si>
    <t>【弾き語り】回線テスト　ゲリラ！【幽音しの:ななしいんく】</t>
    <phoneticPr fontId="2"/>
  </si>
  <si>
    <t>https://www.youtube.com/live/Fd1Z_6ywMyI?si=i1-U-h_G5BWB0Lq-</t>
    <phoneticPr fontId="2"/>
  </si>
  <si>
    <t>0:04:45</t>
  </si>
  <si>
    <t>東京フラッシュ</t>
  </si>
  <si>
    <t>0:11:54</t>
  </si>
  <si>
    <t>シンデレラボーイ</t>
  </si>
  <si>
    <t>Saucy Dog</t>
  </si>
  <si>
    <t>0:16:45</t>
  </si>
  <si>
    <t>からくりピエロ</t>
  </si>
  <si>
    <t>40mP feat.初音ミク</t>
  </si>
  <si>
    <t>0:23:01</t>
  </si>
  <si>
    <t>おやすみ、泣き声 さよなら歌姫</t>
  </si>
  <si>
    <t>クリープハイプ</t>
  </si>
  <si>
    <t>0:31:04</t>
  </si>
  <si>
    <t>Good-bye days</t>
  </si>
  <si>
    <t>YUI for 雨音薫</t>
  </si>
  <si>
    <t>【祝！収益化】君たちのおかげだよ～～！しのの好きな歌を弾き語りしていく！！！【幽音しの:ななしいんく】</t>
    <phoneticPr fontId="2"/>
  </si>
  <si>
    <t>https://www.youtube.com/live/0d6TiZm7xWc?si=rSfrknMqNQFcz5xw</t>
    <phoneticPr fontId="2"/>
  </si>
  <si>
    <t>0:15:01</t>
  </si>
  <si>
    <t>0:20:27</t>
  </si>
  <si>
    <t>星座になれたら</t>
  </si>
  <si>
    <t>結束バンド</t>
  </si>
  <si>
    <t>0:27:49</t>
  </si>
  <si>
    <t>ユキトキ</t>
  </si>
  <si>
    <t>やなぎなぎ</t>
  </si>
  <si>
    <t>0:35:10</t>
  </si>
  <si>
    <t>DAYBREAK FRONTLINE</t>
  </si>
  <si>
    <t>0:42:12</t>
  </si>
  <si>
    <t>sabotage</t>
  </si>
  <si>
    <t>緑黄色社会</t>
  </si>
  <si>
    <t>0:51:00</t>
  </si>
  <si>
    <t>ノーチラス</t>
  </si>
  <si>
    <t>0:59:27</t>
  </si>
  <si>
    <t>天ノ弱</t>
  </si>
  <si>
    <t>164P feat.GUMI</t>
  </si>
  <si>
    <t>1:06:07</t>
  </si>
  <si>
    <t>Perfect Day</t>
  </si>
  <si>
    <t>supercell</t>
  </si>
  <si>
    <t>1:15:09</t>
  </si>
  <si>
    <t>藍二乗</t>
  </si>
  <si>
    <t>【チーム対抗マリオカート対決】しの、1位しか見えてないーーーーーーー。【幽音しの:ななしいんく】</t>
    <phoneticPr fontId="2"/>
  </si>
  <si>
    <t>https://www.youtube.com/live/nxg3s7Mvnhc?si=vPvFxyMP3KdlQhLU</t>
    <phoneticPr fontId="2"/>
  </si>
  <si>
    <t>【弾き語り】深夜チル歌枠！ゆったり弾き語りしていく！！！【幽音しの:ななしいんく】</t>
    <phoneticPr fontId="2"/>
  </si>
  <si>
    <t>https://www.youtube.com/live/7l8RLTKBC8E?si=4WR3af3ZrVMWAe9X</t>
    <phoneticPr fontId="2"/>
  </si>
  <si>
    <t>0:03:42</t>
  </si>
  <si>
    <t>napori</t>
  </si>
  <si>
    <t>0:10:23</t>
  </si>
  <si>
    <t>君の知らない物語</t>
  </si>
  <si>
    <t>0:19:37</t>
  </si>
  <si>
    <t>ギターと孤独と蒼い惑星</t>
  </si>
  <si>
    <t>0:26:10</t>
  </si>
  <si>
    <t>光るとき</t>
  </si>
  <si>
    <t>0:34:38</t>
  </si>
  <si>
    <t>メルト</t>
  </si>
  <si>
    <t>ryo(supercell) feat.初音ミク</t>
  </si>
  <si>
    <t>0:42:02</t>
  </si>
  <si>
    <t>Dear Mr 「F」</t>
  </si>
  <si>
    <t>ずっと真夜中でいいのに。</t>
  </si>
  <si>
    <t>0:49:44</t>
  </si>
  <si>
    <t>言って。</t>
  </si>
  <si>
    <t>0:55:50</t>
  </si>
  <si>
    <t>チノカテ</t>
  </si>
  <si>
    <t>1:03:13</t>
  </si>
  <si>
    <t>Planetes</t>
  </si>
  <si>
    <t>1:13:39</t>
  </si>
  <si>
    <t>ちょっと待ってねの歌</t>
  </si>
  <si>
    <t>1:15:22</t>
  </si>
  <si>
    <t>名前のない怪物</t>
  </si>
  <si>
    <t>1:25:50</t>
  </si>
  <si>
    <t>https://www.youtube.com/live/lrLQ6akH23w?si=aC5HLJK6UZYwu-Yn</t>
    <phoneticPr fontId="2"/>
  </si>
  <si>
    <t>0:05:06</t>
  </si>
  <si>
    <t>花占い</t>
  </si>
  <si>
    <t>0:11:44</t>
  </si>
  <si>
    <t>トウキョウ・シャンディ・ランデヴ</t>
  </si>
  <si>
    <t>MAISONdes</t>
  </si>
  <si>
    <t>0:17:10</t>
  </si>
  <si>
    <t>マーシャルマキシマイザ</t>
  </si>
  <si>
    <t>柊マグネタイト feat.可不</t>
  </si>
  <si>
    <t>0:23:51</t>
  </si>
  <si>
    <t>ロストワンの号哭</t>
  </si>
  <si>
    <t>Neru feat.鏡音リン</t>
  </si>
  <si>
    <t>0:31:52</t>
  </si>
  <si>
    <t>ビビデバ</t>
  </si>
  <si>
    <t>星街すいせい</t>
  </si>
  <si>
    <t>0:37:03</t>
  </si>
  <si>
    <t>ロケットサイダー</t>
  </si>
  <si>
    <t>ナユタン星人</t>
  </si>
  <si>
    <t>0:43:08</t>
  </si>
  <si>
    <t>ノーダウト</t>
  </si>
  <si>
    <t>Official髭男dism</t>
  </si>
  <si>
    <t>0:49:55</t>
  </si>
  <si>
    <t>拝啓、少年よ</t>
  </si>
  <si>
    <t>Hump Back</t>
  </si>
  <si>
    <t>1:00:10</t>
  </si>
  <si>
    <t>1:06:50</t>
  </si>
  <si>
    <t>シャルル</t>
  </si>
  <si>
    <t>バルーン(須田景凪)feat.flowel</t>
  </si>
  <si>
    <t>1:13:28</t>
  </si>
  <si>
    <t>Drop pop candy</t>
  </si>
  <si>
    <t>れをる&amp;ぎがP feat.鏡音リン&amp;巡音ルカ</t>
  </si>
  <si>
    <t>1:21:52</t>
  </si>
  <si>
    <t>心という名の不可解</t>
  </si>
  <si>
    <t>Ado</t>
  </si>
  <si>
    <t>1:31:07</t>
  </si>
  <si>
    <t>HELLO〜Paradise Kiss〜</t>
  </si>
  <si>
    <t>YUI</t>
  </si>
  <si>
    <t>1:40:40</t>
  </si>
  <si>
    <t>忘れろの歌</t>
  </si>
  <si>
    <t>幽音しの(即興)</t>
  </si>
  <si>
    <t>幽音しの</t>
    <phoneticPr fontId="2"/>
  </si>
  <si>
    <t>https://www.youtube.com/live/8yfLYQayxQg?si=O0Q0AXQXC39nd7WJ</t>
    <phoneticPr fontId="2"/>
  </si>
  <si>
    <t>0:04:50</t>
  </si>
  <si>
    <t>一番の宝物</t>
  </si>
  <si>
    <t>Girls Dead Monster</t>
  </si>
  <si>
    <t>0:11:55</t>
  </si>
  <si>
    <t>My Soul Your Beats!</t>
  </si>
  <si>
    <t>Lia</t>
  </si>
  <si>
    <t>0:19:00</t>
  </si>
  <si>
    <t>雨、キミを連れて</t>
  </si>
  <si>
    <t>0:26:16</t>
  </si>
  <si>
    <t>変わらないもの</t>
  </si>
  <si>
    <t>奥華子</t>
  </si>
  <si>
    <t>0:33:15</t>
  </si>
  <si>
    <t>阿吽のビーツ</t>
  </si>
  <si>
    <t>羽生まゐご feat.flower</t>
  </si>
  <si>
    <t>0:39:23</t>
  </si>
  <si>
    <t>マリーゴールド</t>
  </si>
  <si>
    <t>あいみょん</t>
  </si>
  <si>
    <t>0:48:35</t>
  </si>
  <si>
    <t>Henceforth</t>
  </si>
  <si>
    <t>0:56:16</t>
  </si>
  <si>
    <t>地球最後の告白を</t>
  </si>
  <si>
    <t>Kemu feat.Gumi</t>
  </si>
  <si>
    <t>1:03:41</t>
  </si>
  <si>
    <t>花に亡霊</t>
  </si>
  <si>
    <t>1:09:40</t>
  </si>
  <si>
    <t>うたかた花火</t>
  </si>
  <si>
    <t>1:19:14</t>
  </si>
  <si>
    <t>1:27:32</t>
  </si>
  <si>
    <t>さよならメモリーズ</t>
  </si>
  <si>
    <t>1:34:54</t>
  </si>
  <si>
    <t>リルモア</t>
  </si>
  <si>
    <t>1:40:36</t>
  </si>
  <si>
    <t>ヒーロー(1chorus)</t>
  </si>
  <si>
    <t>1:44:17</t>
  </si>
  <si>
    <t>The Bravery(1chorus)</t>
  </si>
  <si>
    <t>1:48:43</t>
  </si>
  <si>
    <t>少年ブレイヴ</t>
  </si>
  <si>
    <t>1:57:15</t>
  </si>
  <si>
    <t>カゲロウデイズ(1chorus)</t>
  </si>
  <si>
    <t>じん(自然の敵P) feat.初音ミク</t>
  </si>
  <si>
    <t>2:00:45</t>
  </si>
  <si>
    <t>リライト(1phrase)</t>
  </si>
  <si>
    <t>ASIAN KUNG-FU GENERATION</t>
  </si>
  <si>
    <t>2:02:52</t>
  </si>
  <si>
    <t>粉雪</t>
  </si>
  <si>
    <t>レミオロメン</t>
  </si>
  <si>
    <t>2:10:22</t>
  </si>
  <si>
    <t>Butter-Fly(1phrase)</t>
  </si>
  <si>
    <t>和田光司</t>
  </si>
  <si>
    <t>2:13:11</t>
  </si>
  <si>
    <t>God knows…</t>
  </si>
  <si>
    <t>涼宮ハルヒ(平野綾)</t>
  </si>
  <si>
    <t>2:21:07</t>
  </si>
  <si>
    <t>ハレ晴レユカイ(1phrase)</t>
  </si>
  <si>
    <t>涼宮ハルヒ(CV.平野綾)&amp;長門有希(CV.茅原実里)&amp;朝比奈みくる(CV.後藤邑子)</t>
  </si>
  <si>
    <t>2:23:48</t>
  </si>
  <si>
    <t>さユり</t>
  </si>
  <si>
    <t>2:32:56</t>
  </si>
  <si>
    <t>unravel</t>
  </si>
  <si>
    <t>TK from 凛</t>
  </si>
  <si>
    <t>雨とカプチーノ</t>
    <phoneticPr fontId="2"/>
  </si>
  <si>
    <t>花の塔</t>
    <phoneticPr fontId="2"/>
  </si>
  <si>
    <t>【マイクラ】好きに話しながら作業する配信！！【幽音しの:ななしいんく】</t>
    <phoneticPr fontId="2"/>
  </si>
  <si>
    <t>https://www.youtube.com/live/gPoOwdHJsS0?si=m0w1THhhEjbjOfbt</t>
    <phoneticPr fontId="2"/>
  </si>
  <si>
    <t>即興ソング</t>
    <rPh sb="0" eb="2">
      <t>ソッキョウ</t>
    </rPh>
    <phoneticPr fontId="2"/>
  </si>
  <si>
    <t>幽音しの(即興)</t>
    <phoneticPr fontId="2"/>
  </si>
  <si>
    <t>2:41:48</t>
    <phoneticPr fontId="2"/>
  </si>
  <si>
    <t>【メンシ解禁＆1か月】ついに解禁～～！！しのが心を込めて書いたよ！【幽音しの:ななしいんく】</t>
    <phoneticPr fontId="2"/>
  </si>
  <si>
    <t>https://www.youtube.com/live/9eMVaPOXvzM?si=jhgkuY6UKcne9MmF</t>
    <phoneticPr fontId="2"/>
  </si>
  <si>
    <t>忘れてやらない</t>
  </si>
  <si>
    <t>0:43:21</t>
  </si>
  <si>
    <t>ヒッチコック</t>
  </si>
  <si>
    <t>0:49:15</t>
  </si>
  <si>
    <t>これからもよろしくソング</t>
  </si>
  <si>
    <t xml:space="preserve">【弾き語り】深夜定期　チルく弾き語りしていく～～！！！【幽音しの:ななしいんく】　♯なしいんく】　#vsinger 　#karaoke </t>
    <phoneticPr fontId="2"/>
  </si>
  <si>
    <t>【弾き語り】普段より激しい曲を弾き語りしていく～～！！！【幽音しの:ななしいんく】 #vsinger 　#karaoke</t>
    <phoneticPr fontId="2"/>
  </si>
  <si>
    <t>【弾き語り】君たちの夜を彩る弾き語りを【幽音しの:ななしいんく】 #vsinger 　#karaoke</t>
    <phoneticPr fontId="2"/>
  </si>
  <si>
    <t>https://www.youtube.com/live/Fk_EmmypSiM?si=mLstEGouiNtVQoKh</t>
    <phoneticPr fontId="2"/>
  </si>
  <si>
    <t>【弾き語り】深夜定期　チルく弾き語りしていく～～！！！【幽音しの:ななしいんく】 #vsinger 　#karaoke</t>
    <phoneticPr fontId="2"/>
  </si>
  <si>
    <t>https://www.youtube.com/live/Z1v3sT_d6uU?si=epz4SGbUtnFLtw2-</t>
    <phoneticPr fontId="2"/>
  </si>
  <si>
    <t>0:05:00</t>
  </si>
  <si>
    <t>ハルノヒ</t>
  </si>
  <si>
    <t>0:12:55</t>
  </si>
  <si>
    <t>アイロニ</t>
  </si>
  <si>
    <t>すこっぷ feat.初音ミク</t>
  </si>
  <si>
    <t>0:19:24</t>
  </si>
  <si>
    <t>星が瞬くこんな夜に</t>
  </si>
  <si>
    <t>0:25:54</t>
  </si>
  <si>
    <t>My Dearest</t>
  </si>
  <si>
    <t>0:34:04</t>
  </si>
  <si>
    <t>The Everlasting Guilty Crown</t>
  </si>
  <si>
    <t>0:43:51</t>
  </si>
  <si>
    <t>Departures 〜あなたにおくるアイの歌〜</t>
  </si>
  <si>
    <t>0:52:10</t>
  </si>
  <si>
    <t>エモさはいつもしののそばに</t>
  </si>
  <si>
    <t>0:58:00</t>
  </si>
  <si>
    <t>斜陽</t>
  </si>
  <si>
    <t>1:03:27</t>
  </si>
  <si>
    <t>1:09:34</t>
  </si>
  <si>
    <t>1:20:38</t>
  </si>
  <si>
    <t>しのぴが色々洋楽をうろ覚えで歌うよ!</t>
  </si>
  <si>
    <t>1:30:03</t>
  </si>
  <si>
    <t>ハロ/ハワユ</t>
  </si>
  <si>
    <t>ナノウ(ほえほえP) feat. 初音ミク</t>
  </si>
  <si>
    <t>1:38:07</t>
  </si>
  <si>
    <t>フラッシュバッカー</t>
  </si>
  <si>
    <t>1:45:32</t>
  </si>
  <si>
    <t>シルシ</t>
  </si>
  <si>
    <t>LiSA</t>
  </si>
  <si>
    <t>1:57:25</t>
  </si>
  <si>
    <t>完全感覚Dreamer</t>
  </si>
  <si>
    <t>ONE OK ROCK</t>
  </si>
  <si>
    <t>-</t>
    <phoneticPr fontId="2"/>
  </si>
  <si>
    <t>幽音しの(即興)</t>
    <phoneticPr fontId="2"/>
  </si>
  <si>
    <t>【雑談＆ゲーム？】収益化配信の時のスパチャ読みしていく～～！！！【幽音しの:ななしいんく】</t>
    <phoneticPr fontId="2"/>
  </si>
  <si>
    <t>https://www.youtube.com/live/GhxYkBhtP0g?si=Qt_m63448vPV8ZNd</t>
    <phoneticPr fontId="2"/>
  </si>
  <si>
    <t>【うるぱんおばけ】マインクラフトコラボ～～！！！ついにアレが始まる！【幽音しの:ななしいんく】</t>
    <phoneticPr fontId="2"/>
  </si>
  <si>
    <t>https://www.youtube.com/live/p07OUcKY2ys?si=SPijX45Z0_ge7vIl</t>
    <phoneticPr fontId="2"/>
  </si>
  <si>
    <t>【カラオケ】初めての音源歌枠～！テストもかねて編【幽音しの:ななしいんく】　＃karaoke　 ＃歌枠</t>
    <phoneticPr fontId="2"/>
  </si>
  <si>
    <t>https://www.youtube.com/live/EIV2fME4Fec?si=lkzDtJEJ9agzd2Md</t>
    <phoneticPr fontId="2"/>
  </si>
  <si>
    <t>0:05:12</t>
  </si>
  <si>
    <t>めざせポケモンマスター</t>
  </si>
  <si>
    <t>松本梨香</t>
  </si>
  <si>
    <t>0:11:17</t>
  </si>
  <si>
    <t>Together</t>
  </si>
  <si>
    <t>あきよしふみえ</t>
  </si>
  <si>
    <t>0:17:27</t>
  </si>
  <si>
    <t>チルドレンレコード</t>
  </si>
  <si>
    <t>0:21:37</t>
  </si>
  <si>
    <t>ロスタイムメモリー</t>
  </si>
  <si>
    <t>0:28:10</t>
  </si>
  <si>
    <t>脳漿炸裂ガール</t>
  </si>
  <si>
    <t>れるりり(当社比P) feat.初音ミク</t>
  </si>
  <si>
    <t>0:33:06</t>
  </si>
  <si>
    <t>0:40:10</t>
  </si>
  <si>
    <t>インビジブル</t>
  </si>
  <si>
    <t>kemu feat.GUMI&amp;鏡音リン</t>
  </si>
  <si>
    <t>0:44:49</t>
  </si>
  <si>
    <t>六兆年と一夜物語</t>
  </si>
  <si>
    <t>kemu feat.IA</t>
  </si>
  <si>
    <t>0:51:23</t>
  </si>
  <si>
    <t>エンヴィーキャットウォーク</t>
  </si>
  <si>
    <t>トーマ feat.初音ミク</t>
  </si>
  <si>
    <t>0:56:59</t>
  </si>
  <si>
    <t>初音ミクの消失 -DEAD END-</t>
  </si>
  <si>
    <t>cosMo(暴走P) feat.初音ミク</t>
  </si>
  <si>
    <t>1:04:00</t>
  </si>
  <si>
    <t>1:10:04</t>
  </si>
  <si>
    <t>Bling-Bang-Bang-Born</t>
  </si>
  <si>
    <t>Creepy Nuts</t>
  </si>
  <si>
    <t>1:18:54</t>
  </si>
  <si>
    <t>恋愛裁判</t>
  </si>
  <si>
    <t>1:25:03</t>
  </si>
  <si>
    <t>ドーナツホール</t>
  </si>
  <si>
    <t>ハチ(米津玄師) feat.GUMI</t>
  </si>
  <si>
    <t>1:31:00</t>
  </si>
  <si>
    <t>ゴーストルール</t>
  </si>
  <si>
    <t>1:35:34</t>
  </si>
  <si>
    <t>虎視眈々</t>
  </si>
  <si>
    <t>梅とら feat. 巡音ルカ&amp;初音ミク&amp;GUMI&amp;IA&amp;鏡音リン</t>
  </si>
  <si>
    <t>1:40:42</t>
  </si>
  <si>
    <t>威風堂々</t>
  </si>
  <si>
    <t>1:46:41</t>
  </si>
  <si>
    <t>ワールドイズマイン</t>
  </si>
  <si>
    <t>ryo feat.初音ミク</t>
  </si>
  <si>
    <t>1:55:42</t>
  </si>
  <si>
    <t>脱法ロック</t>
  </si>
  <si>
    <t>Neru feat.鏡音レン</t>
  </si>
  <si>
    <t>2:04:04</t>
  </si>
  <si>
    <t>独りんぼエンヴィー</t>
  </si>
  <si>
    <t>koyori(電ポルP) feat.初音ミク</t>
  </si>
  <si>
    <t>2:10:00</t>
  </si>
  <si>
    <t>ハロー、プラネット。</t>
  </si>
  <si>
    <t>ささくれ。P feat.初音ミク</t>
  </si>
  <si>
    <t>【弾き語り】深夜定期!!　今日は必ずチルで弾き語りしていく～～！！！【幽音しの:ななしいんく】</t>
    <phoneticPr fontId="2"/>
  </si>
  <si>
    <t>https://www.youtube.com/live/Us_EP0LuOUI?si=QKfLbi9NsZLi9sIi</t>
    <phoneticPr fontId="2"/>
  </si>
  <si>
    <t>0:04:26</t>
  </si>
  <si>
    <t>花瓶に触れた</t>
  </si>
  <si>
    <t>バルーン(須田景凪) feat.flower</t>
  </si>
  <si>
    <t>0:20:30</t>
  </si>
  <si>
    <t>死んでしまったのだろうか</t>
  </si>
  <si>
    <t>Guiano feat.flower</t>
  </si>
  <si>
    <t>0:26:54</t>
  </si>
  <si>
    <t>ナンセンス文学</t>
  </si>
  <si>
    <t>Eve feat.初音ミク</t>
  </si>
  <si>
    <t>0:33:03</t>
  </si>
  <si>
    <t>残灯花火</t>
  </si>
  <si>
    <t>0:42:19</t>
  </si>
  <si>
    <t>霽れを待つ</t>
  </si>
  <si>
    <t>0:50:04</t>
  </si>
  <si>
    <t>染まるよ</t>
  </si>
  <si>
    <t>0:57:36</t>
  </si>
  <si>
    <t>ルージュの伝言</t>
  </si>
  <si>
    <t>荒井由実(松任谷由実)</t>
  </si>
  <si>
    <t>1:02:49</t>
  </si>
  <si>
    <t>ナイトルール</t>
  </si>
  <si>
    <t>煮ル果実 feat.可不</t>
  </si>
  <si>
    <t>1:11:08</t>
  </si>
  <si>
    <t>1:15:17</t>
  </si>
  <si>
    <t>疑心暗鬼</t>
  </si>
  <si>
    <t>1:22:25</t>
  </si>
  <si>
    <t>アルジャーノン</t>
  </si>
  <si>
    <t>1:30:49</t>
  </si>
  <si>
    <t>ヒーロー</t>
  </si>
  <si>
    <t>1:38:50</t>
  </si>
  <si>
    <t>チルになりたい</t>
  </si>
  <si>
    <t>1:45:54</t>
  </si>
  <si>
    <t>1:55:08</t>
  </si>
  <si>
    <t>ワロタ＆明日の宣伝の歌</t>
  </si>
  <si>
    <t>https://www.youtube.com/live/E8l1nOoKLLI?si=9GMtlAOzsgHxbniX</t>
    <phoneticPr fontId="2"/>
  </si>
  <si>
    <t>【音源歌枠】95点チャレンジしていく！歌うぞ～～～！【幽音しの:ななしいんく】</t>
    <phoneticPr fontId="2"/>
  </si>
  <si>
    <t>0:05:02</t>
  </si>
  <si>
    <t>0:10:04</t>
  </si>
  <si>
    <t>ストリーミングハート</t>
  </si>
  <si>
    <t>0:14:36</t>
  </si>
  <si>
    <t>0:19:16</t>
  </si>
  <si>
    <t>0:27:06</t>
  </si>
  <si>
    <t>The Beginning</t>
  </si>
  <si>
    <t>0:34:10</t>
  </si>
  <si>
    <t>0:42:11</t>
  </si>
  <si>
    <t>脳裏上のクラッカー</t>
  </si>
  <si>
    <t>0:48:08</t>
  </si>
  <si>
    <t>勘冴えて悔しいわ</t>
  </si>
  <si>
    <t>0:53:40</t>
  </si>
  <si>
    <t>夜に駆ける</t>
  </si>
  <si>
    <t>YOASOBI</t>
  </si>
  <si>
    <t>0:59:20</t>
  </si>
  <si>
    <t>1:04:21</t>
  </si>
  <si>
    <t>1:12:05</t>
  </si>
  <si>
    <t>1:18:41</t>
  </si>
  <si>
    <t>夕立のりぼん</t>
  </si>
  <si>
    <t>1:23:18</t>
  </si>
  <si>
    <t>ビバハピ</t>
  </si>
  <si>
    <t>1:30:20</t>
  </si>
  <si>
    <t>1:34:26</t>
  </si>
  <si>
    <t>空奏列車</t>
  </si>
  <si>
    <t>1:40:46</t>
  </si>
  <si>
    <t>1:45:12</t>
  </si>
  <si>
    <t>千本桜</t>
  </si>
  <si>
    <t>1:51:26</t>
  </si>
  <si>
    <t>空想フォレスト</t>
  </si>
  <si>
    <t>1:56:21</t>
  </si>
  <si>
    <t>サマータイムレコード</t>
  </si>
  <si>
    <t>2:02:46</t>
  </si>
  <si>
    <t>2:13:12</t>
  </si>
  <si>
    <t>バルーン(須田景凪) feat.flowel</t>
  </si>
  <si>
    <t>みきとP feat.MAYU</t>
  </si>
  <si>
    <t>Mitchie M feat.初音ミク</t>
  </si>
  <si>
    <t>Orangestar feat.初音ミク&amp;IA</t>
  </si>
  <si>
    <t>黒うさ feat.初音ミク</t>
  </si>
  <si>
    <t>ねむねむの歌</t>
    <phoneticPr fontId="2"/>
  </si>
  <si>
    <t>【弾き語り】　げりらりら歌枠【幽音しの:ななしいんく】</t>
    <phoneticPr fontId="2"/>
  </si>
  <si>
    <t>https://www.youtube.com/live/T2z_BAhLZz0?si=FZhoxASjxucX4Rxr</t>
    <phoneticPr fontId="2"/>
  </si>
  <si>
    <t>0:04:32</t>
  </si>
  <si>
    <t>晩餐歌</t>
  </si>
  <si>
    <t>tuki.</t>
  </si>
  <si>
    <t>0:12:45</t>
  </si>
  <si>
    <t>恋風邪に乗せて</t>
  </si>
  <si>
    <t>0:21:52</t>
  </si>
  <si>
    <t>置き手紙</t>
  </si>
  <si>
    <t>0:29:37</t>
  </si>
  <si>
    <t>丸の内サディスティック</t>
  </si>
  <si>
    <t>椎名林檎</t>
  </si>
  <si>
    <t>0:38:42</t>
  </si>
  <si>
    <t>アイネクライネ</t>
  </si>
  <si>
    <t>米津玄師</t>
  </si>
  <si>
    <t>0:47:15</t>
  </si>
  <si>
    <t>0:58:07</t>
  </si>
  <si>
    <t>1:07:15</t>
  </si>
  <si>
    <t>星が消えた夜に</t>
  </si>
  <si>
    <t>1:17:01</t>
  </si>
  <si>
    <t>今食べたいもの</t>
  </si>
  <si>
    <t>1:24:02</t>
  </si>
  <si>
    <t>https://www.youtube.com/live/OEtLBen9pLM?si=M4WDMSGkkHfWLvDr</t>
    <phoneticPr fontId="2"/>
  </si>
  <si>
    <t>【弾き語り】 夜に歌う弾き語り～～～！！！！！【幽音しの:ななしいんく】</t>
    <phoneticPr fontId="2"/>
  </si>
  <si>
    <t>0:08:18</t>
  </si>
  <si>
    <t>だから僕は音楽を辞めた</t>
  </si>
  <si>
    <t>0:16:13</t>
  </si>
  <si>
    <t>又三郎</t>
  </si>
  <si>
    <t>0:24:09</t>
  </si>
  <si>
    <t>again</t>
  </si>
  <si>
    <t>0:30:59</t>
  </si>
  <si>
    <t>あの夢をなぞって</t>
  </si>
  <si>
    <t>0:41:59</t>
  </si>
  <si>
    <t>MILABO</t>
  </si>
  <si>
    <t>0:49:36</t>
  </si>
  <si>
    <t>正しくなれない</t>
  </si>
  <si>
    <t>0:57:18</t>
  </si>
  <si>
    <t>低血ボルト</t>
  </si>
  <si>
    <t>1:08:37</t>
  </si>
  <si>
    <t>ド屑</t>
  </si>
  <si>
    <t>なきそ feat.歌愛ユキ</t>
  </si>
  <si>
    <t>1:12:52</t>
  </si>
  <si>
    <t>1:16:50</t>
  </si>
  <si>
    <t>ストーカーの唄～3丁目、貴方の家～</t>
  </si>
  <si>
    <t>阿部真央</t>
  </si>
  <si>
    <t>1:29:11</t>
  </si>
  <si>
    <t>ロンリー</t>
  </si>
  <si>
    <t>1:41:40</t>
  </si>
  <si>
    <t>キセキ</t>
  </si>
  <si>
    <t>GRe4N BOYZ(GReeeeN)</t>
  </si>
  <si>
    <t>化けの花(1chorus)</t>
    <phoneticPr fontId="2"/>
  </si>
  <si>
    <t>【コラボ】初めてだけど余裕でしょ！！！！！！完全爆弾解除マニュアル：Keep Talking and Nobody Explodes【幽音しの:ななしいんく】</t>
    <phoneticPr fontId="2"/>
  </si>
  <si>
    <t>https://www.youtube.com/live/kAN03C_u2wk?si=C3MgRUb2uxI_lKRp</t>
    <phoneticPr fontId="2"/>
  </si>
  <si>
    <t>【弾き語り】深夜定期でゆったりしていく　夜に聞きたい曲を！！！【幽音しの:ななしいんく】</t>
    <phoneticPr fontId="2"/>
  </si>
  <si>
    <t>https://www.youtube.com/live/wEZHgaS4eCg?si=_Rpt2MlexrsFC7dZ</t>
    <phoneticPr fontId="2"/>
  </si>
  <si>
    <t>0:05:29</t>
  </si>
  <si>
    <t>ミカヅキ</t>
  </si>
  <si>
    <t>0:13:27</t>
  </si>
  <si>
    <t>フラレガイガール</t>
  </si>
  <si>
    <t>0:23:25</t>
  </si>
  <si>
    <t>帝国少女</t>
  </si>
  <si>
    <t>0:32:35</t>
  </si>
  <si>
    <t>カトラリー</t>
  </si>
  <si>
    <t>有機酸(神山羊) feat.初音ミク</t>
  </si>
  <si>
    <t>0:40:14</t>
  </si>
  <si>
    <t>鳥</t>
  </si>
  <si>
    <t>Guiano feat.可不</t>
  </si>
  <si>
    <t>0:46:04</t>
  </si>
  <si>
    <t>0:54:36</t>
  </si>
  <si>
    <t>境界の彼方</t>
  </si>
  <si>
    <t>茅原実里</t>
  </si>
  <si>
    <t>1:03:48</t>
  </si>
  <si>
    <t>空色デイズ</t>
  </si>
  <si>
    <t>中川翔子</t>
  </si>
  <si>
    <t>1:14:10</t>
  </si>
  <si>
    <t>surges</t>
  </si>
  <si>
    <t>Orangestar feat.IA＆初音ミク</t>
  </si>
  <si>
    <t>1:20:06</t>
  </si>
  <si>
    <t>紅蓮華</t>
  </si>
  <si>
    <t>1:30:05</t>
  </si>
  <si>
    <t>残酷な天使のテーゼ</t>
  </si>
  <si>
    <t>高橋洋子</t>
  </si>
  <si>
    <t>1:36:35</t>
  </si>
  <si>
    <t>多分チル2の歌</t>
  </si>
  <si>
    <t>1:43:50</t>
  </si>
  <si>
    <t>ロキ</t>
  </si>
  <si>
    <t>みきとP feat.鏡音リン</t>
  </si>
  <si>
    <t>1:54:51</t>
  </si>
  <si>
    <t>2:07:01</t>
  </si>
  <si>
    <t>ダイアモンドクレバス</t>
  </si>
  <si>
    <t>2:19:09</t>
  </si>
  <si>
    <t>ebb and flow</t>
  </si>
  <si>
    <t>Ray</t>
  </si>
  <si>
    <t>音源区分</t>
    <rPh sb="0" eb="2">
      <t>オンゲン</t>
    </rPh>
    <rPh sb="2" eb="4">
      <t>クブン</t>
    </rPh>
    <phoneticPr fontId="2"/>
  </si>
  <si>
    <t>他</t>
    <rPh sb="0" eb="1">
      <t>ホカ</t>
    </rPh>
    <phoneticPr fontId="2"/>
  </si>
  <si>
    <t>弾き語り</t>
    <rPh sb="0" eb="1">
      <t>ヒ</t>
    </rPh>
    <rPh sb="2" eb="3">
      <t>ガタ</t>
    </rPh>
    <phoneticPr fontId="2"/>
  </si>
  <si>
    <t>音源</t>
    <rPh sb="0" eb="2">
      <t>オンゲン</t>
    </rPh>
    <phoneticPr fontId="2"/>
  </si>
  <si>
    <t>配信音源区分</t>
    <rPh sb="0" eb="2">
      <t>ハイシン</t>
    </rPh>
    <rPh sb="2" eb="6">
      <t>オンゲンクブン</t>
    </rPh>
    <phoneticPr fontId="2"/>
  </si>
  <si>
    <t>【歌枠】アニソン縛りで歌っていきます！【幽音しの:ななしいんく】　#新人vtuber / #vsinger</t>
    <phoneticPr fontId="2"/>
  </si>
  <si>
    <t>https://www.youtube.com/live/GvGh24EJfGg?si=QLYBryRLPz4v_Qdl</t>
    <phoneticPr fontId="2"/>
  </si>
  <si>
    <t>0:09:13</t>
  </si>
  <si>
    <t>0:16:08</t>
  </si>
  <si>
    <t>0:24:00</t>
  </si>
  <si>
    <t>0:30:08</t>
  </si>
  <si>
    <t>All Alone With You</t>
  </si>
  <si>
    <t>0:37:18</t>
  </si>
  <si>
    <t>リローデッド</t>
  </si>
  <si>
    <t>0:44:17</t>
  </si>
  <si>
    <t>0:52:39</t>
  </si>
  <si>
    <t>1:01:20</t>
  </si>
  <si>
    <t>Ref:rain</t>
  </si>
  <si>
    <t>1:07:33</t>
  </si>
  <si>
    <t>I beg you</t>
  </si>
  <si>
    <t>1:14:32</t>
  </si>
  <si>
    <t>炎</t>
  </si>
  <si>
    <t>1:21:35</t>
  </si>
  <si>
    <t>ライオン</t>
  </si>
  <si>
    <t>シェリル・ノーム starring May'n&amp;ランカ・リー(CV.中島愛)</t>
  </si>
  <si>
    <t>1:29:07</t>
  </si>
  <si>
    <t>asphyxia</t>
  </si>
  <si>
    <t>Cö shu Nie</t>
  </si>
  <si>
    <t>1:34:30</t>
  </si>
  <si>
    <t>unlasting</t>
  </si>
  <si>
    <t>1:40:54</t>
  </si>
  <si>
    <t>青空のラプソディ</t>
  </si>
  <si>
    <t>fhána</t>
  </si>
  <si>
    <t>1:49:03</t>
  </si>
  <si>
    <t>1:56:06</t>
  </si>
  <si>
    <t>daze</t>
  </si>
  <si>
    <t>じん(自然の敵P) feat.メイリア</t>
  </si>
  <si>
    <t>2:01:00</t>
  </si>
  <si>
    <t>優しい彗星</t>
  </si>
  <si>
    <t>2:06:08</t>
  </si>
  <si>
    <t>シュガーソングとビターステップ</t>
  </si>
  <si>
    <t>UNISON SQUARE GARDEN</t>
  </si>
  <si>
    <t>2:13:08</t>
  </si>
  <si>
    <t>Snow halation</t>
  </si>
  <si>
    <t>μ‘s(ラブライブ!)</t>
  </si>
  <si>
    <t>2:19:40</t>
  </si>
  <si>
    <t>SEVENTH HAVEN</t>
  </si>
  <si>
    <t>セブンスシスターズ</t>
  </si>
  <si>
    <t>2:26:44</t>
  </si>
  <si>
    <t>星間飛行</t>
  </si>
  <si>
    <t>2:32:24</t>
  </si>
  <si>
    <t>射手座☆午後九時Don't be late</t>
  </si>
  <si>
    <t>2:39:07</t>
  </si>
  <si>
    <t>ノーザンクロス</t>
  </si>
  <si>
    <t>2:45:50</t>
  </si>
  <si>
    <t>狂乱 Hey Kids!!</t>
  </si>
  <si>
    <t>THE ORAL CIGARETTES</t>
  </si>
  <si>
    <t>2:52:21</t>
  </si>
  <si>
    <t>【DON'T SCREAM】懺悔ホラー！見守りありでやる 【幽音しの:ななしいんく】　#新人vtuber</t>
    <phoneticPr fontId="2"/>
  </si>
  <si>
    <t>https://www.youtube.com/live/_LQ7HdUNq5w?si=qZDGfBAezmmueivV</t>
    <phoneticPr fontId="2"/>
  </si>
  <si>
    <t>【ゲーム】少しつぼおじを触っていく！　Getting Over It【幽音しの:ななしいんく】　#新人vtuber</t>
    <phoneticPr fontId="2"/>
  </si>
  <si>
    <t>https://www.youtube.com/live/XVZw9I6yZAg?si=cSpTyiDaBFkw_KqY</t>
    <phoneticPr fontId="2"/>
  </si>
  <si>
    <t>【弾き語り】深夜定期！眠れる歌枠をどうぞ【幽音しの:ななしいんく】　#新人vtuber / #vsinger</t>
    <phoneticPr fontId="2"/>
  </si>
  <si>
    <t>https://www.youtube.com/live/6wh0qjbo6K4?si=vntI9mYE52ZplV6U</t>
    <phoneticPr fontId="2"/>
  </si>
  <si>
    <t>0:07:35</t>
  </si>
  <si>
    <t>プラネタリウム</t>
  </si>
  <si>
    <t>大塚愛</t>
  </si>
  <si>
    <t>0:15:09</t>
  </si>
  <si>
    <t>ヒューマノイド</t>
  </si>
  <si>
    <t>0:23:17</t>
  </si>
  <si>
    <t>0:27:28</t>
  </si>
  <si>
    <t>テルーの唄</t>
  </si>
  <si>
    <t>手嶌葵</t>
  </si>
  <si>
    <t>0:35:11</t>
  </si>
  <si>
    <t>側にいて</t>
  </si>
  <si>
    <t>0:43:03</t>
  </si>
  <si>
    <t>milk</t>
  </si>
  <si>
    <t>aiko</t>
  </si>
  <si>
    <t>0:50:07</t>
  </si>
  <si>
    <t>How Crazy</t>
  </si>
  <si>
    <t>1:02:09</t>
  </si>
  <si>
    <t>Fire◎Flower</t>
  </si>
  <si>
    <t>halyosy feat.鏡音レン</t>
  </si>
  <si>
    <t>1:08:52</t>
  </si>
  <si>
    <t>フタリボシ</t>
  </si>
  <si>
    <t>1:17:02</t>
  </si>
  <si>
    <t>リインカーネーション</t>
  </si>
  <si>
    <t>ロクデナシ</t>
  </si>
  <si>
    <t>1:22:59</t>
  </si>
  <si>
    <t>なんでもないや</t>
  </si>
  <si>
    <t>RADWIMPS</t>
  </si>
  <si>
    <t>1:31:38</t>
  </si>
  <si>
    <t>花火</t>
  </si>
  <si>
    <t>1:39:40</t>
  </si>
  <si>
    <t>忘れじの言の葉 (short ver)</t>
  </si>
  <si>
    <t>未来古代楽団 feat. 安次嶺希和子</t>
  </si>
  <si>
    <t>【 Backrooms #あましの】恐ろしいものが潜んでいるってホント？Escape the Backrooms 【幽音しの:ななしいんく】　#新人vtuber / #vsinger</t>
    <phoneticPr fontId="2"/>
  </si>
  <si>
    <t>https://www.youtube.com/live/Wm8SJ2In5hk?si=hIb5ii9nQxkobaIG</t>
    <phoneticPr fontId="2"/>
  </si>
  <si>
    <t>【コラボ】エンドラ討伐！！！！【幽音しの:ななしいんく】　#新人vtuber / #vsinger</t>
    <phoneticPr fontId="2"/>
  </si>
  <si>
    <t>https://www.youtube.com/live/3i9yjRs0_a8?si=lfqOrG-slxFf5TMM</t>
    <phoneticPr fontId="2"/>
  </si>
  <si>
    <t>【カラオケ！】初めての縦型歌枠！お昼だからね…！【幽音しの:ななしいんく】　#新人vtuber / #vsinger</t>
    <phoneticPr fontId="2"/>
  </si>
  <si>
    <t>https://www.youtube.com/live/cHLqE4AOOjI?si=heDnYTUAoUpLyQ_J</t>
    <phoneticPr fontId="2"/>
  </si>
  <si>
    <t>0:07:10</t>
  </si>
  <si>
    <t>青と夏</t>
  </si>
  <si>
    <t>Mrs. GREEN APPLE</t>
  </si>
  <si>
    <t>0:14:33</t>
  </si>
  <si>
    <t>ハッピー・ジャムジャム</t>
  </si>
  <si>
    <t>M.S.J</t>
  </si>
  <si>
    <t>0:19:43</t>
  </si>
  <si>
    <t>アンパンマンのマーチ</t>
  </si>
  <si>
    <t>やなせたかし(作曲者)</t>
  </si>
  <si>
    <t>0:24:44</t>
  </si>
  <si>
    <t>サムライハート(Some Like It Hot!!)</t>
  </si>
  <si>
    <t>SPYAIR</t>
  </si>
  <si>
    <t>0:29:46</t>
  </si>
  <si>
    <t>ないものねだり</t>
  </si>
  <si>
    <t>KANA-BOON</t>
  </si>
  <si>
    <t>0:34:31</t>
  </si>
  <si>
    <t>結晶星</t>
  </si>
  <si>
    <t>0:40:32</t>
  </si>
  <si>
    <t>ナナヒツジ</t>
  </si>
  <si>
    <t>シナリオアート</t>
  </si>
  <si>
    <t>0:46:13</t>
  </si>
  <si>
    <t>テレキャスター・ストライプ</t>
  </si>
  <si>
    <t>0:53:02</t>
  </si>
  <si>
    <t>社会の窓</t>
  </si>
  <si>
    <t>0:58:27</t>
  </si>
  <si>
    <t>1:03:52</t>
  </si>
  <si>
    <t>【弾き語り】定期！弾き語りでゆっくりしていかない？【幽音しの:ななしいんく】　#新人vtuber / #vsinger</t>
    <phoneticPr fontId="2"/>
  </si>
  <si>
    <t>https://www.youtube.com/live/wY3z5W9B8N0?si=FVqBjyoCdmcOKFxz</t>
    <phoneticPr fontId="2"/>
  </si>
  <si>
    <t>8:16</t>
  </si>
  <si>
    <t>träumerei</t>
  </si>
  <si>
    <t>16:19</t>
  </si>
  <si>
    <t>Catch the Moment</t>
  </si>
  <si>
    <t>24:20</t>
  </si>
  <si>
    <t>crossing field</t>
  </si>
  <si>
    <t>31:26</t>
  </si>
  <si>
    <t>トコハナ</t>
  </si>
  <si>
    <t>38:56</t>
  </si>
  <si>
    <t>over and over</t>
  </si>
  <si>
    <t>46:39</t>
  </si>
  <si>
    <t>動く、動く</t>
  </si>
  <si>
    <t>チト(水瀬いのり)、ユーリ(久保ユリカ)</t>
  </si>
  <si>
    <t>56:50</t>
  </si>
  <si>
    <t>Harvest</t>
  </si>
  <si>
    <t>(K)NoW_NAME</t>
  </si>
  <si>
    <t>1:03:50</t>
  </si>
  <si>
    <t>This game</t>
  </si>
  <si>
    <t>鈴木このみ</t>
  </si>
  <si>
    <t>1:11:54</t>
  </si>
  <si>
    <t>Stay Alive</t>
  </si>
  <si>
    <t>エミリア(高橋李依)</t>
  </si>
  <si>
    <t>1:20:47</t>
  </si>
  <si>
    <t>T-Pistonz＋KMC</t>
  </si>
  <si>
    <t>1:27:06</t>
  </si>
  <si>
    <t>ケロッ!とマーチ</t>
  </si>
  <si>
    <t>角田信朗＆いはたじゅり</t>
  </si>
  <si>
    <t>1:41:15</t>
  </si>
  <si>
    <t>金曜日のおはよう</t>
  </si>
  <si>
    <t>HoneyWorks</t>
  </si>
  <si>
    <t>1:48:54</t>
  </si>
  <si>
    <t>東京サマーセッション</t>
  </si>
  <si>
    <t>1:57:52</t>
  </si>
  <si>
    <t>カヌレ</t>
  </si>
  <si>
    <t>CHiCO with HoneyWorks</t>
  </si>
  <si>
    <t>つながリーヨ(1番のみ)</t>
    <phoneticPr fontId="2"/>
  </si>
  <si>
    <t>【#うるぱんおばけ】ファスモフォビア！やっていく所存～！【幽音しの:ななしいんく】　#新人vtuber / #vsinger</t>
    <phoneticPr fontId="2"/>
  </si>
  <si>
    <t>https://www.youtube.com/live/IjWWgK2WILw?si=tq-5VGeXqPbMD3xD</t>
    <phoneticPr fontId="2"/>
  </si>
  <si>
    <t>【弾き語り】君が、ゆっくり眠れる弾き語りを！【幽音しの:ななしいんく】　#新人vtuber / #vsinger</t>
    <phoneticPr fontId="2"/>
  </si>
  <si>
    <t>https://www.youtube.com/live/UhIJMxJCcSo?si=d4Gic-mx0PwrsxJ-</t>
    <phoneticPr fontId="2"/>
  </si>
  <si>
    <t>0:04:23</t>
  </si>
  <si>
    <t>0:11:16</t>
  </si>
  <si>
    <t>0:18:30</t>
  </si>
  <si>
    <t>0:25:34</t>
  </si>
  <si>
    <t>0:34:03</t>
  </si>
  <si>
    <t>0:41:33</t>
  </si>
  <si>
    <t>0:50:09</t>
  </si>
  <si>
    <t>0:58:25</t>
  </si>
  <si>
    <t>1:09:02</t>
  </si>
  <si>
    <t>1:16:34</t>
  </si>
  <si>
    <t>青のすみか</t>
  </si>
  <si>
    <t>キタニタツヤ</t>
  </si>
  <si>
    <t>1:24:09</t>
    <phoneticPr fontId="2"/>
  </si>
  <si>
    <t>【コラボ】チーム対抗ミッション！勝てるようにがんばるぞ～～～～！！！！！　Among US　【幽音しの:ななしいんく】　#新人vtuber / #vsinger</t>
    <phoneticPr fontId="2"/>
  </si>
  <si>
    <t>https://www.youtube.com/live/bV_i8z26ZEc?si=bVy-JM1RtMBih_CT</t>
    <phoneticPr fontId="2"/>
  </si>
  <si>
    <t>【ダッツ買えなかった】君のレビュー見ながら、別のアイス食べる！【幽音しの:ななしいんく】　#新人vtuber / #vsinger</t>
    <phoneticPr fontId="2"/>
  </si>
  <si>
    <t>https://www.youtube.com/live/7PDc0gZ8OlE?si=YXVq8N6_ek0NgBFJ</t>
    <phoneticPr fontId="2"/>
  </si>
  <si>
    <t>【謝罪】朝の挨拶したら寝ます、、。金曜日もがんばろ～～！！【幽音しの:ななしいんく】　#新人vtuber / #vsinger</t>
    <phoneticPr fontId="2"/>
  </si>
  <si>
    <t>https://www.youtube.com/live/PDfzdlcsxB4?si=NS72teYqyxrgmxUE</t>
    <phoneticPr fontId="2"/>
  </si>
  <si>
    <t>0:24:15</t>
  </si>
  <si>
    <t>┗|∵|┓金曜日のおはよう-another story-</t>
  </si>
  <si>
    <t>Honey Works feat.初音ミク</t>
  </si>
  <si>
    <t>0:30:58</t>
  </si>
  <si>
    <t>【コラボ】はっはっは！！R.E.P.O.やっていく～！【幽音しの:ななしいんく】　#新人vtuber</t>
    <phoneticPr fontId="2"/>
  </si>
  <si>
    <t>https://www.youtube.com/live/7yzjLloyAFE?si=e005NgGsm3Uzthn8</t>
    <phoneticPr fontId="2"/>
  </si>
  <si>
    <t>【弾き語り】ryoさん縛りで歌っていきます！【幽音しの:ななしいんく】　#新人vtuber / #vsinger</t>
    <phoneticPr fontId="2"/>
  </si>
  <si>
    <t>https://www.youtube.com/live/FuJDk5I3Oyo?si=KP6eEuJrPYERUqMb</t>
    <phoneticPr fontId="2"/>
  </si>
  <si>
    <t>0:13:28</t>
  </si>
  <si>
    <t>0:18:54</t>
  </si>
  <si>
    <t>0:27:21</t>
  </si>
  <si>
    <t>0:42:37</t>
  </si>
  <si>
    <t>Fallen</t>
  </si>
  <si>
    <t>0:51:20</t>
  </si>
  <si>
    <t>Love&amp;Roll</t>
  </si>
  <si>
    <t>0:58:39</t>
  </si>
  <si>
    <t>Great distance</t>
  </si>
  <si>
    <t>ryo feat.chelly</t>
  </si>
  <si>
    <t>1:10:45</t>
  </si>
  <si>
    <t>1:16:58</t>
  </si>
  <si>
    <t>LoveStruck</t>
  </si>
  <si>
    <t>1:26:05</t>
  </si>
  <si>
    <t>1:36:29</t>
  </si>
  <si>
    <t>銀色飛行船</t>
  </si>
  <si>
    <t>The Bravery</t>
  </si>
  <si>
    <t>1:46:26</t>
    <phoneticPr fontId="2"/>
  </si>
  <si>
    <t>【アイスの会】新作のダッツを食べていく！～ほうじ茶ジェラート＆玉露～【幽音しの:ななしいんく】　#新人vtuber / #vsinger</t>
    <phoneticPr fontId="2"/>
  </si>
  <si>
    <t>https://www.youtube.com/live/YHvnr5mQBRw?si=Te18tZrjyMMQ4EWC</t>
    <phoneticPr fontId="2"/>
  </si>
  <si>
    <t>【定期歌枠】懐メロ特集になってます今日は音源で歌っていく！チル、、、くない？【幽音しの:ななしいんく】　 #幽音しの #Vtuber #vsinger</t>
    <phoneticPr fontId="2"/>
  </si>
  <si>
    <t>https://www.youtube.com/live/DX8misWhJuA?si=x9BqkZPlvHen5SCl</t>
    <phoneticPr fontId="2"/>
  </si>
  <si>
    <t>0:04:01</t>
  </si>
  <si>
    <t>ゴールデンタイムラバー</t>
  </si>
  <si>
    <t>スキマスイッチ</t>
  </si>
  <si>
    <t>0:10:14</t>
  </si>
  <si>
    <t>全力少年</t>
  </si>
  <si>
    <t>0:15:15</t>
  </si>
  <si>
    <t>奏</t>
  </si>
  <si>
    <t>0:21:22</t>
  </si>
  <si>
    <t>気まぐれロマンティック</t>
  </si>
  <si>
    <t>いきものがかり</t>
  </si>
  <si>
    <t>0:27:16</t>
  </si>
  <si>
    <t>じょいふる</t>
  </si>
  <si>
    <t>0:31:35</t>
  </si>
  <si>
    <t>ブルーバード</t>
  </si>
  <si>
    <t>0:37:39</t>
  </si>
  <si>
    <t>会いたくて会いたくて(1chorus)</t>
  </si>
  <si>
    <t>西野カナ</t>
  </si>
  <si>
    <t>0:41:43</t>
  </si>
  <si>
    <t>夏色</t>
  </si>
  <si>
    <t>ゆず</t>
  </si>
  <si>
    <t>0:45:45</t>
  </si>
  <si>
    <t>チェリー</t>
  </si>
  <si>
    <t>スピッツ</t>
  </si>
  <si>
    <t>0:51:29</t>
  </si>
  <si>
    <t>ハナミズキ</t>
  </si>
  <si>
    <t>一青窈</t>
  </si>
  <si>
    <t>0:59:16</t>
  </si>
  <si>
    <t>赤いスイートピー</t>
  </si>
  <si>
    <t>松田聖子</t>
  </si>
  <si>
    <t>1:06:05</t>
  </si>
  <si>
    <t>POP STAR</t>
  </si>
  <si>
    <t>平井堅</t>
  </si>
  <si>
    <t>1:12:28</t>
  </si>
  <si>
    <t>栄光の架け橋</t>
  </si>
  <si>
    <t>1:20:12</t>
  </si>
  <si>
    <t>蕾</t>
  </si>
  <si>
    <t>コブクロ</t>
  </si>
  <si>
    <t>1:27:27</t>
  </si>
  <si>
    <t>世界に一つだけの花</t>
  </si>
  <si>
    <t>SMAP</t>
  </si>
  <si>
    <t>1:34:14</t>
  </si>
  <si>
    <t>何度でも</t>
  </si>
  <si>
    <t>DREAMS COME TRUE</t>
  </si>
  <si>
    <t>愛をこめて花束を</t>
  </si>
  <si>
    <t>Superfly</t>
  </si>
  <si>
    <t>1:48:05</t>
  </si>
  <si>
    <t>サウダージ</t>
  </si>
  <si>
    <t>ポルノグラフィティ</t>
  </si>
  <si>
    <t>1:53:37</t>
  </si>
  <si>
    <t>リライト</t>
  </si>
  <si>
    <t>【れいかいつうしん#1】おばけが君の悩みに答えてくれるかもしれないよ【幽音しの:ななしいんく】　#新人vtuber / #vsinger</t>
    <phoneticPr fontId="2"/>
  </si>
  <si>
    <t>https://www.youtube.com/live/KAbs7kX93bA?si=vH7THkmGBPrjgSu6</t>
    <phoneticPr fontId="2"/>
  </si>
  <si>
    <t>【#Huel (ヒュエル)】おばけ界でも話題！？完全栄養食について【幽音しの:ななしいんく】</t>
    <phoneticPr fontId="2"/>
  </si>
  <si>
    <t>https://www.youtube.com/live/W0IIp67n65c?si=eddcETuQKIrmPcey</t>
    <phoneticPr fontId="2"/>
  </si>
  <si>
    <t>【弾き語り】眠る前に1曲どうですか？【幽音しの:ななしいんく】　 #幽音しの #vsinger</t>
    <phoneticPr fontId="2"/>
  </si>
  <si>
    <t>https://www.youtube.com/live/N0Tp3auhZ54?si=TUAMJQ8TqFkAVZ1r</t>
    <phoneticPr fontId="2"/>
  </si>
  <si>
    <t>0:08:12</t>
  </si>
  <si>
    <t>0:16:01</t>
  </si>
  <si>
    <t>カロン</t>
  </si>
  <si>
    <t>ねごと</t>
  </si>
  <si>
    <t>0:22:27</t>
  </si>
  <si>
    <t>小夜子</t>
  </si>
  <si>
    <t>0:30:00</t>
  </si>
  <si>
    <t>サリシノハラ</t>
  </si>
  <si>
    <t>0:43:09</t>
  </si>
  <si>
    <t>カブトムシ</t>
  </si>
  <si>
    <t>0:51:37</t>
  </si>
  <si>
    <t>0:58:57</t>
  </si>
  <si>
    <t>サイダー</t>
  </si>
  <si>
    <t>赤い公園</t>
  </si>
  <si>
    <t>1:07:00</t>
  </si>
  <si>
    <t>打上花火</t>
  </si>
  <si>
    <t>DAOKO×米津玄師</t>
  </si>
  <si>
    <t>1:16:45</t>
  </si>
  <si>
    <t>1:24:43</t>
  </si>
  <si>
    <t>1:32:47</t>
  </si>
  <si>
    <t>1:41:36</t>
  </si>
  <si>
    <t>1:52:29</t>
  </si>
  <si>
    <t>しのぴ即興ソング</t>
  </si>
  <si>
    <t>幽音しの</t>
  </si>
  <si>
    <t>幽音しの(即興)</t>
    <phoneticPr fontId="2"/>
  </si>
  <si>
    <t>【ななしミッション】ななしいんくの曲縛りで歌っていきます！【幽音しの:ななしいんく】　#新人vtuber / #vsinger</t>
    <phoneticPr fontId="2"/>
  </si>
  <si>
    <t>https://www.youtube.com/live/zHPmNlzplRQ?si=hKbKp_wLxXmd13Kq</t>
    <phoneticPr fontId="2"/>
  </si>
  <si>
    <t>0:10:09</t>
  </si>
  <si>
    <t>0:21:17</t>
  </si>
  <si>
    <t>心の話</t>
  </si>
  <si>
    <t>涼海ネモ</t>
  </si>
  <si>
    <t>0:32:29</t>
  </si>
  <si>
    <t>シスターピース</t>
  </si>
  <si>
    <t>ひかるい(飛良ひかり＆瀬島るい)</t>
  </si>
  <si>
    <t>パペットパーティ</t>
  </si>
  <si>
    <t>紫水キキ</t>
  </si>
  <si>
    <t>0:52:18</t>
  </si>
  <si>
    <t>君と未来</t>
  </si>
  <si>
    <t>宗谷いちか</t>
  </si>
  <si>
    <t>1:00:41</t>
  </si>
  <si>
    <t>星空のエチュード</t>
  </si>
  <si>
    <t>ななしいんく</t>
  </si>
  <si>
    <t>1:10:03</t>
  </si>
  <si>
    <t>瞬間イマジネーション</t>
  </si>
  <si>
    <t>かすかなおと</t>
    <phoneticPr fontId="2"/>
  </si>
  <si>
    <t xml:space="preserve"> 【弾き語り】横型サムネ後で差しかえ！短めの歌枠！もう夕方だね。。。【幽音しの:ななしいんく】　#新人vtuber / #vsinger </t>
    <phoneticPr fontId="2"/>
  </si>
  <si>
    <t>https://www.youtube.com/live/lQQh4G5up3Y?si=U2BJIBIs-2OZdL6R</t>
    <phoneticPr fontId="2"/>
  </si>
  <si>
    <t>0:14:00</t>
  </si>
  <si>
    <t>0:20:16</t>
  </si>
  <si>
    <t>0:27:54</t>
  </si>
  <si>
    <t>0:36:50</t>
  </si>
  <si>
    <t>0:44:46</t>
  </si>
  <si>
    <t>群青</t>
  </si>
  <si>
    <t>0:53:07</t>
  </si>
  <si>
    <t>0:07:32</t>
    <phoneticPr fontId="2"/>
  </si>
  <si>
    <t>https://www.youtube.com/live/bXG5ottJZas?si=VsjzjU8RreUrJGd3</t>
    <phoneticPr fontId="2"/>
  </si>
  <si>
    <t>【歌枠】ボカロとか好きな曲を歌っていく！【幽音しの:ななしいんく】　#新人vtuber / #vsinger</t>
    <phoneticPr fontId="2"/>
  </si>
  <si>
    <t>0:08:32</t>
  </si>
  <si>
    <t>夜咄ディセイブ</t>
  </si>
  <si>
    <t>じん feat.IA(自然の敵P)</t>
  </si>
  <si>
    <t>0:12:39</t>
  </si>
  <si>
    <t>フルドライブ</t>
  </si>
  <si>
    <t>0:21:15</t>
  </si>
  <si>
    <t>Mela!</t>
  </si>
  <si>
    <t>0:26:40</t>
  </si>
  <si>
    <t>君のせい</t>
  </si>
  <si>
    <t>the peggies</t>
  </si>
  <si>
    <t>0:35:55</t>
  </si>
  <si>
    <t>Lemon</t>
  </si>
  <si>
    <t>マトリョシカ</t>
  </si>
  <si>
    <t>ハチ(米津玄師) feat.初音ミク&amp;GUMI</t>
  </si>
  <si>
    <t>0:47:58</t>
  </si>
  <si>
    <t>0:54:01</t>
  </si>
  <si>
    <t>しんでしまうとはなさけない!</t>
  </si>
  <si>
    <t>じーざすP（WONDERFUL★OPPORTUNITY!） feat.鏡音リン&amp;鏡音レン</t>
  </si>
  <si>
    <t>1:00:39</t>
  </si>
  <si>
    <t>No Logic</t>
  </si>
  <si>
    <t>ジミーサムP feat.巡音ルカ</t>
  </si>
  <si>
    <t>1:07:14</t>
  </si>
  <si>
    <t>Hello, Worker</t>
  </si>
  <si>
    <t>KEI feat.巡音ルカ</t>
  </si>
  <si>
    <t>1:13:17</t>
  </si>
  <si>
    <t>純情スカート</t>
  </si>
  <si>
    <t>1:20:21</t>
  </si>
  <si>
    <t>世界寿命と最後の一日</t>
  </si>
  <si>
    <t>スズム feat.GUMI</t>
  </si>
  <si>
    <t>1:26:30</t>
  </si>
  <si>
    <t>ペテン師が笑う頃に</t>
  </si>
  <si>
    <t>梨本P feat.初音ミク</t>
  </si>
  <si>
    <t>1:33:50</t>
  </si>
  <si>
    <t>セツナトリップ</t>
  </si>
  <si>
    <t>Last Note. feat.GUMI</t>
  </si>
  <si>
    <t>1:44:08</t>
  </si>
  <si>
    <t>https://www.youtube.com/live/BTi31luRntI?si=HKZA9dD6UF6pnPvq</t>
    <phoneticPr fontId="2"/>
  </si>
  <si>
    <t>【 #弾き語り】深夜の弾き語り【幽音しの:ななしいんく】　 #shorts #vtuber #vsinger #歌枠</t>
    <phoneticPr fontId="2"/>
  </si>
  <si>
    <t>0:04:34</t>
  </si>
  <si>
    <t>0:19:14</t>
  </si>
  <si>
    <t>0:25:42</t>
  </si>
  <si>
    <t>0:32:33</t>
  </si>
  <si>
    <t>0:40:06</t>
  </si>
  <si>
    <t>Rolling star</t>
  </si>
  <si>
    <t>0:48:00</t>
  </si>
  <si>
    <t>0:55:49</t>
  </si>
  <si>
    <t>平行線</t>
  </si>
  <si>
    <t>1:05:05</t>
  </si>
  <si>
    <t>1:12:37</t>
  </si>
  <si>
    <t>1:19:00</t>
  </si>
  <si>
    <t>1:25:27</t>
  </si>
  <si>
    <t>青春コンプレックス</t>
  </si>
  <si>
    <t>1:32:02</t>
  </si>
  <si>
    <t>1:40:26</t>
  </si>
  <si>
    <t>1:48:38</t>
  </si>
  <si>
    <t>vaundy</t>
  </si>
  <si>
    <t>1:57:04</t>
  </si>
  <si>
    <t>2:05:14</t>
  </si>
  <si>
    <t>2:14:12</t>
  </si>
  <si>
    <t>サブリナ</t>
  </si>
  <si>
    <t>家入レオ</t>
  </si>
  <si>
    <t>2:28:39</t>
  </si>
  <si>
    <t>夏祭り</t>
  </si>
  <si>
    <t>JITTERIN'JINN</t>
  </si>
  <si>
    <t>2:36:53</t>
  </si>
  <si>
    <t>Rising Hope</t>
  </si>
  <si>
    <t>2:45:18</t>
  </si>
  <si>
    <t>2:52:33</t>
  </si>
  <si>
    <t>天体観測</t>
  </si>
  <si>
    <t>BUMP OF CHICKEN</t>
  </si>
  <si>
    <t>3:01:39</t>
  </si>
  <si>
    <t>【コラボ】エペをたしなんでいく！【幽音しの:ななしいんく】　#新人vtuber / #vsinger</t>
    <phoneticPr fontId="2"/>
  </si>
  <si>
    <t>https://www.youtube.com/live/snJlpnZjObY?si=ejU5FfQJEwpAJbYw</t>
    <phoneticPr fontId="2"/>
  </si>
  <si>
    <t>【コラボ】エペをしていく！むきむきで！【幽音しの:ななしいんく】　#新人vtuber / #vsinger</t>
    <phoneticPr fontId="2"/>
  </si>
  <si>
    <t>https://www.youtube.com/live/Rfm22rNLGaA?si=T87PvgqHkgtD-GIR</t>
    <phoneticPr fontId="2"/>
  </si>
  <si>
    <t>https://www.youtube.com/live/rjOy6A4c68o?si=Q07K-470tlYbzNHk</t>
    <phoneticPr fontId="2"/>
  </si>
  <si>
    <t>【弾き語り】ちるく！夜の弾き語りを【幽音しの:ななしいんく】　#shorts #vtuber #vsinger #歌枠</t>
    <phoneticPr fontId="2"/>
  </si>
  <si>
    <t>0:10:28</t>
  </si>
  <si>
    <t>幽霊東京</t>
  </si>
  <si>
    <t>Ayase feat.初音ミク</t>
  </si>
  <si>
    <t>0:17:02</t>
  </si>
  <si>
    <t>0:33:46</t>
  </si>
  <si>
    <t>0:43:57</t>
  </si>
  <si>
    <t>しのが寝る6時</t>
  </si>
  <si>
    <t>1:00:30</t>
  </si>
  <si>
    <t>1:09:21</t>
  </si>
  <si>
    <t>1:17:25</t>
  </si>
  <si>
    <t>雨とカプチーノ</t>
  </si>
  <si>
    <t>1:33:43</t>
  </si>
  <si>
    <t>メル feat.IA</t>
  </si>
  <si>
    <t>1:39:30</t>
  </si>
  <si>
    <t>1:46:48</t>
  </si>
  <si>
    <t>1:57:10</t>
  </si>
  <si>
    <t>2:05:30</t>
  </si>
  <si>
    <t>イヤホンと蝉時雨</t>
  </si>
  <si>
    <t>2:15:14</t>
  </si>
  <si>
    <t>2:25:03</t>
  </si>
  <si>
    <t>忘れじの言の葉</t>
  </si>
  <si>
    <t>2:33:32</t>
  </si>
  <si>
    <t>2:37:40</t>
  </si>
  <si>
    <t>【 #ポーカーチェイス 】＃ななしポカチェ大会 　ストレートドローの名に恥じない戦いを！【幽音しの:ななしいんく】</t>
    <phoneticPr fontId="2"/>
  </si>
  <si>
    <t>https://www.youtube.com/live/FS3tyzja32k?si=d7Ok8jDd9eP4LjHp</t>
    <phoneticPr fontId="2"/>
  </si>
  <si>
    <t>【雑談】少しお話したいおとしごろ【幽音しの:ななしいんく】　 #vtuber #vsinger</t>
    <phoneticPr fontId="2"/>
  </si>
  <si>
    <t>https://www.youtube.com/live/JdIhEjDJiNU?si=deUnozJNoBNUwf--</t>
    <phoneticPr fontId="2"/>
  </si>
  <si>
    <t>幽音しの(即興)</t>
    <phoneticPr fontId="2"/>
  </si>
  <si>
    <t>2:53:30</t>
    <phoneticPr fontId="2"/>
  </si>
  <si>
    <t>0:57:30</t>
    <phoneticPr fontId="2"/>
  </si>
  <si>
    <t>0:19:51</t>
    <phoneticPr fontId="2"/>
  </si>
  <si>
    <t>キャベツとレタスのうた</t>
    <phoneticPr fontId="2"/>
  </si>
  <si>
    <t>【雑談】ただいま～～！うとうとしながら話すやも【幽音しの:ななしいんく】 #vtuber #vsinger</t>
    <phoneticPr fontId="2"/>
  </si>
  <si>
    <t>https://www.youtube.com/live/4kNW3qYybWk?si=UBzvZOcbzhyBP6z6</t>
    <phoneticPr fontId="2"/>
  </si>
  <si>
    <t>【弾き語り】夏の夜に弾き語りを【幽音しの:ななしいんく】　#shorts #vtuber #vsinger #歌枠</t>
    <phoneticPr fontId="2"/>
  </si>
  <si>
    <t>https://www.youtube.com/live/Dm-WC5w7K8Y?si=Pph-3uJ8wVrF5vc0</t>
    <phoneticPr fontId="2"/>
  </si>
  <si>
    <t>0:06:26</t>
  </si>
  <si>
    <t>ただ君に晴れ</t>
  </si>
  <si>
    <t>0:13:48</t>
  </si>
  <si>
    <t>0:23:26</t>
  </si>
  <si>
    <t>0:32:49</t>
  </si>
  <si>
    <t>0:40:37</t>
  </si>
  <si>
    <t>カゲロウデイズ</t>
  </si>
  <si>
    <t>アウターサイエンス</t>
  </si>
  <si>
    <t>1:07:50</t>
  </si>
  <si>
    <t>SUMMER SONG</t>
  </si>
  <si>
    <t>1:15:12</t>
  </si>
  <si>
    <t>可惜夜</t>
  </si>
  <si>
    <t>Beatsea feat.初音ミク</t>
  </si>
  <si>
    <t>1:22:36</t>
  </si>
  <si>
    <t>Feel(1chorus)</t>
  </si>
  <si>
    <t>1:30:06</t>
  </si>
  <si>
    <t>1:36:55</t>
  </si>
  <si>
    <t>1:50:10</t>
  </si>
  <si>
    <t>【弾き語り】どこまでもチルく、ギターとともに【幽音しの:ななしいんく】　#shorts #vtuber #vsinger #歌枠</t>
    <phoneticPr fontId="2"/>
  </si>
  <si>
    <t>https://www.youtube.com/live/7AO0pzyJtLE?si=5iKHGNjfGH8OxSY8</t>
    <phoneticPr fontId="2"/>
  </si>
  <si>
    <t>0:06:34</t>
  </si>
  <si>
    <t>0:12:03</t>
  </si>
  <si>
    <t>0:17:42</t>
  </si>
  <si>
    <t>不可幸力</t>
  </si>
  <si>
    <t>0:26:24</t>
  </si>
  <si>
    <t>0:31:50</t>
  </si>
  <si>
    <t>永遠のブルー</t>
  </si>
  <si>
    <t>0:45:37</t>
  </si>
  <si>
    <t>0:52:46</t>
  </si>
  <si>
    <t>東京</t>
  </si>
  <si>
    <t>きのこ帝国</t>
  </si>
  <si>
    <t>1:00:11</t>
  </si>
  <si>
    <t>青い栞</t>
  </si>
  <si>
    <t>Galileo Galilei</t>
  </si>
  <si>
    <t>1:09:14</t>
  </si>
  <si>
    <t>1:17:28</t>
  </si>
  <si>
    <t>1:26:13</t>
  </si>
  <si>
    <t>1:35:04</t>
  </si>
  <si>
    <t>【#ブイクラ2025】しあわせ（勝利）をお届け！【幽音しの:ななしいんく】</t>
    <phoneticPr fontId="2"/>
  </si>
  <si>
    <t>https://www.youtube.com/live/nvt12Tah83M?si=MQ9k9HuBGLTLGegz</t>
    <phoneticPr fontId="2"/>
  </si>
  <si>
    <t>【#あましの】面白い！！と噂のスプリット・フィクションをやる！【幽音しの:ななしいんく】</t>
    <phoneticPr fontId="2"/>
  </si>
  <si>
    <t>https://www.youtube.com/live/rKiEMLFOS8s?si=R7Y_ORgOwbtsqkjP</t>
    <phoneticPr fontId="2"/>
  </si>
  <si>
    <t>2:47:32</t>
    <phoneticPr fontId="2"/>
  </si>
  <si>
    <t>【歌枠】好きに歌う日！【幽音しの:ななしいんく】　#shorts #vtuber #vsinger #歌枠</t>
    <phoneticPr fontId="2"/>
  </si>
  <si>
    <t>https://www.youtube.com/live/JAK2m4FWxF0?si=Xy-B8lpcz7dX_b5n</t>
    <phoneticPr fontId="2"/>
  </si>
  <si>
    <t>0:05:40</t>
  </si>
  <si>
    <t>ランカー・リー(CV.中島愛)</t>
  </si>
  <si>
    <t>0:18:33</t>
  </si>
  <si>
    <t>0:26:07</t>
  </si>
  <si>
    <t>0:33:32</t>
  </si>
  <si>
    <t>0:52:33</t>
  </si>
  <si>
    <t>プライド革命</t>
  </si>
  <si>
    <t>1:05:16</t>
  </si>
  <si>
    <t>涼宮ハルヒ(CV.平野綾)</t>
  </si>
  <si>
    <t>1:10:38</t>
  </si>
  <si>
    <t>優しさの理由</t>
  </si>
  <si>
    <t>ChouCho</t>
  </si>
  <si>
    <t>1:15:56</t>
  </si>
  <si>
    <t>カワルミライ</t>
  </si>
  <si>
    <t>1:23:10</t>
  </si>
  <si>
    <t>innocent promise</t>
  </si>
  <si>
    <t>TRUSTRICK</t>
  </si>
  <si>
    <t>1:38:29</t>
  </si>
  <si>
    <t>カーストルーム</t>
  </si>
  <si>
    <t>ZAQ</t>
  </si>
  <si>
    <t>1:49:06</t>
  </si>
  <si>
    <t>ラピスラズリ</t>
  </si>
  <si>
    <t>藍井エイル</t>
  </si>
  <si>
    <t>1:57:23</t>
  </si>
  <si>
    <t>ハム太郎とっとこうた</t>
  </si>
  <si>
    <t>ハムちゃんず</t>
  </si>
  <si>
    <t>2:04:24</t>
  </si>
  <si>
    <t>ラムネ</t>
  </si>
  <si>
    <t>Aqu3ra feat.flower</t>
  </si>
  <si>
    <t>0:54:17</t>
    <phoneticPr fontId="2"/>
  </si>
  <si>
    <t>【弾き語り】さぁ、寝る時間だ【幽音しの:ななしいんく】　#shorts #vtuber #vsinger #歌枠</t>
    <phoneticPr fontId="2"/>
  </si>
  <si>
    <t>https://www.youtube.com/live/Et9I5uqKaRQ?si=4uq-2UkGh47LMNTa</t>
    <phoneticPr fontId="2"/>
  </si>
  <si>
    <t>0:03:32</t>
  </si>
  <si>
    <t>0:13:13</t>
  </si>
  <si>
    <t>0:20:40</t>
  </si>
  <si>
    <t>0:28:22</t>
  </si>
  <si>
    <t>0:36:10</t>
  </si>
  <si>
    <t>0:42:58</t>
  </si>
  <si>
    <t>恋なんて</t>
  </si>
  <si>
    <t>0:49:11</t>
  </si>
  <si>
    <t>あいまいでいいよ</t>
  </si>
  <si>
    <t>0:57:00</t>
  </si>
  <si>
    <t>1:05:30</t>
  </si>
  <si>
    <t>1:14:27</t>
  </si>
  <si>
    <t>レトロポリス</t>
  </si>
  <si>
    <t>R Sound Design feat.可不</t>
  </si>
  <si>
    <t>【れいかい通信＃２】おばけがあなたの悩みを解決してくれるかも？？【幽音しの:ななしいんく】　#shorts #vtuber #vsinger #歌枠</t>
    <phoneticPr fontId="2"/>
  </si>
  <si>
    <t>https://www.youtube.com/live/KafzO8Y68aI?si=KF2XvGi6Qw7QPg8f</t>
    <phoneticPr fontId="2"/>
  </si>
  <si>
    <t>【弾き語り】短いゲリラ【幽音しの:ななしいんく】　#shorts #vtuber #vsinger #歌枠</t>
    <phoneticPr fontId="2"/>
  </si>
  <si>
    <t>https://www.youtube.com/live/yHiPuPE1ZpI?si=2EeKQkMqvxvThhyp</t>
    <phoneticPr fontId="2"/>
  </si>
  <si>
    <t>0:02:54</t>
  </si>
  <si>
    <t>心に穴が空いた</t>
  </si>
  <si>
    <t>0:18:00</t>
  </si>
  <si>
    <t>0:25:48</t>
  </si>
  <si>
    <t>【Cチームコラボ】マイクラで打ち上げをしていく！【幽音しの:ななしいんく】</t>
    <phoneticPr fontId="2"/>
  </si>
  <si>
    <t>https://www.youtube.com/live/owAk9KYpfsc?si=GaCuKItWZmTM1wnU</t>
    <phoneticPr fontId="2"/>
  </si>
  <si>
    <t>【歌枠】夏フェス！！！！っぽいセトリ歌枠【幽音しの:ななしいんく】　 #vtuber #vsinger #歌枠</t>
    <phoneticPr fontId="2"/>
  </si>
  <si>
    <t>https://www.youtube.com/live/rowkHJneOgY?si=dzvDO_qNHD4fLHMQ</t>
    <phoneticPr fontId="2"/>
  </si>
  <si>
    <t>ICHIDAIJI</t>
  </si>
  <si>
    <t>オシャレ大作戦</t>
  </si>
  <si>
    <t>ネクライトーキー</t>
  </si>
  <si>
    <t>オドループ</t>
  </si>
  <si>
    <t>フレデリック</t>
  </si>
  <si>
    <t>SHIKIBU feat. 阿波の踊り子</t>
  </si>
  <si>
    <t>チャットモンチー(レキシ)</t>
  </si>
  <si>
    <t>若者のすべて</t>
  </si>
  <si>
    <t>フジファブリック</t>
  </si>
  <si>
    <t>今夜このまま</t>
  </si>
  <si>
    <t>Yeah! Yeah! Yeah!</t>
  </si>
  <si>
    <t>androp</t>
  </si>
  <si>
    <t>シルエット</t>
  </si>
  <si>
    <t>恋の寿命</t>
  </si>
  <si>
    <t>ワタリドリ</t>
  </si>
  <si>
    <t>Alexandros</t>
  </si>
  <si>
    <t>プロミスザスター</t>
  </si>
  <si>
    <t>BiSH</t>
  </si>
  <si>
    <t>栞</t>
  </si>
  <si>
    <t>新宝島</t>
  </si>
  <si>
    <t>サカナクション</t>
  </si>
  <si>
    <t>前前前世</t>
  </si>
  <si>
    <t>0:16:55</t>
  </si>
  <si>
    <t>0:22:05</t>
  </si>
  <si>
    <t>0:32:11</t>
  </si>
  <si>
    <t>0:37:20</t>
  </si>
  <si>
    <t>0:43:10</t>
  </si>
  <si>
    <t>0:51:27</t>
  </si>
  <si>
    <t>0:56:35</t>
  </si>
  <si>
    <t>1:01:41</t>
  </si>
  <si>
    <t>1:06:51</t>
  </si>
  <si>
    <t>1:12:19</t>
  </si>
  <si>
    <t>1:19:51</t>
  </si>
  <si>
    <t>1:25:38</t>
  </si>
  <si>
    <t>1:31:10</t>
  </si>
  <si>
    <t>1:37:11</t>
  </si>
  <si>
    <t>1:42:36</t>
  </si>
  <si>
    <t>1:47:42</t>
  </si>
  <si>
    <t>1:52:20</t>
  </si>
  <si>
    <t>1:58:11</t>
  </si>
  <si>
    <t>0:10:54</t>
    <phoneticPr fontId="2"/>
  </si>
  <si>
    <t>1999</t>
    <phoneticPr fontId="2"/>
  </si>
  <si>
    <t>key</t>
    <phoneticPr fontId="2"/>
  </si>
  <si>
    <t>key</t>
    <phoneticPr fontId="2"/>
  </si>
  <si>
    <t>アーティスト</t>
    <phoneticPr fontId="2"/>
  </si>
  <si>
    <t>曲名</t>
    <phoneticPr fontId="2"/>
  </si>
  <si>
    <t>最近の歌唱</t>
    <rPh sb="0" eb="2">
      <t>サイキン</t>
    </rPh>
    <rPh sb="3" eb="5">
      <t>カショウ</t>
    </rPh>
    <phoneticPr fontId="2"/>
  </si>
  <si>
    <t>40mP feat.初音ミク&amp;GUMI</t>
    <phoneticPr fontId="2"/>
  </si>
  <si>
    <t>40mP feat.初音ミク</t>
    <phoneticPr fontId="2"/>
  </si>
  <si>
    <t>Eve feat.初音ミク</t>
    <phoneticPr fontId="2"/>
  </si>
  <si>
    <t>シェリル・ノーム starring May'n</t>
    <phoneticPr fontId="2"/>
  </si>
  <si>
    <t>ランカー・リー(CV.中島愛)</t>
    <phoneticPr fontId="2"/>
  </si>
  <si>
    <t>梅とら feat. 巡音ルカ&amp;初音ミク&amp;GUMI&amp;IA&amp;鏡音リン</t>
    <phoneticPr fontId="2"/>
  </si>
  <si>
    <t>more than words</t>
    <phoneticPr fontId="2"/>
  </si>
  <si>
    <t>涼宮ハルヒ(CV.平野綾)</t>
    <phoneticPr fontId="2"/>
  </si>
  <si>
    <t>Fallen</t>
    <phoneticPr fontId="2"/>
  </si>
  <si>
    <t>さユり</t>
    <phoneticPr fontId="2"/>
  </si>
  <si>
    <t>40mP feat.初音ミク&amp;GUMI</t>
  </si>
  <si>
    <t>シェリル・ノーム starring May'n</t>
  </si>
  <si>
    <t>アーティスト(ソート用)</t>
    <rPh sb="10" eb="11">
      <t>ヨウ</t>
    </rPh>
    <phoneticPr fontId="2"/>
  </si>
  <si>
    <t>MSJ</t>
    <phoneticPr fontId="2"/>
  </si>
  <si>
    <t>涼宮ハルヒ(CV.平野綾)</t>
    <phoneticPr fontId="2"/>
  </si>
  <si>
    <t>25じ、ないとこーどで。x KAITO</t>
  </si>
  <si>
    <t>40mP feat.はつねみく</t>
  </si>
  <si>
    <t>40mP feat.はつねみく&amp;GUMI</t>
  </si>
  <si>
    <t>Ayase feat.はつねみく</t>
  </si>
  <si>
    <t>Beatsea feat.はつねみく</t>
  </si>
  <si>
    <t>cosMo(ぼうそうP) feat.はつねみく</t>
  </si>
  <si>
    <t>DAOKO×よねづけんし</t>
  </si>
  <si>
    <t>DECO27 feat.GUMI</t>
  </si>
  <si>
    <t>DECO27 feat.はつねみく</t>
  </si>
  <si>
    <t>Dixie Flatline feat.めぐりねるか</t>
  </si>
  <si>
    <t>Eve feat.はつねみく</t>
  </si>
  <si>
    <t>Guiano feat.かふ</t>
  </si>
  <si>
    <t>halyosy feat.かがみねれん</t>
  </si>
  <si>
    <t>Honey Works feat.はつねみく</t>
  </si>
  <si>
    <t>KEI feat.めぐりねるか</t>
  </si>
  <si>
    <t>kemu feat.GUMI&amp;かがみねりん</t>
  </si>
  <si>
    <t>koyori(でんぽるP) feat.はつねみく</t>
  </si>
  <si>
    <t>Mitchie M feat.はつねみく</t>
  </si>
  <si>
    <t>Neru feat.かがみねりん</t>
  </si>
  <si>
    <t>Neru feat.かがみねれん</t>
  </si>
  <si>
    <t>Officialひげだんでぃずむ</t>
  </si>
  <si>
    <t>Orangestar feat.IA＆はつねみく</t>
  </si>
  <si>
    <t>Orangestar feat.はつねみく</t>
  </si>
  <si>
    <t>Orangestar feat.はつねみく&amp;IA</t>
  </si>
  <si>
    <t>R Sound Design feat.かふ</t>
  </si>
  <si>
    <t>R Sound Design feat.はつねみく</t>
  </si>
  <si>
    <t>ryo feat.はつねみく</t>
  </si>
  <si>
    <t>ryo(supercell) feat.はつねみく</t>
  </si>
  <si>
    <t>TK from りんとしてしぐれ</t>
  </si>
  <si>
    <t>YUI for あまねかおる</t>
  </si>
  <si>
    <t>μ‘s(らぶらいぶ!)</t>
  </si>
  <si>
    <t>えみりあ(たかはしりえ)</t>
  </si>
  <si>
    <t>きたにたつや</t>
  </si>
  <si>
    <t>きのこていこく</t>
  </si>
  <si>
    <t>くりーぷはいぷ</t>
  </si>
  <si>
    <t>こぶくろ</t>
  </si>
  <si>
    <t>こんにちはたにたさん(きたにたつや) feat.はつねみく</t>
  </si>
  <si>
    <t>さかなくしょん</t>
  </si>
  <si>
    <t>ささくれ。P feat.はつねみく</t>
  </si>
  <si>
    <t>さゆり</t>
  </si>
  <si>
    <t>じーざすP（WONDERFUL★OPPORTUNITY!） feat.かがみねりん&amp;かがみねれん</t>
  </si>
  <si>
    <t>しぇりる・のーむ starring May'n</t>
  </si>
  <si>
    <t>しぇりる・のーむ starring May'n&amp;らんか・りー(CV.なかじまめぐみ)</t>
  </si>
  <si>
    <t>しなりおあーと</t>
  </si>
  <si>
    <t>じみーさむP feat.めぐりねるか</t>
  </si>
  <si>
    <t>じみーさむP feat.はつねみく</t>
  </si>
  <si>
    <t>じみーさむP feat.はつねみく＆めぐりねるか(こーらす)</t>
  </si>
  <si>
    <t>じん feat.IA(しぜんのてきP)</t>
  </si>
  <si>
    <t>じん(しぜんのてきP) feat.IA</t>
  </si>
  <si>
    <t>じん(しぜんのてきP) feat.めいりあ</t>
  </si>
  <si>
    <t>じん(しぜんのてきP) feat.はつねみく</t>
  </si>
  <si>
    <t>すきますいっち</t>
  </si>
  <si>
    <t>すこっぷ feat.はつねみく</t>
  </si>
  <si>
    <t>すずむ feat.GUMI</t>
  </si>
  <si>
    <t>ずっとまよなかでいいのに。</t>
  </si>
  <si>
    <t>すぴっつ</t>
  </si>
  <si>
    <t>せぶんすしすたーず</t>
  </si>
  <si>
    <t>ちと(みなせいおり)、ゆーり(くぼゆりか)</t>
  </si>
  <si>
    <t>ちゃっともんちー</t>
  </si>
  <si>
    <t>ちゃっともんちー(れきし)</t>
  </si>
  <si>
    <t>とーま feat.はつねみく</t>
  </si>
  <si>
    <t>なきそ feat.かあいゆき</t>
  </si>
  <si>
    <t>なのう(ほえほえP) feat. はつねみく</t>
  </si>
  <si>
    <t>なゆたんせいじん</t>
  </si>
  <si>
    <t>ねくらいとーきー</t>
  </si>
  <si>
    <t>はち(よねづけんし) feat.GUMI</t>
  </si>
  <si>
    <t>はち(よねづけんし) feat.はつねみく&amp;GUMI</t>
  </si>
  <si>
    <t>はむちゃんず</t>
  </si>
  <si>
    <t>ばるーん feat.flower</t>
  </si>
  <si>
    <t>ばるーん(すだけいな) feat.flowel</t>
  </si>
  <si>
    <t>ばるーん(すだけいな) feat.flower</t>
  </si>
  <si>
    <t>ばるーん(すだけいな)feat.flowel</t>
  </si>
  <si>
    <t>ひかるい(ひらひかり＆せじまるい)</t>
  </si>
  <si>
    <t>ふじふぁぶりっく</t>
  </si>
  <si>
    <t>ふれでりっく</t>
  </si>
  <si>
    <t>ぽるかどっとすてぃんぐれい</t>
  </si>
  <si>
    <t>ぽるのぐらふぃてぃ</t>
  </si>
  <si>
    <t>まかろにえんぴつ</t>
  </si>
  <si>
    <t>みきとP feat.かがみねりん</t>
  </si>
  <si>
    <t>みきとP feat.はつねみく</t>
  </si>
  <si>
    <t>める feat.IA</t>
  </si>
  <si>
    <t>める feat.はつねみく</t>
  </si>
  <si>
    <t>やなぎなぎ&amp; まえだじゅん</t>
  </si>
  <si>
    <t>やなせたかし(さっきょくしゃ)</t>
  </si>
  <si>
    <t>よるしか</t>
  </si>
  <si>
    <t>らんか・りー(CV.なかじまめぐみ)</t>
  </si>
  <si>
    <t>れみおろめん</t>
  </si>
  <si>
    <t>れるりり(とうしゃひP) feat.はつねみく</t>
  </si>
  <si>
    <t>れをる&amp;ぎがP feat.かがみねりん&amp;めぐりねるか</t>
  </si>
  <si>
    <t>ろくでなし</t>
  </si>
  <si>
    <t>あべまお</t>
  </si>
  <si>
    <t>ひととよう</t>
  </si>
  <si>
    <t>はにゅうまいご feat.flower</t>
  </si>
  <si>
    <t>おくはなこ</t>
  </si>
  <si>
    <t>いえいりれお</t>
  </si>
  <si>
    <t>かくだのぶあき＆いはたじゅり</t>
  </si>
  <si>
    <t>ちはらみのり</t>
  </si>
  <si>
    <t>けっそくばんど</t>
  </si>
  <si>
    <t>あらいゆみ(まつとうやゆみ)</t>
  </si>
  <si>
    <t>たかはしようこ</t>
  </si>
  <si>
    <t>くろうさ feat.はつねみく</t>
  </si>
  <si>
    <t>しししし feat.はつねみく</t>
  </si>
  <si>
    <t>しすいきき</t>
  </si>
  <si>
    <t>にるかじつ feat.かふ</t>
  </si>
  <si>
    <t>てしまあおい</t>
  </si>
  <si>
    <t>そうやいちか</t>
  </si>
  <si>
    <t>まつだせいこ</t>
  </si>
  <si>
    <t>まつもとりか</t>
  </si>
  <si>
    <t>ほしまちすいせい</t>
  </si>
  <si>
    <t>にしのかな</t>
  </si>
  <si>
    <t>あかいこうえん</t>
  </si>
  <si>
    <t>おおつかあい</t>
  </si>
  <si>
    <t>なかがわしょうこ</t>
  </si>
  <si>
    <t>しいなりんご</t>
  </si>
  <si>
    <t>うめとら feat. めぐりねるか&amp;はつねみく&amp;GUMI&amp;IA&amp;かがみねりん</t>
  </si>
  <si>
    <t>みなみ</t>
  </si>
  <si>
    <t>ひいらぎまぐねたいと feat.かふ</t>
  </si>
  <si>
    <t>ひらいけん</t>
  </si>
  <si>
    <t>よねづけんし</t>
  </si>
  <si>
    <t>みらいこだいがくだん feat. あしみねきわこ</t>
  </si>
  <si>
    <t>きむらゆみ</t>
  </si>
  <si>
    <t>ゆうり</t>
  </si>
  <si>
    <t>かすかねしの</t>
  </si>
  <si>
    <t>かすかねしの(そっきょう)</t>
  </si>
  <si>
    <t>ゆうきさん(かみやまよう) feat.はつねみく</t>
  </si>
  <si>
    <t>ひつじぶんがく</t>
  </si>
  <si>
    <t>あおいえいる</t>
  </si>
  <si>
    <t>なしもとP feat.はつねみく</t>
  </si>
  <si>
    <t>すずみねも</t>
  </si>
  <si>
    <t>すずみやはるひ(CV.ひらのあや)</t>
  </si>
  <si>
    <t>すずみやはるひ(CV.ひらのあや)&amp;ながとゆき(CV.ちはらみのり)&amp;あさひなみくる(CV.ごとうゆうこ)</t>
  </si>
  <si>
    <t>すずみやはるひ(ひらのあや)</t>
  </si>
  <si>
    <t>りょくおうしょくしゃかい</t>
  </si>
  <si>
    <t>すずきこのみ</t>
  </si>
  <si>
    <t>わだこうじ</t>
  </si>
  <si>
    <t>K NoW_NAME</t>
    <phoneticPr fontId="2"/>
  </si>
  <si>
    <t>YUI</t>
    <phoneticPr fontId="2"/>
  </si>
  <si>
    <t>ずっと真夜中でいいのに。</t>
    <phoneticPr fontId="2"/>
  </si>
  <si>
    <t>【弾き語り】明日からも頑張れるおまじないを！【幽音しの:ななしいんく】　#shorts #vtuber #vsinger #歌枠</t>
    <phoneticPr fontId="2"/>
  </si>
  <si>
    <t>https://www.youtube.com/live/BjWSIm9kSZs?si=1oMuQyZMLWArIABK</t>
    <phoneticPr fontId="2"/>
  </si>
  <si>
    <t>0:14:07</t>
  </si>
  <si>
    <t>0:21:30</t>
  </si>
  <si>
    <t>0:28:06</t>
  </si>
  <si>
    <t>0:35:17</t>
  </si>
  <si>
    <t>0:41:53</t>
  </si>
  <si>
    <t>0:54:10</t>
  </si>
  <si>
    <t>1:01:19</t>
  </si>
  <si>
    <t>1:08:30</t>
  </si>
  <si>
    <t>1:16:44</t>
  </si>
  <si>
    <t>1:24:32</t>
  </si>
  <si>
    <t>1:30:37</t>
  </si>
  <si>
    <t>1:39:44</t>
  </si>
  <si>
    <t>1:48:08</t>
  </si>
  <si>
    <t>1:56:14</t>
  </si>
  <si>
    <t>Vaundy</t>
    <phoneticPr fontId="2"/>
  </si>
  <si>
    <t>【#あましの】スプリット・フィクションの続きをやる！【幽音しの:ななしいんく】</t>
    <phoneticPr fontId="2"/>
  </si>
  <si>
    <t>https://www.youtube.com/live/KBpYyQ-ClWo?si=OraCMHCkmYcxIxK6</t>
    <phoneticPr fontId="2"/>
  </si>
  <si>
    <t>【アイスの会】ダッツの新作マロンを食べる！【幽音しの:ななしいんく】</t>
    <phoneticPr fontId="2"/>
  </si>
  <si>
    <t>https://www.youtube.com/live/zeycT-mnwSQ?si=YVIHYdlWM0pL1NQb</t>
    <phoneticPr fontId="2"/>
  </si>
  <si>
    <t>【弾き語り】夜の癒しに弾き語り歌枠【幽音しの:ななしいんく】　#shorts #vtuber #vsinger #歌枠</t>
    <phoneticPr fontId="2"/>
  </si>
  <si>
    <t>https://www.youtube.com/live/w3oM0fDmwz4?si=VVO-ga6uipBLMrpR</t>
    <phoneticPr fontId="2"/>
  </si>
  <si>
    <t>トリノコシティ</t>
  </si>
  <si>
    <t>白日</t>
  </si>
  <si>
    <t>King Gnu</t>
  </si>
  <si>
    <t>ピンクレモネード</t>
  </si>
  <si>
    <t>三月のパンタシア</t>
  </si>
  <si>
    <t>SNOW SOUND</t>
  </si>
  <si>
    <t>金木犀の夜</t>
  </si>
  <si>
    <t>0:04:43</t>
  </si>
  <si>
    <t>0:14:11</t>
  </si>
  <si>
    <t>0:20:20</t>
  </si>
  <si>
    <t>0:27:04</t>
  </si>
  <si>
    <t>0:35:26</t>
  </si>
  <si>
    <t>0:42:16</t>
  </si>
  <si>
    <t>0:49:46</t>
  </si>
  <si>
    <t>1:05:17</t>
  </si>
  <si>
    <t>1:11:34</t>
  </si>
  <si>
    <t>1:17:55</t>
  </si>
  <si>
    <t>1:24:08</t>
  </si>
  <si>
    <t>1:32:23</t>
  </si>
  <si>
    <t>1:49:10</t>
  </si>
  <si>
    <t>1:56:10</t>
  </si>
  <si>
    <t>2:09:41</t>
  </si>
  <si>
    <t>［Alexandros］</t>
    <phoneticPr fontId="2"/>
  </si>
  <si>
    <t>Alexandros</t>
    <phoneticPr fontId="2"/>
  </si>
  <si>
    <t>King Gnu</t>
    <phoneticPr fontId="2"/>
  </si>
  <si>
    <t>さんがつのぱんたしあ</t>
    <phoneticPr fontId="2"/>
  </si>
  <si>
    <t>[Alexandros]</t>
    <phoneticPr fontId="2"/>
  </si>
  <si>
    <t>【コラボ】REPOコラボ！初めましてでもたくさんのお宝を集めるはず！【幽音しの:ななしいんく】</t>
    <phoneticPr fontId="2"/>
  </si>
  <si>
    <t>https://www.youtube.com/live/HrTGMEz799w?si=jbCZTdjGLH52DrHB</t>
    <phoneticPr fontId="2"/>
  </si>
  <si>
    <t>【弾き語り】深夜に聞く弾き語りはどうですか？【幽音しの:ななしいんく】　#shorts #vtuber #vsinger #歌枠</t>
    <phoneticPr fontId="2"/>
  </si>
  <si>
    <t>https://www.youtube.com/live/ac4RYGdoGfw?si=XYuojmcqpJZOLb9x</t>
    <phoneticPr fontId="2"/>
  </si>
  <si>
    <t>0:06:14</t>
  </si>
  <si>
    <t>0:12:41</t>
  </si>
  <si>
    <t>サターン</t>
  </si>
  <si>
    <t>0:19:59</t>
  </si>
  <si>
    <t>Ham</t>
  </si>
  <si>
    <t>0:26:52</t>
  </si>
  <si>
    <t>0:34:17</t>
  </si>
  <si>
    <t>サイノウサンプラー</t>
  </si>
  <si>
    <t>電ポルP feat.初音ミク</t>
  </si>
  <si>
    <t>0:40:12</t>
  </si>
  <si>
    <t>0:48:40</t>
  </si>
  <si>
    <t>0:54:18</t>
  </si>
  <si>
    <t>1:01:29</t>
  </si>
  <si>
    <t>【恐怖診断テスト】恐怖？そんな感情は置いてきた―。【幽音しの:ななしいんく】　 #vtuber</t>
    <phoneticPr fontId="2"/>
  </si>
  <si>
    <t>https://www.youtube.com/live/i8yO9cF3Nug?si=zrKx3lx_hthRTeUD</t>
    <phoneticPr fontId="2"/>
  </si>
  <si>
    <t>【弾き語り】深夜定期！今日も頑張った君を寝かしつける歌枠【幽音しの:ななしいんく】　#shorts #vtuber #vsinger #歌枠</t>
    <phoneticPr fontId="2"/>
  </si>
  <si>
    <t>https://www.youtube.com/live/Cs48limSzrE?si=n8CFockH4OVXGSvE</t>
    <phoneticPr fontId="2"/>
  </si>
  <si>
    <t>0:04:25</t>
  </si>
  <si>
    <t>0:12:52</t>
  </si>
  <si>
    <t>0:20:12</t>
  </si>
  <si>
    <t>0:27:25</t>
  </si>
  <si>
    <t>0:37:46</t>
  </si>
  <si>
    <t>心做し</t>
  </si>
  <si>
    <t>蝶々P feat.GUMI</t>
  </si>
  <si>
    <t>0:46:50</t>
  </si>
  <si>
    <t>0:55:46</t>
  </si>
  <si>
    <t>ミュージックミュージック</t>
  </si>
  <si>
    <t>とあ feat.初音ミク</t>
  </si>
  <si>
    <t>1:02:11</t>
  </si>
  <si>
    <t>Feel</t>
  </si>
  <si>
    <t>1:15:46</t>
  </si>
  <si>
    <t>夢灯篭</t>
  </si>
  <si>
    <t>1:22:37</t>
  </si>
  <si>
    <t>1:32:20</t>
  </si>
  <si>
    <t>ミュージック</t>
  </si>
  <si>
    <t>【誕生日カウントダウン配信】ついに明日は誕生日！なんと！告知があります！！！！【幽音しの:ななしいんく】　 #vtuber #vsinger</t>
    <phoneticPr fontId="2"/>
  </si>
  <si>
    <t>https://www.youtube.com/live/qTRoniWqYUs?si=tZabM9W3dUpT3w7w</t>
    <phoneticPr fontId="2"/>
  </si>
  <si>
    <t>1:13:03</t>
    <phoneticPr fontId="2"/>
  </si>
  <si>
    <t>カウントダウン前にバースデーソング作る</t>
    <rPh sb="7" eb="8">
      <t>マエ</t>
    </rPh>
    <rPh sb="17" eb="18">
      <t>ツク</t>
    </rPh>
    <phoneticPr fontId="2"/>
  </si>
  <si>
    <t>【誕生日配信】君とこの空をどこまでも！そんな歌を歌います！初挑戦なことが、、！？【幽音しの:ななしいんく】　 #vtuber #vsinger #歌枠</t>
    <phoneticPr fontId="2"/>
  </si>
  <si>
    <t>https://www.youtube.com/live/w8cj1TZhgIM?si=jSw7OZzFwM2n4KKP</t>
    <phoneticPr fontId="2"/>
  </si>
  <si>
    <t>弾き語り&amp;音源</t>
    <rPh sb="0" eb="1">
      <t>ヒ</t>
    </rPh>
    <rPh sb="2" eb="3">
      <t>ガタ</t>
    </rPh>
    <rPh sb="5" eb="7">
      <t>オンゲン</t>
    </rPh>
    <phoneticPr fontId="2"/>
  </si>
  <si>
    <t>0:06:37</t>
  </si>
  <si>
    <t>シニカルナイトプラン</t>
  </si>
  <si>
    <t>0:12:35</t>
  </si>
  <si>
    <t>夜もすがら君想ふ</t>
  </si>
  <si>
    <t>TOKOTOKO feat.GUMI</t>
  </si>
  <si>
    <t>0:20:14</t>
  </si>
  <si>
    <t>Heal Me</t>
  </si>
  <si>
    <t>*Luna feat.マクネナナ</t>
  </si>
  <si>
    <t>0:29:50</t>
  </si>
  <si>
    <t>アポリア</t>
  </si>
  <si>
    <t>0:37:31</t>
  </si>
  <si>
    <t>点描の唄</t>
  </si>
  <si>
    <t>Mrs. GREEN APPLE feat.井上苑子</t>
  </si>
  <si>
    <t>0:48:30</t>
  </si>
  <si>
    <t>メルティランドナイトメア</t>
  </si>
  <si>
    <t>はるまきごはん feat.初音ミク</t>
  </si>
  <si>
    <t>0:56:28</t>
  </si>
  <si>
    <t>1:04:01</t>
  </si>
  <si>
    <t>From now on</t>
  </si>
  <si>
    <t>ノクティルーカ</t>
    <phoneticPr fontId="2"/>
  </si>
  <si>
    <t>Ayase feat.初音ミク</t>
    <phoneticPr fontId="2"/>
  </si>
  <si>
    <t>Mrs. GREEN APPLE feat.いのうえそのこ</t>
  </si>
  <si>
    <t>とあ feat.はつねみく</t>
  </si>
  <si>
    <t>はるまきごはん feat.はつねみく</t>
  </si>
  <si>
    <t>ちょうちょうP feat.GUMI</t>
  </si>
  <si>
    <t>Luna feat.まくねなな</t>
    <phoneticPr fontId="2"/>
  </si>
  <si>
    <t>【弾き語り】YUIさん歌っていく弾き語り！【幽音しの:ななしいんく】　#shorts #vtuber #vsinger #歌枠</t>
    <phoneticPr fontId="2"/>
  </si>
  <si>
    <t>https://www.youtube.com/live/8eShd7lbOHQ?si=tMBt33Wr9js5gLMn</t>
    <phoneticPr fontId="2"/>
  </si>
  <si>
    <t>0:08:23</t>
  </si>
  <si>
    <t>0:17:50</t>
  </si>
  <si>
    <t>0:24:28</t>
  </si>
  <si>
    <t>0:40:57</t>
  </si>
  <si>
    <t>0:49:17</t>
  </si>
  <si>
    <t>1:07:13</t>
  </si>
  <si>
    <t>GLORIA</t>
  </si>
  <si>
    <t>1:14:46</t>
  </si>
  <si>
    <t>【コラボ】あんこ先輩とるい先輩とエペをたしなむ【幽音しの:ななしいんく】　 #vtuber</t>
    <phoneticPr fontId="2"/>
  </si>
  <si>
    <t>https://www.youtube.com/live/M5KKJ243Zc0?si=4eMWGL-SVv8Et_b0</t>
    <phoneticPr fontId="2"/>
  </si>
  <si>
    <t>【コラボ】第二回線！！！！えぺ！！【幽音しの:ななしいんく】 #vtuber</t>
    <phoneticPr fontId="2"/>
  </si>
  <si>
    <t>https://www.youtube.com/live/HwMzfVw1nd0?si=CO8H3Bw0cRgef16J</t>
    <phoneticPr fontId="2"/>
  </si>
  <si>
    <t>【弾き語り】ちょっとだけ歌う～気ままに【幽音しの:ななしいんく】　#shorts #vtuber #vsinger #歌枠</t>
    <phoneticPr fontId="2"/>
  </si>
  <si>
    <t>https://www.youtube.com/live/AHfCHGope8I?si=qrXuqYy-tTqldtt4</t>
    <phoneticPr fontId="2"/>
  </si>
  <si>
    <t>0:05:43</t>
  </si>
  <si>
    <t>リバーシブル・キャンペーン</t>
  </si>
  <si>
    <t>ライアーダンス</t>
  </si>
  <si>
    <t>0:17:26</t>
  </si>
  <si>
    <t>フラジール</t>
  </si>
  <si>
    <t>ぬゆりfeat.GUMI</t>
  </si>
  <si>
    <t>0:23:39</t>
  </si>
  <si>
    <t>0:29:19</t>
  </si>
  <si>
    <t>フォニイ</t>
  </si>
  <si>
    <t>ツミキ feat.可不</t>
  </si>
  <si>
    <t>0:36:27</t>
  </si>
  <si>
    <t>酔いどれ知らず</t>
  </si>
  <si>
    <t>kanaria.GUMI</t>
  </si>
  <si>
    <t>0:41:19</t>
  </si>
  <si>
    <t>ガランド</t>
  </si>
  <si>
    <t>ピコン feat.初音ミク</t>
  </si>
  <si>
    <t>0:47:06</t>
  </si>
  <si>
    <t>ギラギラ</t>
  </si>
  <si>
    <t>0:55:09</t>
  </si>
  <si>
    <t>ワールド・コーリング</t>
  </si>
  <si>
    <t>1:02:14</t>
  </si>
  <si>
    <t>1:07:19</t>
  </si>
  <si>
    <t>1:21:14</t>
  </si>
  <si>
    <t>Ayase feat.初音ミク</t>
    <phoneticPr fontId="2"/>
  </si>
  <si>
    <t>じん(自然の敵P) feat.IA</t>
    <phoneticPr fontId="2"/>
  </si>
  <si>
    <t>ツミキ feat.かふ</t>
    <phoneticPr fontId="2"/>
  </si>
  <si>
    <t>でんぽるP feat.はつねみく</t>
    <phoneticPr fontId="2"/>
  </si>
  <si>
    <t>ピコン feat.はつねみく</t>
    <phoneticPr fontId="2"/>
  </si>
  <si>
    <t>【弾き語り】深夜定期のチルい歌枠はこちら【幽音しの:ななしいんく】　#shorts #vtuber #vsinger #歌枠</t>
    <phoneticPr fontId="2"/>
  </si>
  <si>
    <t>https://www.youtube.com/live/r7Bwk1jHwnc?si=YSwS6uQI_0X3Y91g</t>
    <phoneticPr fontId="2"/>
  </si>
  <si>
    <t>0:04:58</t>
  </si>
  <si>
    <t>0:11:07</t>
  </si>
  <si>
    <t>0:31:01</t>
  </si>
  <si>
    <t>0:39:27</t>
  </si>
  <si>
    <t>0:47:11</t>
  </si>
  <si>
    <t>0:54:38</t>
  </si>
  <si>
    <t>1:00:57</t>
  </si>
  <si>
    <t>ノクティルーカ</t>
  </si>
  <si>
    <t>1:08:33</t>
  </si>
  <si>
    <t>1:13:20</t>
  </si>
  <si>
    <t>1:19:16</t>
  </si>
  <si>
    <t>1:30:25</t>
  </si>
  <si>
    <t>Sincerely</t>
  </si>
  <si>
    <t>1:41:20</t>
  </si>
  <si>
    <t>【弾き語り＆カラオケ】しのの飛行機用プレイリストで歌ってく【幽音しの:ななしいんく】　#shorts #vtuber #vsinger #歌枠</t>
    <phoneticPr fontId="2"/>
  </si>
  <si>
    <t>https://www.youtube.com/live/b0qPGU0sZn4?si=C5mabzVl6bhK7mp0</t>
    <phoneticPr fontId="2"/>
  </si>
  <si>
    <t>0:13:11</t>
  </si>
  <si>
    <t>火星人</t>
  </si>
  <si>
    <t>0:19:49</t>
  </si>
  <si>
    <t>0:23:54</t>
  </si>
  <si>
    <t>スパークル</t>
  </si>
  <si>
    <t>0:31:51</t>
  </si>
  <si>
    <t>0:37:42</t>
  </si>
  <si>
    <t>0:43:54</t>
  </si>
  <si>
    <t>0:49:05</t>
  </si>
  <si>
    <t>0:58:38</t>
  </si>
  <si>
    <t>春を待つ</t>
  </si>
  <si>
    <t>lslet feat.倚水</t>
  </si>
  <si>
    <t>1:05:44</t>
  </si>
  <si>
    <t>晴れるなら</t>
  </si>
  <si>
    <t>Guiano</t>
  </si>
  <si>
    <t>1:11:23</t>
  </si>
  <si>
    <t>隙</t>
  </si>
  <si>
    <t>ユーリ</t>
  </si>
  <si>
    <t>1:15:00</t>
  </si>
  <si>
    <t>ネハン</t>
  </si>
  <si>
    <t>1:21:10</t>
  </si>
  <si>
    <t>1:27:13</t>
  </si>
  <si>
    <t>1:34:10</t>
  </si>
  <si>
    <t>1:43:07</t>
  </si>
  <si>
    <t>白日夢</t>
  </si>
  <si>
    <t>1:49:18</t>
  </si>
  <si>
    <t>化けの花</t>
  </si>
  <si>
    <t>25時、ナイトコードで。×KAITO</t>
  </si>
  <si>
    <t>1:54:19</t>
  </si>
  <si>
    <t>https://www.youtube.com/live/d4ROJErxpn4?si=5CHaLejnfYn1YdlB</t>
    <phoneticPr fontId="2"/>
  </si>
  <si>
    <t>【アイスの会】ダッツの新作チョコ2種類を食べる！【幽音しの:ななしいんく】</t>
    <phoneticPr fontId="2"/>
  </si>
  <si>
    <t>【#あましの】スプリット・フィクション、ついにラストか、、？続きをやっていく！【幽音しの:ななしいんく】</t>
    <phoneticPr fontId="2"/>
  </si>
  <si>
    <t>https://www.youtube.com/live/wTgrADu5oWU?si=a1kefMBH2I_z2Pzq</t>
    <phoneticPr fontId="2"/>
  </si>
  <si>
    <t>【弾き語り】深夜定期！ゆっくりと時間がすぎてく弾き語りを【幽音しの:ななしいんく】　#shorts #vtuber #vsinger #歌枠</t>
    <phoneticPr fontId="2"/>
  </si>
  <si>
    <t>https://www.youtube.com/live/OYaf_O-6WRs?si=20Zo4VVa8PxJbw_X</t>
    <phoneticPr fontId="2"/>
  </si>
  <si>
    <t>0:06:07</t>
  </si>
  <si>
    <t>0:13:07</t>
  </si>
  <si>
    <t>少女A</t>
  </si>
  <si>
    <t>椎名もた feat.初音ミク</t>
  </si>
  <si>
    <t>0:18:37</t>
  </si>
  <si>
    <t>0:24:39</t>
  </si>
  <si>
    <t>0:31:58</t>
  </si>
  <si>
    <t>ハルジオン</t>
  </si>
  <si>
    <t>0:37:38</t>
  </si>
  <si>
    <t>0:48:22</t>
  </si>
  <si>
    <t>0:55:47</t>
  </si>
  <si>
    <t>ライラック</t>
  </si>
  <si>
    <t>1:03:08</t>
  </si>
  <si>
    <t>1:09:00</t>
  </si>
  <si>
    <t>1:15:20</t>
  </si>
  <si>
    <t>Help!(1chorus)</t>
  </si>
  <si>
    <t>Beatles</t>
  </si>
  <si>
    <t>1:22:02</t>
  </si>
  <si>
    <t>【コラボ歌枠】カンナ先輩と歌コラボ～～！緊張するぞ！【幽音しの:ななしいんく】　 #vtuber #vsinger #歌枠</t>
    <phoneticPr fontId="2"/>
  </si>
  <si>
    <t>https://www.youtube.com/live/NkjXzUMUZpw?si=EmGBj6Hh6tIlwjGQ</t>
    <phoneticPr fontId="2"/>
  </si>
  <si>
    <t>0:06:55</t>
  </si>
  <si>
    <t>┗|∵|┓ロメオ</t>
  </si>
  <si>
    <t>HoneyWorks feat.LIP×LIP(CV:内山昂輝&amp;島﨑信長)</t>
  </si>
  <si>
    <t>0:14:52</t>
  </si>
  <si>
    <t>0:23:35</t>
  </si>
  <si>
    <t>0:38:29</t>
  </si>
  <si>
    <t>0:46:46</t>
  </si>
  <si>
    <t>コネクト</t>
  </si>
  <si>
    <t>ClariS</t>
  </si>
  <si>
    <t>0:54:21</t>
  </si>
  <si>
    <t>1:01:51</t>
  </si>
  <si>
    <t>チューリングラブ</t>
  </si>
  <si>
    <t>ナナヲアカリ feat.Sou</t>
  </si>
  <si>
    <t>1:08:51</t>
  </si>
  <si>
    <t>【50曲耐久歌枠】グッズ最終日！感謝を込めていろいろと歌っていきます！【幽音しの:ななしいんく】　#shorts #vtuber #vsinger #歌枠</t>
    <phoneticPr fontId="2"/>
  </si>
  <si>
    <t>https://www.youtube.com/live/nyXzxG79mwQ?si=kGuFyOuc0o-yNPOU</t>
    <phoneticPr fontId="2"/>
  </si>
  <si>
    <t>0:04:48</t>
  </si>
  <si>
    <t>0:09:25</t>
  </si>
  <si>
    <t>0:13:35</t>
  </si>
  <si>
    <t>残響散歌</t>
  </si>
  <si>
    <t>0:17:07</t>
  </si>
  <si>
    <t>0:22:00</t>
  </si>
  <si>
    <t>0:26:11</t>
  </si>
  <si>
    <t>0:31:07</t>
  </si>
  <si>
    <t>私は最強</t>
  </si>
  <si>
    <t>0:35:49</t>
  </si>
  <si>
    <t>新時代</t>
  </si>
  <si>
    <t>0:40:34</t>
  </si>
  <si>
    <t>0:45:02</t>
  </si>
  <si>
    <t>0:49:26</t>
  </si>
  <si>
    <t>アイドル</t>
  </si>
  <si>
    <t>0:53:47</t>
  </si>
  <si>
    <t>1:04:19</t>
  </si>
  <si>
    <t>1:08:43</t>
  </si>
  <si>
    <t>1:18:27</t>
  </si>
  <si>
    <t>晴る</t>
  </si>
  <si>
    <t>1:24:16</t>
  </si>
  <si>
    <t>ファジーネーブル</t>
  </si>
  <si>
    <t>Conton Candy</t>
  </si>
  <si>
    <t>1:29:32</t>
  </si>
  <si>
    <t>1:35:17</t>
  </si>
  <si>
    <t>1:42:04</t>
  </si>
  <si>
    <t>Pretender</t>
  </si>
  <si>
    <t>1:49:49</t>
  </si>
  <si>
    <t>1:54:24</t>
  </si>
  <si>
    <t>チョコレイト・ディスコ</t>
  </si>
  <si>
    <t>Perfume</t>
  </si>
  <si>
    <t>1:59:43</t>
  </si>
  <si>
    <t>ベテルギウス</t>
  </si>
  <si>
    <t>2:05:52</t>
  </si>
  <si>
    <t>シル・ヴ・プレジデント</t>
  </si>
  <si>
    <t>P丸様。</t>
  </si>
  <si>
    <t>2:12:26</t>
  </si>
  <si>
    <t>2:19:47</t>
  </si>
  <si>
    <t>2:25:29</t>
  </si>
  <si>
    <t>春を告げる</t>
  </si>
  <si>
    <t>yama</t>
  </si>
  <si>
    <t>2:30:00</t>
  </si>
  <si>
    <t>2:36:58</t>
  </si>
  <si>
    <t>2:46:15</t>
  </si>
  <si>
    <t>2:52:10</t>
  </si>
  <si>
    <t>ANIMA</t>
  </si>
  <si>
    <t>ReoNa</t>
  </si>
  <si>
    <t>2:57:35</t>
  </si>
  <si>
    <t>世界は恋に落ちている</t>
  </si>
  <si>
    <t>3:05:18</t>
  </si>
  <si>
    <t>3:11:37</t>
  </si>
  <si>
    <t>3:17:47</t>
  </si>
  <si>
    <t>3:25:12</t>
  </si>
  <si>
    <t>3:30:34</t>
  </si>
  <si>
    <t>3:36:23</t>
  </si>
  <si>
    <t>3:40:09</t>
  </si>
  <si>
    <t>KING</t>
  </si>
  <si>
    <t>GUMI feat.kanaria</t>
  </si>
  <si>
    <t>3:44:51</t>
  </si>
  <si>
    <t>3:49:29</t>
  </si>
  <si>
    <t>ココロオドル</t>
  </si>
  <si>
    <t>nobodyknows+</t>
  </si>
  <si>
    <t>3:56:09</t>
  </si>
  <si>
    <t>A Whole New World</t>
  </si>
  <si>
    <t>Peabo Bryson&amp;Regina Belle</t>
  </si>
  <si>
    <t>4:00:25</t>
  </si>
  <si>
    <t>生まれてはじめて</t>
  </si>
  <si>
    <t>神田沙也加&amp;松たか子</t>
  </si>
  <si>
    <t>4:06:40</t>
  </si>
  <si>
    <t>4:10:53</t>
  </si>
  <si>
    <t>4:17:13</t>
  </si>
  <si>
    <t>4:21:53</t>
  </si>
  <si>
    <t>4:27:19</t>
  </si>
  <si>
    <t>創聖のアクエリオン</t>
  </si>
  <si>
    <t>AKINO</t>
  </si>
  <si>
    <t>4:39:14</t>
  </si>
  <si>
    <t>4:48:42</t>
  </si>
  <si>
    <t>【夜ご飯食べよう】からあげ、ぱりぱり漬、雪見だいふく編【幽音しの:ななしいんく】　#vtuber #vsinger</t>
    <phoneticPr fontId="2"/>
  </si>
  <si>
    <t>https://www.youtube.com/live/wPbGue-iM-4?si=3fkt9MRL4nI7_0KE</t>
    <phoneticPr fontId="2"/>
  </si>
  <si>
    <t>【歌枠】カラオケの気分なのでうたいます！【幽音しの:ななしいんく】　#shorts #vtuber #vsinger #歌枠</t>
    <phoneticPr fontId="2"/>
  </si>
  <si>
    <t>https://www.youtube.com/live/Yti72SsHzxs?si=qlI2gfa0I0wWYoH4</t>
    <phoneticPr fontId="2"/>
  </si>
  <si>
    <t>0:05:47</t>
  </si>
  <si>
    <t>0:11:42</t>
  </si>
  <si>
    <t>0:15:52</t>
  </si>
  <si>
    <t>0:22:20</t>
  </si>
  <si>
    <t>only my railgun</t>
  </si>
  <si>
    <t>fripSide</t>
  </si>
  <si>
    <t>0:28:48</t>
  </si>
  <si>
    <t>0:33:52</t>
  </si>
  <si>
    <t>chizono feat.FlowerR</t>
  </si>
  <si>
    <t>0:39:10</t>
  </si>
  <si>
    <t>うっせぇわ</t>
  </si>
  <si>
    <t>0:44:15</t>
  </si>
  <si>
    <t>0:49:22</t>
  </si>
  <si>
    <t>Butter-Fly</t>
  </si>
  <si>
    <t>1:01:26</t>
  </si>
  <si>
    <t>サクラ咲ケ</t>
  </si>
  <si>
    <t>嵐</t>
  </si>
  <si>
    <t>1:06:35</t>
  </si>
  <si>
    <t>Monster</t>
  </si>
  <si>
    <t>1:12:46</t>
  </si>
  <si>
    <t>truth</t>
  </si>
  <si>
    <t>1:22:46</t>
  </si>
  <si>
    <t>Love so sweet</t>
  </si>
  <si>
    <t>1:29:46</t>
  </si>
  <si>
    <t>君に届け</t>
  </si>
  <si>
    <t>Flumpool</t>
  </si>
  <si>
    <t>1:37:59</t>
  </si>
  <si>
    <t>366日</t>
  </si>
  <si>
    <t>HY</t>
  </si>
  <si>
    <t>1:45:24</t>
  </si>
  <si>
    <t>三日月</t>
  </si>
  <si>
    <t>絢香</t>
  </si>
  <si>
    <t>1:51:10</t>
  </si>
  <si>
    <t>はじまりのとき</t>
  </si>
  <si>
    <t>1:57:47</t>
  </si>
  <si>
    <t>HANABI</t>
  </si>
  <si>
    <t>Mr.Children</t>
  </si>
  <si>
    <t>2:07:17</t>
  </si>
  <si>
    <t>Tomorrow never knows</t>
  </si>
  <si>
    <t>2:17:03</t>
  </si>
  <si>
    <t>2:24:24</t>
  </si>
  <si>
    <t>2:38:01</t>
  </si>
  <si>
    <t>ヤミタイガール</t>
  </si>
  <si>
    <t>れるりり feat.GUMI</t>
  </si>
  <si>
    <t>2:46:51</t>
  </si>
  <si>
    <t>え？あぁ、そう。</t>
  </si>
  <si>
    <t>蝶々P feat.初音ミク</t>
  </si>
  <si>
    <t>【弾き語り】深夜定期！ちるく心地いい夜を～！【幽音しの:ななしいんく】　#shorts #vtuber #vsinger #歌枠</t>
    <phoneticPr fontId="2"/>
  </si>
  <si>
    <t>https://www.youtube.com/live/i7euCqiwzl4?si=Gvd-dBAI4nZ9HDpv</t>
    <phoneticPr fontId="2"/>
  </si>
  <si>
    <t>グッバイ宣言(1chorus)</t>
    <phoneticPr fontId="2"/>
  </si>
  <si>
    <t>グッバイ宣言</t>
    <phoneticPr fontId="2"/>
  </si>
  <si>
    <t>0:05:25</t>
  </si>
  <si>
    <t>0:13:00</t>
  </si>
  <si>
    <t>オツキミリサイタル</t>
  </si>
  <si>
    <t>じん feat.IA</t>
  </si>
  <si>
    <t>0:19:05</t>
  </si>
  <si>
    <t>透明アンサー</t>
  </si>
  <si>
    <t>0:27:13</t>
  </si>
  <si>
    <t>0:39:49</t>
  </si>
  <si>
    <t>0:44:26</t>
  </si>
  <si>
    <t>0:51:08</t>
  </si>
  <si>
    <t>1:00:32</t>
  </si>
  <si>
    <t>1:07:30</t>
  </si>
  <si>
    <t>きゅうくらりん</t>
  </si>
  <si>
    <t>いよわ feat.可不</t>
  </si>
  <si>
    <t>25時、ナイトコードで。×KAITO</t>
    <phoneticPr fontId="2"/>
  </si>
  <si>
    <t>25時、ナイトコードで。×KAITO</t>
    <phoneticPr fontId="2"/>
  </si>
  <si>
    <t>HoneyWorks feat.LIP×LIP(CV:うちやまこうき&amp;しまざきのぶなが)</t>
  </si>
  <si>
    <t>lslet feat.いすい</t>
  </si>
  <si>
    <t>Pまるさま。</t>
  </si>
  <si>
    <t>いよわ feat.かふ</t>
  </si>
  <si>
    <t>ななおあかり feat.Sou</t>
  </si>
  <si>
    <t>ゆーり</t>
  </si>
  <si>
    <t>あやか</t>
  </si>
  <si>
    <t>かんださやか&amp;まつたかこ</t>
  </si>
  <si>
    <t>ちょうちょうP feat.はつねみく</t>
  </si>
  <si>
    <t>しいなもた feat.はつねみく</t>
  </si>
  <si>
    <t>あらし</t>
  </si>
  <si>
    <t>0:32:44</t>
    <phoneticPr fontId="2"/>
  </si>
  <si>
    <t>0:59:07</t>
    <phoneticPr fontId="2"/>
  </si>
  <si>
    <t>【マイクラ】お久しぶりに触るのでリハビリを【幽音しの:ななしいんく】 #vtuber #vsinger</t>
    <phoneticPr fontId="2"/>
  </si>
  <si>
    <t>https://www.youtube.com/live/voRiT8mdeZ8?si=KtnkyMX-_wvwRr54</t>
    <phoneticPr fontId="2"/>
  </si>
  <si>
    <t>【弾き語り】秋っぽい歌勝手にイメージで選んで歌う！【幽音しの:ななしいんく】　#shorts #vtuber #vsinger #歌枠</t>
    <phoneticPr fontId="2"/>
  </si>
  <si>
    <t>https://www.youtube.com/live/hkpPXWM6LDY?si=pgl-HW7-u6yZjLAi</t>
    <phoneticPr fontId="2"/>
  </si>
  <si>
    <t>0:04:17</t>
  </si>
  <si>
    <t>0:10:39</t>
  </si>
  <si>
    <t>Eve</t>
  </si>
  <si>
    <t>0:22:45</t>
  </si>
  <si>
    <t>0:29:12</t>
  </si>
  <si>
    <t>0:36:07</t>
  </si>
  <si>
    <t>0:43:38</t>
  </si>
  <si>
    <t>0:48:56</t>
  </si>
  <si>
    <t>0:54:53</t>
  </si>
  <si>
    <t>1:08:28</t>
  </si>
  <si>
    <t>どんぐりころころ</t>
  </si>
  <si>
    <t>森の木児童合唱団</t>
  </si>
  <si>
    <t>【ゲーム配信】1/8192やる！ご飯食べ終わるまでにクリアできるでしょ！【幽音しの:ななしいんく】 #vtuber #vsinger</t>
    <phoneticPr fontId="2"/>
  </si>
  <si>
    <t>https://www.youtube.com/live/gwgBMeg_7Qw?si=ROOoPK4ojA5ZrcGL</t>
    <phoneticPr fontId="2"/>
  </si>
  <si>
    <t>【夜ご飯食べよう】餃子、ザーサイ、爽のアイス編【幽音しの:ななしいんく】　#vtuber #vsinger</t>
    <phoneticPr fontId="2"/>
  </si>
  <si>
    <t>https://www.youtube.com/live/_hHoC4HlO3U?si=dqFiXZmFxdC7hpZC</t>
    <phoneticPr fontId="2"/>
  </si>
  <si>
    <t>【弾き語り】弾き語りでチルする時間を【幽音しの:ななしいんく】　#shorts #vtuber #vsinger #歌枠</t>
    <phoneticPr fontId="2"/>
  </si>
  <si>
    <t>https://www.youtube.com/live/TDYlHpN4h0s?si=ysSy7YIPSXU6T0nx</t>
    <phoneticPr fontId="2"/>
  </si>
  <si>
    <t>0:06:10</t>
  </si>
  <si>
    <t>0:14:25</t>
  </si>
  <si>
    <t>lslet feat.倚水(tayori)</t>
  </si>
  <si>
    <t>0:21:48</t>
  </si>
  <si>
    <t>グッドバイ</t>
  </si>
  <si>
    <t>サクナクション</t>
  </si>
  <si>
    <t>0:28:51</t>
  </si>
  <si>
    <t>0:36:00</t>
  </si>
  <si>
    <t>0:50:33</t>
  </si>
  <si>
    <t>0:57:07</t>
  </si>
  <si>
    <t>1:06:45</t>
  </si>
  <si>
    <t>さユリ</t>
  </si>
  <si>
    <t>1:13:50</t>
  </si>
  <si>
    <t>未だ</t>
  </si>
  <si>
    <t>1:19:34</t>
  </si>
  <si>
    <t>貴方の恋人になりたいのです</t>
  </si>
  <si>
    <t>1:27:34</t>
  </si>
  <si>
    <t>1:35:39</t>
  </si>
  <si>
    <t>quiet room</t>
  </si>
  <si>
    <t>1:43:11</t>
  </si>
  <si>
    <t>ナユタン星人 feat.初音ミク</t>
  </si>
  <si>
    <t>1:51:34</t>
  </si>
  <si>
    <t>ラブ&amp;デストロイ</t>
  </si>
  <si>
    <t>MI8k feat.GUMI</t>
  </si>
  <si>
    <t>【弾き語り】ドライブの時聞きたい曲集！！【幽音しの:ななしいんく】　#shorts #vtuber #vsinger #歌枠</t>
    <phoneticPr fontId="2"/>
  </si>
  <si>
    <t>https://www.youtube.com/live/5-PHEYq6a-Y?si=i1qN4inKhZc0prZ-</t>
    <phoneticPr fontId="2"/>
  </si>
  <si>
    <t>化身</t>
  </si>
  <si>
    <t>0:09:45</t>
  </si>
  <si>
    <t>ヒミツ</t>
  </si>
  <si>
    <t>0:15:45</t>
  </si>
  <si>
    <t>春雷</t>
  </si>
  <si>
    <t>0:22:18</t>
  </si>
  <si>
    <t>ヲズワルド</t>
  </si>
  <si>
    <t>煮ル果実 feat.Flower</t>
  </si>
  <si>
    <t>0:25:45</t>
  </si>
  <si>
    <t>0:30:21</t>
  </si>
  <si>
    <t>0:35:05</t>
  </si>
  <si>
    <t>風吹けば恋</t>
  </si>
  <si>
    <t>0:41:05</t>
  </si>
  <si>
    <t>0:46:12</t>
  </si>
  <si>
    <t>0:51:58</t>
  </si>
  <si>
    <t>見たくないもの(1chorus)</t>
  </si>
  <si>
    <t>0:56:41</t>
  </si>
  <si>
    <t>星に願いを</t>
  </si>
  <si>
    <t>flumpool</t>
  </si>
  <si>
    <t>1:03:22</t>
  </si>
  <si>
    <t>1:17:42</t>
  </si>
  <si>
    <t>熱帯夜</t>
  </si>
  <si>
    <t>SHISHAMO</t>
  </si>
  <si>
    <t>1:22:54</t>
  </si>
  <si>
    <t>バンドマン(1chorus)</t>
  </si>
  <si>
    <t>1:39:08</t>
  </si>
  <si>
    <t>1:42:54</t>
  </si>
  <si>
    <t>1:48:40</t>
  </si>
  <si>
    <t>エロ</t>
  </si>
  <si>
    <t>1:53:12</t>
  </si>
  <si>
    <t>鬼</t>
  </si>
  <si>
    <t>2:00:24</t>
  </si>
  <si>
    <t>2:07:16</t>
  </si>
  <si>
    <t>【弾き語り】深夜定期！夜らしい弾き語りを君に【幽音しの:ななしいんく】　#shorts #vtuber #vsinger #歌枠</t>
    <phoneticPr fontId="2"/>
  </si>
  <si>
    <t>https://www.youtube.com/live/keSRwH4Zr7g?si=RPmDxNZjQB1dZWSK</t>
    <phoneticPr fontId="2"/>
  </si>
  <si>
    <t>0:05:20</t>
  </si>
  <si>
    <t>0:10:11</t>
  </si>
  <si>
    <t>40mp feat.初音ミク&amp;GUMI</t>
  </si>
  <si>
    <t>0:18:44</t>
  </si>
  <si>
    <t>0:25:33</t>
  </si>
  <si>
    <t>0:33:10</t>
  </si>
  <si>
    <t>0:40:55</t>
  </si>
  <si>
    <t>0:47:35</t>
  </si>
  <si>
    <t>0:54:20</t>
  </si>
  <si>
    <t>0:59:15</t>
  </si>
  <si>
    <t>1:12:33</t>
  </si>
  <si>
    <t>1:19:58</t>
  </si>
  <si>
    <t>【運動記録】リングフィットアドベンチャ＃１【幽音しの:ななしいんく】 #vtuber</t>
    <phoneticPr fontId="2"/>
  </si>
  <si>
    <t>https://www.youtube.com/live/dFTZeYXExd0?si=D92O87qECJOIp7e8</t>
    <phoneticPr fontId="2"/>
  </si>
  <si>
    <t>【マインクラフト】金を集めたい所存！！【幽音しの:ななしいんく】　#vtuber</t>
    <phoneticPr fontId="2"/>
  </si>
  <si>
    <t>https://www.youtube.com/live/qN7hziJQwIw?si=qvgs3m5LmN3dDpeT</t>
    <phoneticPr fontId="2"/>
  </si>
  <si>
    <t>【カラオケ】アイドルの曲を歌う～～【幽音しの:ななしいんく】　#shorts #vtuber #vsinger #歌枠</t>
    <phoneticPr fontId="2"/>
  </si>
  <si>
    <t>https://www.youtube.com/live/orkAkFl798M?si=7tK-YB5J1dGoAFWq</t>
    <phoneticPr fontId="2"/>
  </si>
  <si>
    <t>0:06:35</t>
  </si>
  <si>
    <t>行くぜっ!怪盗少女</t>
  </si>
  <si>
    <t>ももいろクローバーZ</t>
  </si>
  <si>
    <t>0:14:05</t>
  </si>
  <si>
    <t>サラバ、愛しき悲しみたちよ</t>
  </si>
  <si>
    <t>0:21:06</t>
  </si>
  <si>
    <t>Gee</t>
  </si>
  <si>
    <t>少女時代</t>
  </si>
  <si>
    <t>0:30:40</t>
  </si>
  <si>
    <t>Magnetic (チャレンジ)</t>
  </si>
  <si>
    <t>ILLIT</t>
  </si>
  <si>
    <t>0:35:45</t>
  </si>
  <si>
    <t>愛♡スクリ〜ム!</t>
  </si>
  <si>
    <t>AiScReam(ラブライブ!)</t>
  </si>
  <si>
    <t>0:44:35</t>
  </si>
  <si>
    <t>Troublemaker</t>
  </si>
  <si>
    <t>1:03:19</t>
  </si>
  <si>
    <t>1:10:29</t>
  </si>
  <si>
    <t>フライングゲット</t>
  </si>
  <si>
    <t>AKB48</t>
  </si>
  <si>
    <t>【半年記念】アイスを食べて、リクエスト曲歌う！【幽音しの:ななしいんく】　 #vtuber #vsinger #歌枠</t>
    <phoneticPr fontId="2"/>
  </si>
  <si>
    <t>https://www.youtube.com/live/FGNU1iQLiNM?si=B75Oqj0tjRBiyl5j</t>
    <phoneticPr fontId="2"/>
  </si>
  <si>
    <t>0:22:29</t>
  </si>
  <si>
    <t>Zoetrope</t>
  </si>
  <si>
    <t>群像夏</t>
  </si>
  <si>
    <t>パン野実々美</t>
  </si>
  <si>
    <t>0:45:25</t>
  </si>
  <si>
    <t>忘れてください</t>
  </si>
  <si>
    <t>0:55:21</t>
  </si>
  <si>
    <t>アンコール</t>
  </si>
  <si>
    <t>1:04:40</t>
  </si>
  <si>
    <t>ラベンダー</t>
  </si>
  <si>
    <t>MIMI feat.Saewool</t>
  </si>
  <si>
    <t>1:10:17</t>
  </si>
  <si>
    <t>雪解け</t>
  </si>
  <si>
    <t>tayori</t>
  </si>
  <si>
    <t>1:19:50</t>
  </si>
  <si>
    <t>ファンサ</t>
  </si>
  <si>
    <t>【運動記録】リングフィットアドベンチャー＃２【幽音しの:ななしいんく】 #vtuber</t>
    <phoneticPr fontId="2"/>
  </si>
  <si>
    <t>https://www.youtube.com/live/xob4PVwobdk?si=TmGPWlZjd8wD1jvj</t>
    <phoneticPr fontId="2"/>
  </si>
  <si>
    <t>【弾き語り】深夜定期しっとり弾き語りで歌う！【幽音しの:ななしいんく】　#shorts #vtuber #vsinger #歌枠</t>
    <phoneticPr fontId="2"/>
  </si>
  <si>
    <t>https://www.youtube.com/live/B1g4NIZAKqo?si=v8CWAz6GBo-vVIKK</t>
    <phoneticPr fontId="2"/>
  </si>
  <si>
    <t>0:03:28</t>
  </si>
  <si>
    <t>0:10:41</t>
  </si>
  <si>
    <t>0:19:02</t>
  </si>
  <si>
    <t>0:27:03</t>
  </si>
  <si>
    <t>0:34:11</t>
  </si>
  <si>
    <t>0:42:41</t>
  </si>
  <si>
    <t>0:58:03</t>
  </si>
  <si>
    <t>1:07:55</t>
  </si>
  <si>
    <t>1:16:30</t>
  </si>
  <si>
    <t>1:25:09</t>
  </si>
  <si>
    <t>1:31:41</t>
  </si>
  <si>
    <t>1:36:00</t>
  </si>
  <si>
    <t>1:42:15</t>
  </si>
  <si>
    <t>1:47:32</t>
  </si>
  <si>
    <t>1:52:54</t>
  </si>
  <si>
    <t>1:58:51</t>
  </si>
  <si>
    <t>2:03:55</t>
  </si>
  <si>
    <t>【運動記録】リングフィットアドベンチャー＃3【幽音しの:ななしいんく】 #vtuber</t>
    <phoneticPr fontId="2"/>
  </si>
  <si>
    <t>https://www.youtube.com/live/eXNAKYZCb3g?si=_jRXjE8QpfW26gQ-</t>
    <phoneticPr fontId="2"/>
  </si>
  <si>
    <t>【うるぱんおばけ】ランド建設していく～～～～！！【幽音しの:ななしいんく】　#vtuber</t>
    <phoneticPr fontId="2"/>
  </si>
  <si>
    <t>https://www.youtube.com/live/fZ16_u823_k?si=pSG71-aiCn_dc8nI</t>
    <phoneticPr fontId="2"/>
  </si>
  <si>
    <t>【運動記録】リングフィットアドベンチャー＃4【幽音しの:ななしいんく】 #vtuber</t>
    <phoneticPr fontId="2"/>
  </si>
  <si>
    <t>https://www.youtube.com/live/wVuO_WM02Hs?si=z19bGGKj4paZ4lw_</t>
    <phoneticPr fontId="2"/>
  </si>
  <si>
    <t>【夜ご飯食べよう】ハンバーグ、ポテサラ、パルム編【幽音しの:ななしいんく】　#vtuber #vsinger</t>
    <phoneticPr fontId="2"/>
  </si>
  <si>
    <t>https://www.youtube.com/live/t1MyU2Fl5wo?si=9kE5U1BS2VkZhy-y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</si>
</sst>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Meiryo UI"/>
      <family val="3"/>
      <charset val="128"/>
    </font>
    <font>
      <sz val="11"/>
      <color theme="0" tint="-0.249977111117893"/>
      <name val="Meiryo UI"/>
      <family val="3"/>
      <charset val="128"/>
    </font>
    <font>
      <sz val="11"/>
      <color rgb="FFFF000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49" fontId="1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0" fontId="1" fillId="0" borderId="2" xfId="0" applyFont="1" applyBorder="1">
      <alignment vertical="center"/>
    </xf>
    <xf numFmtId="14" fontId="1" fillId="0" borderId="2" xfId="0" applyNumberFormat="1" applyFont="1" applyBorder="1">
      <alignment vertical="center"/>
    </xf>
    <xf numFmtId="0" fontId="4" fillId="0" borderId="2" xfId="1" applyFont="1" applyFill="1" applyBorder="1">
      <alignment vertical="center"/>
    </xf>
    <xf numFmtId="49" fontId="1" fillId="2" borderId="2" xfId="0" applyNumberFormat="1" applyFont="1" applyFill="1" applyBorder="1">
      <alignment vertical="center"/>
    </xf>
    <xf numFmtId="49" fontId="1" fillId="0" borderId="2" xfId="0" applyNumberFormat="1" applyFont="1" applyBorder="1">
      <alignment vertical="center"/>
    </xf>
    <xf numFmtId="0" fontId="4" fillId="0" borderId="2" xfId="1" applyFont="1" applyBorder="1">
      <alignment vertical="center"/>
    </xf>
    <xf numFmtId="0" fontId="1" fillId="3" borderId="2" xfId="0" applyFont="1" applyFill="1" applyBorder="1">
      <alignment vertical="center"/>
    </xf>
    <xf numFmtId="49" fontId="1" fillId="3" borderId="2" xfId="0" applyNumberFormat="1" applyFont="1" applyFill="1" applyBorder="1">
      <alignment vertical="center"/>
    </xf>
    <xf numFmtId="49" fontId="6" fillId="0" borderId="2" xfId="0" applyNumberFormat="1" applyFont="1" applyBorder="1">
      <alignment vertical="center"/>
    </xf>
    <xf numFmtId="0" fontId="1" fillId="0" borderId="2" xfId="0" quotePrefix="1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49" fontId="1" fillId="0" borderId="2" xfId="0" applyNumberFormat="1" applyFont="1" applyFill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live/T2z_BAhLZz0?si=FZhoxASjxucX4Rxr" TargetMode="External"/><Relationship Id="rId21" Type="http://schemas.openxmlformats.org/officeDocument/2006/relationships/hyperlink" Target="https://www.youtube.com/live/GhxYkBhtP0g?si=Qt_m63448vPV8ZNd" TargetMode="External"/><Relationship Id="rId42" Type="http://schemas.openxmlformats.org/officeDocument/2006/relationships/hyperlink" Target="https://www.youtube.com/live/PDfzdlcsxB4?si=NS72teYqyxrgmxUE" TargetMode="External"/><Relationship Id="rId47" Type="http://schemas.openxmlformats.org/officeDocument/2006/relationships/hyperlink" Target="https://www.youtube.com/live/KAbs7kX93bA?si=vH7THkmGBPrjgSu6" TargetMode="External"/><Relationship Id="rId63" Type="http://schemas.openxmlformats.org/officeDocument/2006/relationships/hyperlink" Target="https://www.youtube.com/live/rKiEMLFOS8s?si=R7Y_ORgOwbtsqkjP" TargetMode="External"/><Relationship Id="rId68" Type="http://schemas.openxmlformats.org/officeDocument/2006/relationships/hyperlink" Target="https://www.youtube.com/live/owAk9KYpfsc?si=GaCuKItWZmTM1wnU" TargetMode="External"/><Relationship Id="rId84" Type="http://schemas.openxmlformats.org/officeDocument/2006/relationships/hyperlink" Target="https://www.youtube.com/live/r7Bwk1jHwnc?si=YSwS6uQI_0X3Y91g" TargetMode="External"/><Relationship Id="rId89" Type="http://schemas.openxmlformats.org/officeDocument/2006/relationships/hyperlink" Target="https://www.youtube.com/live/NkjXzUMUZpw?si=EmGBj6Hh6tIlwjGQ" TargetMode="External"/><Relationship Id="rId16" Type="http://schemas.openxmlformats.org/officeDocument/2006/relationships/hyperlink" Target="https://www.youtube.com/live/8yfLYQayxQg?si=O0Q0AXQXC39nd7WJ" TargetMode="External"/><Relationship Id="rId107" Type="http://schemas.openxmlformats.org/officeDocument/2006/relationships/hyperlink" Target="https://www.youtube.com/live/eXNAKYZCb3g?si=_jRXjE8QpfW26gQ-" TargetMode="External"/><Relationship Id="rId11" Type="http://schemas.openxmlformats.org/officeDocument/2006/relationships/hyperlink" Target="https://www.youtube.com/live/Fd1Z_6ywMyI?si=i1-U-h_G5BWB0Lq-" TargetMode="External"/><Relationship Id="rId32" Type="http://schemas.openxmlformats.org/officeDocument/2006/relationships/hyperlink" Target="https://www.youtube.com/live/XVZw9I6yZAg?si=cSpTyiDaBFkw_KqY" TargetMode="External"/><Relationship Id="rId37" Type="http://schemas.openxmlformats.org/officeDocument/2006/relationships/hyperlink" Target="https://www.youtube.com/live/wY3z5W9B8N0?si=FVqBjyoCdmcOKFxz" TargetMode="External"/><Relationship Id="rId53" Type="http://schemas.openxmlformats.org/officeDocument/2006/relationships/hyperlink" Target="https://www.youtube.com/live/BTi31luRntI?si=HKZA9dD6UF6pnPvq" TargetMode="External"/><Relationship Id="rId58" Type="http://schemas.openxmlformats.org/officeDocument/2006/relationships/hyperlink" Target="https://www.youtube.com/live/JdIhEjDJiNU?si=deUnozJNoBNUwf--" TargetMode="External"/><Relationship Id="rId74" Type="http://schemas.openxmlformats.org/officeDocument/2006/relationships/hyperlink" Target="https://www.youtube.com/live/HrTGMEz799w?si=jbCZTdjGLH52DrHB" TargetMode="External"/><Relationship Id="rId79" Type="http://schemas.openxmlformats.org/officeDocument/2006/relationships/hyperlink" Target="https://www.youtube.com/live/w8cj1TZhgIM?si=jSw7OZzFwM2n4KKP" TargetMode="External"/><Relationship Id="rId102" Type="http://schemas.openxmlformats.org/officeDocument/2006/relationships/hyperlink" Target="https://www.youtube.com/live/qN7hziJQwIw?si=qvgs3m5LmN3dDpeT" TargetMode="External"/><Relationship Id="rId5" Type="http://schemas.openxmlformats.org/officeDocument/2006/relationships/hyperlink" Target="https://www.youtube.com/live/teQHty590Zo?si=v5B1y_6kXfHA0GoX" TargetMode="External"/><Relationship Id="rId90" Type="http://schemas.openxmlformats.org/officeDocument/2006/relationships/hyperlink" Target="https://www.youtube.com/live/nyXzxG79mwQ?si=kGuFyOuc0o-yNPOU" TargetMode="External"/><Relationship Id="rId95" Type="http://schemas.openxmlformats.org/officeDocument/2006/relationships/hyperlink" Target="https://www.youtube.com/live/hkpPXWM6LDY?si=pgl-HW7-u6yZjLAi" TargetMode="External"/><Relationship Id="rId22" Type="http://schemas.openxmlformats.org/officeDocument/2006/relationships/hyperlink" Target="https://www.youtube.com/live/p07OUcKY2ys?si=SPijX45Z0_ge7vIl" TargetMode="External"/><Relationship Id="rId27" Type="http://schemas.openxmlformats.org/officeDocument/2006/relationships/hyperlink" Target="https://www.youtube.com/live/OEtLBen9pLM?si=M4WDMSGkkHfWLvDr" TargetMode="External"/><Relationship Id="rId43" Type="http://schemas.openxmlformats.org/officeDocument/2006/relationships/hyperlink" Target="https://www.youtube.com/live/7yzjLloyAFE?si=e005NgGsm3Uzthn8" TargetMode="External"/><Relationship Id="rId48" Type="http://schemas.openxmlformats.org/officeDocument/2006/relationships/hyperlink" Target="https://www.youtube.com/live/W0IIp67n65c?si=eddcETuQKIrmPcey" TargetMode="External"/><Relationship Id="rId64" Type="http://schemas.openxmlformats.org/officeDocument/2006/relationships/hyperlink" Target="https://www.youtube.com/live/JAK2m4FWxF0?si=Xy-B8lpcz7dX_b5n" TargetMode="External"/><Relationship Id="rId69" Type="http://schemas.openxmlformats.org/officeDocument/2006/relationships/hyperlink" Target="https://www.youtube.com/live/rowkHJneOgY?si=dzvDO_qNHD4fLHMQ" TargetMode="External"/><Relationship Id="rId80" Type="http://schemas.openxmlformats.org/officeDocument/2006/relationships/hyperlink" Target="https://www.youtube.com/live/8eShd7lbOHQ?si=tMBt33Wr9js5gLMn" TargetMode="External"/><Relationship Id="rId85" Type="http://schemas.openxmlformats.org/officeDocument/2006/relationships/hyperlink" Target="https://www.youtube.com/live/b0qPGU0sZn4?si=C5mabzVl6bhK7mp0" TargetMode="External"/><Relationship Id="rId12" Type="http://schemas.openxmlformats.org/officeDocument/2006/relationships/hyperlink" Target="https://www.youtube.com/live/0d6TiZm7xWc?si=rSfrknMqNQFcz5xw" TargetMode="External"/><Relationship Id="rId17" Type="http://schemas.openxmlformats.org/officeDocument/2006/relationships/hyperlink" Target="https://www.youtube.com/live/gPoOwdHJsS0?si=m0w1THhhEjbjOfbt" TargetMode="External"/><Relationship Id="rId33" Type="http://schemas.openxmlformats.org/officeDocument/2006/relationships/hyperlink" Target="https://www.youtube.com/live/6wh0qjbo6K4?si=vntI9mYE52ZplV6U" TargetMode="External"/><Relationship Id="rId38" Type="http://schemas.openxmlformats.org/officeDocument/2006/relationships/hyperlink" Target="https://www.youtube.com/live/IjWWgK2WILw?si=tq-5VGeXqPbMD3xD" TargetMode="External"/><Relationship Id="rId59" Type="http://schemas.openxmlformats.org/officeDocument/2006/relationships/hyperlink" Target="https://www.youtube.com/live/4kNW3qYybWk?si=UBzvZOcbzhyBP6z6" TargetMode="External"/><Relationship Id="rId103" Type="http://schemas.openxmlformats.org/officeDocument/2006/relationships/hyperlink" Target="https://www.youtube.com/live/orkAkFl798M?si=7tK-YB5J1dGoAFWq" TargetMode="External"/><Relationship Id="rId108" Type="http://schemas.openxmlformats.org/officeDocument/2006/relationships/hyperlink" Target="https://www.youtube.com/live/fZ16_u823_k?si=pSG71-aiCn_dc8nI" TargetMode="External"/><Relationship Id="rId54" Type="http://schemas.openxmlformats.org/officeDocument/2006/relationships/hyperlink" Target="https://www.youtube.com/live/snJlpnZjObY?si=ejU5FfQJEwpAJbYw" TargetMode="External"/><Relationship Id="rId70" Type="http://schemas.openxmlformats.org/officeDocument/2006/relationships/hyperlink" Target="https://www.youtube.com/live/BjWSIm9kSZs?si=1oMuQyZMLWArIABK" TargetMode="External"/><Relationship Id="rId75" Type="http://schemas.openxmlformats.org/officeDocument/2006/relationships/hyperlink" Target="https://www.youtube.com/live/ac4RYGdoGfw?si=XYuojmcqpJZOLb9x" TargetMode="External"/><Relationship Id="rId91" Type="http://schemas.openxmlformats.org/officeDocument/2006/relationships/hyperlink" Target="https://www.youtube.com/live/wPbGue-iM-4?si=3fkt9MRL4nI7_0KE" TargetMode="External"/><Relationship Id="rId96" Type="http://schemas.openxmlformats.org/officeDocument/2006/relationships/hyperlink" Target="https://www.youtube.com/live/gwgBMeg_7Qw?si=ROOoPK4ojA5ZrcGL" TargetMode="External"/><Relationship Id="rId1" Type="http://schemas.openxmlformats.org/officeDocument/2006/relationships/hyperlink" Target="https://www.youtube.com/live/rPoEadXC5ck?si=PyjsfpuwHgwH2fjV" TargetMode="External"/><Relationship Id="rId6" Type="http://schemas.openxmlformats.org/officeDocument/2006/relationships/hyperlink" Target="https://www.youtube.com/live/kbdEHcoJcQs?si=VS3EodMJVsy1DVZQ" TargetMode="External"/><Relationship Id="rId15" Type="http://schemas.openxmlformats.org/officeDocument/2006/relationships/hyperlink" Target="https://www.youtube.com/live/lrLQ6akH23w?si=aC5HLJK6UZYwu-Yn" TargetMode="External"/><Relationship Id="rId23" Type="http://schemas.openxmlformats.org/officeDocument/2006/relationships/hyperlink" Target="https://www.youtube.com/live/EIV2fME4Fec?si=lkzDtJEJ9agzd2Md" TargetMode="External"/><Relationship Id="rId28" Type="http://schemas.openxmlformats.org/officeDocument/2006/relationships/hyperlink" Target="https://www.youtube.com/live/kAN03C_u2wk?si=C3MgRUb2uxI_lKRp" TargetMode="External"/><Relationship Id="rId36" Type="http://schemas.openxmlformats.org/officeDocument/2006/relationships/hyperlink" Target="https://www.youtube.com/live/cHLqE4AOOjI?si=heDnYTUAoUpLyQ_J" TargetMode="External"/><Relationship Id="rId49" Type="http://schemas.openxmlformats.org/officeDocument/2006/relationships/hyperlink" Target="https://www.youtube.com/live/N0Tp3auhZ54?si=TUAMJQ8TqFkAVZ1r" TargetMode="External"/><Relationship Id="rId57" Type="http://schemas.openxmlformats.org/officeDocument/2006/relationships/hyperlink" Target="https://www.youtube.com/live/FS3tyzja32k?si=d7Ok8jDd9eP4LjHp" TargetMode="External"/><Relationship Id="rId106" Type="http://schemas.openxmlformats.org/officeDocument/2006/relationships/hyperlink" Target="https://www.youtube.com/live/B1g4NIZAKqo?si=v8CWAz6GBo-vVIKK" TargetMode="External"/><Relationship Id="rId10" Type="http://schemas.openxmlformats.org/officeDocument/2006/relationships/hyperlink" Target="https://www.youtube.com/live/kdlYMlLAv-0?si=_bP0uWXKt4eYdLz1" TargetMode="External"/><Relationship Id="rId31" Type="http://schemas.openxmlformats.org/officeDocument/2006/relationships/hyperlink" Target="https://www.youtube.com/live/_LQ7HdUNq5w?si=qZDGfBAezmmueivV" TargetMode="External"/><Relationship Id="rId44" Type="http://schemas.openxmlformats.org/officeDocument/2006/relationships/hyperlink" Target="https://www.youtube.com/live/FuJDk5I3Oyo?si=KP6eEuJrPYERUqMb" TargetMode="External"/><Relationship Id="rId52" Type="http://schemas.openxmlformats.org/officeDocument/2006/relationships/hyperlink" Target="https://www.youtube.com/live/bXG5ottJZas?si=VsjzjU8RreUrJGd3" TargetMode="External"/><Relationship Id="rId60" Type="http://schemas.openxmlformats.org/officeDocument/2006/relationships/hyperlink" Target="https://www.youtube.com/live/Dm-WC5w7K8Y?si=Pph-3uJ8wVrF5vc0" TargetMode="External"/><Relationship Id="rId65" Type="http://schemas.openxmlformats.org/officeDocument/2006/relationships/hyperlink" Target="https://www.youtube.com/live/Et9I5uqKaRQ?si=4uq-2UkGh47LMNTa" TargetMode="External"/><Relationship Id="rId73" Type="http://schemas.openxmlformats.org/officeDocument/2006/relationships/hyperlink" Target="https://www.youtube.com/live/w3oM0fDmwz4?si=VVO-ga6uipBLMrpR" TargetMode="External"/><Relationship Id="rId78" Type="http://schemas.openxmlformats.org/officeDocument/2006/relationships/hyperlink" Target="https://www.youtube.com/live/qTRoniWqYUs?si=tZabM9W3dUpT3w7w" TargetMode="External"/><Relationship Id="rId81" Type="http://schemas.openxmlformats.org/officeDocument/2006/relationships/hyperlink" Target="https://www.youtube.com/live/M5KKJ243Zc0?si=4eMWGL-SVv8Et_b0" TargetMode="External"/><Relationship Id="rId86" Type="http://schemas.openxmlformats.org/officeDocument/2006/relationships/hyperlink" Target="https://www.youtube.com/live/d4ROJErxpn4?si=5CHaLejnfYn1YdlB" TargetMode="External"/><Relationship Id="rId94" Type="http://schemas.openxmlformats.org/officeDocument/2006/relationships/hyperlink" Target="https://www.youtube.com/live/voRiT8mdeZ8?si=KtnkyMX-_wvwRr54" TargetMode="External"/><Relationship Id="rId99" Type="http://schemas.openxmlformats.org/officeDocument/2006/relationships/hyperlink" Target="https://www.youtube.com/live/5-PHEYq6a-Y?si=i1qN4inKhZc0prZ-" TargetMode="External"/><Relationship Id="rId101" Type="http://schemas.openxmlformats.org/officeDocument/2006/relationships/hyperlink" Target="https://www.youtube.com/live/dFTZeYXExd0?si=D92O87qECJOIp7e8" TargetMode="External"/><Relationship Id="rId4" Type="http://schemas.openxmlformats.org/officeDocument/2006/relationships/hyperlink" Target="https://www.youtube.com/live/qX9bxWpkH6E?si=OkODsP1XDKgR0qeY" TargetMode="External"/><Relationship Id="rId9" Type="http://schemas.openxmlformats.org/officeDocument/2006/relationships/hyperlink" Target="https://www.youtube.com/live/gtzKshYmOXY?si=1Gz8lwbOe32zbbqo" TargetMode="External"/><Relationship Id="rId13" Type="http://schemas.openxmlformats.org/officeDocument/2006/relationships/hyperlink" Target="https://www.youtube.com/live/nxg3s7Mvnhc?si=vPvFxyMP3KdlQhLU" TargetMode="External"/><Relationship Id="rId18" Type="http://schemas.openxmlformats.org/officeDocument/2006/relationships/hyperlink" Target="https://www.youtube.com/live/9eMVaPOXvzM?si=jhgkuY6UKcne9MmF" TargetMode="External"/><Relationship Id="rId39" Type="http://schemas.openxmlformats.org/officeDocument/2006/relationships/hyperlink" Target="https://www.youtube.com/live/UhIJMxJCcSo?si=d4Gic-mx0PwrsxJ-" TargetMode="External"/><Relationship Id="rId109" Type="http://schemas.openxmlformats.org/officeDocument/2006/relationships/hyperlink" Target="https://www.youtube.com/live/wVuO_WM02Hs?si=z19bGGKj4paZ4lw_" TargetMode="External"/><Relationship Id="rId34" Type="http://schemas.openxmlformats.org/officeDocument/2006/relationships/hyperlink" Target="https://www.youtube.com/live/Wm8SJ2In5hk?si=hIb5ii9nQxkobaIG" TargetMode="External"/><Relationship Id="rId50" Type="http://schemas.openxmlformats.org/officeDocument/2006/relationships/hyperlink" Target="https://www.youtube.com/live/zHPmNlzplRQ?si=hKbKp_wLxXmd13Kq" TargetMode="External"/><Relationship Id="rId55" Type="http://schemas.openxmlformats.org/officeDocument/2006/relationships/hyperlink" Target="https://www.youtube.com/live/Rfm22rNLGaA?si=T87PvgqHkgtD-GIR" TargetMode="External"/><Relationship Id="rId76" Type="http://schemas.openxmlformats.org/officeDocument/2006/relationships/hyperlink" Target="https://www.youtube.com/live/i8yO9cF3Nug?si=zrKx3lx_hthRTeUD" TargetMode="External"/><Relationship Id="rId97" Type="http://schemas.openxmlformats.org/officeDocument/2006/relationships/hyperlink" Target="https://www.youtube.com/live/_hHoC4HlO3U?si=dqFiXZmFxdC7hpZC" TargetMode="External"/><Relationship Id="rId104" Type="http://schemas.openxmlformats.org/officeDocument/2006/relationships/hyperlink" Target="https://www.youtube.com/live/FGNU1iQLiNM?si=B75Oqj0tjRBiyl5j" TargetMode="External"/><Relationship Id="rId7" Type="http://schemas.openxmlformats.org/officeDocument/2006/relationships/hyperlink" Target="https://www.youtube.com/live/BIOCmyo4mQU?si=mUE7u0kM5d94T-4A" TargetMode="External"/><Relationship Id="rId71" Type="http://schemas.openxmlformats.org/officeDocument/2006/relationships/hyperlink" Target="https://www.youtube.com/live/KBpYyQ-ClWo?si=OraCMHCkmYcxIxK6" TargetMode="External"/><Relationship Id="rId92" Type="http://schemas.openxmlformats.org/officeDocument/2006/relationships/hyperlink" Target="https://www.youtube.com/live/Yti72SsHzxs?si=qlI2gfa0I0wWYoH4" TargetMode="External"/><Relationship Id="rId2" Type="http://schemas.openxmlformats.org/officeDocument/2006/relationships/hyperlink" Target="https://www.youtube.com/live/ManpEHIFXt8?si=FaF-JgKp6sZN0EAV" TargetMode="External"/><Relationship Id="rId29" Type="http://schemas.openxmlformats.org/officeDocument/2006/relationships/hyperlink" Target="https://www.youtube.com/live/wEZHgaS4eCg?si=_Rpt2MlexrsFC7dZ" TargetMode="External"/><Relationship Id="rId24" Type="http://schemas.openxmlformats.org/officeDocument/2006/relationships/hyperlink" Target="https://www.youtube.com/live/Us_EP0LuOUI?si=QKfLbi9NsZLi9sIi" TargetMode="External"/><Relationship Id="rId40" Type="http://schemas.openxmlformats.org/officeDocument/2006/relationships/hyperlink" Target="https://www.youtube.com/live/bV_i8z26ZEc?si=bVy-JM1RtMBih_CT" TargetMode="External"/><Relationship Id="rId45" Type="http://schemas.openxmlformats.org/officeDocument/2006/relationships/hyperlink" Target="https://www.youtube.com/live/YHvnr5mQBRw?si=Te18tZrjyMMQ4EWC" TargetMode="External"/><Relationship Id="rId66" Type="http://schemas.openxmlformats.org/officeDocument/2006/relationships/hyperlink" Target="https://www.youtube.com/live/KafzO8Y68aI?si=KF2XvGi6Qw7QPg8f" TargetMode="External"/><Relationship Id="rId87" Type="http://schemas.openxmlformats.org/officeDocument/2006/relationships/hyperlink" Target="https://www.youtube.com/live/wTgrADu5oWU?si=a1kefMBH2I_z2Pzq" TargetMode="External"/><Relationship Id="rId110" Type="http://schemas.openxmlformats.org/officeDocument/2006/relationships/hyperlink" Target="https://www.youtube.com/live/t1MyU2Fl5wo?si=9kE5U1BS2VkZhy-y" TargetMode="External"/><Relationship Id="rId61" Type="http://schemas.openxmlformats.org/officeDocument/2006/relationships/hyperlink" Target="https://www.youtube.com/live/7AO0pzyJtLE?si=5iKHGNjfGH8OxSY8" TargetMode="External"/><Relationship Id="rId82" Type="http://schemas.openxmlformats.org/officeDocument/2006/relationships/hyperlink" Target="https://www.youtube.com/live/HwMzfVw1nd0?si=CO8H3Bw0cRgef16J" TargetMode="External"/><Relationship Id="rId19" Type="http://schemas.openxmlformats.org/officeDocument/2006/relationships/hyperlink" Target="https://www.youtube.com/live/Fk_EmmypSiM?si=mLstEGouiNtVQoKh" TargetMode="External"/><Relationship Id="rId14" Type="http://schemas.openxmlformats.org/officeDocument/2006/relationships/hyperlink" Target="https://www.youtube.com/live/7l8RLTKBC8E?si=4WR3af3ZrVMWAe9X" TargetMode="External"/><Relationship Id="rId30" Type="http://schemas.openxmlformats.org/officeDocument/2006/relationships/hyperlink" Target="https://www.youtube.com/live/GvGh24EJfGg?si=QLYBryRLPz4v_Qdl" TargetMode="External"/><Relationship Id="rId35" Type="http://schemas.openxmlformats.org/officeDocument/2006/relationships/hyperlink" Target="https://www.youtube.com/live/3i9yjRs0_a8?si=lfqOrG-slxFf5TMM" TargetMode="External"/><Relationship Id="rId56" Type="http://schemas.openxmlformats.org/officeDocument/2006/relationships/hyperlink" Target="https://www.youtube.com/live/rjOy6A4c68o?si=Q07K-470tlYbzNHk" TargetMode="External"/><Relationship Id="rId77" Type="http://schemas.openxmlformats.org/officeDocument/2006/relationships/hyperlink" Target="https://www.youtube.com/live/Cs48limSzrE?si=n8CFockH4OVXGSvE" TargetMode="External"/><Relationship Id="rId100" Type="http://schemas.openxmlformats.org/officeDocument/2006/relationships/hyperlink" Target="https://www.youtube.com/live/keSRwH4Zr7g?si=RPmDxNZjQB1dZWSK" TargetMode="External"/><Relationship Id="rId105" Type="http://schemas.openxmlformats.org/officeDocument/2006/relationships/hyperlink" Target="https://www.youtube.com/live/xob4PVwobdk?si=TmGPWlZjd8wD1jvj" TargetMode="External"/><Relationship Id="rId8" Type="http://schemas.openxmlformats.org/officeDocument/2006/relationships/hyperlink" Target="https://www.youtube.com/live/4-U-XxXCyOM?si=BEJWFGAa9QkkJd2W" TargetMode="External"/><Relationship Id="rId51" Type="http://schemas.openxmlformats.org/officeDocument/2006/relationships/hyperlink" Target="https://www.youtube.com/live/lQQh4G5up3Y?si=U2BJIBIs-2OZdL6R" TargetMode="External"/><Relationship Id="rId72" Type="http://schemas.openxmlformats.org/officeDocument/2006/relationships/hyperlink" Target="https://www.youtube.com/live/zeycT-mnwSQ?si=YVIHYdlWM0pL1NQb" TargetMode="External"/><Relationship Id="rId93" Type="http://schemas.openxmlformats.org/officeDocument/2006/relationships/hyperlink" Target="https://www.youtube.com/live/i7euCqiwzl4?si=Gvd-dBAI4nZ9HDpv" TargetMode="External"/><Relationship Id="rId98" Type="http://schemas.openxmlformats.org/officeDocument/2006/relationships/hyperlink" Target="https://www.youtube.com/live/TDYlHpN4h0s?si=ysSy7YIPSXU6T0nx" TargetMode="External"/><Relationship Id="rId3" Type="http://schemas.openxmlformats.org/officeDocument/2006/relationships/hyperlink" Target="https://www.youtube.com/live/UnI_NxQlyr8?si=2zvgEeRPzShWMpBP" TargetMode="External"/><Relationship Id="rId25" Type="http://schemas.openxmlformats.org/officeDocument/2006/relationships/hyperlink" Target="https://www.youtube.com/live/E8l1nOoKLLI?si=9GMtlAOzsgHxbniX" TargetMode="External"/><Relationship Id="rId46" Type="http://schemas.openxmlformats.org/officeDocument/2006/relationships/hyperlink" Target="https://www.youtube.com/live/DX8misWhJuA?si=x9BqkZPlvHen5SCl" TargetMode="External"/><Relationship Id="rId67" Type="http://schemas.openxmlformats.org/officeDocument/2006/relationships/hyperlink" Target="https://www.youtube.com/live/yHiPuPE1ZpI?si=2EeKQkMqvxvThhyp" TargetMode="External"/><Relationship Id="rId20" Type="http://schemas.openxmlformats.org/officeDocument/2006/relationships/hyperlink" Target="https://www.youtube.com/live/Z1v3sT_d6uU?si=epz4SGbUtnFLtw2-" TargetMode="External"/><Relationship Id="rId41" Type="http://schemas.openxmlformats.org/officeDocument/2006/relationships/hyperlink" Target="https://www.youtube.com/live/7PDc0gZ8OlE?si=YXVq8N6_ek0NgBFJ" TargetMode="External"/><Relationship Id="rId62" Type="http://schemas.openxmlformats.org/officeDocument/2006/relationships/hyperlink" Target="https://www.youtube.com/live/nvt12Tah83M?si=MQ9k9HuBGLTLGegz" TargetMode="External"/><Relationship Id="rId83" Type="http://schemas.openxmlformats.org/officeDocument/2006/relationships/hyperlink" Target="https://www.youtube.com/live/AHfCHGope8I?si=qrXuqYy-tTqldtt4" TargetMode="External"/><Relationship Id="rId88" Type="http://schemas.openxmlformats.org/officeDocument/2006/relationships/hyperlink" Target="https://www.youtube.com/live/OYaf_O-6WRs?si=20Zo4VVa8PxJbw_X" TargetMode="External"/><Relationship Id="rId11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56D2-B155-4BD9-995B-24668BA721A9}">
  <dimension ref="A1:F151"/>
  <sheetViews>
    <sheetView zoomScale="80" zoomScaleNormal="80" workbookViewId="0">
      <pane xSplit="1" ySplit="1" topLeftCell="B84" activePane="bottomRight" state="frozen"/>
      <selection pane="topRight" activeCell="B1" sqref="B1"/>
      <selection pane="bottomLeft" activeCell="A2" sqref="A2"/>
      <selection pane="bottomRight" activeCell="D111" sqref="A1:D111"/>
    </sheetView>
  </sheetViews>
  <sheetFormatPr defaultColWidth="2.5" defaultRowHeight="15.75" x14ac:dyDescent="0.4"/>
  <cols>
    <col min="1" max="1" width="5.875" style="1" bestFit="1" customWidth="1"/>
    <col min="2" max="2" width="12.75" style="1" bestFit="1" customWidth="1"/>
    <col min="3" max="3" width="117.5" style="1" bestFit="1" customWidth="1"/>
    <col min="4" max="4" width="74.125" style="1" bestFit="1" customWidth="1"/>
    <col min="5" max="5" width="2.5" style="1"/>
    <col min="6" max="6" width="13.375" style="1" bestFit="1" customWidth="1"/>
    <col min="7" max="16384" width="2.5" style="1"/>
  </cols>
  <sheetData>
    <row r="1" spans="1:6" x14ac:dyDescent="0.4">
      <c r="A1" s="7" t="s">
        <v>1</v>
      </c>
      <c r="B1" s="7" t="s">
        <v>2</v>
      </c>
      <c r="C1" s="7" t="s">
        <v>3</v>
      </c>
      <c r="D1" s="7" t="s">
        <v>5</v>
      </c>
      <c r="F1" s="1" t="s">
        <v>626</v>
      </c>
    </row>
    <row r="2" spans="1:6" x14ac:dyDescent="0.4">
      <c r="A2" s="14">
        <f>ROW()-1</f>
        <v>1</v>
      </c>
      <c r="B2" s="15">
        <v>45774</v>
      </c>
      <c r="C2" s="14" t="s">
        <v>4</v>
      </c>
      <c r="D2" s="16" t="s">
        <v>6</v>
      </c>
      <c r="F2" s="1" t="s">
        <v>627</v>
      </c>
    </row>
    <row r="3" spans="1:6" x14ac:dyDescent="0.4">
      <c r="A3" s="14">
        <f t="shared" ref="A3:A66" si="0">ROW()-1</f>
        <v>2</v>
      </c>
      <c r="B3" s="15">
        <v>45775</v>
      </c>
      <c r="C3" s="14" t="s">
        <v>24</v>
      </c>
      <c r="D3" s="16" t="s">
        <v>25</v>
      </c>
      <c r="F3" s="1" t="s">
        <v>627</v>
      </c>
    </row>
    <row r="4" spans="1:6" x14ac:dyDescent="0.4">
      <c r="A4" s="14">
        <f t="shared" si="0"/>
        <v>3</v>
      </c>
      <c r="B4" s="15">
        <v>45776</v>
      </c>
      <c r="C4" s="14" t="s">
        <v>26</v>
      </c>
      <c r="D4" s="16" t="s">
        <v>27</v>
      </c>
      <c r="F4" s="1" t="s">
        <v>628</v>
      </c>
    </row>
    <row r="5" spans="1:6" x14ac:dyDescent="0.4">
      <c r="A5" s="14">
        <f t="shared" si="0"/>
        <v>4</v>
      </c>
      <c r="B5" s="15">
        <v>45778</v>
      </c>
      <c r="C5" s="14" t="s">
        <v>50</v>
      </c>
      <c r="D5" s="16" t="s">
        <v>51</v>
      </c>
      <c r="F5" s="1" t="s">
        <v>628</v>
      </c>
    </row>
    <row r="6" spans="1:6" x14ac:dyDescent="0.4">
      <c r="A6" s="14">
        <f t="shared" si="0"/>
        <v>5</v>
      </c>
      <c r="B6" s="15">
        <v>45779</v>
      </c>
      <c r="C6" s="14" t="s">
        <v>90</v>
      </c>
      <c r="D6" s="16" t="s">
        <v>91</v>
      </c>
      <c r="F6" s="1" t="s">
        <v>627</v>
      </c>
    </row>
    <row r="7" spans="1:6" x14ac:dyDescent="0.4">
      <c r="A7" s="14">
        <f t="shared" si="0"/>
        <v>6</v>
      </c>
      <c r="B7" s="15">
        <v>45782</v>
      </c>
      <c r="C7" s="14" t="s">
        <v>92</v>
      </c>
      <c r="D7" s="16" t="s">
        <v>93</v>
      </c>
      <c r="F7" s="1" t="s">
        <v>628</v>
      </c>
    </row>
    <row r="8" spans="1:6" x14ac:dyDescent="0.4">
      <c r="A8" s="14">
        <f t="shared" si="0"/>
        <v>7</v>
      </c>
      <c r="B8" s="15">
        <v>45782</v>
      </c>
      <c r="C8" s="14" t="s">
        <v>94</v>
      </c>
      <c r="D8" s="16" t="s">
        <v>95</v>
      </c>
      <c r="F8" s="1" t="s">
        <v>628</v>
      </c>
    </row>
    <row r="9" spans="1:6" x14ac:dyDescent="0.4">
      <c r="A9" s="14">
        <f t="shared" si="0"/>
        <v>8</v>
      </c>
      <c r="B9" s="15">
        <v>45785</v>
      </c>
      <c r="C9" s="14" t="s">
        <v>126</v>
      </c>
      <c r="D9" s="16" t="s">
        <v>127</v>
      </c>
      <c r="F9" s="1" t="s">
        <v>627</v>
      </c>
    </row>
    <row r="10" spans="1:6" x14ac:dyDescent="0.4">
      <c r="A10" s="14">
        <f t="shared" si="0"/>
        <v>9</v>
      </c>
      <c r="B10" s="15">
        <v>45785</v>
      </c>
      <c r="C10" s="14" t="s">
        <v>129</v>
      </c>
      <c r="D10" s="16" t="s">
        <v>128</v>
      </c>
      <c r="F10" s="1" t="s">
        <v>628</v>
      </c>
    </row>
    <row r="11" spans="1:6" x14ac:dyDescent="0.4">
      <c r="A11" s="14">
        <f t="shared" si="0"/>
        <v>10</v>
      </c>
      <c r="B11" s="15">
        <v>45787</v>
      </c>
      <c r="C11" s="14" t="s">
        <v>170</v>
      </c>
      <c r="D11" s="16" t="s">
        <v>169</v>
      </c>
      <c r="F11" s="1" t="s">
        <v>627</v>
      </c>
    </row>
    <row r="12" spans="1:6" x14ac:dyDescent="0.4">
      <c r="A12" s="14">
        <f t="shared" si="0"/>
        <v>11</v>
      </c>
      <c r="B12" s="15">
        <v>45788</v>
      </c>
      <c r="C12" s="14" t="s">
        <v>171</v>
      </c>
      <c r="D12" s="16" t="s">
        <v>172</v>
      </c>
      <c r="F12" s="1" t="s">
        <v>628</v>
      </c>
    </row>
    <row r="13" spans="1:6" x14ac:dyDescent="0.4">
      <c r="A13" s="14">
        <f t="shared" si="0"/>
        <v>12</v>
      </c>
      <c r="B13" s="15">
        <v>45791</v>
      </c>
      <c r="C13" s="14" t="s">
        <v>187</v>
      </c>
      <c r="D13" s="16" t="s">
        <v>188</v>
      </c>
      <c r="F13" s="1" t="s">
        <v>628</v>
      </c>
    </row>
    <row r="14" spans="1:6" x14ac:dyDescent="0.4">
      <c r="A14" s="14">
        <f t="shared" si="0"/>
        <v>13</v>
      </c>
      <c r="B14" s="15">
        <v>45792</v>
      </c>
      <c r="C14" s="14" t="s">
        <v>211</v>
      </c>
      <c r="D14" s="16" t="s">
        <v>212</v>
      </c>
      <c r="F14" s="1" t="s">
        <v>627</v>
      </c>
    </row>
    <row r="15" spans="1:6" x14ac:dyDescent="0.4">
      <c r="A15" s="14">
        <f t="shared" si="0"/>
        <v>14</v>
      </c>
      <c r="B15" s="15">
        <v>45792</v>
      </c>
      <c r="C15" s="14" t="s">
        <v>213</v>
      </c>
      <c r="D15" s="16" t="s">
        <v>214</v>
      </c>
      <c r="F15" s="1" t="s">
        <v>628</v>
      </c>
    </row>
    <row r="16" spans="1:6" x14ac:dyDescent="0.4">
      <c r="A16" s="14">
        <f t="shared" si="0"/>
        <v>15</v>
      </c>
      <c r="B16" s="15">
        <v>45798</v>
      </c>
      <c r="C16" s="14" t="s">
        <v>357</v>
      </c>
      <c r="D16" s="16" t="s">
        <v>240</v>
      </c>
      <c r="F16" s="1" t="s">
        <v>628</v>
      </c>
    </row>
    <row r="17" spans="1:6" x14ac:dyDescent="0.4">
      <c r="A17" s="14">
        <f t="shared" si="0"/>
        <v>16</v>
      </c>
      <c r="B17" s="15">
        <v>45801</v>
      </c>
      <c r="C17" s="14" t="s">
        <v>358</v>
      </c>
      <c r="D17" s="16" t="s">
        <v>281</v>
      </c>
      <c r="F17" s="1" t="s">
        <v>628</v>
      </c>
    </row>
    <row r="18" spans="1:6" x14ac:dyDescent="0.4">
      <c r="A18" s="14">
        <f t="shared" si="0"/>
        <v>17</v>
      </c>
      <c r="B18" s="15">
        <v>45802</v>
      </c>
      <c r="C18" s="14" t="s">
        <v>344</v>
      </c>
      <c r="D18" s="16" t="s">
        <v>345</v>
      </c>
      <c r="F18" s="1" t="s">
        <v>627</v>
      </c>
    </row>
    <row r="19" spans="1:6" x14ac:dyDescent="0.4">
      <c r="A19" s="14">
        <f t="shared" si="0"/>
        <v>18</v>
      </c>
      <c r="B19" s="15">
        <v>45804</v>
      </c>
      <c r="C19" s="14" t="s">
        <v>349</v>
      </c>
      <c r="D19" s="16" t="s">
        <v>350</v>
      </c>
      <c r="F19" s="1" t="s">
        <v>627</v>
      </c>
    </row>
    <row r="20" spans="1:6" x14ac:dyDescent="0.4">
      <c r="A20" s="14">
        <f t="shared" si="0"/>
        <v>19</v>
      </c>
      <c r="B20" s="15">
        <v>45806</v>
      </c>
      <c r="C20" s="14" t="s">
        <v>356</v>
      </c>
      <c r="D20" s="16" t="s">
        <v>359</v>
      </c>
      <c r="F20" s="1" t="s">
        <v>628</v>
      </c>
    </row>
    <row r="21" spans="1:6" x14ac:dyDescent="0.4">
      <c r="A21" s="14">
        <f t="shared" si="0"/>
        <v>20</v>
      </c>
      <c r="B21" s="15">
        <v>45806</v>
      </c>
      <c r="C21" s="14" t="s">
        <v>360</v>
      </c>
      <c r="D21" s="16" t="s">
        <v>361</v>
      </c>
      <c r="F21" s="1" t="s">
        <v>628</v>
      </c>
    </row>
    <row r="22" spans="1:6" x14ac:dyDescent="0.4">
      <c r="A22" s="14">
        <f t="shared" si="0"/>
        <v>21</v>
      </c>
      <c r="B22" s="15">
        <v>45807</v>
      </c>
      <c r="C22" s="14" t="s">
        <v>396</v>
      </c>
      <c r="D22" s="16" t="s">
        <v>397</v>
      </c>
      <c r="F22" s="1" t="s">
        <v>627</v>
      </c>
    </row>
    <row r="23" spans="1:6" x14ac:dyDescent="0.4">
      <c r="A23" s="14">
        <f t="shared" si="0"/>
        <v>22</v>
      </c>
      <c r="B23" s="15">
        <v>45808</v>
      </c>
      <c r="C23" s="14" t="s">
        <v>398</v>
      </c>
      <c r="D23" s="16" t="s">
        <v>399</v>
      </c>
      <c r="F23" s="1" t="s">
        <v>627</v>
      </c>
    </row>
    <row r="24" spans="1:6" x14ac:dyDescent="0.4">
      <c r="A24" s="14">
        <f t="shared" si="0"/>
        <v>23</v>
      </c>
      <c r="B24" s="15">
        <v>45809</v>
      </c>
      <c r="C24" s="14" t="s">
        <v>400</v>
      </c>
      <c r="D24" s="16" t="s">
        <v>401</v>
      </c>
      <c r="F24" s="1" t="s">
        <v>629</v>
      </c>
    </row>
    <row r="25" spans="1:6" x14ac:dyDescent="0.4">
      <c r="A25" s="14">
        <f t="shared" si="0"/>
        <v>24</v>
      </c>
      <c r="B25" s="15">
        <v>45813</v>
      </c>
      <c r="C25" s="14" t="s">
        <v>456</v>
      </c>
      <c r="D25" s="16" t="s">
        <v>457</v>
      </c>
      <c r="F25" s="1" t="s">
        <v>628</v>
      </c>
    </row>
    <row r="26" spans="1:6" x14ac:dyDescent="0.4">
      <c r="A26" s="14">
        <v>25</v>
      </c>
      <c r="B26" s="15">
        <v>45814</v>
      </c>
      <c r="C26" s="14" t="s">
        <v>492</v>
      </c>
      <c r="D26" s="19" t="s">
        <v>491</v>
      </c>
      <c r="F26" s="1" t="s">
        <v>629</v>
      </c>
    </row>
    <row r="27" spans="1:6" x14ac:dyDescent="0.4">
      <c r="A27" s="14">
        <f t="shared" si="0"/>
        <v>26</v>
      </c>
      <c r="B27" s="15">
        <v>45817</v>
      </c>
      <c r="C27" s="14" t="s">
        <v>533</v>
      </c>
      <c r="D27" s="19" t="s">
        <v>534</v>
      </c>
      <c r="F27" s="1" t="s">
        <v>628</v>
      </c>
    </row>
    <row r="28" spans="1:6" x14ac:dyDescent="0.4">
      <c r="A28" s="14">
        <f t="shared" si="0"/>
        <v>27</v>
      </c>
      <c r="B28" s="15">
        <v>45817</v>
      </c>
      <c r="C28" s="14" t="s">
        <v>556</v>
      </c>
      <c r="D28" s="19" t="s">
        <v>555</v>
      </c>
      <c r="F28" s="1" t="s">
        <v>628</v>
      </c>
    </row>
    <row r="29" spans="1:6" x14ac:dyDescent="0.4">
      <c r="A29" s="14">
        <f t="shared" si="0"/>
        <v>28</v>
      </c>
      <c r="B29" s="15">
        <v>45822</v>
      </c>
      <c r="C29" s="14" t="s">
        <v>584</v>
      </c>
      <c r="D29" s="19" t="s">
        <v>585</v>
      </c>
      <c r="F29" s="1" t="s">
        <v>627</v>
      </c>
    </row>
    <row r="30" spans="1:6" x14ac:dyDescent="0.4">
      <c r="A30" s="14">
        <f t="shared" si="0"/>
        <v>29</v>
      </c>
      <c r="B30" s="15">
        <v>45823</v>
      </c>
      <c r="C30" s="14" t="s">
        <v>586</v>
      </c>
      <c r="D30" s="19" t="s">
        <v>587</v>
      </c>
      <c r="F30" s="1" t="s">
        <v>628</v>
      </c>
    </row>
    <row r="31" spans="1:6" x14ac:dyDescent="0.4">
      <c r="A31" s="14">
        <f t="shared" si="0"/>
        <v>30</v>
      </c>
      <c r="B31" s="15">
        <v>45825</v>
      </c>
      <c r="C31" s="14" t="s">
        <v>631</v>
      </c>
      <c r="D31" s="19" t="s">
        <v>632</v>
      </c>
      <c r="F31" s="1" t="s">
        <v>629</v>
      </c>
    </row>
    <row r="32" spans="1:6" x14ac:dyDescent="0.4">
      <c r="A32" s="14">
        <f t="shared" si="0"/>
        <v>31</v>
      </c>
      <c r="B32" s="15">
        <v>45826</v>
      </c>
      <c r="C32" s="14" t="s">
        <v>684</v>
      </c>
      <c r="D32" s="19" t="s">
        <v>685</v>
      </c>
      <c r="F32" s="1" t="s">
        <v>627</v>
      </c>
    </row>
    <row r="33" spans="1:6" x14ac:dyDescent="0.4">
      <c r="A33" s="14">
        <f t="shared" si="0"/>
        <v>32</v>
      </c>
      <c r="B33" s="15">
        <v>45827</v>
      </c>
      <c r="C33" s="14" t="s">
        <v>686</v>
      </c>
      <c r="D33" s="19" t="s">
        <v>687</v>
      </c>
      <c r="F33" s="1" t="s">
        <v>627</v>
      </c>
    </row>
    <row r="34" spans="1:6" x14ac:dyDescent="0.4">
      <c r="A34" s="14">
        <f t="shared" si="0"/>
        <v>33</v>
      </c>
      <c r="B34" s="15">
        <v>45835</v>
      </c>
      <c r="C34" s="14" t="s">
        <v>688</v>
      </c>
      <c r="D34" s="19" t="s">
        <v>689</v>
      </c>
      <c r="F34" s="1" t="s">
        <v>628</v>
      </c>
    </row>
    <row r="35" spans="1:6" x14ac:dyDescent="0.4">
      <c r="A35" s="14">
        <f t="shared" si="0"/>
        <v>34</v>
      </c>
      <c r="B35" s="15">
        <v>45840</v>
      </c>
      <c r="C35" s="14" t="s">
        <v>722</v>
      </c>
      <c r="D35" s="19" t="s">
        <v>723</v>
      </c>
      <c r="F35" s="1" t="s">
        <v>627</v>
      </c>
    </row>
    <row r="36" spans="1:6" x14ac:dyDescent="0.4">
      <c r="A36" s="14">
        <f t="shared" si="0"/>
        <v>35</v>
      </c>
      <c r="B36" s="15">
        <v>45841</v>
      </c>
      <c r="C36" s="14" t="s">
        <v>724</v>
      </c>
      <c r="D36" s="19" t="s">
        <v>725</v>
      </c>
      <c r="F36" s="1" t="s">
        <v>627</v>
      </c>
    </row>
    <row r="37" spans="1:6" x14ac:dyDescent="0.4">
      <c r="A37" s="14">
        <f t="shared" si="0"/>
        <v>36</v>
      </c>
      <c r="B37" s="15">
        <v>45842</v>
      </c>
      <c r="C37" s="14" t="s">
        <v>726</v>
      </c>
      <c r="D37" s="19" t="s">
        <v>727</v>
      </c>
      <c r="F37" s="1" t="s">
        <v>629</v>
      </c>
    </row>
    <row r="38" spans="1:6" x14ac:dyDescent="0.4">
      <c r="A38" s="14">
        <f t="shared" si="0"/>
        <v>37</v>
      </c>
      <c r="B38" s="15">
        <v>45843</v>
      </c>
      <c r="C38" s="14" t="s">
        <v>754</v>
      </c>
      <c r="D38" s="19" t="s">
        <v>755</v>
      </c>
      <c r="F38" s="1" t="s">
        <v>628</v>
      </c>
    </row>
    <row r="39" spans="1:6" x14ac:dyDescent="0.4">
      <c r="A39" s="14">
        <f t="shared" si="0"/>
        <v>38</v>
      </c>
      <c r="B39" s="15">
        <v>45847</v>
      </c>
      <c r="C39" s="14" t="s">
        <v>792</v>
      </c>
      <c r="D39" s="19" t="s">
        <v>793</v>
      </c>
      <c r="F39" s="1" t="s">
        <v>627</v>
      </c>
    </row>
    <row r="40" spans="1:6" x14ac:dyDescent="0.4">
      <c r="A40" s="14">
        <f t="shared" si="0"/>
        <v>39</v>
      </c>
      <c r="B40" s="15">
        <v>45847</v>
      </c>
      <c r="C40" s="14" t="s">
        <v>794</v>
      </c>
      <c r="D40" s="19" t="s">
        <v>795</v>
      </c>
      <c r="F40" s="1" t="s">
        <v>628</v>
      </c>
    </row>
    <row r="41" spans="1:6" x14ac:dyDescent="0.4">
      <c r="A41" s="14">
        <f t="shared" si="0"/>
        <v>40</v>
      </c>
      <c r="B41" s="15">
        <v>45848</v>
      </c>
      <c r="C41" s="14" t="s">
        <v>809</v>
      </c>
      <c r="D41" s="19" t="s">
        <v>810</v>
      </c>
      <c r="F41" s="1" t="s">
        <v>627</v>
      </c>
    </row>
    <row r="42" spans="1:6" x14ac:dyDescent="0.4">
      <c r="A42" s="14">
        <f t="shared" si="0"/>
        <v>41</v>
      </c>
      <c r="B42" s="15">
        <v>45848</v>
      </c>
      <c r="C42" s="14" t="s">
        <v>811</v>
      </c>
      <c r="D42" s="19" t="s">
        <v>812</v>
      </c>
      <c r="F42" s="1" t="s">
        <v>627</v>
      </c>
    </row>
    <row r="43" spans="1:6" x14ac:dyDescent="0.4">
      <c r="A43" s="14">
        <f t="shared" si="0"/>
        <v>42</v>
      </c>
      <c r="B43" s="15">
        <v>45849</v>
      </c>
      <c r="C43" s="14" t="s">
        <v>813</v>
      </c>
      <c r="D43" s="19" t="s">
        <v>814</v>
      </c>
      <c r="F43" s="1" t="s">
        <v>627</v>
      </c>
    </row>
    <row r="44" spans="1:6" x14ac:dyDescent="0.4">
      <c r="A44" s="14">
        <f t="shared" si="0"/>
        <v>43</v>
      </c>
      <c r="B44" s="15">
        <v>45855</v>
      </c>
      <c r="C44" s="14" t="s">
        <v>819</v>
      </c>
      <c r="D44" s="19" t="s">
        <v>820</v>
      </c>
      <c r="F44" s="1" t="s">
        <v>627</v>
      </c>
    </row>
    <row r="45" spans="1:6" x14ac:dyDescent="0.4">
      <c r="A45" s="14">
        <f t="shared" si="0"/>
        <v>44</v>
      </c>
      <c r="B45" s="15">
        <v>45857</v>
      </c>
      <c r="C45" s="14" t="s">
        <v>821</v>
      </c>
      <c r="D45" s="19" t="s">
        <v>822</v>
      </c>
      <c r="F45" s="1" t="s">
        <v>628</v>
      </c>
    </row>
    <row r="46" spans="1:6" x14ac:dyDescent="0.4">
      <c r="A46" s="14">
        <f t="shared" si="0"/>
        <v>45</v>
      </c>
      <c r="B46" s="15">
        <v>45861</v>
      </c>
      <c r="C46" s="14" t="s">
        <v>841</v>
      </c>
      <c r="D46" s="19" t="s">
        <v>842</v>
      </c>
      <c r="F46" s="1" t="s">
        <v>627</v>
      </c>
    </row>
    <row r="47" spans="1:6" x14ac:dyDescent="0.4">
      <c r="A47" s="14">
        <f t="shared" si="0"/>
        <v>46</v>
      </c>
      <c r="B47" s="15">
        <v>45862</v>
      </c>
      <c r="C47" s="14" t="s">
        <v>843</v>
      </c>
      <c r="D47" s="19" t="s">
        <v>844</v>
      </c>
      <c r="F47" s="1" t="s">
        <v>629</v>
      </c>
    </row>
    <row r="48" spans="1:6" x14ac:dyDescent="0.4">
      <c r="A48" s="14">
        <f t="shared" si="0"/>
        <v>47</v>
      </c>
      <c r="B48" s="15">
        <v>45864</v>
      </c>
      <c r="C48" s="14" t="s">
        <v>895</v>
      </c>
      <c r="D48" s="19" t="s">
        <v>896</v>
      </c>
      <c r="F48" s="1" t="s">
        <v>627</v>
      </c>
    </row>
    <row r="49" spans="1:6" x14ac:dyDescent="0.4">
      <c r="A49" s="14">
        <f t="shared" si="0"/>
        <v>48</v>
      </c>
      <c r="B49" s="15">
        <v>45864</v>
      </c>
      <c r="C49" s="14" t="s">
        <v>897</v>
      </c>
      <c r="D49" s="19" t="s">
        <v>898</v>
      </c>
      <c r="F49" s="1" t="s">
        <v>627</v>
      </c>
    </row>
    <row r="50" spans="1:6" x14ac:dyDescent="0.4">
      <c r="A50" s="14">
        <f t="shared" si="0"/>
        <v>49</v>
      </c>
      <c r="B50" s="15">
        <v>45865</v>
      </c>
      <c r="C50" s="14" t="s">
        <v>899</v>
      </c>
      <c r="D50" s="19" t="s">
        <v>900</v>
      </c>
      <c r="F50" s="1" t="s">
        <v>628</v>
      </c>
    </row>
    <row r="51" spans="1:6" x14ac:dyDescent="0.4">
      <c r="A51" s="14">
        <f t="shared" si="0"/>
        <v>50</v>
      </c>
      <c r="B51" s="15">
        <v>45868</v>
      </c>
      <c r="C51" s="14" t="s">
        <v>926</v>
      </c>
      <c r="D51" s="19" t="s">
        <v>927</v>
      </c>
      <c r="F51" s="1" t="s">
        <v>629</v>
      </c>
    </row>
    <row r="52" spans="1:6" x14ac:dyDescent="0.4">
      <c r="A52" s="14">
        <f t="shared" si="0"/>
        <v>51</v>
      </c>
      <c r="B52" s="15">
        <v>45869</v>
      </c>
      <c r="C52" s="14" t="s">
        <v>946</v>
      </c>
      <c r="D52" s="19" t="s">
        <v>947</v>
      </c>
      <c r="F52" s="1" t="s">
        <v>628</v>
      </c>
    </row>
    <row r="53" spans="1:6" x14ac:dyDescent="0.4">
      <c r="A53" s="14">
        <f t="shared" si="0"/>
        <v>52</v>
      </c>
      <c r="B53" s="15">
        <v>45874</v>
      </c>
      <c r="C53" s="14" t="s">
        <v>957</v>
      </c>
      <c r="D53" s="19" t="s">
        <v>956</v>
      </c>
      <c r="F53" s="1" t="s">
        <v>629</v>
      </c>
    </row>
    <row r="54" spans="1:6" x14ac:dyDescent="0.4">
      <c r="A54" s="14">
        <f t="shared" si="0"/>
        <v>53</v>
      </c>
      <c r="B54" s="15">
        <v>45876</v>
      </c>
      <c r="C54" s="14" t="s">
        <v>995</v>
      </c>
      <c r="D54" s="19" t="s">
        <v>994</v>
      </c>
      <c r="F54" s="1" t="s">
        <v>628</v>
      </c>
    </row>
    <row r="55" spans="1:6" x14ac:dyDescent="0.4">
      <c r="A55" s="14">
        <f t="shared" si="0"/>
        <v>54</v>
      </c>
      <c r="B55" s="15">
        <v>45876</v>
      </c>
      <c r="C55" s="14" t="s">
        <v>1029</v>
      </c>
      <c r="D55" s="19" t="s">
        <v>1030</v>
      </c>
      <c r="F55" s="1" t="s">
        <v>627</v>
      </c>
    </row>
    <row r="56" spans="1:6" x14ac:dyDescent="0.4">
      <c r="A56" s="14">
        <f t="shared" si="0"/>
        <v>55</v>
      </c>
      <c r="B56" s="15">
        <v>45876</v>
      </c>
      <c r="C56" s="14" t="s">
        <v>1031</v>
      </c>
      <c r="D56" s="19" t="s">
        <v>1032</v>
      </c>
      <c r="F56" s="1" t="s">
        <v>627</v>
      </c>
    </row>
    <row r="57" spans="1:6" x14ac:dyDescent="0.4">
      <c r="A57" s="14">
        <f t="shared" si="0"/>
        <v>56</v>
      </c>
      <c r="B57" s="15">
        <v>45878</v>
      </c>
      <c r="C57" s="14" t="s">
        <v>1034</v>
      </c>
      <c r="D57" s="19" t="s">
        <v>1033</v>
      </c>
      <c r="F57" s="1" t="s">
        <v>628</v>
      </c>
    </row>
    <row r="58" spans="1:6" x14ac:dyDescent="0.4">
      <c r="A58" s="14">
        <f t="shared" si="0"/>
        <v>57</v>
      </c>
      <c r="B58" s="15">
        <v>45878</v>
      </c>
      <c r="C58" s="14" t="s">
        <v>1058</v>
      </c>
      <c r="D58" s="19" t="s">
        <v>1059</v>
      </c>
      <c r="F58" s="1" t="s">
        <v>627</v>
      </c>
    </row>
    <row r="59" spans="1:6" x14ac:dyDescent="0.4">
      <c r="A59" s="14">
        <f t="shared" si="0"/>
        <v>58</v>
      </c>
      <c r="B59" s="15">
        <v>45879</v>
      </c>
      <c r="C59" s="14" t="s">
        <v>1060</v>
      </c>
      <c r="D59" s="19" t="s">
        <v>1061</v>
      </c>
      <c r="F59" s="1" t="s">
        <v>627</v>
      </c>
    </row>
    <row r="60" spans="1:6" x14ac:dyDescent="0.4">
      <c r="A60" s="14">
        <f t="shared" si="0"/>
        <v>59</v>
      </c>
      <c r="B60" s="15">
        <v>45887</v>
      </c>
      <c r="C60" s="14" t="s">
        <v>1067</v>
      </c>
      <c r="D60" s="19" t="s">
        <v>1068</v>
      </c>
      <c r="F60" s="1" t="s">
        <v>627</v>
      </c>
    </row>
    <row r="61" spans="1:6" x14ac:dyDescent="0.4">
      <c r="A61" s="14">
        <f t="shared" si="0"/>
        <v>60</v>
      </c>
      <c r="B61" s="15">
        <v>45890</v>
      </c>
      <c r="C61" s="14" t="s">
        <v>1069</v>
      </c>
      <c r="D61" s="19" t="s">
        <v>1070</v>
      </c>
      <c r="F61" s="1" t="s">
        <v>628</v>
      </c>
    </row>
    <row r="62" spans="1:6" x14ac:dyDescent="0.4">
      <c r="A62" s="14">
        <f t="shared" si="0"/>
        <v>61</v>
      </c>
      <c r="B62" s="15">
        <v>45890</v>
      </c>
      <c r="C62" s="14" t="s">
        <v>1089</v>
      </c>
      <c r="D62" s="19" t="s">
        <v>1090</v>
      </c>
      <c r="F62" s="1" t="s">
        <v>628</v>
      </c>
    </row>
    <row r="63" spans="1:6" x14ac:dyDescent="0.4">
      <c r="A63" s="14">
        <f t="shared" si="0"/>
        <v>62</v>
      </c>
      <c r="B63" s="15">
        <v>45892</v>
      </c>
      <c r="C63" s="14" t="s">
        <v>1109</v>
      </c>
      <c r="D63" s="19" t="s">
        <v>1110</v>
      </c>
      <c r="F63" s="1" t="s">
        <v>627</v>
      </c>
    </row>
    <row r="64" spans="1:6" x14ac:dyDescent="0.4">
      <c r="A64" s="14">
        <f t="shared" si="0"/>
        <v>63</v>
      </c>
      <c r="B64" s="15">
        <v>45893</v>
      </c>
      <c r="C64" s="14" t="s">
        <v>1111</v>
      </c>
      <c r="D64" s="19" t="s">
        <v>1112</v>
      </c>
      <c r="F64" s="1" t="s">
        <v>627</v>
      </c>
    </row>
    <row r="65" spans="1:6" x14ac:dyDescent="0.4">
      <c r="A65" s="14">
        <f t="shared" si="0"/>
        <v>64</v>
      </c>
      <c r="B65" s="15">
        <v>45896</v>
      </c>
      <c r="C65" s="14" t="s">
        <v>1114</v>
      </c>
      <c r="D65" s="19" t="s">
        <v>1115</v>
      </c>
      <c r="F65" s="1" t="s">
        <v>629</v>
      </c>
    </row>
    <row r="66" spans="1:6" x14ac:dyDescent="0.4">
      <c r="A66" s="14">
        <f t="shared" si="0"/>
        <v>65</v>
      </c>
      <c r="B66" s="15">
        <v>45898</v>
      </c>
      <c r="C66" s="14" t="s">
        <v>1146</v>
      </c>
      <c r="D66" s="19" t="s">
        <v>1147</v>
      </c>
      <c r="F66" s="1" t="s">
        <v>628</v>
      </c>
    </row>
    <row r="67" spans="1:6" x14ac:dyDescent="0.4">
      <c r="A67" s="14">
        <f t="shared" ref="A67:A130" si="1">ROW()-1</f>
        <v>66</v>
      </c>
      <c r="B67" s="15">
        <v>45900</v>
      </c>
      <c r="C67" s="14" t="s">
        <v>1162</v>
      </c>
      <c r="D67" s="19" t="s">
        <v>1163</v>
      </c>
      <c r="F67" s="1" t="s">
        <v>627</v>
      </c>
    </row>
    <row r="68" spans="1:6" x14ac:dyDescent="0.4">
      <c r="A68" s="14">
        <f t="shared" si="1"/>
        <v>67</v>
      </c>
      <c r="B68" s="15">
        <v>45900</v>
      </c>
      <c r="C68" s="14" t="s">
        <v>1164</v>
      </c>
      <c r="D68" s="19" t="s">
        <v>1165</v>
      </c>
      <c r="F68" s="1" t="s">
        <v>628</v>
      </c>
    </row>
    <row r="69" spans="1:6" x14ac:dyDescent="0.4">
      <c r="A69" s="14">
        <f t="shared" si="1"/>
        <v>68</v>
      </c>
      <c r="B69" s="15">
        <v>45905</v>
      </c>
      <c r="C69" s="14" t="s">
        <v>1170</v>
      </c>
      <c r="D69" s="19" t="s">
        <v>1171</v>
      </c>
      <c r="F69" s="1" t="s">
        <v>627</v>
      </c>
    </row>
    <row r="70" spans="1:6" x14ac:dyDescent="0.4">
      <c r="A70" s="14">
        <f t="shared" si="1"/>
        <v>69</v>
      </c>
      <c r="B70" s="15">
        <v>45906</v>
      </c>
      <c r="C70" s="14" t="s">
        <v>1172</v>
      </c>
      <c r="D70" s="19" t="s">
        <v>1173</v>
      </c>
      <c r="F70" s="1" t="s">
        <v>629</v>
      </c>
    </row>
    <row r="71" spans="1:6" x14ac:dyDescent="0.4">
      <c r="A71" s="14">
        <f t="shared" si="1"/>
        <v>70</v>
      </c>
      <c r="B71" s="15">
        <v>45907</v>
      </c>
      <c r="C71" s="14" t="s">
        <v>1374</v>
      </c>
      <c r="D71" s="19" t="s">
        <v>1375</v>
      </c>
      <c r="F71" s="1" t="s">
        <v>628</v>
      </c>
    </row>
    <row r="72" spans="1:6" x14ac:dyDescent="0.4">
      <c r="A72" s="14">
        <f t="shared" si="1"/>
        <v>71</v>
      </c>
      <c r="B72" s="15">
        <v>45908</v>
      </c>
      <c r="C72" s="14" t="s">
        <v>1391</v>
      </c>
      <c r="D72" s="19" t="s">
        <v>1392</v>
      </c>
      <c r="F72" s="1" t="s">
        <v>627</v>
      </c>
    </row>
    <row r="73" spans="1:6" x14ac:dyDescent="0.4">
      <c r="A73" s="14">
        <f t="shared" si="1"/>
        <v>72</v>
      </c>
      <c r="B73" s="15">
        <v>45910</v>
      </c>
      <c r="C73" s="14" t="s">
        <v>1393</v>
      </c>
      <c r="D73" s="19" t="s">
        <v>1394</v>
      </c>
      <c r="F73" s="1" t="s">
        <v>627</v>
      </c>
    </row>
    <row r="74" spans="1:6" x14ac:dyDescent="0.4">
      <c r="A74" s="14">
        <f t="shared" si="1"/>
        <v>73</v>
      </c>
      <c r="B74" s="15">
        <v>45911</v>
      </c>
      <c r="C74" s="14" t="s">
        <v>1395</v>
      </c>
      <c r="D74" s="19" t="s">
        <v>1396</v>
      </c>
      <c r="F74" s="1" t="s">
        <v>628</v>
      </c>
    </row>
    <row r="75" spans="1:6" x14ac:dyDescent="0.4">
      <c r="A75" s="14">
        <f t="shared" si="1"/>
        <v>74</v>
      </c>
      <c r="B75" s="15">
        <v>45912</v>
      </c>
      <c r="C75" s="14" t="s">
        <v>1424</v>
      </c>
      <c r="D75" s="19" t="s">
        <v>1425</v>
      </c>
      <c r="F75" s="1" t="s">
        <v>627</v>
      </c>
    </row>
    <row r="76" spans="1:6" x14ac:dyDescent="0.4">
      <c r="A76" s="14">
        <f t="shared" si="1"/>
        <v>75</v>
      </c>
      <c r="B76" s="15">
        <v>45913</v>
      </c>
      <c r="C76" s="14" t="s">
        <v>1426</v>
      </c>
      <c r="D76" s="19" t="s">
        <v>1427</v>
      </c>
      <c r="F76" s="1" t="s">
        <v>628</v>
      </c>
    </row>
    <row r="77" spans="1:6" x14ac:dyDescent="0.4">
      <c r="A77" s="14">
        <f t="shared" si="1"/>
        <v>76</v>
      </c>
      <c r="B77" s="15">
        <v>45916</v>
      </c>
      <c r="C77" s="14" t="s">
        <v>1441</v>
      </c>
      <c r="D77" s="19" t="s">
        <v>1442</v>
      </c>
      <c r="F77" s="1" t="s">
        <v>627</v>
      </c>
    </row>
    <row r="78" spans="1:6" x14ac:dyDescent="0.4">
      <c r="A78" s="14">
        <f t="shared" si="1"/>
        <v>77</v>
      </c>
      <c r="B78" s="15">
        <v>45918</v>
      </c>
      <c r="C78" s="14" t="s">
        <v>1443</v>
      </c>
      <c r="D78" s="19" t="s">
        <v>1444</v>
      </c>
      <c r="F78" s="1" t="s">
        <v>628</v>
      </c>
    </row>
    <row r="79" spans="1:6" x14ac:dyDescent="0.4">
      <c r="A79" s="14">
        <f t="shared" si="1"/>
        <v>78</v>
      </c>
      <c r="B79" s="15">
        <v>45919</v>
      </c>
      <c r="C79" s="14" t="s">
        <v>1463</v>
      </c>
      <c r="D79" s="19" t="s">
        <v>1464</v>
      </c>
      <c r="F79" s="1" t="s">
        <v>627</v>
      </c>
    </row>
    <row r="80" spans="1:6" x14ac:dyDescent="0.4">
      <c r="A80" s="14">
        <f t="shared" si="1"/>
        <v>79</v>
      </c>
      <c r="B80" s="15">
        <v>45920</v>
      </c>
      <c r="C80" s="14" t="s">
        <v>1467</v>
      </c>
      <c r="D80" s="19" t="s">
        <v>1468</v>
      </c>
      <c r="F80" s="1" t="s">
        <v>1469</v>
      </c>
    </row>
    <row r="81" spans="1:6" x14ac:dyDescent="0.4">
      <c r="A81" s="14">
        <f t="shared" si="1"/>
        <v>80</v>
      </c>
      <c r="B81" s="15">
        <v>45921</v>
      </c>
      <c r="C81" s="14" t="s">
        <v>1496</v>
      </c>
      <c r="D81" s="19" t="s">
        <v>1497</v>
      </c>
      <c r="F81" s="1" t="s">
        <v>628</v>
      </c>
    </row>
    <row r="82" spans="1:6" x14ac:dyDescent="0.4">
      <c r="A82" s="14">
        <f t="shared" si="1"/>
        <v>81</v>
      </c>
      <c r="B82" s="15">
        <v>45922</v>
      </c>
      <c r="C82" s="14" t="s">
        <v>1506</v>
      </c>
      <c r="D82" s="19" t="s">
        <v>1507</v>
      </c>
      <c r="F82" s="1" t="s">
        <v>627</v>
      </c>
    </row>
    <row r="83" spans="1:6" x14ac:dyDescent="0.4">
      <c r="A83" s="14">
        <f t="shared" si="1"/>
        <v>82</v>
      </c>
      <c r="B83" s="15">
        <v>45922</v>
      </c>
      <c r="C83" s="14" t="s">
        <v>1508</v>
      </c>
      <c r="D83" s="19" t="s">
        <v>1509</v>
      </c>
      <c r="F83" s="1" t="s">
        <v>627</v>
      </c>
    </row>
    <row r="84" spans="1:6" x14ac:dyDescent="0.4">
      <c r="A84" s="14">
        <f t="shared" si="1"/>
        <v>83</v>
      </c>
      <c r="B84" s="15">
        <v>45924</v>
      </c>
      <c r="C84" s="14" t="s">
        <v>1510</v>
      </c>
      <c r="D84" s="19" t="s">
        <v>1511</v>
      </c>
      <c r="F84" s="1" t="s">
        <v>628</v>
      </c>
    </row>
    <row r="85" spans="1:6" x14ac:dyDescent="0.4">
      <c r="A85" s="14">
        <f t="shared" si="1"/>
        <v>84</v>
      </c>
      <c r="B85" s="15">
        <v>45925</v>
      </c>
      <c r="C85" s="14" t="s">
        <v>1540</v>
      </c>
      <c r="D85" s="19" t="s">
        <v>1541</v>
      </c>
      <c r="F85" s="1" t="s">
        <v>628</v>
      </c>
    </row>
    <row r="86" spans="1:6" x14ac:dyDescent="0.4">
      <c r="A86" s="14">
        <f t="shared" si="1"/>
        <v>85</v>
      </c>
      <c r="B86" s="15">
        <v>45928</v>
      </c>
      <c r="C86" s="14" t="s">
        <v>1556</v>
      </c>
      <c r="D86" s="19" t="s">
        <v>1557</v>
      </c>
      <c r="F86" s="1" t="s">
        <v>1469</v>
      </c>
    </row>
    <row r="87" spans="1:6" x14ac:dyDescent="0.4">
      <c r="A87" s="14">
        <f t="shared" si="1"/>
        <v>86</v>
      </c>
      <c r="B87" s="15">
        <v>45931</v>
      </c>
      <c r="C87" s="14" t="s">
        <v>1588</v>
      </c>
      <c r="D87" s="19" t="s">
        <v>1587</v>
      </c>
      <c r="F87" s="1" t="s">
        <v>627</v>
      </c>
    </row>
    <row r="88" spans="1:6" x14ac:dyDescent="0.4">
      <c r="A88" s="14">
        <f t="shared" si="1"/>
        <v>87</v>
      </c>
      <c r="B88" s="15">
        <v>45932</v>
      </c>
      <c r="C88" s="14" t="s">
        <v>1589</v>
      </c>
      <c r="D88" s="19" t="s">
        <v>1590</v>
      </c>
      <c r="F88" s="1" t="s">
        <v>627</v>
      </c>
    </row>
    <row r="89" spans="1:6" x14ac:dyDescent="0.4">
      <c r="A89" s="14">
        <f t="shared" si="1"/>
        <v>88</v>
      </c>
      <c r="B89" s="15">
        <v>45933</v>
      </c>
      <c r="C89" s="14" t="s">
        <v>1591</v>
      </c>
      <c r="D89" s="19" t="s">
        <v>1592</v>
      </c>
      <c r="F89" s="1" t="s">
        <v>628</v>
      </c>
    </row>
    <row r="90" spans="1:6" x14ac:dyDescent="0.4">
      <c r="A90" s="14">
        <f t="shared" si="1"/>
        <v>89</v>
      </c>
      <c r="B90" s="15">
        <v>45933</v>
      </c>
      <c r="C90" s="14" t="s">
        <v>1611</v>
      </c>
      <c r="D90" s="19" t="s">
        <v>1612</v>
      </c>
      <c r="F90" s="1" t="s">
        <v>629</v>
      </c>
    </row>
    <row r="91" spans="1:6" x14ac:dyDescent="0.4">
      <c r="A91" s="14">
        <f t="shared" si="1"/>
        <v>90</v>
      </c>
      <c r="B91" s="15">
        <v>45934</v>
      </c>
      <c r="C91" s="14" t="s">
        <v>1627</v>
      </c>
      <c r="D91" s="19" t="s">
        <v>1628</v>
      </c>
      <c r="F91" s="1" t="s">
        <v>629</v>
      </c>
    </row>
    <row r="92" spans="1:6" x14ac:dyDescent="0.4">
      <c r="A92" s="14">
        <f t="shared" si="1"/>
        <v>91</v>
      </c>
      <c r="B92" s="15">
        <v>45936</v>
      </c>
      <c r="C92" s="14" t="s">
        <v>1706</v>
      </c>
      <c r="D92" s="19" t="s">
        <v>1707</v>
      </c>
      <c r="F92" s="1" t="s">
        <v>627</v>
      </c>
    </row>
    <row r="93" spans="1:6" x14ac:dyDescent="0.4">
      <c r="A93" s="14">
        <f t="shared" si="1"/>
        <v>92</v>
      </c>
      <c r="B93" s="15">
        <v>45937</v>
      </c>
      <c r="C93" s="14" t="s">
        <v>1708</v>
      </c>
      <c r="D93" s="19" t="s">
        <v>1709</v>
      </c>
      <c r="F93" s="1" t="s">
        <v>629</v>
      </c>
    </row>
    <row r="94" spans="1:6" x14ac:dyDescent="0.4">
      <c r="A94" s="14">
        <f t="shared" si="1"/>
        <v>93</v>
      </c>
      <c r="B94" s="15">
        <v>45939</v>
      </c>
      <c r="C94" s="14" t="s">
        <v>1757</v>
      </c>
      <c r="D94" s="19" t="s">
        <v>1758</v>
      </c>
      <c r="F94" s="1" t="s">
        <v>628</v>
      </c>
    </row>
    <row r="95" spans="1:6" x14ac:dyDescent="0.4">
      <c r="A95" s="14">
        <f t="shared" si="1"/>
        <v>94</v>
      </c>
      <c r="B95" s="15">
        <v>45940</v>
      </c>
      <c r="C95" s="14" t="s">
        <v>1790</v>
      </c>
      <c r="D95" s="19" t="s">
        <v>1791</v>
      </c>
      <c r="F95" s="1" t="s">
        <v>627</v>
      </c>
    </row>
    <row r="96" spans="1:6" x14ac:dyDescent="0.4">
      <c r="A96" s="14">
        <f t="shared" si="1"/>
        <v>95</v>
      </c>
      <c r="B96" s="15">
        <v>45941</v>
      </c>
      <c r="C96" s="14" t="s">
        <v>1792</v>
      </c>
      <c r="D96" s="19" t="s">
        <v>1793</v>
      </c>
      <c r="F96" s="1" t="s">
        <v>628</v>
      </c>
    </row>
    <row r="97" spans="1:6" x14ac:dyDescent="0.4">
      <c r="A97" s="14">
        <f t="shared" si="1"/>
        <v>96</v>
      </c>
      <c r="B97" s="15">
        <v>45947</v>
      </c>
      <c r="C97" s="14" t="s">
        <v>1806</v>
      </c>
      <c r="D97" s="19" t="s">
        <v>1807</v>
      </c>
      <c r="F97" s="1" t="s">
        <v>627</v>
      </c>
    </row>
    <row r="98" spans="1:6" x14ac:dyDescent="0.4">
      <c r="A98" s="14">
        <f t="shared" si="1"/>
        <v>97</v>
      </c>
      <c r="B98" s="15">
        <v>45949</v>
      </c>
      <c r="C98" s="14" t="s">
        <v>1808</v>
      </c>
      <c r="D98" s="19" t="s">
        <v>1809</v>
      </c>
      <c r="F98" s="1" t="s">
        <v>627</v>
      </c>
    </row>
    <row r="99" spans="1:6" x14ac:dyDescent="0.4">
      <c r="A99" s="14">
        <f t="shared" si="1"/>
        <v>98</v>
      </c>
      <c r="B99" s="15">
        <v>45949</v>
      </c>
      <c r="C99" s="14" t="s">
        <v>1810</v>
      </c>
      <c r="D99" s="19" t="s">
        <v>1811</v>
      </c>
      <c r="F99" s="1" t="s">
        <v>628</v>
      </c>
    </row>
    <row r="100" spans="1:6" x14ac:dyDescent="0.4">
      <c r="A100" s="14">
        <f t="shared" si="1"/>
        <v>99</v>
      </c>
      <c r="B100" s="15">
        <v>45952</v>
      </c>
      <c r="C100" s="14" t="s">
        <v>1836</v>
      </c>
      <c r="D100" s="19" t="s">
        <v>1837</v>
      </c>
      <c r="F100" s="1" t="s">
        <v>628</v>
      </c>
    </row>
    <row r="101" spans="1:6" x14ac:dyDescent="0.4">
      <c r="A101" s="14">
        <f t="shared" si="1"/>
        <v>100</v>
      </c>
      <c r="B101" s="15">
        <v>45954</v>
      </c>
      <c r="C101" s="14" t="s">
        <v>1871</v>
      </c>
      <c r="D101" s="19" t="s">
        <v>1872</v>
      </c>
      <c r="F101" s="1" t="s">
        <v>628</v>
      </c>
    </row>
    <row r="102" spans="1:6" x14ac:dyDescent="0.4">
      <c r="A102" s="14">
        <f t="shared" si="1"/>
        <v>101</v>
      </c>
      <c r="B102" s="15">
        <v>45954</v>
      </c>
      <c r="C102" s="14" t="s">
        <v>1885</v>
      </c>
      <c r="D102" s="19" t="s">
        <v>1886</v>
      </c>
      <c r="F102" s="1" t="s">
        <v>627</v>
      </c>
    </row>
    <row r="103" spans="1:6" x14ac:dyDescent="0.4">
      <c r="A103" s="14">
        <f t="shared" si="1"/>
        <v>102</v>
      </c>
      <c r="B103" s="15">
        <v>45954</v>
      </c>
      <c r="C103" s="14" t="s">
        <v>1887</v>
      </c>
      <c r="D103" s="19" t="s">
        <v>1888</v>
      </c>
      <c r="F103" s="1" t="s">
        <v>627</v>
      </c>
    </row>
    <row r="104" spans="1:6" x14ac:dyDescent="0.4">
      <c r="A104" s="14">
        <f t="shared" si="1"/>
        <v>103</v>
      </c>
      <c r="B104" s="15">
        <v>45956</v>
      </c>
      <c r="C104" s="14" t="s">
        <v>1889</v>
      </c>
      <c r="D104" s="19" t="s">
        <v>1890</v>
      </c>
      <c r="F104" s="1" t="s">
        <v>629</v>
      </c>
    </row>
    <row r="105" spans="1:6" x14ac:dyDescent="0.4">
      <c r="A105" s="14">
        <f t="shared" si="1"/>
        <v>104</v>
      </c>
      <c r="B105" s="15">
        <v>45958</v>
      </c>
      <c r="C105" s="14" t="s">
        <v>1911</v>
      </c>
      <c r="D105" s="19" t="s">
        <v>1912</v>
      </c>
      <c r="F105" s="1" t="s">
        <v>1469</v>
      </c>
    </row>
    <row r="106" spans="1:6" x14ac:dyDescent="0.4">
      <c r="A106" s="14">
        <f t="shared" si="1"/>
        <v>105</v>
      </c>
      <c r="B106" s="15">
        <v>45959</v>
      </c>
      <c r="C106" s="14" t="s">
        <v>1929</v>
      </c>
      <c r="D106" s="19" t="s">
        <v>1930</v>
      </c>
      <c r="F106" s="1" t="s">
        <v>627</v>
      </c>
    </row>
    <row r="107" spans="1:6" x14ac:dyDescent="0.4">
      <c r="A107" s="14">
        <f t="shared" si="1"/>
        <v>106</v>
      </c>
      <c r="B107" s="15">
        <v>45960</v>
      </c>
      <c r="C107" s="25" t="s">
        <v>1931</v>
      </c>
      <c r="D107" s="19" t="s">
        <v>1932</v>
      </c>
      <c r="F107" s="1" t="s">
        <v>628</v>
      </c>
    </row>
    <row r="108" spans="1:6" x14ac:dyDescent="0.4">
      <c r="A108" s="14">
        <f t="shared" si="1"/>
        <v>107</v>
      </c>
      <c r="B108" s="15">
        <v>45961</v>
      </c>
      <c r="C108" s="14" t="s">
        <v>1950</v>
      </c>
      <c r="D108" s="19" t="s">
        <v>1951</v>
      </c>
      <c r="F108" s="1" t="s">
        <v>627</v>
      </c>
    </row>
    <row r="109" spans="1:6" x14ac:dyDescent="0.4">
      <c r="A109" s="14">
        <f t="shared" si="1"/>
        <v>108</v>
      </c>
      <c r="B109" s="15">
        <v>45963</v>
      </c>
      <c r="C109" s="14" t="s">
        <v>1952</v>
      </c>
      <c r="D109" s="19" t="s">
        <v>1953</v>
      </c>
      <c r="F109" s="1" t="s">
        <v>627</v>
      </c>
    </row>
    <row r="110" spans="1:6" x14ac:dyDescent="0.4">
      <c r="A110" s="14">
        <f t="shared" si="1"/>
        <v>109</v>
      </c>
      <c r="B110" s="15">
        <v>45965</v>
      </c>
      <c r="C110" s="14" t="s">
        <v>1954</v>
      </c>
      <c r="D110" s="19" t="s">
        <v>1955</v>
      </c>
      <c r="F110" s="1" t="s">
        <v>627</v>
      </c>
    </row>
    <row r="111" spans="1:6" x14ac:dyDescent="0.4">
      <c r="A111" s="14">
        <f t="shared" si="1"/>
        <v>110</v>
      </c>
      <c r="B111" s="15">
        <v>45966</v>
      </c>
      <c r="C111" s="14" t="s">
        <v>1956</v>
      </c>
      <c r="D111" s="19" t="s">
        <v>1957</v>
      </c>
      <c r="F111" s="1" t="s">
        <v>627</v>
      </c>
    </row>
    <row r="112" spans="1:6" x14ac:dyDescent="0.4">
      <c r="A112" s="14">
        <f t="shared" si="1"/>
        <v>111</v>
      </c>
      <c r="B112" s="14"/>
      <c r="C112" s="14"/>
      <c r="D112" s="14"/>
    </row>
    <row r="113" spans="1:4" x14ac:dyDescent="0.4">
      <c r="A113" s="14">
        <f t="shared" si="1"/>
        <v>112</v>
      </c>
      <c r="B113" s="14"/>
      <c r="C113" s="14"/>
      <c r="D113" s="14"/>
    </row>
    <row r="114" spans="1:4" x14ac:dyDescent="0.4">
      <c r="A114" s="14">
        <f t="shared" si="1"/>
        <v>113</v>
      </c>
      <c r="B114" s="14"/>
      <c r="C114" s="14"/>
      <c r="D114" s="14"/>
    </row>
    <row r="115" spans="1:4" x14ac:dyDescent="0.4">
      <c r="A115" s="14">
        <f t="shared" si="1"/>
        <v>114</v>
      </c>
      <c r="B115" s="14"/>
      <c r="C115" s="14"/>
      <c r="D115" s="14"/>
    </row>
    <row r="116" spans="1:4" x14ac:dyDescent="0.4">
      <c r="A116" s="14">
        <f t="shared" si="1"/>
        <v>115</v>
      </c>
      <c r="B116" s="14"/>
      <c r="C116" s="14"/>
      <c r="D116" s="14"/>
    </row>
    <row r="117" spans="1:4" x14ac:dyDescent="0.4">
      <c r="A117" s="14">
        <f t="shared" si="1"/>
        <v>116</v>
      </c>
      <c r="B117" s="14"/>
      <c r="C117" s="14"/>
      <c r="D117" s="14"/>
    </row>
    <row r="118" spans="1:4" x14ac:dyDescent="0.4">
      <c r="A118" s="14">
        <f t="shared" si="1"/>
        <v>117</v>
      </c>
      <c r="B118" s="14"/>
      <c r="C118" s="14"/>
      <c r="D118" s="14"/>
    </row>
    <row r="119" spans="1:4" x14ac:dyDescent="0.4">
      <c r="A119" s="14">
        <f t="shared" si="1"/>
        <v>118</v>
      </c>
      <c r="B119" s="14"/>
      <c r="C119" s="14"/>
      <c r="D119" s="14"/>
    </row>
    <row r="120" spans="1:4" x14ac:dyDescent="0.4">
      <c r="A120" s="14">
        <f t="shared" si="1"/>
        <v>119</v>
      </c>
      <c r="B120" s="14"/>
      <c r="C120" s="14"/>
      <c r="D120" s="14"/>
    </row>
    <row r="121" spans="1:4" x14ac:dyDescent="0.4">
      <c r="A121" s="14">
        <f t="shared" si="1"/>
        <v>120</v>
      </c>
      <c r="B121" s="14"/>
      <c r="C121" s="14"/>
      <c r="D121" s="14"/>
    </row>
    <row r="122" spans="1:4" x14ac:dyDescent="0.4">
      <c r="A122" s="14">
        <f t="shared" si="1"/>
        <v>121</v>
      </c>
      <c r="B122" s="14"/>
      <c r="C122" s="14"/>
      <c r="D122" s="14"/>
    </row>
    <row r="123" spans="1:4" x14ac:dyDescent="0.4">
      <c r="A123" s="14">
        <f t="shared" si="1"/>
        <v>122</v>
      </c>
      <c r="B123" s="14"/>
      <c r="C123" s="14"/>
      <c r="D123" s="14"/>
    </row>
    <row r="124" spans="1:4" x14ac:dyDescent="0.4">
      <c r="A124" s="14">
        <f t="shared" si="1"/>
        <v>123</v>
      </c>
      <c r="B124" s="14"/>
      <c r="C124" s="14"/>
      <c r="D124" s="14"/>
    </row>
    <row r="125" spans="1:4" x14ac:dyDescent="0.4">
      <c r="A125" s="14">
        <f t="shared" si="1"/>
        <v>124</v>
      </c>
      <c r="B125" s="14"/>
      <c r="C125" s="14"/>
      <c r="D125" s="14"/>
    </row>
    <row r="126" spans="1:4" x14ac:dyDescent="0.4">
      <c r="A126" s="14">
        <f t="shared" si="1"/>
        <v>125</v>
      </c>
      <c r="B126" s="14"/>
      <c r="C126" s="14"/>
      <c r="D126" s="14"/>
    </row>
    <row r="127" spans="1:4" x14ac:dyDescent="0.4">
      <c r="A127" s="14">
        <f t="shared" si="1"/>
        <v>126</v>
      </c>
      <c r="B127" s="14"/>
      <c r="C127" s="14"/>
      <c r="D127" s="14"/>
    </row>
    <row r="128" spans="1:4" x14ac:dyDescent="0.4">
      <c r="A128" s="14">
        <f t="shared" si="1"/>
        <v>127</v>
      </c>
      <c r="B128" s="14"/>
      <c r="C128" s="14"/>
      <c r="D128" s="14"/>
    </row>
    <row r="129" spans="1:4" x14ac:dyDescent="0.4">
      <c r="A129" s="14">
        <f t="shared" si="1"/>
        <v>128</v>
      </c>
      <c r="B129" s="14"/>
      <c r="C129" s="14"/>
      <c r="D129" s="14"/>
    </row>
    <row r="130" spans="1:4" x14ac:dyDescent="0.4">
      <c r="A130" s="14">
        <f t="shared" si="1"/>
        <v>129</v>
      </c>
      <c r="B130" s="14"/>
      <c r="C130" s="14"/>
      <c r="D130" s="14"/>
    </row>
    <row r="131" spans="1:4" x14ac:dyDescent="0.4">
      <c r="A131" s="14">
        <f t="shared" ref="A131:A151" si="2">ROW()-1</f>
        <v>130</v>
      </c>
      <c r="B131" s="14"/>
      <c r="C131" s="14"/>
      <c r="D131" s="14"/>
    </row>
    <row r="132" spans="1:4" x14ac:dyDescent="0.4">
      <c r="A132" s="14">
        <f t="shared" si="2"/>
        <v>131</v>
      </c>
      <c r="B132" s="14"/>
      <c r="C132" s="14"/>
      <c r="D132" s="14"/>
    </row>
    <row r="133" spans="1:4" x14ac:dyDescent="0.4">
      <c r="A133" s="14">
        <f t="shared" si="2"/>
        <v>132</v>
      </c>
      <c r="B133" s="14"/>
      <c r="C133" s="14"/>
      <c r="D133" s="14"/>
    </row>
    <row r="134" spans="1:4" x14ac:dyDescent="0.4">
      <c r="A134" s="14">
        <f t="shared" si="2"/>
        <v>133</v>
      </c>
      <c r="B134" s="14"/>
      <c r="C134" s="14"/>
      <c r="D134" s="14"/>
    </row>
    <row r="135" spans="1:4" x14ac:dyDescent="0.4">
      <c r="A135" s="14">
        <f t="shared" si="2"/>
        <v>134</v>
      </c>
      <c r="B135" s="14"/>
      <c r="C135" s="14"/>
      <c r="D135" s="14"/>
    </row>
    <row r="136" spans="1:4" x14ac:dyDescent="0.4">
      <c r="A136" s="14">
        <f t="shared" si="2"/>
        <v>135</v>
      </c>
      <c r="B136" s="14"/>
      <c r="C136" s="14"/>
      <c r="D136" s="14"/>
    </row>
    <row r="137" spans="1:4" x14ac:dyDescent="0.4">
      <c r="A137" s="14">
        <f t="shared" si="2"/>
        <v>136</v>
      </c>
      <c r="B137" s="14"/>
      <c r="C137" s="14"/>
      <c r="D137" s="14"/>
    </row>
    <row r="138" spans="1:4" x14ac:dyDescent="0.4">
      <c r="A138" s="14">
        <f t="shared" si="2"/>
        <v>137</v>
      </c>
      <c r="B138" s="14"/>
      <c r="C138" s="14"/>
      <c r="D138" s="14"/>
    </row>
    <row r="139" spans="1:4" x14ac:dyDescent="0.4">
      <c r="A139" s="14">
        <f t="shared" si="2"/>
        <v>138</v>
      </c>
      <c r="B139" s="14"/>
      <c r="C139" s="14"/>
      <c r="D139" s="14"/>
    </row>
    <row r="140" spans="1:4" x14ac:dyDescent="0.4">
      <c r="A140" s="14">
        <f t="shared" si="2"/>
        <v>139</v>
      </c>
      <c r="B140" s="14"/>
      <c r="C140" s="14"/>
      <c r="D140" s="14"/>
    </row>
    <row r="141" spans="1:4" x14ac:dyDescent="0.4">
      <c r="A141" s="14">
        <f t="shared" si="2"/>
        <v>140</v>
      </c>
      <c r="B141" s="14"/>
      <c r="C141" s="14"/>
      <c r="D141" s="14"/>
    </row>
    <row r="142" spans="1:4" x14ac:dyDescent="0.4">
      <c r="A142" s="14">
        <f t="shared" si="2"/>
        <v>141</v>
      </c>
      <c r="B142" s="14"/>
      <c r="C142" s="14"/>
      <c r="D142" s="14"/>
    </row>
    <row r="143" spans="1:4" x14ac:dyDescent="0.4">
      <c r="A143" s="14">
        <f t="shared" si="2"/>
        <v>142</v>
      </c>
      <c r="B143" s="14"/>
      <c r="C143" s="14"/>
      <c r="D143" s="14"/>
    </row>
    <row r="144" spans="1:4" x14ac:dyDescent="0.4">
      <c r="A144" s="14">
        <f t="shared" si="2"/>
        <v>143</v>
      </c>
      <c r="B144" s="14"/>
      <c r="C144" s="14"/>
      <c r="D144" s="14"/>
    </row>
    <row r="145" spans="1:4" x14ac:dyDescent="0.4">
      <c r="A145" s="14">
        <f t="shared" si="2"/>
        <v>144</v>
      </c>
      <c r="B145" s="14"/>
      <c r="C145" s="14"/>
      <c r="D145" s="14"/>
    </row>
    <row r="146" spans="1:4" x14ac:dyDescent="0.4">
      <c r="A146" s="14">
        <f t="shared" si="2"/>
        <v>145</v>
      </c>
      <c r="B146" s="14"/>
      <c r="C146" s="14"/>
      <c r="D146" s="14"/>
    </row>
    <row r="147" spans="1:4" x14ac:dyDescent="0.4">
      <c r="A147" s="14">
        <f t="shared" si="2"/>
        <v>146</v>
      </c>
      <c r="B147" s="14"/>
      <c r="C147" s="14"/>
      <c r="D147" s="14"/>
    </row>
    <row r="148" spans="1:4" x14ac:dyDescent="0.4">
      <c r="A148" s="14">
        <f t="shared" si="2"/>
        <v>147</v>
      </c>
      <c r="B148" s="14"/>
      <c r="C148" s="14"/>
      <c r="D148" s="14"/>
    </row>
    <row r="149" spans="1:4" x14ac:dyDescent="0.4">
      <c r="A149" s="14">
        <f t="shared" si="2"/>
        <v>148</v>
      </c>
      <c r="B149" s="14"/>
      <c r="C149" s="14"/>
      <c r="D149" s="14"/>
    </row>
    <row r="150" spans="1:4" x14ac:dyDescent="0.4">
      <c r="A150" s="14">
        <f t="shared" si="2"/>
        <v>149</v>
      </c>
      <c r="B150" s="14"/>
      <c r="C150" s="14"/>
      <c r="D150" s="14"/>
    </row>
    <row r="151" spans="1:4" x14ac:dyDescent="0.4">
      <c r="A151" s="14">
        <f t="shared" si="2"/>
        <v>150</v>
      </c>
      <c r="B151" s="14"/>
      <c r="C151" s="14"/>
      <c r="D151" s="14"/>
    </row>
  </sheetData>
  <autoFilter ref="A1:D1" xr:uid="{B6E856D2-B155-4BD9-995B-24668BA721A9}"/>
  <phoneticPr fontId="2"/>
  <hyperlinks>
    <hyperlink ref="D2" r:id="rId1" xr:uid="{5AC07997-7EA4-4357-BA84-FEBA94A82D55}"/>
    <hyperlink ref="D3" r:id="rId2" xr:uid="{51627E1F-601A-4FBE-BA7F-90A6674ACB30}"/>
    <hyperlink ref="D4" r:id="rId3" xr:uid="{DBDAE822-103D-42CB-9188-920ABF4E831A}"/>
    <hyperlink ref="D5" r:id="rId4" xr:uid="{58C8A275-5D93-444B-96CF-CFC3951FA829}"/>
    <hyperlink ref="D6" r:id="rId5" xr:uid="{701E812F-4032-4883-8C7D-289B9ECCB234}"/>
    <hyperlink ref="D7" r:id="rId6" xr:uid="{9B6E79C0-810C-4F31-AB8B-06BC985D1184}"/>
    <hyperlink ref="D8" r:id="rId7" xr:uid="{F37021A6-D2B3-46AB-A551-85B730045A83}"/>
    <hyperlink ref="D9" r:id="rId8" xr:uid="{EF1F7084-1419-414D-905A-1BE24AF69C06}"/>
    <hyperlink ref="D10" r:id="rId9" xr:uid="{397ADC5A-8B48-42A5-A927-EF63755BB09E}"/>
    <hyperlink ref="D11" r:id="rId10" xr:uid="{84FF26FD-F76F-4DC5-ABA9-7FE2E20E628B}"/>
    <hyperlink ref="D12" r:id="rId11" xr:uid="{A78705F9-1772-4CB5-AF0E-8C6E803900CE}"/>
    <hyperlink ref="D13" r:id="rId12" xr:uid="{1129B03A-BD72-4DC0-BED0-1553F948762C}"/>
    <hyperlink ref="D14" r:id="rId13" xr:uid="{94387037-0866-4F18-839B-91384109927A}"/>
    <hyperlink ref="D15" r:id="rId14" xr:uid="{B661CFB9-0AE7-43DF-9354-F190CA895390}"/>
    <hyperlink ref="D16" r:id="rId15" xr:uid="{EB60DAF5-2EAA-4AAA-B77A-F262CD0AF106}"/>
    <hyperlink ref="D17" r:id="rId16" xr:uid="{A5EAB15E-2C9C-4FCA-8724-E3FF2632754E}"/>
    <hyperlink ref="D18" r:id="rId17" xr:uid="{BC594A30-B8DA-4D8D-B26F-0B0D0718E052}"/>
    <hyperlink ref="D19" r:id="rId18" xr:uid="{38D9EAA2-2A04-4F1C-A5C2-8CDA96F5D206}"/>
    <hyperlink ref="D20" r:id="rId19" xr:uid="{65324447-DFDA-425A-A4A1-DC26C6C22BC5}"/>
    <hyperlink ref="D21" r:id="rId20" xr:uid="{45A3CFCE-32C4-4A4C-9F0A-D8F425533FA1}"/>
    <hyperlink ref="D22" r:id="rId21" xr:uid="{E8759511-E7B5-4848-A6DC-F8C77B0E5915}"/>
    <hyperlink ref="D23" r:id="rId22" xr:uid="{0E47E9FD-3C2A-40DB-B2D6-02F4A7CA2474}"/>
    <hyperlink ref="D24" r:id="rId23" xr:uid="{792F5F7F-B0B8-4C35-A27E-3124F1BDF2EE}"/>
    <hyperlink ref="D25" r:id="rId24" xr:uid="{8AD23430-EBCD-4D2F-8842-5B6C1E395019}"/>
    <hyperlink ref="D26" r:id="rId25" xr:uid="{CFC7231C-9023-499F-ADDF-59E5F0748D73}"/>
    <hyperlink ref="D27" r:id="rId26" xr:uid="{FECFA609-B00A-4614-AA41-0C46A5224C21}"/>
    <hyperlink ref="D28" r:id="rId27" xr:uid="{AE9D8D3F-0E8C-428C-8EE9-5966195475DB}"/>
    <hyperlink ref="D29" r:id="rId28" xr:uid="{84B68625-77A4-47A7-BAB5-AD144CBC9210}"/>
    <hyperlink ref="D30" r:id="rId29" xr:uid="{F6B5B467-5C54-4AC6-BF69-3F9594592D4C}"/>
    <hyperlink ref="D31" r:id="rId30" xr:uid="{64A67712-9A7D-42A4-B2BB-5BDDC9372908}"/>
    <hyperlink ref="D32" r:id="rId31" xr:uid="{4D1121AC-CA2A-4183-AA3B-1FC0EF0C8A54}"/>
    <hyperlink ref="D33" r:id="rId32" xr:uid="{F7F0C554-BAF5-4B34-85E2-FEAA7DEE9E13}"/>
    <hyperlink ref="D34" r:id="rId33" xr:uid="{C7C1B59A-0029-4D54-B0C4-4936867E8640}"/>
    <hyperlink ref="D35" r:id="rId34" xr:uid="{D9146779-A38A-45BD-95B0-EA4C14B35209}"/>
    <hyperlink ref="D36" r:id="rId35" xr:uid="{66D74773-9F79-44EB-BEE5-FFFBDF85D9A4}"/>
    <hyperlink ref="D37" r:id="rId36" xr:uid="{D91120E1-35DF-449F-8726-DF9E5C5398C1}"/>
    <hyperlink ref="D38" r:id="rId37" xr:uid="{ACE907A0-F614-4581-AB5A-449DADE1792B}"/>
    <hyperlink ref="D39" r:id="rId38" xr:uid="{529001E4-5753-404B-A7E8-CA42472E3FC0}"/>
    <hyperlink ref="D40" r:id="rId39" xr:uid="{D4118E45-EEF6-413F-84B8-EE6C9749EA52}"/>
    <hyperlink ref="D41" r:id="rId40" xr:uid="{7F337087-EFF3-4A8F-82B0-22855AA4BEA2}"/>
    <hyperlink ref="D42" r:id="rId41" xr:uid="{28CF36CA-120B-4CDB-9D56-26559C6AD400}"/>
    <hyperlink ref="D43" r:id="rId42" xr:uid="{DF03FC0D-B748-43B9-A8D4-5FA628FB529B}"/>
    <hyperlink ref="D44" r:id="rId43" xr:uid="{883EFD53-7C0A-4949-B567-C22458A9B766}"/>
    <hyperlink ref="D45" r:id="rId44" xr:uid="{4BAC5872-40A8-4DF3-A654-39309B360FE7}"/>
    <hyperlink ref="D46" r:id="rId45" xr:uid="{5B41C318-DBC1-40CB-9309-451E976084E3}"/>
    <hyperlink ref="D47" r:id="rId46" xr:uid="{F26DB498-9A7A-494A-A767-CB9F9D3C99C6}"/>
    <hyperlink ref="D48" r:id="rId47" xr:uid="{A58732AE-0AB3-4E46-AB70-6ACAA4DCB135}"/>
    <hyperlink ref="D49" r:id="rId48" xr:uid="{A7909331-411D-491F-AF0D-A36B10B7BA07}"/>
    <hyperlink ref="D50" r:id="rId49" xr:uid="{4C9B046C-21BE-4575-B8F7-50501F0698A5}"/>
    <hyperlink ref="D51" r:id="rId50" xr:uid="{EC7C5F33-2597-4E8E-8B01-8F7D775004FD}"/>
    <hyperlink ref="D52" r:id="rId51" xr:uid="{CB4AD85B-7609-4C1F-A6AE-2541626BE485}"/>
    <hyperlink ref="D53" r:id="rId52" xr:uid="{C608BFDC-3519-4C44-B5C9-D9D9CDC3CF8F}"/>
    <hyperlink ref="D54" r:id="rId53" xr:uid="{2678F6CC-36D1-49BF-8075-6DDE6DA28DC5}"/>
    <hyperlink ref="D55" r:id="rId54" xr:uid="{D75B6B67-F242-4A5D-9FED-B043E765C1FF}"/>
    <hyperlink ref="D56" r:id="rId55" xr:uid="{2A267C4D-7921-440A-8E93-0B4F8F642A89}"/>
    <hyperlink ref="D57" r:id="rId56" xr:uid="{C42E814C-BC83-4FF6-808B-4D3B64CEFFAF}"/>
    <hyperlink ref="D58" r:id="rId57" xr:uid="{D6BEAED6-35EF-47EF-8E1A-C6600D302E51}"/>
    <hyperlink ref="D59" r:id="rId58" xr:uid="{84825210-8100-4726-A380-3139D3ABE474}"/>
    <hyperlink ref="D60" r:id="rId59" xr:uid="{ECE79FBE-698B-48FE-9A0E-A6ADCFE058DD}"/>
    <hyperlink ref="D61" r:id="rId60" xr:uid="{60320572-97F8-407D-91D6-11CB68615393}"/>
    <hyperlink ref="D62" r:id="rId61" xr:uid="{446A8FD8-CE9F-4390-949E-8586046B150D}"/>
    <hyperlink ref="D63" r:id="rId62" xr:uid="{9A5D539A-C0E8-429C-AD16-D7D63F2D38D3}"/>
    <hyperlink ref="D64" r:id="rId63" xr:uid="{3CAA54B7-D551-4AC6-9C91-32931026C4EE}"/>
    <hyperlink ref="D65" r:id="rId64" xr:uid="{D4C5666C-AD23-4FB7-B115-41995F620577}"/>
    <hyperlink ref="D66" r:id="rId65" xr:uid="{246FDFDE-D1DB-4296-9B3C-1B16E4B463C9}"/>
    <hyperlink ref="D67" r:id="rId66" xr:uid="{BA353DDE-EE32-41DF-9571-477725F0CAAE}"/>
    <hyperlink ref="D68" r:id="rId67" xr:uid="{6D3276D0-FF11-49A0-BF2A-C5C5E3232A31}"/>
    <hyperlink ref="D69" r:id="rId68" xr:uid="{74B54CD2-B541-4BF0-BF82-A1120DE0086E}"/>
    <hyperlink ref="D70" r:id="rId69" xr:uid="{CCB0F92B-5FD0-4CE2-8B2D-1E4BD2ED2F3A}"/>
    <hyperlink ref="D71" r:id="rId70" xr:uid="{32A6B191-0BD0-4DB1-BFA3-2AC50294BB5E}"/>
    <hyperlink ref="D72" r:id="rId71" xr:uid="{94746BE7-C85C-44AC-B5B4-9F963961A9E5}"/>
    <hyperlink ref="D73" r:id="rId72" xr:uid="{6C33CBE7-7E03-4869-AC3E-15AA90FB95D7}"/>
    <hyperlink ref="D74" r:id="rId73" xr:uid="{EFBFB4DC-7380-43B3-863D-439497ED10ED}"/>
    <hyperlink ref="D75" r:id="rId74" xr:uid="{B9BFB74F-AA66-4A1B-81B1-72718E1EB828}"/>
    <hyperlink ref="D76" r:id="rId75" xr:uid="{7583281B-F5A2-481E-BC41-24323ACCCD49}"/>
    <hyperlink ref="D77" r:id="rId76" xr:uid="{50E9A1D9-90D2-42F2-8835-97D021984FE8}"/>
    <hyperlink ref="D78" r:id="rId77" xr:uid="{69602550-3C39-469A-A15E-C0D20BC6F349}"/>
    <hyperlink ref="D79" r:id="rId78" xr:uid="{F89DB06C-434A-44F0-8BCD-F7A39DA0D222}"/>
    <hyperlink ref="D80" r:id="rId79" xr:uid="{0CD8C58D-256F-4CDF-B274-A58ABCACC031}"/>
    <hyperlink ref="D81" r:id="rId80" xr:uid="{99060A51-39CC-4CA1-93DF-2171F21319C9}"/>
    <hyperlink ref="D82" r:id="rId81" xr:uid="{CB8336A0-5ED5-420D-9065-6996E20F6BFF}"/>
    <hyperlink ref="D83" r:id="rId82" xr:uid="{71D1DEA0-DF57-4CD1-91CE-B92DED22EEB2}"/>
    <hyperlink ref="D84" r:id="rId83" xr:uid="{86BA1A13-D692-4035-9620-AC2169B918EA}"/>
    <hyperlink ref="D85" r:id="rId84" xr:uid="{A250086F-E12E-41E7-9614-9A588263B9EC}"/>
    <hyperlink ref="D86" r:id="rId85" xr:uid="{5FCD6683-F8BD-4DD2-8960-9F33C4078DF2}"/>
    <hyperlink ref="D87" r:id="rId86" xr:uid="{C7F56A80-75E3-4500-A010-9EDDCE78836E}"/>
    <hyperlink ref="D88" r:id="rId87" xr:uid="{F6839B3D-FB88-4D52-85B9-56AE08E45407}"/>
    <hyperlink ref="D89" r:id="rId88" xr:uid="{BB1C8B6F-4EE0-41E5-8367-F058A97A1179}"/>
    <hyperlink ref="D90" r:id="rId89" xr:uid="{53EB51C7-54F8-4090-A3AA-5940276885A1}"/>
    <hyperlink ref="D91" r:id="rId90" xr:uid="{7510EF1D-81FF-4E2A-A72B-A600DF117BA5}"/>
    <hyperlink ref="D92" r:id="rId91" xr:uid="{E4822498-7A0C-487C-B99B-79784A75E447}"/>
    <hyperlink ref="D93" r:id="rId92" xr:uid="{1537DA15-5D09-4703-BD89-8B46456C5045}"/>
    <hyperlink ref="D94" r:id="rId93" xr:uid="{A5C5CA10-55BE-4701-8F01-D4C7FD0C74C2}"/>
    <hyperlink ref="D95" r:id="rId94" xr:uid="{B975AA42-6C71-499D-BF5B-DC79C7DA832E}"/>
    <hyperlink ref="D96" r:id="rId95" xr:uid="{84A831C1-CD68-4389-AFA6-E7CE3F818873}"/>
    <hyperlink ref="D97" r:id="rId96" xr:uid="{297AD842-C0EE-492C-B9CC-3D6218B35DD0}"/>
    <hyperlink ref="D98" r:id="rId97" xr:uid="{0C9A1FE3-BDFD-4DA0-AD30-9545DFB696CC}"/>
    <hyperlink ref="D99" r:id="rId98" xr:uid="{FBE07C49-983C-4FB9-A335-48133C021DB2}"/>
    <hyperlink ref="D100" r:id="rId99" xr:uid="{6FAF5549-88A3-4213-8674-5CDC6394974D}"/>
    <hyperlink ref="D101" r:id="rId100" xr:uid="{65423FCE-41A2-4F40-A57D-6B787349C223}"/>
    <hyperlink ref="D102" r:id="rId101" xr:uid="{BC59ACD6-799A-4A2F-9B0C-38C2CE7445F7}"/>
    <hyperlink ref="D103" r:id="rId102" xr:uid="{CCDE8A27-F72C-4F73-9AD1-02380B40CEF6}"/>
    <hyperlink ref="D104" r:id="rId103" xr:uid="{AC5821E1-DBA9-4E8F-9EB5-01DF09D0219C}"/>
    <hyperlink ref="D105" r:id="rId104" xr:uid="{597789E7-EE62-4DC2-9859-5EC357704CC9}"/>
    <hyperlink ref="D106" r:id="rId105" xr:uid="{FD2C0201-5AAA-4E9A-9940-58D7CCF870B7}"/>
    <hyperlink ref="D107" r:id="rId106" xr:uid="{DECFD6C8-509D-45CA-BE15-7862626B0641}"/>
    <hyperlink ref="D108" r:id="rId107" xr:uid="{70975901-0B98-4D3F-B700-39BEDEC8EC2A}"/>
    <hyperlink ref="D109" r:id="rId108" xr:uid="{898E1542-E030-4A7C-AD04-59AE0163B8AF}"/>
    <hyperlink ref="D110" r:id="rId109" xr:uid="{372E14F4-127B-4CF8-92DF-2DC9A1191EB1}"/>
    <hyperlink ref="D111" r:id="rId110" xr:uid="{09B2C531-B4EB-4758-B8E2-867C0018A7EC}"/>
  </hyperlinks>
  <pageMargins left="0.7" right="0.7" top="0.75" bottom="0.75" header="0.3" footer="0.3"/>
  <pageSetup paperSize="9" orientation="portrait" r:id="rId1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E97A-02BC-4A54-8308-AB1F0F780731}">
  <dimension ref="A1:AA900"/>
  <sheetViews>
    <sheetView tabSelected="1" zoomScale="85" zoomScaleNormal="85" workbookViewId="0">
      <pane xSplit="1" ySplit="1" topLeftCell="B582" activePane="bottomRight" state="frozen"/>
      <selection pane="topRight" activeCell="B1" sqref="B1"/>
      <selection pane="bottomLeft" activeCell="A2" sqref="A2"/>
      <selection pane="bottomRight" activeCell="C596" sqref="C596"/>
    </sheetView>
  </sheetViews>
  <sheetFormatPr defaultColWidth="2.5" defaultRowHeight="15.75" outlineLevelCol="1" x14ac:dyDescent="0.4"/>
  <cols>
    <col min="1" max="1" width="5.875" style="1" bestFit="1" customWidth="1"/>
    <col min="2" max="2" width="11.875" style="1" bestFit="1" customWidth="1"/>
    <col min="3" max="3" width="10.625" style="10" bestFit="1" customWidth="1"/>
    <col min="4" max="4" width="40.75" style="1" bestFit="1" customWidth="1"/>
    <col min="5" max="5" width="70" style="1" bestFit="1" customWidth="1"/>
    <col min="6" max="6" width="2.5" style="1"/>
    <col min="7" max="7" width="14.75" style="1" bestFit="1" customWidth="1"/>
    <col min="8" max="22" width="1.625" style="1" customWidth="1"/>
    <col min="23" max="23" width="10.625" style="11" customWidth="1" outlineLevel="1"/>
    <col min="24" max="24" width="10.625" style="12" customWidth="1" outlineLevel="1"/>
    <col min="25" max="25" width="2.5" style="1"/>
    <col min="26" max="26" width="77.125" style="1" bestFit="1" customWidth="1"/>
    <col min="27" max="27" width="18.375" style="12" bestFit="1" customWidth="1"/>
    <col min="28" max="16384" width="2.5" style="1"/>
  </cols>
  <sheetData>
    <row r="1" spans="1:27" x14ac:dyDescent="0.4">
      <c r="A1" s="7" t="s">
        <v>0</v>
      </c>
      <c r="B1" s="7" t="s">
        <v>7</v>
      </c>
      <c r="C1" s="17" t="s">
        <v>9</v>
      </c>
      <c r="D1" s="7" t="s">
        <v>8</v>
      </c>
      <c r="E1" s="7" t="s">
        <v>11</v>
      </c>
      <c r="G1" s="1" t="s">
        <v>630</v>
      </c>
      <c r="W1" s="11" t="s">
        <v>16</v>
      </c>
      <c r="X1" s="12" t="s">
        <v>5</v>
      </c>
      <c r="Z1" s="7" t="s">
        <v>18</v>
      </c>
      <c r="AA1" s="12" t="s">
        <v>1216</v>
      </c>
    </row>
    <row r="2" spans="1:27" x14ac:dyDescent="0.4">
      <c r="A2" s="14">
        <v>1</v>
      </c>
      <c r="B2" s="14">
        <v>1</v>
      </c>
      <c r="C2" s="18" t="s">
        <v>15</v>
      </c>
      <c r="D2" s="14" t="s">
        <v>10</v>
      </c>
      <c r="E2" s="14" t="s">
        <v>280</v>
      </c>
      <c r="G2" s="1" t="str">
        <f>_xlfn.XLOOKUP(B2,M_YT_LIVE!A:A,M_YT_LIVE!F:F,"ERROR",0,1)</f>
        <v>他</v>
      </c>
      <c r="W2" s="13">
        <f>TIMEVALUE($C2)*86400</f>
        <v>107.00000000000001</v>
      </c>
      <c r="X2" s="12" t="str">
        <f>_xlfn.XLOOKUP($B2,M_YT_LIVE!$A:$A,M_YT_LIVE!$D:$D)</f>
        <v>https://www.youtube.com/live/rPoEadXC5ck?si=PyjsfpuwHgwH2fjV</v>
      </c>
      <c r="Z2" s="16" t="str">
        <f>HYPERLINK($X2&amp;SUBSTITUTE(マスタ!$C$3,"XXXXX",$W2))</f>
        <v>https://www.youtube.com/live/rPoEadXC5ck?si=PyjsfpuwHgwH2fjV&amp;t=107s</v>
      </c>
      <c r="AA2" s="12" t="str">
        <f>TRIM(E2)&amp;TRIM(D2)</f>
        <v>幽音しのかすかなおと</v>
      </c>
    </row>
    <row r="3" spans="1:27" x14ac:dyDescent="0.4">
      <c r="A3" s="14">
        <v>2</v>
      </c>
      <c r="B3" s="14">
        <v>1</v>
      </c>
      <c r="C3" s="18" t="s">
        <v>22</v>
      </c>
      <c r="D3" s="14" t="s">
        <v>19</v>
      </c>
      <c r="E3" s="14" t="s">
        <v>20</v>
      </c>
      <c r="G3" s="1" t="str">
        <f>_xlfn.XLOOKUP(B3,M_YT_LIVE!A:A,M_YT_LIVE!F:F,"ERROR",0,1)</f>
        <v>他</v>
      </c>
      <c r="W3" s="13">
        <f t="shared" ref="W3:W66" si="0">TIMEVALUE($C3)*86400</f>
        <v>193</v>
      </c>
      <c r="X3" s="12" t="str">
        <f>_xlfn.XLOOKUP($B3,M_YT_LIVE!$A:$A,M_YT_LIVE!$D:$D)</f>
        <v>https://www.youtube.com/live/rPoEadXC5ck?si=PyjsfpuwHgwH2fjV</v>
      </c>
      <c r="Z3" s="16" t="str">
        <f>HYPERLINK($X3&amp;SUBSTITUTE(マスタ!$C$3,"XXXXX",$W3))</f>
        <v>https://www.youtube.com/live/rPoEadXC5ck?si=PyjsfpuwHgwH2fjV&amp;t=193s</v>
      </c>
      <c r="AA3" s="12" t="str">
        <f t="shared" ref="AA3:AA66" si="1">TRIM(E3)&amp;TRIM(D3)</f>
        <v>Vaundy怪獣の花唄</v>
      </c>
    </row>
    <row r="4" spans="1:27" x14ac:dyDescent="0.4">
      <c r="A4" s="14">
        <v>3</v>
      </c>
      <c r="B4" s="14">
        <v>1</v>
      </c>
      <c r="C4" s="18" t="s">
        <v>23</v>
      </c>
      <c r="D4" s="14" t="s">
        <v>21</v>
      </c>
      <c r="E4" s="14" t="s">
        <v>1062</v>
      </c>
      <c r="G4" s="1" t="str">
        <f>_xlfn.XLOOKUP(B4,M_YT_LIVE!A:A,M_YT_LIVE!F:F,"ERROR",0,1)</f>
        <v>他</v>
      </c>
      <c r="W4" s="13">
        <f t="shared" si="0"/>
        <v>1605</v>
      </c>
      <c r="X4" s="12" t="str">
        <f>_xlfn.XLOOKUP($B4,M_YT_LIVE!$A:$A,M_YT_LIVE!$D:$D)</f>
        <v>https://www.youtube.com/live/rPoEadXC5ck?si=PyjsfpuwHgwH2fjV</v>
      </c>
      <c r="Z4" s="16" t="str">
        <f>HYPERLINK($X4&amp;SUBSTITUTE(マスタ!$C$3,"XXXXX",$W4))</f>
        <v>https://www.youtube.com/live/rPoEadXC5ck?si=PyjsfpuwHgwH2fjV&amp;t=1605s</v>
      </c>
      <c r="AA4" s="12" t="str">
        <f t="shared" si="1"/>
        <v>幽音しの(即興)初配信兼入浴の歌</v>
      </c>
    </row>
    <row r="5" spans="1:27" x14ac:dyDescent="0.4">
      <c r="A5" s="14">
        <f t="shared" ref="A5:A68" si="2">ROW()-1</f>
        <v>4</v>
      </c>
      <c r="B5" s="14">
        <v>3</v>
      </c>
      <c r="C5" s="18" t="s">
        <v>28</v>
      </c>
      <c r="D5" s="14" t="s">
        <v>29</v>
      </c>
      <c r="E5" s="14" t="s">
        <v>42</v>
      </c>
      <c r="G5" s="1" t="str">
        <f>_xlfn.XLOOKUP(B5,M_YT_LIVE!A:A,M_YT_LIVE!F:F,"ERROR",0,1)</f>
        <v>弾き語り</v>
      </c>
      <c r="W5" s="13">
        <f t="shared" si="0"/>
        <v>369</v>
      </c>
      <c r="X5" s="12" t="str">
        <f>_xlfn.XLOOKUP($B5,M_YT_LIVE!$A:$A,M_YT_LIVE!$D:$D)</f>
        <v>https://www.youtube.com/live/UnI_NxQlyr8?si=2zvgEeRPzShWMpBP</v>
      </c>
      <c r="Z5" s="16" t="str">
        <f>HYPERLINK($X5&amp;SUBSTITUTE(マスタ!$C$3,"XXXXX",$W5))</f>
        <v>https://www.youtube.com/live/UnI_NxQlyr8?si=2zvgEeRPzShWMpBP&amp;t=369s</v>
      </c>
      <c r="AA5" s="12" t="str">
        <f t="shared" si="1"/>
        <v>クリープハイプ憂、燦々</v>
      </c>
    </row>
    <row r="6" spans="1:27" x14ac:dyDescent="0.4">
      <c r="A6" s="14">
        <f t="shared" si="2"/>
        <v>5</v>
      </c>
      <c r="B6" s="14">
        <v>3</v>
      </c>
      <c r="C6" s="18" t="s">
        <v>30</v>
      </c>
      <c r="D6" s="14" t="s">
        <v>31</v>
      </c>
      <c r="E6" s="14" t="s">
        <v>43</v>
      </c>
      <c r="G6" s="1" t="str">
        <f>_xlfn.XLOOKUP(B6,M_YT_LIVE!A:A,M_YT_LIVE!F:F,"ERROR",0,1)</f>
        <v>弾き語り</v>
      </c>
      <c r="W6" s="13">
        <f t="shared" si="0"/>
        <v>927.99999999999989</v>
      </c>
      <c r="X6" s="12" t="str">
        <f>_xlfn.XLOOKUP($B6,M_YT_LIVE!$A:$A,M_YT_LIVE!$D:$D)</f>
        <v>https://www.youtube.com/live/UnI_NxQlyr8?si=2zvgEeRPzShWMpBP</v>
      </c>
      <c r="Z6" s="16" t="str">
        <f>HYPERLINK($X6&amp;SUBSTITUTE(マスタ!$C$3,"XXXXX",$W6))</f>
        <v>https://www.youtube.com/live/UnI_NxQlyr8?si=2zvgEeRPzShWMpBP&amp;t=928s</v>
      </c>
      <c r="AA6" s="12" t="str">
        <f t="shared" si="1"/>
        <v>メル feat.IAプラトニック・ラヴ</v>
      </c>
    </row>
    <row r="7" spans="1:27" x14ac:dyDescent="0.4">
      <c r="A7" s="14">
        <f t="shared" si="2"/>
        <v>6</v>
      </c>
      <c r="B7" s="14">
        <v>3</v>
      </c>
      <c r="C7" s="18" t="s">
        <v>32</v>
      </c>
      <c r="D7" s="14" t="s">
        <v>33</v>
      </c>
      <c r="E7" s="14" t="s">
        <v>45</v>
      </c>
      <c r="G7" s="1" t="str">
        <f>_xlfn.XLOOKUP(B7,M_YT_LIVE!A:A,M_YT_LIVE!F:F,"ERROR",0,1)</f>
        <v>弾き語り</v>
      </c>
      <c r="W7" s="13">
        <f t="shared" si="0"/>
        <v>1379</v>
      </c>
      <c r="X7" s="12" t="str">
        <f>_xlfn.XLOOKUP($B7,M_YT_LIVE!$A:$A,M_YT_LIVE!$D:$D)</f>
        <v>https://www.youtube.com/live/UnI_NxQlyr8?si=2zvgEeRPzShWMpBP</v>
      </c>
      <c r="Z7" s="16" t="str">
        <f>HYPERLINK($X7&amp;SUBSTITUTE(マスタ!$C$3,"XXXXX",$W7))</f>
        <v>https://www.youtube.com/live/UnI_NxQlyr8?si=2zvgEeRPzShWMpBP&amp;t=1379s</v>
      </c>
      <c r="AA7" s="12" t="str">
        <f t="shared" si="1"/>
        <v>メル feat.初音ミクさようなら、花泥棒さん</v>
      </c>
    </row>
    <row r="8" spans="1:27" x14ac:dyDescent="0.4">
      <c r="A8" s="14">
        <f t="shared" si="2"/>
        <v>7</v>
      </c>
      <c r="B8" s="14">
        <v>3</v>
      </c>
      <c r="C8" s="18" t="s">
        <v>34</v>
      </c>
      <c r="D8" s="14" t="s">
        <v>35</v>
      </c>
      <c r="E8" s="14" t="s">
        <v>46</v>
      </c>
      <c r="G8" s="1" t="str">
        <f>_xlfn.XLOOKUP(B8,M_YT_LIVE!A:A,M_YT_LIVE!F:F,"ERROR",0,1)</f>
        <v>弾き語り</v>
      </c>
      <c r="W8" s="13">
        <f t="shared" si="0"/>
        <v>1888</v>
      </c>
      <c r="X8" s="12" t="str">
        <f>_xlfn.XLOOKUP($B8,M_YT_LIVE!$A:$A,M_YT_LIVE!$D:$D)</f>
        <v>https://www.youtube.com/live/UnI_NxQlyr8?si=2zvgEeRPzShWMpBP</v>
      </c>
      <c r="Z8" s="16" t="str">
        <f>HYPERLINK($X8&amp;SUBSTITUTE(マスタ!$C$3,"XXXXX",$W8))</f>
        <v>https://www.youtube.com/live/UnI_NxQlyr8?si=2zvgEeRPzShWMpBP&amp;t=1888s</v>
      </c>
      <c r="AA8" s="12" t="str">
        <f t="shared" si="1"/>
        <v>Vaundy踊り子</v>
      </c>
    </row>
    <row r="9" spans="1:27" x14ac:dyDescent="0.4">
      <c r="A9" s="14">
        <f t="shared" si="2"/>
        <v>8</v>
      </c>
      <c r="B9" s="14">
        <v>3</v>
      </c>
      <c r="C9" s="18" t="s">
        <v>36</v>
      </c>
      <c r="D9" s="14" t="s">
        <v>37</v>
      </c>
      <c r="E9" s="14" t="s">
        <v>47</v>
      </c>
      <c r="G9" s="1" t="str">
        <f>_xlfn.XLOOKUP(B9,M_YT_LIVE!A:A,M_YT_LIVE!F:F,"ERROR",0,1)</f>
        <v>弾き語り</v>
      </c>
      <c r="W9" s="13">
        <f t="shared" si="0"/>
        <v>2478</v>
      </c>
      <c r="X9" s="12" t="str">
        <f>_xlfn.XLOOKUP($B9,M_YT_LIVE!$A:$A,M_YT_LIVE!$D:$D)</f>
        <v>https://www.youtube.com/live/UnI_NxQlyr8?si=2zvgEeRPzShWMpBP</v>
      </c>
      <c r="Z9" s="16" t="str">
        <f>HYPERLINK($X9&amp;SUBSTITUTE(マスタ!$C$3,"XXXXX",$W9))</f>
        <v>https://www.youtube.com/live/UnI_NxQlyr8?si=2zvgEeRPzShWMpBP&amp;t=2478s</v>
      </c>
      <c r="AA9" s="12" t="str">
        <f t="shared" si="1"/>
        <v>やなぎなぎ春擬き</v>
      </c>
    </row>
    <row r="10" spans="1:27" x14ac:dyDescent="0.4">
      <c r="A10" s="14">
        <f t="shared" si="2"/>
        <v>9</v>
      </c>
      <c r="B10" s="14">
        <v>3</v>
      </c>
      <c r="C10" s="18" t="s">
        <v>38</v>
      </c>
      <c r="D10" s="14" t="s">
        <v>39</v>
      </c>
      <c r="E10" s="14" t="s">
        <v>48</v>
      </c>
      <c r="G10" s="1" t="str">
        <f>_xlfn.XLOOKUP(B10,M_YT_LIVE!A:A,M_YT_LIVE!F:F,"ERROR",0,1)</f>
        <v>弾き語り</v>
      </c>
      <c r="W10" s="13">
        <f t="shared" si="0"/>
        <v>3077</v>
      </c>
      <c r="X10" s="12" t="str">
        <f>_xlfn.XLOOKUP($B10,M_YT_LIVE!$A:$A,M_YT_LIVE!$D:$D)</f>
        <v>https://www.youtube.com/live/UnI_NxQlyr8?si=2zvgEeRPzShWMpBP</v>
      </c>
      <c r="Z10" s="16" t="str">
        <f>HYPERLINK($X10&amp;SUBSTITUTE(マスタ!$C$3,"XXXXX",$W10))</f>
        <v>https://www.youtube.com/live/UnI_NxQlyr8?si=2zvgEeRPzShWMpBP&amp;t=3077s</v>
      </c>
      <c r="AA10" s="12" t="str">
        <f t="shared" si="1"/>
        <v>YUICHE.R.RY</v>
      </c>
    </row>
    <row r="11" spans="1:27" x14ac:dyDescent="0.4">
      <c r="A11" s="14">
        <f t="shared" si="2"/>
        <v>10</v>
      </c>
      <c r="B11" s="14">
        <v>3</v>
      </c>
      <c r="C11" s="18" t="s">
        <v>40</v>
      </c>
      <c r="D11" s="14" t="s">
        <v>41</v>
      </c>
      <c r="E11" s="14" t="s">
        <v>49</v>
      </c>
      <c r="G11" s="1" t="str">
        <f>_xlfn.XLOOKUP(B11,M_YT_LIVE!A:A,M_YT_LIVE!F:F,"ERROR",0,1)</f>
        <v>弾き語り</v>
      </c>
      <c r="W11" s="13">
        <f t="shared" si="0"/>
        <v>3620</v>
      </c>
      <c r="X11" s="12" t="str">
        <f>_xlfn.XLOOKUP($B11,M_YT_LIVE!$A:$A,M_YT_LIVE!$D:$D)</f>
        <v>https://www.youtube.com/live/UnI_NxQlyr8?si=2zvgEeRPzShWMpBP</v>
      </c>
      <c r="Z11" s="16" t="str">
        <f>HYPERLINK($X11&amp;SUBSTITUTE(マスタ!$C$3,"XXXXX",$W11))</f>
        <v>https://www.youtube.com/live/UnI_NxQlyr8?si=2zvgEeRPzShWMpBP&amp;t=3620s</v>
      </c>
      <c r="AA11" s="12" t="str">
        <f t="shared" si="1"/>
        <v>ヨルシカ春泥棒</v>
      </c>
    </row>
    <row r="12" spans="1:27" x14ac:dyDescent="0.4">
      <c r="A12" s="14">
        <f t="shared" si="2"/>
        <v>11</v>
      </c>
      <c r="B12" s="14">
        <v>4</v>
      </c>
      <c r="C12" s="18" t="s">
        <v>52</v>
      </c>
      <c r="D12" s="14" t="s">
        <v>53</v>
      </c>
      <c r="E12" s="14" t="s">
        <v>54</v>
      </c>
      <c r="G12" s="1" t="str">
        <f>_xlfn.XLOOKUP(B12,M_YT_LIVE!A:A,M_YT_LIVE!F:F,"ERROR",0,1)</f>
        <v>弾き語り</v>
      </c>
      <c r="W12" s="13">
        <f t="shared" si="0"/>
        <v>355</v>
      </c>
      <c r="X12" s="12" t="str">
        <f>_xlfn.XLOOKUP($B12,M_YT_LIVE!$A:$A,M_YT_LIVE!$D:$D)</f>
        <v>https://www.youtube.com/live/qX9bxWpkH6E?si=OkODsP1XDKgR0qeY</v>
      </c>
      <c r="Z12" s="16" t="str">
        <f>HYPERLINK($X12&amp;SUBSTITUTE(マスタ!$C$3,"XXXXX",$W12))</f>
        <v>https://www.youtube.com/live/qX9bxWpkH6E?si=OkODsP1XDKgR0qeY&amp;t=355s</v>
      </c>
      <c r="AA12" s="12" t="str">
        <f t="shared" si="1"/>
        <v>miwaヒカリヘ</v>
      </c>
    </row>
    <row r="13" spans="1:27" x14ac:dyDescent="0.4">
      <c r="A13" s="14">
        <f t="shared" si="2"/>
        <v>12</v>
      </c>
      <c r="B13" s="14">
        <v>4</v>
      </c>
      <c r="C13" s="18" t="s">
        <v>55</v>
      </c>
      <c r="D13" s="14" t="s">
        <v>56</v>
      </c>
      <c r="E13" s="14" t="s">
        <v>57</v>
      </c>
      <c r="G13" s="1" t="str">
        <f>_xlfn.XLOOKUP(B13,M_YT_LIVE!A:A,M_YT_LIVE!F:F,"ERROR",0,1)</f>
        <v>弾き語り</v>
      </c>
      <c r="W13" s="13">
        <f t="shared" si="0"/>
        <v>803</v>
      </c>
      <c r="X13" s="12" t="str">
        <f>_xlfn.XLOOKUP($B13,M_YT_LIVE!$A:$A,M_YT_LIVE!$D:$D)</f>
        <v>https://www.youtube.com/live/qX9bxWpkH6E?si=OkODsP1XDKgR0qeY</v>
      </c>
      <c r="Z13" s="16" t="str">
        <f>HYPERLINK($X13&amp;SUBSTITUTE(マスタ!$C$3,"XXXXX",$W13))</f>
        <v>https://www.youtube.com/live/qX9bxWpkH6E?si=OkODsP1XDKgR0qeY&amp;t=803s</v>
      </c>
      <c r="AA13" s="12" t="str">
        <f t="shared" si="1"/>
        <v>羊文学more than words</v>
      </c>
    </row>
    <row r="14" spans="1:27" x14ac:dyDescent="0.4">
      <c r="A14" s="14">
        <f t="shared" si="2"/>
        <v>13</v>
      </c>
      <c r="B14" s="14">
        <v>4</v>
      </c>
      <c r="C14" s="18" t="s">
        <v>58</v>
      </c>
      <c r="D14" s="14" t="s">
        <v>59</v>
      </c>
      <c r="E14" s="14" t="s">
        <v>1223</v>
      </c>
      <c r="G14" s="1" t="str">
        <f>_xlfn.XLOOKUP(B14,M_YT_LIVE!A:A,M_YT_LIVE!F:F,"ERROR",0,1)</f>
        <v>弾き語り</v>
      </c>
      <c r="W14" s="13">
        <f t="shared" si="0"/>
        <v>1280</v>
      </c>
      <c r="X14" s="12" t="str">
        <f>_xlfn.XLOOKUP($B14,M_YT_LIVE!$A:$A,M_YT_LIVE!$D:$D)</f>
        <v>https://www.youtube.com/live/qX9bxWpkH6E?si=OkODsP1XDKgR0qeY</v>
      </c>
      <c r="Z14" s="16" t="str">
        <f>HYPERLINK($X14&amp;SUBSTITUTE(マスタ!$C$3,"XXXXX",$W14))</f>
        <v>https://www.youtube.com/live/qX9bxWpkH6E?si=OkODsP1XDKgR0qeY&amp;t=1280s</v>
      </c>
      <c r="AA14" s="12" t="str">
        <f t="shared" si="1"/>
        <v>Eve feat.初音ミクお気に召すまま</v>
      </c>
    </row>
    <row r="15" spans="1:27" x14ac:dyDescent="0.4">
      <c r="A15" s="14">
        <f t="shared" si="2"/>
        <v>14</v>
      </c>
      <c r="B15" s="14">
        <v>4</v>
      </c>
      <c r="C15" s="18" t="s">
        <v>60</v>
      </c>
      <c r="D15" s="14" t="s">
        <v>61</v>
      </c>
      <c r="E15" s="14" t="s">
        <v>1372</v>
      </c>
      <c r="G15" s="1" t="str">
        <f>_xlfn.XLOOKUP(B15,M_YT_LIVE!A:A,M_YT_LIVE!F:F,"ERROR",0,1)</f>
        <v>弾き語り</v>
      </c>
      <c r="W15" s="13">
        <f t="shared" si="0"/>
        <v>1723</v>
      </c>
      <c r="X15" s="12" t="str">
        <f>_xlfn.XLOOKUP($B15,M_YT_LIVE!$A:$A,M_YT_LIVE!$D:$D)</f>
        <v>https://www.youtube.com/live/qX9bxWpkH6E?si=OkODsP1XDKgR0qeY</v>
      </c>
      <c r="Z15" s="16" t="str">
        <f>HYPERLINK($X15&amp;SUBSTITUTE(マスタ!$C$3,"XXXXX",$W15))</f>
        <v>https://www.youtube.com/live/qX9bxWpkH6E?si=OkODsP1XDKgR0qeY&amp;t=1723s</v>
      </c>
      <c r="AA15" s="12" t="str">
        <f t="shared" si="1"/>
        <v>YUILaugh away</v>
      </c>
    </row>
    <row r="16" spans="1:27" x14ac:dyDescent="0.4">
      <c r="A16" s="14">
        <f t="shared" si="2"/>
        <v>15</v>
      </c>
      <c r="B16" s="14">
        <v>4</v>
      </c>
      <c r="C16" s="18" t="s">
        <v>63</v>
      </c>
      <c r="D16" s="14" t="s">
        <v>64</v>
      </c>
      <c r="E16" s="14" t="s">
        <v>65</v>
      </c>
      <c r="G16" s="1" t="str">
        <f>_xlfn.XLOOKUP(B16,M_YT_LIVE!A:A,M_YT_LIVE!F:F,"ERROR",0,1)</f>
        <v>弾き語り</v>
      </c>
      <c r="W16" s="13">
        <f t="shared" si="0"/>
        <v>2156</v>
      </c>
      <c r="X16" s="12" t="str">
        <f>_xlfn.XLOOKUP($B16,M_YT_LIVE!$A:$A,M_YT_LIVE!$D:$D)</f>
        <v>https://www.youtube.com/live/qX9bxWpkH6E?si=OkODsP1XDKgR0qeY</v>
      </c>
      <c r="Z16" s="16" t="str">
        <f>HYPERLINK($X16&amp;SUBSTITUTE(マスタ!$C$3,"XXXXX",$W16))</f>
        <v>https://www.youtube.com/live/qX9bxWpkH6E?si=OkODsP1XDKgR0qeY&amp;t=2156s</v>
      </c>
      <c r="AA16" s="12" t="str">
        <f t="shared" si="1"/>
        <v>R Sound Design feat.初音ミクflos</v>
      </c>
    </row>
    <row r="17" spans="1:27" x14ac:dyDescent="0.4">
      <c r="A17" s="14">
        <f t="shared" si="2"/>
        <v>16</v>
      </c>
      <c r="B17" s="14">
        <v>4</v>
      </c>
      <c r="C17" s="18" t="s">
        <v>66</v>
      </c>
      <c r="D17" s="14" t="s">
        <v>67</v>
      </c>
      <c r="E17" s="14" t="s">
        <v>20</v>
      </c>
      <c r="G17" s="1" t="str">
        <f>_xlfn.XLOOKUP(B17,M_YT_LIVE!A:A,M_YT_LIVE!F:F,"ERROR",0,1)</f>
        <v>弾き語り</v>
      </c>
      <c r="W17" s="13">
        <f t="shared" si="0"/>
        <v>2600</v>
      </c>
      <c r="X17" s="12" t="str">
        <f>_xlfn.XLOOKUP($B17,M_YT_LIVE!$A:$A,M_YT_LIVE!$D:$D)</f>
        <v>https://www.youtube.com/live/qX9bxWpkH6E?si=OkODsP1XDKgR0qeY</v>
      </c>
      <c r="Z17" s="16" t="str">
        <f>HYPERLINK($X17&amp;SUBSTITUTE(マスタ!$C$3,"XXXXX",$W17))</f>
        <v>https://www.youtube.com/live/qX9bxWpkH6E?si=OkODsP1XDKgR0qeY&amp;t=2600s</v>
      </c>
      <c r="AA17" s="12" t="str">
        <f t="shared" si="1"/>
        <v>Vaundy灯火</v>
      </c>
    </row>
    <row r="18" spans="1:27" x14ac:dyDescent="0.4">
      <c r="A18" s="14">
        <f t="shared" si="2"/>
        <v>17</v>
      </c>
      <c r="B18" s="14">
        <v>4</v>
      </c>
      <c r="C18" s="18" t="s">
        <v>68</v>
      </c>
      <c r="D18" s="14" t="s">
        <v>69</v>
      </c>
      <c r="E18" s="14" t="s">
        <v>279</v>
      </c>
      <c r="G18" s="1" t="str">
        <f>_xlfn.XLOOKUP(B18,M_YT_LIVE!A:A,M_YT_LIVE!F:F,"ERROR",0,1)</f>
        <v>弾き語り</v>
      </c>
      <c r="W18" s="13">
        <f t="shared" si="0"/>
        <v>2903</v>
      </c>
      <c r="X18" s="12" t="str">
        <f>_xlfn.XLOOKUP($B18,M_YT_LIVE!$A:$A,M_YT_LIVE!$D:$D)</f>
        <v>https://www.youtube.com/live/qX9bxWpkH6E?si=OkODsP1XDKgR0qeY</v>
      </c>
      <c r="Z18" s="16" t="str">
        <f>HYPERLINK($X18&amp;SUBSTITUTE(マスタ!$C$3,"XXXXX",$W18))</f>
        <v>https://www.youtube.com/live/qX9bxWpkH6E?si=OkODsP1XDKgR0qeY&amp;t=2903s</v>
      </c>
      <c r="AA18" s="12" t="str">
        <f t="shared" si="1"/>
        <v>幽音しの(即興)鼓膜の歌</v>
      </c>
    </row>
    <row r="19" spans="1:27" x14ac:dyDescent="0.4">
      <c r="A19" s="14">
        <f t="shared" si="2"/>
        <v>18</v>
      </c>
      <c r="B19" s="14">
        <v>4</v>
      </c>
      <c r="C19" s="18" t="s">
        <v>70</v>
      </c>
      <c r="D19" s="14" t="s">
        <v>71</v>
      </c>
      <c r="E19" s="14" t="s">
        <v>72</v>
      </c>
      <c r="G19" s="1" t="str">
        <f>_xlfn.XLOOKUP(B19,M_YT_LIVE!A:A,M_YT_LIVE!F:F,"ERROR",0,1)</f>
        <v>弾き語り</v>
      </c>
      <c r="W19" s="13">
        <f t="shared" si="0"/>
        <v>3140</v>
      </c>
      <c r="X19" s="12" t="str">
        <f>_xlfn.XLOOKUP($B19,M_YT_LIVE!$A:$A,M_YT_LIVE!$D:$D)</f>
        <v>https://www.youtube.com/live/qX9bxWpkH6E?si=OkODsP1XDKgR0qeY</v>
      </c>
      <c r="Z19" s="16" t="str">
        <f>HYPERLINK($X19&amp;SUBSTITUTE(マスタ!$C$3,"XXXXX",$W19))</f>
        <v>https://www.youtube.com/live/qX9bxWpkH6E?si=OkODsP1XDKgR0qeY&amp;t=3140s</v>
      </c>
      <c r="AA19" s="12" t="str">
        <f t="shared" si="1"/>
        <v>優里ドライフラワー</v>
      </c>
    </row>
    <row r="20" spans="1:27" x14ac:dyDescent="0.4">
      <c r="A20" s="14">
        <f t="shared" si="2"/>
        <v>19</v>
      </c>
      <c r="B20" s="14">
        <v>4</v>
      </c>
      <c r="C20" s="18" t="s">
        <v>73</v>
      </c>
      <c r="D20" s="14" t="s">
        <v>74</v>
      </c>
      <c r="E20" s="14" t="s">
        <v>1373</v>
      </c>
      <c r="G20" s="1" t="str">
        <f>_xlfn.XLOOKUP(B20,M_YT_LIVE!A:A,M_YT_LIVE!F:F,"ERROR",0,1)</f>
        <v>弾き語り</v>
      </c>
      <c r="W20" s="13">
        <f t="shared" si="0"/>
        <v>3677</v>
      </c>
      <c r="X20" s="12" t="str">
        <f>_xlfn.XLOOKUP($B20,M_YT_LIVE!$A:$A,M_YT_LIVE!$D:$D)</f>
        <v>https://www.youtube.com/live/qX9bxWpkH6E?si=OkODsP1XDKgR0qeY</v>
      </c>
      <c r="Z20" s="16" t="str">
        <f>HYPERLINK($X20&amp;SUBSTITUTE(マスタ!$C$3,"XXXXX",$W20))</f>
        <v>https://www.youtube.com/live/qX9bxWpkH6E?si=OkODsP1XDKgR0qeY&amp;t=3677s</v>
      </c>
      <c r="AA20" s="12" t="str">
        <f t="shared" si="1"/>
        <v>ずっと真夜中でいいのに。秒針を噛む</v>
      </c>
    </row>
    <row r="21" spans="1:27" x14ac:dyDescent="0.4">
      <c r="A21" s="14">
        <f t="shared" si="2"/>
        <v>20</v>
      </c>
      <c r="B21" s="14">
        <v>4</v>
      </c>
      <c r="C21" s="18" t="s">
        <v>76</v>
      </c>
      <c r="D21" s="14" t="s">
        <v>77</v>
      </c>
      <c r="E21" s="14" t="s">
        <v>78</v>
      </c>
      <c r="G21" s="1" t="str">
        <f>_xlfn.XLOOKUP(B21,M_YT_LIVE!A:A,M_YT_LIVE!F:F,"ERROR",0,1)</f>
        <v>弾き語り</v>
      </c>
      <c r="W21" s="13">
        <f t="shared" si="0"/>
        <v>4189</v>
      </c>
      <c r="X21" s="12" t="str">
        <f>_xlfn.XLOOKUP($B21,M_YT_LIVE!$A:$A,M_YT_LIVE!$D:$D)</f>
        <v>https://www.youtube.com/live/qX9bxWpkH6E?si=OkODsP1XDKgR0qeY</v>
      </c>
      <c r="Z21" s="16" t="str">
        <f>HYPERLINK($X21&amp;SUBSTITUTE(マスタ!$C$3,"XXXXX",$W21))</f>
        <v>https://www.youtube.com/live/qX9bxWpkH6E?si=OkODsP1XDKgR0qeY&amp;t=4189s</v>
      </c>
      <c r="AA21" s="12" t="str">
        <f t="shared" si="1"/>
        <v>チャットモンチー真夜中遊園地</v>
      </c>
    </row>
    <row r="22" spans="1:27" x14ac:dyDescent="0.4">
      <c r="A22" s="14">
        <f t="shared" si="2"/>
        <v>21</v>
      </c>
      <c r="B22" s="14">
        <v>4</v>
      </c>
      <c r="C22" s="18" t="s">
        <v>79</v>
      </c>
      <c r="D22" s="14" t="s">
        <v>80</v>
      </c>
      <c r="E22" s="14" t="s">
        <v>81</v>
      </c>
      <c r="G22" s="1" t="str">
        <f>_xlfn.XLOOKUP(B22,M_YT_LIVE!A:A,M_YT_LIVE!F:F,"ERROR",0,1)</f>
        <v>弾き語り</v>
      </c>
      <c r="W22" s="13">
        <f t="shared" si="0"/>
        <v>4691</v>
      </c>
      <c r="X22" s="12" t="str">
        <f>_xlfn.XLOOKUP($B22,M_YT_LIVE!$A:$A,M_YT_LIVE!$D:$D)</f>
        <v>https://www.youtube.com/live/qX9bxWpkH6E?si=OkODsP1XDKgR0qeY</v>
      </c>
      <c r="Z22" s="16" t="str">
        <f>HYPERLINK($X22&amp;SUBSTITUTE(マスタ!$C$3,"XXXXX",$W22))</f>
        <v>https://www.youtube.com/live/qX9bxWpkH6E?si=OkODsP1XDKgR0qeY&amp;t=4691s</v>
      </c>
      <c r="AA22" s="12" t="str">
        <f t="shared" si="1"/>
        <v>じん(自然の敵P) feat.IA想像フォレスト</v>
      </c>
    </row>
    <row r="23" spans="1:27" x14ac:dyDescent="0.4">
      <c r="A23" s="14">
        <f t="shared" si="2"/>
        <v>22</v>
      </c>
      <c r="B23" s="14">
        <v>4</v>
      </c>
      <c r="C23" s="18" t="s">
        <v>82</v>
      </c>
      <c r="D23" s="14" t="s">
        <v>83</v>
      </c>
      <c r="E23" s="14" t="s">
        <v>84</v>
      </c>
      <c r="G23" s="1" t="str">
        <f>_xlfn.XLOOKUP(B23,M_YT_LIVE!A:A,M_YT_LIVE!F:F,"ERROR",0,1)</f>
        <v>弾き語り</v>
      </c>
      <c r="W23" s="13">
        <f t="shared" si="0"/>
        <v>5225</v>
      </c>
      <c r="X23" s="12" t="str">
        <f>_xlfn.XLOOKUP($B23,M_YT_LIVE!$A:$A,M_YT_LIVE!$D:$D)</f>
        <v>https://www.youtube.com/live/qX9bxWpkH6E?si=OkODsP1XDKgR0qeY</v>
      </c>
      <c r="Z23" s="16" t="str">
        <f>HYPERLINK($X23&amp;SUBSTITUTE(マスタ!$C$3,"XXXXX",$W23))</f>
        <v>https://www.youtube.com/live/qX9bxWpkH6E?si=OkODsP1XDKgR0qeY&amp;t=5225s</v>
      </c>
      <c r="AA23" s="12" t="str">
        <f t="shared" si="1"/>
        <v>木村弓いのちの名前</v>
      </c>
    </row>
    <row r="24" spans="1:27" x14ac:dyDescent="0.4">
      <c r="A24" s="14">
        <f t="shared" si="2"/>
        <v>23</v>
      </c>
      <c r="B24" s="14">
        <v>4</v>
      </c>
      <c r="C24" s="18" t="s">
        <v>85</v>
      </c>
      <c r="D24" s="14" t="s">
        <v>89</v>
      </c>
      <c r="E24" s="14" t="s">
        <v>84</v>
      </c>
      <c r="G24" s="1" t="str">
        <f>_xlfn.XLOOKUP(B24,M_YT_LIVE!A:A,M_YT_LIVE!F:F,"ERROR",0,1)</f>
        <v>弾き語り</v>
      </c>
      <c r="W24" s="13">
        <f t="shared" si="0"/>
        <v>5751</v>
      </c>
      <c r="X24" s="12" t="str">
        <f>_xlfn.XLOOKUP($B24,M_YT_LIVE!$A:$A,M_YT_LIVE!$D:$D)</f>
        <v>https://www.youtube.com/live/qX9bxWpkH6E?si=OkODsP1XDKgR0qeY</v>
      </c>
      <c r="Z24" s="16" t="str">
        <f>HYPERLINK($X24&amp;SUBSTITUTE(マスタ!$C$3,"XXXXX",$W24))</f>
        <v>https://www.youtube.com/live/qX9bxWpkH6E?si=OkODsP1XDKgR0qeY&amp;t=5751s</v>
      </c>
      <c r="AA24" s="12" t="str">
        <f t="shared" si="1"/>
        <v>木村弓いつも何度でも</v>
      </c>
    </row>
    <row r="25" spans="1:27" x14ac:dyDescent="0.4">
      <c r="A25" s="14">
        <f t="shared" si="2"/>
        <v>24</v>
      </c>
      <c r="B25" s="14">
        <v>4</v>
      </c>
      <c r="C25" s="18" t="s">
        <v>86</v>
      </c>
      <c r="D25" s="14" t="s">
        <v>87</v>
      </c>
      <c r="E25" s="14" t="s">
        <v>88</v>
      </c>
      <c r="G25" s="1" t="str">
        <f>_xlfn.XLOOKUP(B25,M_YT_LIVE!A:A,M_YT_LIVE!F:F,"ERROR",0,1)</f>
        <v>弾き語り</v>
      </c>
      <c r="W25" s="13">
        <f t="shared" si="0"/>
        <v>6170</v>
      </c>
      <c r="X25" s="12" t="str">
        <f>_xlfn.XLOOKUP($B25,M_YT_LIVE!$A:$A,M_YT_LIVE!$D:$D)</f>
        <v>https://www.youtube.com/live/qX9bxWpkH6E?si=OkODsP1XDKgR0qeY</v>
      </c>
      <c r="Z25" s="16" t="str">
        <f>HYPERLINK($X25&amp;SUBSTITUTE(マスタ!$C$3,"XXXXX",$W25))</f>
        <v>https://www.youtube.com/live/qX9bxWpkH6E?si=OkODsP1XDKgR0qeY&amp;t=6170s</v>
      </c>
      <c r="AA25" s="12" t="str">
        <f t="shared" si="1"/>
        <v>美波カワキヲアメク</v>
      </c>
    </row>
    <row r="26" spans="1:27" x14ac:dyDescent="0.4">
      <c r="A26" s="14">
        <f t="shared" si="2"/>
        <v>25</v>
      </c>
      <c r="B26" s="14">
        <v>7</v>
      </c>
      <c r="C26" s="18" t="s">
        <v>96</v>
      </c>
      <c r="D26" s="14" t="s">
        <v>97</v>
      </c>
      <c r="E26" s="14" t="s">
        <v>98</v>
      </c>
      <c r="G26" s="1" t="str">
        <f>_xlfn.XLOOKUP(B26,M_YT_LIVE!A:A,M_YT_LIVE!F:F,"ERROR",0,1)</f>
        <v>弾き語り</v>
      </c>
      <c r="W26" s="13">
        <f t="shared" si="0"/>
        <v>103</v>
      </c>
      <c r="X26" s="12" t="str">
        <f>_xlfn.XLOOKUP($B26,M_YT_LIVE!$A:$A,M_YT_LIVE!$D:$D)</f>
        <v>https://www.youtube.com/live/BIOCmyo4mQU?si=mUE7u0kM5d94T-4A</v>
      </c>
      <c r="Z26" s="16" t="str">
        <f>HYPERLINK($X26&amp;SUBSTITUTE(マスタ!$C$3,"XXXXX",$W26))</f>
        <v>https://www.youtube.com/live/BIOCmyo4mQU?si=mUE7u0kM5d94T-4A&amp;t=103s</v>
      </c>
      <c r="AA26" s="12" t="str">
        <f t="shared" si="1"/>
        <v>Dixie Flatline feat.巡音ルカJust Be Friends</v>
      </c>
    </row>
    <row r="27" spans="1:27" x14ac:dyDescent="0.4">
      <c r="A27" s="14">
        <f t="shared" si="2"/>
        <v>26</v>
      </c>
      <c r="B27" s="14">
        <v>7</v>
      </c>
      <c r="C27" s="18" t="s">
        <v>99</v>
      </c>
      <c r="D27" s="14" t="s">
        <v>100</v>
      </c>
      <c r="E27" s="14" t="s">
        <v>101</v>
      </c>
      <c r="G27" s="1" t="str">
        <f>_xlfn.XLOOKUP(B27,M_YT_LIVE!A:A,M_YT_LIVE!F:F,"ERROR",0,1)</f>
        <v>弾き語り</v>
      </c>
      <c r="W27" s="13">
        <f t="shared" si="0"/>
        <v>584</v>
      </c>
      <c r="X27" s="12" t="str">
        <f>_xlfn.XLOOKUP($B27,M_YT_LIVE!$A:$A,M_YT_LIVE!$D:$D)</f>
        <v>https://www.youtube.com/live/BIOCmyo4mQU?si=mUE7u0kM5d94T-4A</v>
      </c>
      <c r="Z27" s="16" t="str">
        <f>HYPERLINK($X27&amp;SUBSTITUTE(マスタ!$C$3,"XXXXX",$W27))</f>
        <v>https://www.youtube.com/live/BIOCmyo4mQU?si=mUE7u0kM5d94T-4A&amp;t=584s</v>
      </c>
      <c r="AA27" s="12" t="str">
        <f t="shared" si="1"/>
        <v>n-buna(ヨルシカ) feat.初音ミク夜明けと蛍</v>
      </c>
    </row>
    <row r="28" spans="1:27" x14ac:dyDescent="0.4">
      <c r="A28" s="14">
        <f t="shared" si="2"/>
        <v>27</v>
      </c>
      <c r="B28" s="14">
        <v>7</v>
      </c>
      <c r="C28" s="18" t="s">
        <v>102</v>
      </c>
      <c r="D28" s="14" t="s">
        <v>103</v>
      </c>
      <c r="E28" s="14" t="s">
        <v>104</v>
      </c>
      <c r="G28" s="1" t="str">
        <f>_xlfn.XLOOKUP(B28,M_YT_LIVE!A:A,M_YT_LIVE!F:F,"ERROR",0,1)</f>
        <v>弾き語り</v>
      </c>
      <c r="W28" s="13">
        <f t="shared" si="0"/>
        <v>995</v>
      </c>
      <c r="X28" s="12" t="str">
        <f>_xlfn.XLOOKUP($B28,M_YT_LIVE!$A:$A,M_YT_LIVE!$D:$D)</f>
        <v>https://www.youtube.com/live/BIOCmyo4mQU?si=mUE7u0kM5d94T-4A</v>
      </c>
      <c r="Z28" s="16" t="str">
        <f>HYPERLINK($X28&amp;SUBSTITUTE(マスタ!$C$3,"XXXXX",$W28))</f>
        <v>https://www.youtube.com/live/BIOCmyo4mQU?si=mUE7u0kM5d94T-4A&amp;t=995s</v>
      </c>
      <c r="AA28" s="12" t="str">
        <f t="shared" si="1"/>
        <v>獅子志司 feat.初音ミク絶え間なく藍色</v>
      </c>
    </row>
    <row r="29" spans="1:27" x14ac:dyDescent="0.4">
      <c r="A29" s="14">
        <f t="shared" si="2"/>
        <v>28</v>
      </c>
      <c r="B29" s="14">
        <v>7</v>
      </c>
      <c r="C29" s="18" t="s">
        <v>105</v>
      </c>
      <c r="D29" s="14" t="s">
        <v>106</v>
      </c>
      <c r="E29" s="14" t="s">
        <v>107</v>
      </c>
      <c r="G29" s="1" t="str">
        <f>_xlfn.XLOOKUP(B29,M_YT_LIVE!A:A,M_YT_LIVE!F:F,"ERROR",0,1)</f>
        <v>弾き語り</v>
      </c>
      <c r="W29" s="13">
        <f t="shared" si="0"/>
        <v>1342</v>
      </c>
      <c r="X29" s="12" t="str">
        <f>_xlfn.XLOOKUP($B29,M_YT_LIVE!$A:$A,M_YT_LIVE!$D:$D)</f>
        <v>https://www.youtube.com/live/BIOCmyo4mQU?si=mUE7u0kM5d94T-4A</v>
      </c>
      <c r="Z29" s="16" t="str">
        <f>HYPERLINK($X29&amp;SUBSTITUTE(マスタ!$C$3,"XXXXX",$W29))</f>
        <v>https://www.youtube.com/live/BIOCmyo4mQU?si=mUE7u0kM5d94T-4A&amp;t=1342s</v>
      </c>
      <c r="AA29" s="12" t="str">
        <f t="shared" si="1"/>
        <v>バルーン feat.flowerレディーレ</v>
      </c>
    </row>
    <row r="30" spans="1:27" x14ac:dyDescent="0.4">
      <c r="A30" s="14">
        <f t="shared" si="2"/>
        <v>29</v>
      </c>
      <c r="B30" s="14">
        <v>7</v>
      </c>
      <c r="C30" s="18" t="s">
        <v>108</v>
      </c>
      <c r="D30" s="14" t="s">
        <v>109</v>
      </c>
      <c r="E30" s="14" t="s">
        <v>44</v>
      </c>
      <c r="G30" s="1" t="str">
        <f>_xlfn.XLOOKUP(B30,M_YT_LIVE!A:A,M_YT_LIVE!F:F,"ERROR",0,1)</f>
        <v>弾き語り</v>
      </c>
      <c r="W30" s="13">
        <f t="shared" si="0"/>
        <v>1769</v>
      </c>
      <c r="X30" s="12" t="str">
        <f>_xlfn.XLOOKUP($B30,M_YT_LIVE!$A:$A,M_YT_LIVE!$D:$D)</f>
        <v>https://www.youtube.com/live/BIOCmyo4mQU?si=mUE7u0kM5d94T-4A</v>
      </c>
      <c r="Z30" s="16" t="str">
        <f>HYPERLINK($X30&amp;SUBSTITUTE(マスタ!$C$3,"XXXXX",$W30))</f>
        <v>https://www.youtube.com/live/BIOCmyo4mQU?si=mUE7u0kM5d94T-4A&amp;t=1769s</v>
      </c>
      <c r="AA30" s="12" t="str">
        <f t="shared" si="1"/>
        <v>メル feat.初音ミク翡翠のまち</v>
      </c>
    </row>
    <row r="31" spans="1:27" x14ac:dyDescent="0.4">
      <c r="A31" s="14">
        <f t="shared" si="2"/>
        <v>30</v>
      </c>
      <c r="B31" s="14">
        <v>7</v>
      </c>
      <c r="C31" s="18" t="s">
        <v>110</v>
      </c>
      <c r="D31" s="14" t="s">
        <v>111</v>
      </c>
      <c r="E31" s="14" t="s">
        <v>112</v>
      </c>
      <c r="G31" s="1" t="str">
        <f>_xlfn.XLOOKUP(B31,M_YT_LIVE!A:A,M_YT_LIVE!F:F,"ERROR",0,1)</f>
        <v>弾き語り</v>
      </c>
      <c r="W31" s="13">
        <f t="shared" si="0"/>
        <v>2015.0000000000002</v>
      </c>
      <c r="X31" s="12" t="str">
        <f>_xlfn.XLOOKUP($B31,M_YT_LIVE!$A:$A,M_YT_LIVE!$D:$D)</f>
        <v>https://www.youtube.com/live/BIOCmyo4mQU?si=mUE7u0kM5d94T-4A</v>
      </c>
      <c r="Z31" s="16" t="str">
        <f>HYPERLINK($X31&amp;SUBSTITUTE(マスタ!$C$3,"XXXXX",$W31))</f>
        <v>https://www.youtube.com/live/BIOCmyo4mQU?si=mUE7u0kM5d94T-4A&amp;t=2015s</v>
      </c>
      <c r="AA31" s="12" t="str">
        <f t="shared" si="1"/>
        <v>DECO*27 feat.初音ミク妄想感傷代償連盟</v>
      </c>
    </row>
    <row r="32" spans="1:27" x14ac:dyDescent="0.4">
      <c r="A32" s="14">
        <f t="shared" si="2"/>
        <v>31</v>
      </c>
      <c r="B32" s="14">
        <v>7</v>
      </c>
      <c r="C32" s="18" t="s">
        <v>113</v>
      </c>
      <c r="D32" s="14" t="s">
        <v>114</v>
      </c>
      <c r="E32" s="14" t="s">
        <v>115</v>
      </c>
      <c r="G32" s="1" t="str">
        <f>_xlfn.XLOOKUP(B32,M_YT_LIVE!A:A,M_YT_LIVE!F:F,"ERROR",0,1)</f>
        <v>弾き語り</v>
      </c>
      <c r="W32" s="13">
        <f t="shared" si="0"/>
        <v>2497</v>
      </c>
      <c r="X32" s="12" t="str">
        <f>_xlfn.XLOOKUP($B32,M_YT_LIVE!$A:$A,M_YT_LIVE!$D:$D)</f>
        <v>https://www.youtube.com/live/BIOCmyo4mQU?si=mUE7u0kM5d94T-4A</v>
      </c>
      <c r="Z32" s="16" t="str">
        <f>HYPERLINK($X32&amp;SUBSTITUTE(マスタ!$C$3,"XXXXX",$W32))</f>
        <v>https://www.youtube.com/live/BIOCmyo4mQU?si=mUE7u0kM5d94T-4A&amp;t=2497s</v>
      </c>
      <c r="AA32" s="12" t="str">
        <f t="shared" si="1"/>
        <v>ジミーサムP feat.初音ミクCalc.</v>
      </c>
    </row>
    <row r="33" spans="1:27" x14ac:dyDescent="0.4">
      <c r="A33" s="14">
        <f t="shared" si="2"/>
        <v>32</v>
      </c>
      <c r="B33" s="14">
        <v>7</v>
      </c>
      <c r="C33" s="18" t="s">
        <v>116</v>
      </c>
      <c r="D33" s="14" t="s">
        <v>117</v>
      </c>
      <c r="E33" s="14" t="s">
        <v>118</v>
      </c>
      <c r="G33" s="1" t="str">
        <f>_xlfn.XLOOKUP(B33,M_YT_LIVE!A:A,M_YT_LIVE!F:F,"ERROR",0,1)</f>
        <v>弾き語り</v>
      </c>
      <c r="W33" s="13">
        <f t="shared" si="0"/>
        <v>2887.0000000000005</v>
      </c>
      <c r="X33" s="12" t="str">
        <f>_xlfn.XLOOKUP($B33,M_YT_LIVE!$A:$A,M_YT_LIVE!$D:$D)</f>
        <v>https://www.youtube.com/live/BIOCmyo4mQU?si=mUE7u0kM5d94T-4A</v>
      </c>
      <c r="Z33" s="16" t="str">
        <f>HYPERLINK($X33&amp;SUBSTITUTE(マスタ!$C$3,"XXXXX",$W33))</f>
        <v>https://www.youtube.com/live/BIOCmyo4mQU?si=mUE7u0kM5d94T-4A&amp;t=2887s</v>
      </c>
      <c r="AA33" s="12" t="str">
        <f t="shared" si="1"/>
        <v>Orangestar feat.初音ミク快晴</v>
      </c>
    </row>
    <row r="34" spans="1:27" x14ac:dyDescent="0.4">
      <c r="A34" s="14">
        <f t="shared" si="2"/>
        <v>33</v>
      </c>
      <c r="B34" s="14">
        <v>7</v>
      </c>
      <c r="C34" s="18" t="s">
        <v>119</v>
      </c>
      <c r="D34" s="14" t="s">
        <v>120</v>
      </c>
      <c r="E34" s="14" t="s">
        <v>118</v>
      </c>
      <c r="G34" s="1" t="str">
        <f>_xlfn.XLOOKUP(B34,M_YT_LIVE!A:A,M_YT_LIVE!F:F,"ERROR",0,1)</f>
        <v>弾き語り</v>
      </c>
      <c r="W34" s="13">
        <f t="shared" si="0"/>
        <v>3424.0000000000005</v>
      </c>
      <c r="X34" s="12" t="str">
        <f>_xlfn.XLOOKUP($B34,M_YT_LIVE!$A:$A,M_YT_LIVE!$D:$D)</f>
        <v>https://www.youtube.com/live/BIOCmyo4mQU?si=mUE7u0kM5d94T-4A</v>
      </c>
      <c r="Z34" s="16" t="str">
        <f>HYPERLINK($X34&amp;SUBSTITUTE(マスタ!$C$3,"XXXXX",$W34))</f>
        <v>https://www.youtube.com/live/BIOCmyo4mQU?si=mUE7u0kM5d94T-4A&amp;t=3424s</v>
      </c>
      <c r="AA34" s="12" t="str">
        <f t="shared" si="1"/>
        <v>Orangestar feat.初音ミクアスノヨゾラ哨戒班</v>
      </c>
    </row>
    <row r="35" spans="1:27" x14ac:dyDescent="0.4">
      <c r="A35" s="14">
        <f t="shared" si="2"/>
        <v>34</v>
      </c>
      <c r="B35" s="14">
        <v>7</v>
      </c>
      <c r="C35" s="18" t="s">
        <v>121</v>
      </c>
      <c r="D35" s="14" t="s">
        <v>122</v>
      </c>
      <c r="E35" s="14" t="s">
        <v>279</v>
      </c>
      <c r="G35" s="1" t="str">
        <f>_xlfn.XLOOKUP(B35,M_YT_LIVE!A:A,M_YT_LIVE!F:F,"ERROR",0,1)</f>
        <v>弾き語り</v>
      </c>
      <c r="W35" s="13">
        <f t="shared" si="0"/>
        <v>3663</v>
      </c>
      <c r="X35" s="12" t="str">
        <f>_xlfn.XLOOKUP($B35,M_YT_LIVE!$A:$A,M_YT_LIVE!$D:$D)</f>
        <v>https://www.youtube.com/live/BIOCmyo4mQU?si=mUE7u0kM5d94T-4A</v>
      </c>
      <c r="Z35" s="16" t="str">
        <f>HYPERLINK($X35&amp;SUBSTITUTE(マスタ!$C$3,"XXXXX",$W35))</f>
        <v>https://www.youtube.com/live/BIOCmyo4mQU?si=mUE7u0kM5d94T-4A&amp;t=3663s</v>
      </c>
      <c r="AA35" s="12" t="str">
        <f t="shared" si="1"/>
        <v>幽音しの(即興)やめるやめる詐欺</v>
      </c>
    </row>
    <row r="36" spans="1:27" x14ac:dyDescent="0.4">
      <c r="A36" s="14">
        <f t="shared" si="2"/>
        <v>35</v>
      </c>
      <c r="B36" s="14">
        <v>7</v>
      </c>
      <c r="C36" s="18" t="s">
        <v>123</v>
      </c>
      <c r="D36" s="14" t="s">
        <v>124</v>
      </c>
      <c r="E36" s="14" t="s">
        <v>125</v>
      </c>
      <c r="G36" s="1" t="str">
        <f>_xlfn.XLOOKUP(B36,M_YT_LIVE!A:A,M_YT_LIVE!F:F,"ERROR",0,1)</f>
        <v>弾き語り</v>
      </c>
      <c r="W36" s="13">
        <f t="shared" si="0"/>
        <v>3727.0000000000005</v>
      </c>
      <c r="X36" s="12" t="str">
        <f>_xlfn.XLOOKUP($B36,M_YT_LIVE!$A:$A,M_YT_LIVE!$D:$D)</f>
        <v>https://www.youtube.com/live/BIOCmyo4mQU?si=mUE7u0kM5d94T-4A</v>
      </c>
      <c r="Z36" s="16" t="str">
        <f>HYPERLINK($X36&amp;SUBSTITUTE(マスタ!$C$3,"XXXXX",$W36))</f>
        <v>https://www.youtube.com/live/BIOCmyo4mQU?si=mUE7u0kM5d94T-4A&amp;t=3727s</v>
      </c>
      <c r="AA36" s="12" t="str">
        <f t="shared" si="1"/>
        <v>Orangestar feat.IA雨き声残響</v>
      </c>
    </row>
    <row r="37" spans="1:27" x14ac:dyDescent="0.4">
      <c r="A37" s="14">
        <f t="shared" si="2"/>
        <v>36</v>
      </c>
      <c r="B37" s="14">
        <v>9</v>
      </c>
      <c r="C37" s="18" t="s">
        <v>130</v>
      </c>
      <c r="D37" s="14" t="s">
        <v>131</v>
      </c>
      <c r="E37" s="14" t="s">
        <v>132</v>
      </c>
      <c r="G37" s="1" t="str">
        <f>_xlfn.XLOOKUP(B37,M_YT_LIVE!A:A,M_YT_LIVE!F:F,"ERROR",0,1)</f>
        <v>弾き語り</v>
      </c>
      <c r="W37" s="13">
        <f t="shared" si="0"/>
        <v>247</v>
      </c>
      <c r="X37" s="12" t="str">
        <f>_xlfn.XLOOKUP($B37,M_YT_LIVE!$A:$A,M_YT_LIVE!$D:$D)</f>
        <v>https://www.youtube.com/live/gtzKshYmOXY?si=1Gz8lwbOe32zbbqo</v>
      </c>
      <c r="Z37" s="16" t="str">
        <f>HYPERLINK($X37&amp;SUBSTITUTE(マスタ!$C$3,"XXXXX",$W37))</f>
        <v>https://www.youtube.com/live/gtzKshYmOXY?si=1Gz8lwbOe32zbbqo&amp;t=247s</v>
      </c>
      <c r="AA37" s="12" t="str">
        <f t="shared" si="1"/>
        <v>phatmans after schoolツキヨミ</v>
      </c>
    </row>
    <row r="38" spans="1:27" x14ac:dyDescent="0.4">
      <c r="A38" s="14">
        <f t="shared" si="2"/>
        <v>37</v>
      </c>
      <c r="B38" s="14">
        <v>9</v>
      </c>
      <c r="C38" s="18" t="s">
        <v>133</v>
      </c>
      <c r="D38" s="14" t="s">
        <v>134</v>
      </c>
      <c r="E38" s="14" t="s">
        <v>135</v>
      </c>
      <c r="G38" s="1" t="str">
        <f>_xlfn.XLOOKUP(B38,M_YT_LIVE!A:A,M_YT_LIVE!F:F,"ERROR",0,1)</f>
        <v>弾き語り</v>
      </c>
      <c r="W38" s="13">
        <f t="shared" si="0"/>
        <v>740</v>
      </c>
      <c r="X38" s="12" t="str">
        <f>_xlfn.XLOOKUP($B38,M_YT_LIVE!$A:$A,M_YT_LIVE!$D:$D)</f>
        <v>https://www.youtube.com/live/gtzKshYmOXY?si=1Gz8lwbOe32zbbqo</v>
      </c>
      <c r="Z38" s="16" t="str">
        <f>HYPERLINK($X38&amp;SUBSTITUTE(マスタ!$C$3,"XXXXX",$W38))</f>
        <v>https://www.youtube.com/live/gtzKshYmOXY?si=1Gz8lwbOe32zbbqo&amp;t=740s</v>
      </c>
      <c r="AA38" s="12" t="str">
        <f t="shared" si="1"/>
        <v>EGOISTGhost of a smile</v>
      </c>
    </row>
    <row r="39" spans="1:27" x14ac:dyDescent="0.4">
      <c r="A39" s="14">
        <f t="shared" si="2"/>
        <v>38</v>
      </c>
      <c r="B39" s="14">
        <v>9</v>
      </c>
      <c r="C39" s="18" t="s">
        <v>136</v>
      </c>
      <c r="D39" s="14" t="s">
        <v>137</v>
      </c>
      <c r="E39" s="14" t="s">
        <v>138</v>
      </c>
      <c r="G39" s="1" t="str">
        <f>_xlfn.XLOOKUP(B39,M_YT_LIVE!A:A,M_YT_LIVE!F:F,"ERROR",0,1)</f>
        <v>弾き語り</v>
      </c>
      <c r="W39" s="13">
        <f t="shared" si="0"/>
        <v>1213</v>
      </c>
      <c r="X39" s="12" t="str">
        <f>_xlfn.XLOOKUP($B39,M_YT_LIVE!$A:$A,M_YT_LIVE!$D:$D)</f>
        <v>https://www.youtube.com/live/gtzKshYmOXY?si=1Gz8lwbOe32zbbqo</v>
      </c>
      <c r="Z39" s="16" t="str">
        <f>HYPERLINK($X39&amp;SUBSTITUTE(マスタ!$C$3,"XXXXX",$W39))</f>
        <v>https://www.youtube.com/live/gtzKshYmOXY?si=1Gz8lwbOe32zbbqo&amp;t=1213s</v>
      </c>
      <c r="AA39" s="12" t="str">
        <f t="shared" si="1"/>
        <v>ポルカドットスティングレイトゲめくスピカ</v>
      </c>
    </row>
    <row r="40" spans="1:27" x14ac:dyDescent="0.4">
      <c r="A40" s="14">
        <f t="shared" si="2"/>
        <v>39</v>
      </c>
      <c r="B40" s="14">
        <v>9</v>
      </c>
      <c r="C40" s="18" t="s">
        <v>139</v>
      </c>
      <c r="D40" s="14" t="s">
        <v>140</v>
      </c>
      <c r="E40" s="14" t="s">
        <v>141</v>
      </c>
      <c r="G40" s="1" t="str">
        <f>_xlfn.XLOOKUP(B40,M_YT_LIVE!A:A,M_YT_LIVE!F:F,"ERROR",0,1)</f>
        <v>弾き語り</v>
      </c>
      <c r="W40" s="13">
        <f t="shared" si="0"/>
        <v>1675</v>
      </c>
      <c r="X40" s="12" t="str">
        <f>_xlfn.XLOOKUP($B40,M_YT_LIVE!$A:$A,M_YT_LIVE!$D:$D)</f>
        <v>https://www.youtube.com/live/gtzKshYmOXY?si=1Gz8lwbOe32zbbqo</v>
      </c>
      <c r="Z40" s="16" t="str">
        <f>HYPERLINK($X40&amp;SUBSTITUTE(マスタ!$C$3,"XXXXX",$W40))</f>
        <v>https://www.youtube.com/live/gtzKshYmOXY?si=1Gz8lwbOe32zbbqo&amp;t=1675s</v>
      </c>
      <c r="AA40" s="12" t="str">
        <f t="shared" si="1"/>
        <v>ヨルシカ靴の花火</v>
      </c>
    </row>
    <row r="41" spans="1:27" x14ac:dyDescent="0.4">
      <c r="A41" s="14">
        <f t="shared" si="2"/>
        <v>40</v>
      </c>
      <c r="B41" s="14">
        <v>9</v>
      </c>
      <c r="C41" s="18" t="s">
        <v>142</v>
      </c>
      <c r="D41" s="14" t="s">
        <v>143</v>
      </c>
      <c r="E41" s="14" t="s">
        <v>144</v>
      </c>
      <c r="G41" s="1" t="str">
        <f>_xlfn.XLOOKUP(B41,M_YT_LIVE!A:A,M_YT_LIVE!F:F,"ERROR",0,1)</f>
        <v>弾き語り</v>
      </c>
      <c r="W41" s="13">
        <f t="shared" si="0"/>
        <v>2031</v>
      </c>
      <c r="X41" s="12" t="str">
        <f>_xlfn.XLOOKUP($B41,M_YT_LIVE!$A:$A,M_YT_LIVE!$D:$D)</f>
        <v>https://www.youtube.com/live/gtzKshYmOXY?si=1Gz8lwbOe32zbbqo</v>
      </c>
      <c r="Z41" s="16" t="str">
        <f>HYPERLINK($X41&amp;SUBSTITUTE(マスタ!$C$3,"XXXXX",$W41))</f>
        <v>https://www.youtube.com/live/gtzKshYmOXY?si=1Gz8lwbOe32zbbqo&amp;t=2031s</v>
      </c>
      <c r="AA41" s="12" t="str">
        <f t="shared" si="1"/>
        <v>マカロニえんぴつブルーベリー・ナイツ</v>
      </c>
    </row>
    <row r="42" spans="1:27" x14ac:dyDescent="0.4">
      <c r="A42" s="14">
        <f t="shared" si="2"/>
        <v>41</v>
      </c>
      <c r="B42" s="14">
        <v>9</v>
      </c>
      <c r="C42" s="18" t="s">
        <v>145</v>
      </c>
      <c r="D42" s="14" t="s">
        <v>146</v>
      </c>
      <c r="E42" s="14" t="s">
        <v>147</v>
      </c>
      <c r="G42" s="1" t="str">
        <f>_xlfn.XLOOKUP(B42,M_YT_LIVE!A:A,M_YT_LIVE!F:F,"ERROR",0,1)</f>
        <v>弾き語り</v>
      </c>
      <c r="W42" s="13">
        <f t="shared" si="0"/>
        <v>2420</v>
      </c>
      <c r="X42" s="12" t="str">
        <f>_xlfn.XLOOKUP($B42,M_YT_LIVE!$A:$A,M_YT_LIVE!$D:$D)</f>
        <v>https://www.youtube.com/live/gtzKshYmOXY?si=1Gz8lwbOe32zbbqo</v>
      </c>
      <c r="Z42" s="16" t="str">
        <f>HYPERLINK($X42&amp;SUBSTITUTE(マスタ!$C$3,"XXXXX",$W42))</f>
        <v>https://www.youtube.com/live/gtzKshYmOXY?si=1Gz8lwbOe32zbbqo&amp;t=2420s</v>
      </c>
      <c r="AA42" s="12" t="str">
        <f t="shared" si="1"/>
        <v>ジミーサムP feat.初音ミク＆巡音ルカ(コーラス)from Y to Y</v>
      </c>
    </row>
    <row r="43" spans="1:27" x14ac:dyDescent="0.4">
      <c r="A43" s="14">
        <f t="shared" si="2"/>
        <v>42</v>
      </c>
      <c r="B43" s="14">
        <v>9</v>
      </c>
      <c r="C43" s="18" t="s">
        <v>148</v>
      </c>
      <c r="D43" s="14" t="s">
        <v>149</v>
      </c>
      <c r="E43" s="14" t="s">
        <v>150</v>
      </c>
      <c r="G43" s="1" t="str">
        <f>_xlfn.XLOOKUP(B43,M_YT_LIVE!A:A,M_YT_LIVE!F:F,"ERROR",0,1)</f>
        <v>弾き語り</v>
      </c>
      <c r="W43" s="13">
        <f t="shared" si="0"/>
        <v>3000</v>
      </c>
      <c r="X43" s="12" t="str">
        <f>_xlfn.XLOOKUP($B43,M_YT_LIVE!$A:$A,M_YT_LIVE!$D:$D)</f>
        <v>https://www.youtube.com/live/gtzKshYmOXY?si=1Gz8lwbOe32zbbqo</v>
      </c>
      <c r="Z43" s="16" t="str">
        <f>HYPERLINK($X43&amp;SUBSTITUTE(マスタ!$C$3,"XXXXX",$W43))</f>
        <v>https://www.youtube.com/live/gtzKshYmOXY?si=1Gz8lwbOe32zbbqo&amp;t=3000s</v>
      </c>
      <c r="AA43" s="12" t="str">
        <f t="shared" si="1"/>
        <v>みきとP feat.初音ミク少女レイ</v>
      </c>
    </row>
    <row r="44" spans="1:27" x14ac:dyDescent="0.4">
      <c r="A44" s="14">
        <f t="shared" si="2"/>
        <v>43</v>
      </c>
      <c r="B44" s="14">
        <v>9</v>
      </c>
      <c r="C44" s="18" t="s">
        <v>151</v>
      </c>
      <c r="D44" s="14" t="s">
        <v>152</v>
      </c>
      <c r="E44" s="14" t="s">
        <v>153</v>
      </c>
      <c r="G44" s="1" t="str">
        <f>_xlfn.XLOOKUP(B44,M_YT_LIVE!A:A,M_YT_LIVE!F:F,"ERROR",0,1)</f>
        <v>弾き語り</v>
      </c>
      <c r="W44" s="13">
        <f t="shared" si="0"/>
        <v>3425</v>
      </c>
      <c r="X44" s="12" t="str">
        <f>_xlfn.XLOOKUP($B44,M_YT_LIVE!$A:$A,M_YT_LIVE!$D:$D)</f>
        <v>https://www.youtube.com/live/gtzKshYmOXY?si=1Gz8lwbOe32zbbqo</v>
      </c>
      <c r="Z44" s="16" t="str">
        <f>HYPERLINK($X44&amp;SUBSTITUTE(マスタ!$C$3,"XXXXX",$W44))</f>
        <v>https://www.youtube.com/live/gtzKshYmOXY?si=1Gz8lwbOe32zbbqo&amp;t=3425s</v>
      </c>
      <c r="AA44" s="12" t="str">
        <f t="shared" si="1"/>
        <v>こんにちは谷田さん(キタニタツヤ) feat.初音ミク記憶の水槽</v>
      </c>
    </row>
    <row r="45" spans="1:27" x14ac:dyDescent="0.4">
      <c r="A45" s="14">
        <f t="shared" si="2"/>
        <v>44</v>
      </c>
      <c r="B45" s="14">
        <v>9</v>
      </c>
      <c r="C45" s="18" t="s">
        <v>154</v>
      </c>
      <c r="D45" s="14" t="s">
        <v>155</v>
      </c>
      <c r="E45" s="14" t="s">
        <v>156</v>
      </c>
      <c r="G45" s="1" t="str">
        <f>_xlfn.XLOOKUP(B45,M_YT_LIVE!A:A,M_YT_LIVE!F:F,"ERROR",0,1)</f>
        <v>弾き語り</v>
      </c>
      <c r="W45" s="13">
        <f t="shared" si="0"/>
        <v>3785</v>
      </c>
      <c r="X45" s="12" t="str">
        <f>_xlfn.XLOOKUP($B45,M_YT_LIVE!$A:$A,M_YT_LIVE!$D:$D)</f>
        <v>https://www.youtube.com/live/gtzKshYmOXY?si=1Gz8lwbOe32zbbqo</v>
      </c>
      <c r="Z45" s="16" t="str">
        <f>HYPERLINK($X45&amp;SUBSTITUTE(マスタ!$C$3,"XXXXX",$W45))</f>
        <v>https://www.youtube.com/live/gtzKshYmOXY?si=1Gz8lwbOe32zbbqo&amp;t=3785s</v>
      </c>
      <c r="AA45" s="12" t="str">
        <f t="shared" si="1"/>
        <v>DECO*27 feat.GUMI弱虫モンブラン</v>
      </c>
    </row>
    <row r="46" spans="1:27" x14ac:dyDescent="0.4">
      <c r="A46" s="14">
        <f t="shared" si="2"/>
        <v>45</v>
      </c>
      <c r="B46" s="14">
        <v>9</v>
      </c>
      <c r="C46" s="18" t="s">
        <v>157</v>
      </c>
      <c r="D46" s="14" t="s">
        <v>158</v>
      </c>
      <c r="E46" s="14" t="s">
        <v>159</v>
      </c>
      <c r="G46" s="1" t="str">
        <f>_xlfn.XLOOKUP(B46,M_YT_LIVE!A:A,M_YT_LIVE!F:F,"ERROR",0,1)</f>
        <v>弾き語り</v>
      </c>
      <c r="W46" s="13">
        <f t="shared" si="0"/>
        <v>4208</v>
      </c>
      <c r="X46" s="12" t="str">
        <f>_xlfn.XLOOKUP($B46,M_YT_LIVE!$A:$A,M_YT_LIVE!$D:$D)</f>
        <v>https://www.youtube.com/live/gtzKshYmOXY?si=1Gz8lwbOe32zbbqo</v>
      </c>
      <c r="Z46" s="16" t="str">
        <f>HYPERLINK($X46&amp;SUBSTITUTE(マスタ!$C$3,"XXXXX",$W46))</f>
        <v>https://www.youtube.com/live/gtzKshYmOXY?si=1Gz8lwbOe32zbbqo&amp;t=4208s</v>
      </c>
      <c r="AA46" s="12" t="str">
        <f t="shared" si="1"/>
        <v>やなぎなぎ&amp; 麻枝准君という神話</v>
      </c>
    </row>
    <row r="47" spans="1:27" x14ac:dyDescent="0.4">
      <c r="A47" s="14">
        <f t="shared" si="2"/>
        <v>46</v>
      </c>
      <c r="B47" s="14">
        <v>9</v>
      </c>
      <c r="C47" s="18" t="s">
        <v>160</v>
      </c>
      <c r="D47" s="14" t="s">
        <v>161</v>
      </c>
      <c r="E47" s="14" t="s">
        <v>150</v>
      </c>
      <c r="G47" s="1" t="str">
        <f>_xlfn.XLOOKUP(B47,M_YT_LIVE!A:A,M_YT_LIVE!F:F,"ERROR",0,1)</f>
        <v>弾き語り</v>
      </c>
      <c r="W47" s="13">
        <f t="shared" si="0"/>
        <v>4710</v>
      </c>
      <c r="X47" s="12" t="str">
        <f>_xlfn.XLOOKUP($B47,M_YT_LIVE!$A:$A,M_YT_LIVE!$D:$D)</f>
        <v>https://www.youtube.com/live/gtzKshYmOXY?si=1Gz8lwbOe32zbbqo</v>
      </c>
      <c r="Z47" s="16" t="str">
        <f>HYPERLINK($X47&amp;SUBSTITUTE(マスタ!$C$3,"XXXXX",$W47))</f>
        <v>https://www.youtube.com/live/gtzKshYmOXY?si=1Gz8lwbOe32zbbqo&amp;t=4710s</v>
      </c>
      <c r="AA47" s="12" t="str">
        <f t="shared" si="1"/>
        <v>みきとP feat.初音ミク夏の半券</v>
      </c>
    </row>
    <row r="48" spans="1:27" x14ac:dyDescent="0.4">
      <c r="A48" s="14">
        <f t="shared" si="2"/>
        <v>47</v>
      </c>
      <c r="B48" s="14">
        <v>9</v>
      </c>
      <c r="C48" s="18" t="s">
        <v>162</v>
      </c>
      <c r="D48" s="14" t="s">
        <v>163</v>
      </c>
      <c r="E48" s="14" t="s">
        <v>125</v>
      </c>
      <c r="G48" s="1" t="str">
        <f>_xlfn.XLOOKUP(B48,M_YT_LIVE!A:A,M_YT_LIVE!F:F,"ERROR",0,1)</f>
        <v>弾き語り</v>
      </c>
      <c r="W48" s="13">
        <f t="shared" si="0"/>
        <v>5206</v>
      </c>
      <c r="X48" s="12" t="str">
        <f>_xlfn.XLOOKUP($B48,M_YT_LIVE!$A:$A,M_YT_LIVE!$D:$D)</f>
        <v>https://www.youtube.com/live/gtzKshYmOXY?si=1Gz8lwbOe32zbbqo</v>
      </c>
      <c r="Z48" s="16" t="str">
        <f>HYPERLINK($X48&amp;SUBSTITUTE(マスタ!$C$3,"XXXXX",$W48))</f>
        <v>https://www.youtube.com/live/gtzKshYmOXY?si=1Gz8lwbOe32zbbqo&amp;t=5206s</v>
      </c>
      <c r="AA48" s="12" t="str">
        <f t="shared" si="1"/>
        <v>Orangestar feat.IAAlice in 冷凍庫</v>
      </c>
    </row>
    <row r="49" spans="1:27" x14ac:dyDescent="0.4">
      <c r="A49" s="14">
        <f t="shared" si="2"/>
        <v>48</v>
      </c>
      <c r="B49" s="14">
        <v>9</v>
      </c>
      <c r="C49" s="18" t="s">
        <v>164</v>
      </c>
      <c r="D49" s="14" t="s">
        <v>165</v>
      </c>
      <c r="E49" s="14" t="s">
        <v>118</v>
      </c>
      <c r="G49" s="1" t="str">
        <f>_xlfn.XLOOKUP(B49,M_YT_LIVE!A:A,M_YT_LIVE!F:F,"ERROR",0,1)</f>
        <v>弾き語り</v>
      </c>
      <c r="W49" s="13">
        <f t="shared" si="0"/>
        <v>5720.0000000000009</v>
      </c>
      <c r="X49" s="12" t="str">
        <f>_xlfn.XLOOKUP($B49,M_YT_LIVE!$A:$A,M_YT_LIVE!$D:$D)</f>
        <v>https://www.youtube.com/live/gtzKshYmOXY?si=1Gz8lwbOe32zbbqo</v>
      </c>
      <c r="Z49" s="16" t="str">
        <f>HYPERLINK($X49&amp;SUBSTITUTE(マスタ!$C$3,"XXXXX",$W49))</f>
        <v>https://www.youtube.com/live/gtzKshYmOXY?si=1Gz8lwbOe32zbbqo&amp;t=5720s</v>
      </c>
      <c r="AA49" s="12" t="str">
        <f t="shared" si="1"/>
        <v>Orangestar feat.初音ミク回る空うさぎ</v>
      </c>
    </row>
    <row r="50" spans="1:27" x14ac:dyDescent="0.4">
      <c r="A50" s="14">
        <f t="shared" si="2"/>
        <v>49</v>
      </c>
      <c r="B50" s="14">
        <v>9</v>
      </c>
      <c r="C50" s="18" t="s">
        <v>166</v>
      </c>
      <c r="D50" s="14" t="s">
        <v>167</v>
      </c>
      <c r="E50" s="14" t="s">
        <v>168</v>
      </c>
      <c r="G50" s="1" t="str">
        <f>_xlfn.XLOOKUP(B50,M_YT_LIVE!A:A,M_YT_LIVE!F:F,"ERROR",0,1)</f>
        <v>弾き語り</v>
      </c>
      <c r="W50" s="13">
        <f t="shared" si="0"/>
        <v>6145.0000000000009</v>
      </c>
      <c r="X50" s="12" t="str">
        <f>_xlfn.XLOOKUP($B50,M_YT_LIVE!$A:$A,M_YT_LIVE!$D:$D)</f>
        <v>https://www.youtube.com/live/gtzKshYmOXY?si=1Gz8lwbOe32zbbqo</v>
      </c>
      <c r="Z50" s="16" t="str">
        <f>HYPERLINK($X50&amp;SUBSTITUTE(マスタ!$C$3,"XXXXX",$W50))</f>
        <v>https://www.youtube.com/live/gtzKshYmOXY?si=1Gz8lwbOe32zbbqo&amp;t=6145s</v>
      </c>
      <c r="AA50" s="12" t="str">
        <f t="shared" si="1"/>
        <v>Aimerカタオモイ</v>
      </c>
    </row>
    <row r="51" spans="1:27" x14ac:dyDescent="0.4">
      <c r="A51" s="14">
        <f t="shared" si="2"/>
        <v>50</v>
      </c>
      <c r="B51" s="14">
        <v>11</v>
      </c>
      <c r="C51" s="18" t="s">
        <v>173</v>
      </c>
      <c r="D51" s="14" t="s">
        <v>174</v>
      </c>
      <c r="E51" s="14" t="s">
        <v>20</v>
      </c>
      <c r="G51" s="1" t="str">
        <f>_xlfn.XLOOKUP(B51,M_YT_LIVE!A:A,M_YT_LIVE!F:F,"ERROR",0,1)</f>
        <v>弾き語り</v>
      </c>
      <c r="W51" s="13">
        <f t="shared" si="0"/>
        <v>285</v>
      </c>
      <c r="X51" s="12" t="str">
        <f>_xlfn.XLOOKUP($B51,M_YT_LIVE!$A:$A,M_YT_LIVE!$D:$D)</f>
        <v>https://www.youtube.com/live/Fd1Z_6ywMyI?si=i1-U-h_G5BWB0Lq-</v>
      </c>
      <c r="Z51" s="16" t="str">
        <f>HYPERLINK($X51&amp;SUBSTITUTE(マスタ!$C$3,"XXXXX",$W51))</f>
        <v>https://www.youtube.com/live/Fd1Z_6ywMyI?si=i1-U-h_G5BWB0Lq-&amp;t=285s</v>
      </c>
      <c r="AA51" s="12" t="str">
        <f t="shared" si="1"/>
        <v>Vaundy東京フラッシュ</v>
      </c>
    </row>
    <row r="52" spans="1:27" x14ac:dyDescent="0.4">
      <c r="A52" s="14">
        <f t="shared" si="2"/>
        <v>51</v>
      </c>
      <c r="B52" s="14">
        <v>11</v>
      </c>
      <c r="C52" s="18" t="s">
        <v>175</v>
      </c>
      <c r="D52" s="14" t="s">
        <v>176</v>
      </c>
      <c r="E52" s="14" t="s">
        <v>177</v>
      </c>
      <c r="G52" s="1" t="str">
        <f>_xlfn.XLOOKUP(B52,M_YT_LIVE!A:A,M_YT_LIVE!F:F,"ERROR",0,1)</f>
        <v>弾き語り</v>
      </c>
      <c r="W52" s="13">
        <f t="shared" si="0"/>
        <v>714</v>
      </c>
      <c r="X52" s="12" t="str">
        <f>_xlfn.XLOOKUP($B52,M_YT_LIVE!$A:$A,M_YT_LIVE!$D:$D)</f>
        <v>https://www.youtube.com/live/Fd1Z_6ywMyI?si=i1-U-h_G5BWB0Lq-</v>
      </c>
      <c r="Z52" s="16" t="str">
        <f>HYPERLINK($X52&amp;SUBSTITUTE(マスタ!$C$3,"XXXXX",$W52))</f>
        <v>https://www.youtube.com/live/Fd1Z_6ywMyI?si=i1-U-h_G5BWB0Lq-&amp;t=714s</v>
      </c>
      <c r="AA52" s="12" t="str">
        <f t="shared" si="1"/>
        <v>Saucy Dogシンデレラボーイ</v>
      </c>
    </row>
    <row r="53" spans="1:27" x14ac:dyDescent="0.4">
      <c r="A53" s="14">
        <f t="shared" si="2"/>
        <v>52</v>
      </c>
      <c r="B53" s="14">
        <v>11</v>
      </c>
      <c r="C53" s="18" t="s">
        <v>178</v>
      </c>
      <c r="D53" s="14" t="s">
        <v>179</v>
      </c>
      <c r="E53" s="14" t="s">
        <v>180</v>
      </c>
      <c r="G53" s="1" t="str">
        <f>_xlfn.XLOOKUP(B53,M_YT_LIVE!A:A,M_YT_LIVE!F:F,"ERROR",0,1)</f>
        <v>弾き語り</v>
      </c>
      <c r="W53" s="13">
        <f t="shared" si="0"/>
        <v>1005</v>
      </c>
      <c r="X53" s="12" t="str">
        <f>_xlfn.XLOOKUP($B53,M_YT_LIVE!$A:$A,M_YT_LIVE!$D:$D)</f>
        <v>https://www.youtube.com/live/Fd1Z_6ywMyI?si=i1-U-h_G5BWB0Lq-</v>
      </c>
      <c r="Z53" s="16" t="str">
        <f>HYPERLINK($X53&amp;SUBSTITUTE(マスタ!$C$3,"XXXXX",$W53))</f>
        <v>https://www.youtube.com/live/Fd1Z_6ywMyI?si=i1-U-h_G5BWB0Lq-&amp;t=1005s</v>
      </c>
      <c r="AA53" s="12" t="str">
        <f t="shared" si="1"/>
        <v>40mP feat.初音ミクからくりピエロ</v>
      </c>
    </row>
    <row r="54" spans="1:27" x14ac:dyDescent="0.4">
      <c r="A54" s="14">
        <f t="shared" si="2"/>
        <v>53</v>
      </c>
      <c r="B54" s="14">
        <v>11</v>
      </c>
      <c r="C54" s="18" t="s">
        <v>181</v>
      </c>
      <c r="D54" s="14" t="s">
        <v>182</v>
      </c>
      <c r="E54" s="14" t="s">
        <v>183</v>
      </c>
      <c r="G54" s="1" t="str">
        <f>_xlfn.XLOOKUP(B54,M_YT_LIVE!A:A,M_YT_LIVE!F:F,"ERROR",0,1)</f>
        <v>弾き語り</v>
      </c>
      <c r="W54" s="13">
        <f t="shared" si="0"/>
        <v>1381.0000000000002</v>
      </c>
      <c r="X54" s="12" t="str">
        <f>_xlfn.XLOOKUP($B54,M_YT_LIVE!$A:$A,M_YT_LIVE!$D:$D)</f>
        <v>https://www.youtube.com/live/Fd1Z_6ywMyI?si=i1-U-h_G5BWB0Lq-</v>
      </c>
      <c r="Z54" s="16" t="str">
        <f>HYPERLINK($X54&amp;SUBSTITUTE(マスタ!$C$3,"XXXXX",$W54))</f>
        <v>https://www.youtube.com/live/Fd1Z_6ywMyI?si=i1-U-h_G5BWB0Lq-&amp;t=1381s</v>
      </c>
      <c r="AA54" s="12" t="str">
        <f t="shared" si="1"/>
        <v>クリープハイプおやすみ、泣き声 さよなら歌姫</v>
      </c>
    </row>
    <row r="55" spans="1:27" x14ac:dyDescent="0.4">
      <c r="A55" s="14">
        <f t="shared" si="2"/>
        <v>54</v>
      </c>
      <c r="B55" s="14">
        <v>11</v>
      </c>
      <c r="C55" s="18" t="s">
        <v>184</v>
      </c>
      <c r="D55" s="14" t="s">
        <v>185</v>
      </c>
      <c r="E55" s="14" t="s">
        <v>186</v>
      </c>
      <c r="G55" s="1" t="str">
        <f>_xlfn.XLOOKUP(B55,M_YT_LIVE!A:A,M_YT_LIVE!F:F,"ERROR",0,1)</f>
        <v>弾き語り</v>
      </c>
      <c r="W55" s="13">
        <f t="shared" si="0"/>
        <v>1864</v>
      </c>
      <c r="X55" s="12" t="str">
        <f>_xlfn.XLOOKUP($B55,M_YT_LIVE!$A:$A,M_YT_LIVE!$D:$D)</f>
        <v>https://www.youtube.com/live/Fd1Z_6ywMyI?si=i1-U-h_G5BWB0Lq-</v>
      </c>
      <c r="Z55" s="16" t="str">
        <f>HYPERLINK($X55&amp;SUBSTITUTE(マスタ!$C$3,"XXXXX",$W55))</f>
        <v>https://www.youtube.com/live/Fd1Z_6ywMyI?si=i1-U-h_G5BWB0Lq-&amp;t=1864s</v>
      </c>
      <c r="AA55" s="12" t="str">
        <f t="shared" si="1"/>
        <v>YUI for 雨音薫Good-bye days</v>
      </c>
    </row>
    <row r="56" spans="1:27" x14ac:dyDescent="0.4">
      <c r="A56" s="14">
        <f t="shared" si="2"/>
        <v>55</v>
      </c>
      <c r="B56" s="14">
        <v>12</v>
      </c>
      <c r="C56" s="18" t="s">
        <v>189</v>
      </c>
      <c r="D56" s="14" t="s">
        <v>19</v>
      </c>
      <c r="E56" s="14" t="s">
        <v>20</v>
      </c>
      <c r="G56" s="1" t="str">
        <f>_xlfn.XLOOKUP(B56,M_YT_LIVE!A:A,M_YT_LIVE!F:F,"ERROR",0,1)</f>
        <v>弾き語り</v>
      </c>
      <c r="W56" s="13">
        <f t="shared" si="0"/>
        <v>901</v>
      </c>
      <c r="X56" s="12" t="str">
        <f>_xlfn.XLOOKUP($B56,M_YT_LIVE!$A:$A,M_YT_LIVE!$D:$D)</f>
        <v>https://www.youtube.com/live/0d6TiZm7xWc?si=rSfrknMqNQFcz5xw</v>
      </c>
      <c r="Z56" s="16" t="str">
        <f>HYPERLINK($X56&amp;SUBSTITUTE(マスタ!$C$3,"XXXXX",$W56))</f>
        <v>https://www.youtube.com/live/0d6TiZm7xWc?si=rSfrknMqNQFcz5xw&amp;t=901s</v>
      </c>
      <c r="AA56" s="12" t="str">
        <f t="shared" si="1"/>
        <v>Vaundy怪獣の花唄</v>
      </c>
    </row>
    <row r="57" spans="1:27" x14ac:dyDescent="0.4">
      <c r="A57" s="14">
        <f t="shared" si="2"/>
        <v>56</v>
      </c>
      <c r="B57" s="14">
        <v>12</v>
      </c>
      <c r="C57" s="18" t="s">
        <v>190</v>
      </c>
      <c r="D57" s="14" t="s">
        <v>191</v>
      </c>
      <c r="E57" s="14" t="s">
        <v>192</v>
      </c>
      <c r="G57" s="1" t="str">
        <f>_xlfn.XLOOKUP(B57,M_YT_LIVE!A:A,M_YT_LIVE!F:F,"ERROR",0,1)</f>
        <v>弾き語り</v>
      </c>
      <c r="W57" s="13">
        <f t="shared" si="0"/>
        <v>1227</v>
      </c>
      <c r="X57" s="12" t="str">
        <f>_xlfn.XLOOKUP($B57,M_YT_LIVE!$A:$A,M_YT_LIVE!$D:$D)</f>
        <v>https://www.youtube.com/live/0d6TiZm7xWc?si=rSfrknMqNQFcz5xw</v>
      </c>
      <c r="Z57" s="16" t="str">
        <f>HYPERLINK($X57&amp;SUBSTITUTE(マスタ!$C$3,"XXXXX",$W57))</f>
        <v>https://www.youtube.com/live/0d6TiZm7xWc?si=rSfrknMqNQFcz5xw&amp;t=1227s</v>
      </c>
      <c r="AA57" s="12" t="str">
        <f t="shared" si="1"/>
        <v>結束バンド星座になれたら</v>
      </c>
    </row>
    <row r="58" spans="1:27" x14ac:dyDescent="0.4">
      <c r="A58" s="14">
        <f t="shared" si="2"/>
        <v>57</v>
      </c>
      <c r="B58" s="14">
        <v>12</v>
      </c>
      <c r="C58" s="18" t="s">
        <v>193</v>
      </c>
      <c r="D58" s="14" t="s">
        <v>194</v>
      </c>
      <c r="E58" s="14" t="s">
        <v>195</v>
      </c>
      <c r="G58" s="1" t="str">
        <f>_xlfn.XLOOKUP(B58,M_YT_LIVE!A:A,M_YT_LIVE!F:F,"ERROR",0,1)</f>
        <v>弾き語り</v>
      </c>
      <c r="W58" s="13">
        <f t="shared" si="0"/>
        <v>1669</v>
      </c>
      <c r="X58" s="12" t="str">
        <f>_xlfn.XLOOKUP($B58,M_YT_LIVE!$A:$A,M_YT_LIVE!$D:$D)</f>
        <v>https://www.youtube.com/live/0d6TiZm7xWc?si=rSfrknMqNQFcz5xw</v>
      </c>
      <c r="Z58" s="16" t="str">
        <f>HYPERLINK($X58&amp;SUBSTITUTE(マスタ!$C$3,"XXXXX",$W58))</f>
        <v>https://www.youtube.com/live/0d6TiZm7xWc?si=rSfrknMqNQFcz5xw&amp;t=1669s</v>
      </c>
      <c r="AA58" s="12" t="str">
        <f t="shared" si="1"/>
        <v>やなぎなぎユキトキ</v>
      </c>
    </row>
    <row r="59" spans="1:27" x14ac:dyDescent="0.4">
      <c r="A59" s="14">
        <f t="shared" si="2"/>
        <v>58</v>
      </c>
      <c r="B59" s="14">
        <v>12</v>
      </c>
      <c r="C59" s="18" t="s">
        <v>196</v>
      </c>
      <c r="D59" s="14" t="s">
        <v>197</v>
      </c>
      <c r="E59" s="14" t="s">
        <v>125</v>
      </c>
      <c r="G59" s="1" t="str">
        <f>_xlfn.XLOOKUP(B59,M_YT_LIVE!A:A,M_YT_LIVE!F:F,"ERROR",0,1)</f>
        <v>弾き語り</v>
      </c>
      <c r="W59" s="13">
        <f t="shared" si="0"/>
        <v>2110</v>
      </c>
      <c r="X59" s="12" t="str">
        <f>_xlfn.XLOOKUP($B59,M_YT_LIVE!$A:$A,M_YT_LIVE!$D:$D)</f>
        <v>https://www.youtube.com/live/0d6TiZm7xWc?si=rSfrknMqNQFcz5xw</v>
      </c>
      <c r="Z59" s="16" t="str">
        <f>HYPERLINK($X59&amp;SUBSTITUTE(マスタ!$C$3,"XXXXX",$W59))</f>
        <v>https://www.youtube.com/live/0d6TiZm7xWc?si=rSfrknMqNQFcz5xw&amp;t=2110s</v>
      </c>
      <c r="AA59" s="12" t="str">
        <f t="shared" si="1"/>
        <v>Orangestar feat.IADAYBREAK FRONTLINE</v>
      </c>
    </row>
    <row r="60" spans="1:27" x14ac:dyDescent="0.4">
      <c r="A60" s="14">
        <f t="shared" si="2"/>
        <v>59</v>
      </c>
      <c r="B60" s="14">
        <v>12</v>
      </c>
      <c r="C60" s="18" t="s">
        <v>198</v>
      </c>
      <c r="D60" s="14" t="s">
        <v>199</v>
      </c>
      <c r="E60" s="14" t="s">
        <v>200</v>
      </c>
      <c r="G60" s="1" t="str">
        <f>_xlfn.XLOOKUP(B60,M_YT_LIVE!A:A,M_YT_LIVE!F:F,"ERROR",0,1)</f>
        <v>弾き語り</v>
      </c>
      <c r="W60" s="13">
        <f t="shared" si="0"/>
        <v>2532</v>
      </c>
      <c r="X60" s="12" t="str">
        <f>_xlfn.XLOOKUP($B60,M_YT_LIVE!$A:$A,M_YT_LIVE!$D:$D)</f>
        <v>https://www.youtube.com/live/0d6TiZm7xWc?si=rSfrknMqNQFcz5xw</v>
      </c>
      <c r="Z60" s="16" t="str">
        <f>HYPERLINK($X60&amp;SUBSTITUTE(マスタ!$C$3,"XXXXX",$W60))</f>
        <v>https://www.youtube.com/live/0d6TiZm7xWc?si=rSfrknMqNQFcz5xw&amp;t=2532s</v>
      </c>
      <c r="AA60" s="12" t="str">
        <f t="shared" si="1"/>
        <v>緑黄色社会sabotage</v>
      </c>
    </row>
    <row r="61" spans="1:27" x14ac:dyDescent="0.4">
      <c r="A61" s="14">
        <f t="shared" si="2"/>
        <v>60</v>
      </c>
      <c r="B61" s="14">
        <v>12</v>
      </c>
      <c r="C61" s="18" t="s">
        <v>201</v>
      </c>
      <c r="D61" s="14" t="s">
        <v>202</v>
      </c>
      <c r="E61" s="14" t="s">
        <v>141</v>
      </c>
      <c r="G61" s="1" t="str">
        <f>_xlfn.XLOOKUP(B61,M_YT_LIVE!A:A,M_YT_LIVE!F:F,"ERROR",0,1)</f>
        <v>弾き語り</v>
      </c>
      <c r="W61" s="13">
        <f t="shared" si="0"/>
        <v>3060</v>
      </c>
      <c r="X61" s="12" t="str">
        <f>_xlfn.XLOOKUP($B61,M_YT_LIVE!$A:$A,M_YT_LIVE!$D:$D)</f>
        <v>https://www.youtube.com/live/0d6TiZm7xWc?si=rSfrknMqNQFcz5xw</v>
      </c>
      <c r="Z61" s="16" t="str">
        <f>HYPERLINK($X61&amp;SUBSTITUTE(マスタ!$C$3,"XXXXX",$W61))</f>
        <v>https://www.youtube.com/live/0d6TiZm7xWc?si=rSfrknMqNQFcz5xw&amp;t=3060s</v>
      </c>
      <c r="AA61" s="12" t="str">
        <f t="shared" si="1"/>
        <v>ヨルシカノーチラス</v>
      </c>
    </row>
    <row r="62" spans="1:27" x14ac:dyDescent="0.4">
      <c r="A62" s="14">
        <f t="shared" si="2"/>
        <v>61</v>
      </c>
      <c r="B62" s="14">
        <v>12</v>
      </c>
      <c r="C62" s="18" t="s">
        <v>203</v>
      </c>
      <c r="D62" s="14" t="s">
        <v>204</v>
      </c>
      <c r="E62" s="14" t="s">
        <v>205</v>
      </c>
      <c r="G62" s="1" t="str">
        <f>_xlfn.XLOOKUP(B62,M_YT_LIVE!A:A,M_YT_LIVE!F:F,"ERROR",0,1)</f>
        <v>弾き語り</v>
      </c>
      <c r="W62" s="13">
        <f t="shared" si="0"/>
        <v>3567</v>
      </c>
      <c r="X62" s="12" t="str">
        <f>_xlfn.XLOOKUP($B62,M_YT_LIVE!$A:$A,M_YT_LIVE!$D:$D)</f>
        <v>https://www.youtube.com/live/0d6TiZm7xWc?si=rSfrknMqNQFcz5xw</v>
      </c>
      <c r="Z62" s="16" t="str">
        <f>HYPERLINK($X62&amp;SUBSTITUTE(マスタ!$C$3,"XXXXX",$W62))</f>
        <v>https://www.youtube.com/live/0d6TiZm7xWc?si=rSfrknMqNQFcz5xw&amp;t=3567s</v>
      </c>
      <c r="AA62" s="12" t="str">
        <f t="shared" si="1"/>
        <v>164P feat.GUMI天ノ弱</v>
      </c>
    </row>
    <row r="63" spans="1:27" x14ac:dyDescent="0.4">
      <c r="A63" s="14">
        <f t="shared" si="2"/>
        <v>62</v>
      </c>
      <c r="B63" s="14">
        <v>12</v>
      </c>
      <c r="C63" s="18" t="s">
        <v>206</v>
      </c>
      <c r="D63" s="14" t="s">
        <v>207</v>
      </c>
      <c r="E63" s="14" t="s">
        <v>208</v>
      </c>
      <c r="G63" s="1" t="str">
        <f>_xlfn.XLOOKUP(B63,M_YT_LIVE!A:A,M_YT_LIVE!F:F,"ERROR",0,1)</f>
        <v>弾き語り</v>
      </c>
      <c r="W63" s="13">
        <f t="shared" si="0"/>
        <v>3967</v>
      </c>
      <c r="X63" s="12" t="str">
        <f>_xlfn.XLOOKUP($B63,M_YT_LIVE!$A:$A,M_YT_LIVE!$D:$D)</f>
        <v>https://www.youtube.com/live/0d6TiZm7xWc?si=rSfrknMqNQFcz5xw</v>
      </c>
      <c r="Z63" s="16" t="str">
        <f>HYPERLINK($X63&amp;SUBSTITUTE(マスタ!$C$3,"XXXXX",$W63))</f>
        <v>https://www.youtube.com/live/0d6TiZm7xWc?si=rSfrknMqNQFcz5xw&amp;t=3967s</v>
      </c>
      <c r="AA63" s="12" t="str">
        <f t="shared" si="1"/>
        <v>supercellPerfect Day</v>
      </c>
    </row>
    <row r="64" spans="1:27" x14ac:dyDescent="0.4">
      <c r="A64" s="14">
        <f t="shared" si="2"/>
        <v>63</v>
      </c>
      <c r="B64" s="14">
        <v>12</v>
      </c>
      <c r="C64" s="18" t="s">
        <v>209</v>
      </c>
      <c r="D64" s="14" t="s">
        <v>210</v>
      </c>
      <c r="E64" s="14" t="s">
        <v>141</v>
      </c>
      <c r="G64" s="1" t="str">
        <f>_xlfn.XLOOKUP(B64,M_YT_LIVE!A:A,M_YT_LIVE!F:F,"ERROR",0,1)</f>
        <v>弾き語り</v>
      </c>
      <c r="W64" s="13">
        <f t="shared" si="0"/>
        <v>4509</v>
      </c>
      <c r="X64" s="12" t="str">
        <f>_xlfn.XLOOKUP($B64,M_YT_LIVE!$A:$A,M_YT_LIVE!$D:$D)</f>
        <v>https://www.youtube.com/live/0d6TiZm7xWc?si=rSfrknMqNQFcz5xw</v>
      </c>
      <c r="Z64" s="16" t="str">
        <f>HYPERLINK($X64&amp;SUBSTITUTE(マスタ!$C$3,"XXXXX",$W64))</f>
        <v>https://www.youtube.com/live/0d6TiZm7xWc?si=rSfrknMqNQFcz5xw&amp;t=4509s</v>
      </c>
      <c r="AA64" s="12" t="str">
        <f t="shared" si="1"/>
        <v>ヨルシカ藍二乗</v>
      </c>
    </row>
    <row r="65" spans="1:27" x14ac:dyDescent="0.4">
      <c r="A65" s="14">
        <f t="shared" si="2"/>
        <v>64</v>
      </c>
      <c r="B65" s="14">
        <v>14</v>
      </c>
      <c r="C65" s="18" t="s">
        <v>215</v>
      </c>
      <c r="D65" s="14" t="s">
        <v>216</v>
      </c>
      <c r="E65" s="14" t="s">
        <v>20</v>
      </c>
      <c r="G65" s="1" t="str">
        <f>_xlfn.XLOOKUP(B65,M_YT_LIVE!A:A,M_YT_LIVE!F:F,"ERROR",0,1)</f>
        <v>弾き語り</v>
      </c>
      <c r="W65" s="13">
        <f t="shared" si="0"/>
        <v>222</v>
      </c>
      <c r="X65" s="12" t="str">
        <f>_xlfn.XLOOKUP($B65,M_YT_LIVE!$A:$A,M_YT_LIVE!$D:$D)</f>
        <v>https://www.youtube.com/live/7l8RLTKBC8E?si=4WR3af3ZrVMWAe9X</v>
      </c>
      <c r="Z65" s="16" t="str">
        <f>HYPERLINK($X65&amp;SUBSTITUTE(マスタ!$C$3,"XXXXX",$W65))</f>
        <v>https://www.youtube.com/live/7l8RLTKBC8E?si=4WR3af3ZrVMWAe9X&amp;t=222s</v>
      </c>
      <c r="AA65" s="12" t="str">
        <f t="shared" si="1"/>
        <v>Vaundynapori</v>
      </c>
    </row>
    <row r="66" spans="1:27" x14ac:dyDescent="0.4">
      <c r="A66" s="14">
        <f t="shared" si="2"/>
        <v>65</v>
      </c>
      <c r="B66" s="14">
        <v>14</v>
      </c>
      <c r="C66" s="18" t="s">
        <v>217</v>
      </c>
      <c r="D66" s="14" t="s">
        <v>218</v>
      </c>
      <c r="E66" s="14" t="s">
        <v>208</v>
      </c>
      <c r="G66" s="1" t="str">
        <f>_xlfn.XLOOKUP(B66,M_YT_LIVE!A:A,M_YT_LIVE!F:F,"ERROR",0,1)</f>
        <v>弾き語り</v>
      </c>
      <c r="W66" s="13">
        <f t="shared" si="0"/>
        <v>623</v>
      </c>
      <c r="X66" s="12" t="str">
        <f>_xlfn.XLOOKUP($B66,M_YT_LIVE!$A:$A,M_YT_LIVE!$D:$D)</f>
        <v>https://www.youtube.com/live/7l8RLTKBC8E?si=4WR3af3ZrVMWAe9X</v>
      </c>
      <c r="Z66" s="16" t="str">
        <f>HYPERLINK($X66&amp;SUBSTITUTE(マスタ!$C$3,"XXXXX",$W66))</f>
        <v>https://www.youtube.com/live/7l8RLTKBC8E?si=4WR3af3ZrVMWAe9X&amp;t=623s</v>
      </c>
      <c r="AA66" s="12" t="str">
        <f t="shared" si="1"/>
        <v>supercell君の知らない物語</v>
      </c>
    </row>
    <row r="67" spans="1:27" x14ac:dyDescent="0.4">
      <c r="A67" s="14">
        <f t="shared" si="2"/>
        <v>66</v>
      </c>
      <c r="B67" s="14">
        <v>14</v>
      </c>
      <c r="C67" s="18" t="s">
        <v>219</v>
      </c>
      <c r="D67" s="14" t="s">
        <v>220</v>
      </c>
      <c r="E67" s="14" t="s">
        <v>192</v>
      </c>
      <c r="G67" s="1" t="str">
        <f>_xlfn.XLOOKUP(B67,M_YT_LIVE!A:A,M_YT_LIVE!F:F,"ERROR",0,1)</f>
        <v>弾き語り</v>
      </c>
      <c r="W67" s="13">
        <f t="shared" ref="W67:W130" si="3">TIMEVALUE($C67)*86400</f>
        <v>1177</v>
      </c>
      <c r="X67" s="12" t="str">
        <f>_xlfn.XLOOKUP($B67,M_YT_LIVE!$A:$A,M_YT_LIVE!$D:$D)</f>
        <v>https://www.youtube.com/live/7l8RLTKBC8E?si=4WR3af3ZrVMWAe9X</v>
      </c>
      <c r="Z67" s="16" t="str">
        <f>HYPERLINK($X67&amp;SUBSTITUTE(マスタ!$C$3,"XXXXX",$W67))</f>
        <v>https://www.youtube.com/live/7l8RLTKBC8E?si=4WR3af3ZrVMWAe9X&amp;t=1177s</v>
      </c>
      <c r="AA67" s="12" t="str">
        <f t="shared" ref="AA67:AA130" si="4">TRIM(E67)&amp;TRIM(D67)</f>
        <v>結束バンドギターと孤独と蒼い惑星</v>
      </c>
    </row>
    <row r="68" spans="1:27" x14ac:dyDescent="0.4">
      <c r="A68" s="14">
        <f t="shared" si="2"/>
        <v>67</v>
      </c>
      <c r="B68" s="14">
        <v>14</v>
      </c>
      <c r="C68" s="18" t="s">
        <v>221</v>
      </c>
      <c r="D68" s="14" t="s">
        <v>222</v>
      </c>
      <c r="E68" s="14" t="s">
        <v>57</v>
      </c>
      <c r="G68" s="1" t="str">
        <f>_xlfn.XLOOKUP(B68,M_YT_LIVE!A:A,M_YT_LIVE!F:F,"ERROR",0,1)</f>
        <v>弾き語り</v>
      </c>
      <c r="W68" s="13">
        <f t="shared" si="3"/>
        <v>1570</v>
      </c>
      <c r="X68" s="12" t="str">
        <f>_xlfn.XLOOKUP($B68,M_YT_LIVE!$A:$A,M_YT_LIVE!$D:$D)</f>
        <v>https://www.youtube.com/live/7l8RLTKBC8E?si=4WR3af3ZrVMWAe9X</v>
      </c>
      <c r="Z68" s="16" t="str">
        <f>HYPERLINK($X68&amp;SUBSTITUTE(マスタ!$C$3,"XXXXX",$W68))</f>
        <v>https://www.youtube.com/live/7l8RLTKBC8E?si=4WR3af3ZrVMWAe9X&amp;t=1570s</v>
      </c>
      <c r="AA68" s="12" t="str">
        <f t="shared" si="4"/>
        <v>羊文学光るとき</v>
      </c>
    </row>
    <row r="69" spans="1:27" x14ac:dyDescent="0.4">
      <c r="A69" s="14">
        <f t="shared" ref="A69:A132" si="5">ROW()-1</f>
        <v>68</v>
      </c>
      <c r="B69" s="14">
        <v>14</v>
      </c>
      <c r="C69" s="18" t="s">
        <v>223</v>
      </c>
      <c r="D69" s="14" t="s">
        <v>224</v>
      </c>
      <c r="E69" s="14" t="s">
        <v>225</v>
      </c>
      <c r="G69" s="1" t="str">
        <f>_xlfn.XLOOKUP(B69,M_YT_LIVE!A:A,M_YT_LIVE!F:F,"ERROR",0,1)</f>
        <v>弾き語り</v>
      </c>
      <c r="W69" s="13">
        <f t="shared" si="3"/>
        <v>2078</v>
      </c>
      <c r="X69" s="12" t="str">
        <f>_xlfn.XLOOKUP($B69,M_YT_LIVE!$A:$A,M_YT_LIVE!$D:$D)</f>
        <v>https://www.youtube.com/live/7l8RLTKBC8E?si=4WR3af3ZrVMWAe9X</v>
      </c>
      <c r="Z69" s="16" t="str">
        <f>HYPERLINK($X69&amp;SUBSTITUTE(マスタ!$C$3,"XXXXX",$W69))</f>
        <v>https://www.youtube.com/live/7l8RLTKBC8E?si=4WR3af3ZrVMWAe9X&amp;t=2078s</v>
      </c>
      <c r="AA69" s="12" t="str">
        <f t="shared" si="4"/>
        <v>ryo(supercell) feat.初音ミクメルト</v>
      </c>
    </row>
    <row r="70" spans="1:27" x14ac:dyDescent="0.4">
      <c r="A70" s="14">
        <f t="shared" si="5"/>
        <v>69</v>
      </c>
      <c r="B70" s="14">
        <v>14</v>
      </c>
      <c r="C70" s="18" t="s">
        <v>226</v>
      </c>
      <c r="D70" s="14" t="s">
        <v>227</v>
      </c>
      <c r="E70" s="14" t="s">
        <v>228</v>
      </c>
      <c r="G70" s="1" t="str">
        <f>_xlfn.XLOOKUP(B70,M_YT_LIVE!A:A,M_YT_LIVE!F:F,"ERROR",0,1)</f>
        <v>弾き語り</v>
      </c>
      <c r="W70" s="13">
        <f t="shared" si="3"/>
        <v>2522</v>
      </c>
      <c r="X70" s="12" t="str">
        <f>_xlfn.XLOOKUP($B70,M_YT_LIVE!$A:$A,M_YT_LIVE!$D:$D)</f>
        <v>https://www.youtube.com/live/7l8RLTKBC8E?si=4WR3af3ZrVMWAe9X</v>
      </c>
      <c r="Z70" s="16" t="str">
        <f>HYPERLINK($X70&amp;SUBSTITUTE(マスタ!$C$3,"XXXXX",$W70))</f>
        <v>https://www.youtube.com/live/7l8RLTKBC8E?si=4WR3af3ZrVMWAe9X&amp;t=2522s</v>
      </c>
      <c r="AA70" s="12" t="str">
        <f t="shared" si="4"/>
        <v>ずっと真夜中でいいのに。Dear Mr 「F」</v>
      </c>
    </row>
    <row r="71" spans="1:27" x14ac:dyDescent="0.4">
      <c r="A71" s="14">
        <f t="shared" si="5"/>
        <v>70</v>
      </c>
      <c r="B71" s="14">
        <v>14</v>
      </c>
      <c r="C71" s="18" t="s">
        <v>229</v>
      </c>
      <c r="D71" s="14" t="s">
        <v>230</v>
      </c>
      <c r="E71" s="14" t="s">
        <v>141</v>
      </c>
      <c r="G71" s="1" t="str">
        <f>_xlfn.XLOOKUP(B71,M_YT_LIVE!A:A,M_YT_LIVE!F:F,"ERROR",0,1)</f>
        <v>弾き語り</v>
      </c>
      <c r="W71" s="13">
        <f t="shared" si="3"/>
        <v>2984.0000000000005</v>
      </c>
      <c r="X71" s="12" t="str">
        <f>_xlfn.XLOOKUP($B71,M_YT_LIVE!$A:$A,M_YT_LIVE!$D:$D)</f>
        <v>https://www.youtube.com/live/7l8RLTKBC8E?si=4WR3af3ZrVMWAe9X</v>
      </c>
      <c r="Z71" s="16" t="str">
        <f>HYPERLINK($X71&amp;SUBSTITUTE(マスタ!$C$3,"XXXXX",$W71))</f>
        <v>https://www.youtube.com/live/7l8RLTKBC8E?si=4WR3af3ZrVMWAe9X&amp;t=2984s</v>
      </c>
      <c r="AA71" s="12" t="str">
        <f t="shared" si="4"/>
        <v>ヨルシカ言って。</v>
      </c>
    </row>
    <row r="72" spans="1:27" x14ac:dyDescent="0.4">
      <c r="A72" s="14">
        <f t="shared" si="5"/>
        <v>71</v>
      </c>
      <c r="B72" s="14">
        <v>14</v>
      </c>
      <c r="C72" s="18" t="s">
        <v>231</v>
      </c>
      <c r="D72" s="14" t="s">
        <v>232</v>
      </c>
      <c r="E72" s="14" t="s">
        <v>141</v>
      </c>
      <c r="G72" s="1" t="str">
        <f>_xlfn.XLOOKUP(B72,M_YT_LIVE!A:A,M_YT_LIVE!F:F,"ERROR",0,1)</f>
        <v>弾き語り</v>
      </c>
      <c r="W72" s="13">
        <f t="shared" si="3"/>
        <v>3350</v>
      </c>
      <c r="X72" s="12" t="str">
        <f>_xlfn.XLOOKUP($B72,M_YT_LIVE!$A:$A,M_YT_LIVE!$D:$D)</f>
        <v>https://www.youtube.com/live/7l8RLTKBC8E?si=4WR3af3ZrVMWAe9X</v>
      </c>
      <c r="Z72" s="16" t="str">
        <f>HYPERLINK($X72&amp;SUBSTITUTE(マスタ!$C$3,"XXXXX",$W72))</f>
        <v>https://www.youtube.com/live/7l8RLTKBC8E?si=4WR3af3ZrVMWAe9X&amp;t=3350s</v>
      </c>
      <c r="AA72" s="12" t="str">
        <f t="shared" si="4"/>
        <v>ヨルシカチノカテ</v>
      </c>
    </row>
    <row r="73" spans="1:27" x14ac:dyDescent="0.4">
      <c r="A73" s="14">
        <f t="shared" si="5"/>
        <v>72</v>
      </c>
      <c r="B73" s="14">
        <v>14</v>
      </c>
      <c r="C73" s="18" t="s">
        <v>233</v>
      </c>
      <c r="D73" s="14" t="s">
        <v>234</v>
      </c>
      <c r="E73" s="14" t="s">
        <v>135</v>
      </c>
      <c r="G73" s="1" t="str">
        <f>_xlfn.XLOOKUP(B73,M_YT_LIVE!A:A,M_YT_LIVE!F:F,"ERROR",0,1)</f>
        <v>弾き語り</v>
      </c>
      <c r="W73" s="13">
        <f t="shared" si="3"/>
        <v>3793</v>
      </c>
      <c r="X73" s="12" t="str">
        <f>_xlfn.XLOOKUP($B73,M_YT_LIVE!$A:$A,M_YT_LIVE!$D:$D)</f>
        <v>https://www.youtube.com/live/7l8RLTKBC8E?si=4WR3af3ZrVMWAe9X</v>
      </c>
      <c r="Z73" s="16" t="str">
        <f>HYPERLINK($X73&amp;SUBSTITUTE(マスタ!$C$3,"XXXXX",$W73))</f>
        <v>https://www.youtube.com/live/7l8RLTKBC8E?si=4WR3af3ZrVMWAe9X&amp;t=3793s</v>
      </c>
      <c r="AA73" s="12" t="str">
        <f t="shared" si="4"/>
        <v>EGOISTPlanetes</v>
      </c>
    </row>
    <row r="74" spans="1:27" x14ac:dyDescent="0.4">
      <c r="A74" s="14">
        <f t="shared" si="5"/>
        <v>73</v>
      </c>
      <c r="B74" s="14">
        <v>14</v>
      </c>
      <c r="C74" s="18" t="s">
        <v>157</v>
      </c>
      <c r="D74" s="14" t="s">
        <v>532</v>
      </c>
      <c r="E74" s="14" t="s">
        <v>279</v>
      </c>
      <c r="G74" s="1" t="str">
        <f>_xlfn.XLOOKUP(B74,M_YT_LIVE!A:A,M_YT_LIVE!F:F,"ERROR",0,1)</f>
        <v>弾き語り</v>
      </c>
      <c r="W74" s="13">
        <f t="shared" si="3"/>
        <v>4208</v>
      </c>
      <c r="X74" s="12" t="str">
        <f>_xlfn.XLOOKUP($B74,M_YT_LIVE!$A:$A,M_YT_LIVE!$D:$D)</f>
        <v>https://www.youtube.com/live/7l8RLTKBC8E?si=4WR3af3ZrVMWAe9X</v>
      </c>
      <c r="Z74" s="16" t="str">
        <f>HYPERLINK($X74&amp;SUBSTITUTE(マスタ!$C$3,"XXXXX",$W74))</f>
        <v>https://www.youtube.com/live/7l8RLTKBC8E?si=4WR3af3ZrVMWAe9X&amp;t=4208s</v>
      </c>
      <c r="AA74" s="12" t="str">
        <f t="shared" si="4"/>
        <v>幽音しの(即興)ねむねむの歌</v>
      </c>
    </row>
    <row r="75" spans="1:27" x14ac:dyDescent="0.4">
      <c r="A75" s="14">
        <f t="shared" si="5"/>
        <v>74</v>
      </c>
      <c r="B75" s="14">
        <v>14</v>
      </c>
      <c r="C75" s="18" t="s">
        <v>235</v>
      </c>
      <c r="D75" s="14" t="s">
        <v>236</v>
      </c>
      <c r="E75" s="14" t="s">
        <v>279</v>
      </c>
      <c r="G75" s="1" t="str">
        <f>_xlfn.XLOOKUP(B75,M_YT_LIVE!A:A,M_YT_LIVE!F:F,"ERROR",0,1)</f>
        <v>弾き語り</v>
      </c>
      <c r="W75" s="13">
        <f t="shared" si="3"/>
        <v>4419</v>
      </c>
      <c r="X75" s="12" t="str">
        <f>_xlfn.XLOOKUP($B75,M_YT_LIVE!$A:$A,M_YT_LIVE!$D:$D)</f>
        <v>https://www.youtube.com/live/7l8RLTKBC8E?si=4WR3af3ZrVMWAe9X</v>
      </c>
      <c r="Z75" s="16" t="str">
        <f>HYPERLINK($X75&amp;SUBSTITUTE(マスタ!$C$3,"XXXXX",$W75))</f>
        <v>https://www.youtube.com/live/7l8RLTKBC8E?si=4WR3af3ZrVMWAe9X&amp;t=4419s</v>
      </c>
      <c r="AA75" s="12" t="str">
        <f t="shared" si="4"/>
        <v>幽音しの(即興)ちょっと待ってねの歌</v>
      </c>
    </row>
    <row r="76" spans="1:27" x14ac:dyDescent="0.4">
      <c r="A76" s="14">
        <f t="shared" si="5"/>
        <v>75</v>
      </c>
      <c r="B76" s="14">
        <v>14</v>
      </c>
      <c r="C76" s="18" t="s">
        <v>237</v>
      </c>
      <c r="D76" s="14" t="s">
        <v>238</v>
      </c>
      <c r="E76" s="14" t="s">
        <v>135</v>
      </c>
      <c r="G76" s="1" t="str">
        <f>_xlfn.XLOOKUP(B76,M_YT_LIVE!A:A,M_YT_LIVE!F:F,"ERROR",0,1)</f>
        <v>弾き語り</v>
      </c>
      <c r="W76" s="13">
        <f t="shared" si="3"/>
        <v>4522</v>
      </c>
      <c r="X76" s="12" t="str">
        <f>_xlfn.XLOOKUP($B76,M_YT_LIVE!$A:$A,M_YT_LIVE!$D:$D)</f>
        <v>https://www.youtube.com/live/7l8RLTKBC8E?si=4WR3af3ZrVMWAe9X</v>
      </c>
      <c r="Z76" s="16" t="str">
        <f>HYPERLINK($X76&amp;SUBSTITUTE(マスタ!$C$3,"XXXXX",$W76))</f>
        <v>https://www.youtube.com/live/7l8RLTKBC8E?si=4WR3af3ZrVMWAe9X&amp;t=4522s</v>
      </c>
      <c r="AA76" s="12" t="str">
        <f t="shared" si="4"/>
        <v>EGOIST名前のない怪物</v>
      </c>
    </row>
    <row r="77" spans="1:27" x14ac:dyDescent="0.4">
      <c r="A77" s="14">
        <f t="shared" si="5"/>
        <v>76</v>
      </c>
      <c r="B77" s="14">
        <v>14</v>
      </c>
      <c r="C77" s="18" t="s">
        <v>239</v>
      </c>
      <c r="D77" s="14" t="s">
        <v>100</v>
      </c>
      <c r="E77" s="14" t="s">
        <v>101</v>
      </c>
      <c r="G77" s="1" t="str">
        <f>_xlfn.XLOOKUP(B77,M_YT_LIVE!A:A,M_YT_LIVE!F:F,"ERROR",0,1)</f>
        <v>弾き語り</v>
      </c>
      <c r="W77" s="13">
        <f t="shared" si="3"/>
        <v>5150</v>
      </c>
      <c r="X77" s="12" t="str">
        <f>_xlfn.XLOOKUP($B77,M_YT_LIVE!$A:$A,M_YT_LIVE!$D:$D)</f>
        <v>https://www.youtube.com/live/7l8RLTKBC8E?si=4WR3af3ZrVMWAe9X</v>
      </c>
      <c r="Z77" s="16" t="str">
        <f>HYPERLINK($X77&amp;SUBSTITUTE(マスタ!$C$3,"XXXXX",$W77))</f>
        <v>https://www.youtube.com/live/7l8RLTKBC8E?si=4WR3af3ZrVMWAe9X&amp;t=5150s</v>
      </c>
      <c r="AA77" s="12" t="str">
        <f t="shared" si="4"/>
        <v>n-buna(ヨルシカ) feat.初音ミク夜明けと蛍</v>
      </c>
    </row>
    <row r="78" spans="1:27" x14ac:dyDescent="0.4">
      <c r="A78" s="14">
        <f t="shared" si="5"/>
        <v>77</v>
      </c>
      <c r="B78" s="14">
        <v>15</v>
      </c>
      <c r="C78" s="18" t="s">
        <v>241</v>
      </c>
      <c r="D78" s="14" t="s">
        <v>242</v>
      </c>
      <c r="E78" s="14" t="s">
        <v>20</v>
      </c>
      <c r="G78" s="1" t="str">
        <f>_xlfn.XLOOKUP(B78,M_YT_LIVE!A:A,M_YT_LIVE!F:F,"ERROR",0,1)</f>
        <v>弾き語り</v>
      </c>
      <c r="W78" s="13">
        <f t="shared" si="3"/>
        <v>306</v>
      </c>
      <c r="X78" s="12" t="str">
        <f>_xlfn.XLOOKUP($B78,M_YT_LIVE!$A:$A,M_YT_LIVE!$D:$D)</f>
        <v>https://www.youtube.com/live/lrLQ6akH23w?si=aC5HLJK6UZYwu-Yn</v>
      </c>
      <c r="Z78" s="16" t="str">
        <f>HYPERLINK($X78&amp;SUBSTITUTE(マスタ!$C$3,"XXXXX",$W78))</f>
        <v>https://www.youtube.com/live/lrLQ6akH23w?si=aC5HLJK6UZYwu-Yn&amp;t=306s</v>
      </c>
      <c r="AA78" s="12" t="str">
        <f t="shared" si="4"/>
        <v>Vaundy花占い</v>
      </c>
    </row>
    <row r="79" spans="1:27" x14ac:dyDescent="0.4">
      <c r="A79" s="14">
        <f t="shared" si="5"/>
        <v>78</v>
      </c>
      <c r="B79" s="14">
        <v>15</v>
      </c>
      <c r="C79" s="18" t="s">
        <v>243</v>
      </c>
      <c r="D79" s="14" t="s">
        <v>244</v>
      </c>
      <c r="E79" s="14" t="s">
        <v>245</v>
      </c>
      <c r="G79" s="1" t="str">
        <f>_xlfn.XLOOKUP(B79,M_YT_LIVE!A:A,M_YT_LIVE!F:F,"ERROR",0,1)</f>
        <v>弾き語り</v>
      </c>
      <c r="W79" s="13">
        <f t="shared" si="3"/>
        <v>703.99999999999989</v>
      </c>
      <c r="X79" s="12" t="str">
        <f>_xlfn.XLOOKUP($B79,M_YT_LIVE!$A:$A,M_YT_LIVE!$D:$D)</f>
        <v>https://www.youtube.com/live/lrLQ6akH23w?si=aC5HLJK6UZYwu-Yn</v>
      </c>
      <c r="Z79" s="16" t="str">
        <f>HYPERLINK($X79&amp;SUBSTITUTE(マスタ!$C$3,"XXXXX",$W79))</f>
        <v>https://www.youtube.com/live/lrLQ6akH23w?si=aC5HLJK6UZYwu-Yn&amp;t=704s</v>
      </c>
      <c r="AA79" s="12" t="str">
        <f t="shared" si="4"/>
        <v>MAISONdesトウキョウ・シャンディ・ランデヴ</v>
      </c>
    </row>
    <row r="80" spans="1:27" x14ac:dyDescent="0.4">
      <c r="A80" s="14">
        <f t="shared" si="5"/>
        <v>79</v>
      </c>
      <c r="B80" s="14">
        <v>15</v>
      </c>
      <c r="C80" s="18" t="s">
        <v>246</v>
      </c>
      <c r="D80" s="14" t="s">
        <v>247</v>
      </c>
      <c r="E80" s="14" t="s">
        <v>248</v>
      </c>
      <c r="G80" s="1" t="str">
        <f>_xlfn.XLOOKUP(B80,M_YT_LIVE!A:A,M_YT_LIVE!F:F,"ERROR",0,1)</f>
        <v>弾き語り</v>
      </c>
      <c r="W80" s="13">
        <f t="shared" si="3"/>
        <v>1030</v>
      </c>
      <c r="X80" s="12" t="str">
        <f>_xlfn.XLOOKUP($B80,M_YT_LIVE!$A:$A,M_YT_LIVE!$D:$D)</f>
        <v>https://www.youtube.com/live/lrLQ6akH23w?si=aC5HLJK6UZYwu-Yn</v>
      </c>
      <c r="Z80" s="16" t="str">
        <f>HYPERLINK($X80&amp;SUBSTITUTE(マスタ!$C$3,"XXXXX",$W80))</f>
        <v>https://www.youtube.com/live/lrLQ6akH23w?si=aC5HLJK6UZYwu-Yn&amp;t=1030s</v>
      </c>
      <c r="AA80" s="12" t="str">
        <f t="shared" si="4"/>
        <v>柊マグネタイト feat.可不マーシャルマキシマイザ</v>
      </c>
    </row>
    <row r="81" spans="1:27" x14ac:dyDescent="0.4">
      <c r="A81" s="14">
        <f t="shared" si="5"/>
        <v>80</v>
      </c>
      <c r="B81" s="14">
        <v>15</v>
      </c>
      <c r="C81" s="18" t="s">
        <v>249</v>
      </c>
      <c r="D81" s="14" t="s">
        <v>250</v>
      </c>
      <c r="E81" s="14" t="s">
        <v>251</v>
      </c>
      <c r="G81" s="1" t="str">
        <f>_xlfn.XLOOKUP(B81,M_YT_LIVE!A:A,M_YT_LIVE!F:F,"ERROR",0,1)</f>
        <v>弾き語り</v>
      </c>
      <c r="W81" s="13">
        <f t="shared" si="3"/>
        <v>1431</v>
      </c>
      <c r="X81" s="12" t="str">
        <f>_xlfn.XLOOKUP($B81,M_YT_LIVE!$A:$A,M_YT_LIVE!$D:$D)</f>
        <v>https://www.youtube.com/live/lrLQ6akH23w?si=aC5HLJK6UZYwu-Yn</v>
      </c>
      <c r="Z81" s="16" t="str">
        <f>HYPERLINK($X81&amp;SUBSTITUTE(マスタ!$C$3,"XXXXX",$W81))</f>
        <v>https://www.youtube.com/live/lrLQ6akH23w?si=aC5HLJK6UZYwu-Yn&amp;t=1431s</v>
      </c>
      <c r="AA81" s="12" t="str">
        <f t="shared" si="4"/>
        <v>Neru feat.鏡音リンロストワンの号哭</v>
      </c>
    </row>
    <row r="82" spans="1:27" x14ac:dyDescent="0.4">
      <c r="A82" s="14">
        <f t="shared" si="5"/>
        <v>81</v>
      </c>
      <c r="B82" s="14">
        <v>15</v>
      </c>
      <c r="C82" s="18" t="s">
        <v>252</v>
      </c>
      <c r="D82" s="14" t="s">
        <v>253</v>
      </c>
      <c r="E82" s="14" t="s">
        <v>254</v>
      </c>
      <c r="G82" s="1" t="str">
        <f>_xlfn.XLOOKUP(B82,M_YT_LIVE!A:A,M_YT_LIVE!F:F,"ERROR",0,1)</f>
        <v>弾き語り</v>
      </c>
      <c r="W82" s="13">
        <f t="shared" si="3"/>
        <v>1912.0000000000002</v>
      </c>
      <c r="X82" s="12" t="str">
        <f>_xlfn.XLOOKUP($B82,M_YT_LIVE!$A:$A,M_YT_LIVE!$D:$D)</f>
        <v>https://www.youtube.com/live/lrLQ6akH23w?si=aC5HLJK6UZYwu-Yn</v>
      </c>
      <c r="Z82" s="16" t="str">
        <f>HYPERLINK($X82&amp;SUBSTITUTE(マスタ!$C$3,"XXXXX",$W82))</f>
        <v>https://www.youtube.com/live/lrLQ6akH23w?si=aC5HLJK6UZYwu-Yn&amp;t=1912s</v>
      </c>
      <c r="AA82" s="12" t="str">
        <f t="shared" si="4"/>
        <v>星街すいせいビビデバ</v>
      </c>
    </row>
    <row r="83" spans="1:27" x14ac:dyDescent="0.4">
      <c r="A83" s="14">
        <f t="shared" si="5"/>
        <v>82</v>
      </c>
      <c r="B83" s="14">
        <v>15</v>
      </c>
      <c r="C83" s="18" t="s">
        <v>255</v>
      </c>
      <c r="D83" s="14" t="s">
        <v>256</v>
      </c>
      <c r="E83" s="14" t="s">
        <v>257</v>
      </c>
      <c r="G83" s="1" t="str">
        <f>_xlfn.XLOOKUP(B83,M_YT_LIVE!A:A,M_YT_LIVE!F:F,"ERROR",0,1)</f>
        <v>弾き語り</v>
      </c>
      <c r="W83" s="13">
        <f t="shared" si="3"/>
        <v>2223</v>
      </c>
      <c r="X83" s="12" t="str">
        <f>_xlfn.XLOOKUP($B83,M_YT_LIVE!$A:$A,M_YT_LIVE!$D:$D)</f>
        <v>https://www.youtube.com/live/lrLQ6akH23w?si=aC5HLJK6UZYwu-Yn</v>
      </c>
      <c r="Z83" s="16" t="str">
        <f>HYPERLINK($X83&amp;SUBSTITUTE(マスタ!$C$3,"XXXXX",$W83))</f>
        <v>https://www.youtube.com/live/lrLQ6akH23w?si=aC5HLJK6UZYwu-Yn&amp;t=2223s</v>
      </c>
      <c r="AA83" s="12" t="str">
        <f t="shared" si="4"/>
        <v>ナユタン星人ロケットサイダー</v>
      </c>
    </row>
    <row r="84" spans="1:27" x14ac:dyDescent="0.4">
      <c r="A84" s="14">
        <f t="shared" si="5"/>
        <v>83</v>
      </c>
      <c r="B84" s="14">
        <v>15</v>
      </c>
      <c r="C84" s="18" t="s">
        <v>258</v>
      </c>
      <c r="D84" s="14" t="s">
        <v>259</v>
      </c>
      <c r="E84" s="14" t="s">
        <v>260</v>
      </c>
      <c r="G84" s="1" t="str">
        <f>_xlfn.XLOOKUP(B84,M_YT_LIVE!A:A,M_YT_LIVE!F:F,"ERROR",0,1)</f>
        <v>弾き語り</v>
      </c>
      <c r="W84" s="13">
        <f t="shared" si="3"/>
        <v>2588</v>
      </c>
      <c r="X84" s="12" t="str">
        <f>_xlfn.XLOOKUP($B84,M_YT_LIVE!$A:$A,M_YT_LIVE!$D:$D)</f>
        <v>https://www.youtube.com/live/lrLQ6akH23w?si=aC5HLJK6UZYwu-Yn</v>
      </c>
      <c r="Z84" s="16" t="str">
        <f>HYPERLINK($X84&amp;SUBSTITUTE(マスタ!$C$3,"XXXXX",$W84))</f>
        <v>https://www.youtube.com/live/lrLQ6akH23w?si=aC5HLJK6UZYwu-Yn&amp;t=2588s</v>
      </c>
      <c r="AA84" s="12" t="str">
        <f t="shared" si="4"/>
        <v>Official髭男dismノーダウト</v>
      </c>
    </row>
    <row r="85" spans="1:27" x14ac:dyDescent="0.4">
      <c r="A85" s="14">
        <f t="shared" si="5"/>
        <v>84</v>
      </c>
      <c r="B85" s="14">
        <v>15</v>
      </c>
      <c r="C85" s="18" t="s">
        <v>261</v>
      </c>
      <c r="D85" s="14" t="s">
        <v>262</v>
      </c>
      <c r="E85" s="14" t="s">
        <v>263</v>
      </c>
      <c r="G85" s="1" t="str">
        <f>_xlfn.XLOOKUP(B85,M_YT_LIVE!A:A,M_YT_LIVE!F:F,"ERROR",0,1)</f>
        <v>弾き語り</v>
      </c>
      <c r="W85" s="13">
        <f t="shared" si="3"/>
        <v>2994.9999999999995</v>
      </c>
      <c r="X85" s="12" t="str">
        <f>_xlfn.XLOOKUP($B85,M_YT_LIVE!$A:$A,M_YT_LIVE!$D:$D)</f>
        <v>https://www.youtube.com/live/lrLQ6akH23w?si=aC5HLJK6UZYwu-Yn</v>
      </c>
      <c r="Z85" s="16" t="str">
        <f>HYPERLINK($X85&amp;SUBSTITUTE(マスタ!$C$3,"XXXXX",$W85))</f>
        <v>https://www.youtube.com/live/lrLQ6akH23w?si=aC5HLJK6UZYwu-Yn&amp;t=2995s</v>
      </c>
      <c r="AA85" s="12" t="str">
        <f t="shared" si="4"/>
        <v>Hump Back拝啓、少年よ</v>
      </c>
    </row>
    <row r="86" spans="1:27" x14ac:dyDescent="0.4">
      <c r="A86" s="14">
        <f t="shared" si="5"/>
        <v>85</v>
      </c>
      <c r="B86" s="14">
        <v>15</v>
      </c>
      <c r="C86" s="18" t="s">
        <v>264</v>
      </c>
      <c r="D86" s="14" t="s">
        <v>182</v>
      </c>
      <c r="E86" s="14" t="s">
        <v>183</v>
      </c>
      <c r="G86" s="1" t="str">
        <f>_xlfn.XLOOKUP(B86,M_YT_LIVE!A:A,M_YT_LIVE!F:F,"ERROR",0,1)</f>
        <v>弾き語り</v>
      </c>
      <c r="W86" s="13">
        <f t="shared" si="3"/>
        <v>3610</v>
      </c>
      <c r="X86" s="12" t="str">
        <f>_xlfn.XLOOKUP($B86,M_YT_LIVE!$A:$A,M_YT_LIVE!$D:$D)</f>
        <v>https://www.youtube.com/live/lrLQ6akH23w?si=aC5HLJK6UZYwu-Yn</v>
      </c>
      <c r="Z86" s="16" t="str">
        <f>HYPERLINK($X86&amp;SUBSTITUTE(マスタ!$C$3,"XXXXX",$W86))</f>
        <v>https://www.youtube.com/live/lrLQ6akH23w?si=aC5HLJK6UZYwu-Yn&amp;t=3610s</v>
      </c>
      <c r="AA86" s="12" t="str">
        <f t="shared" si="4"/>
        <v>クリープハイプおやすみ、泣き声 さよなら歌姫</v>
      </c>
    </row>
    <row r="87" spans="1:27" x14ac:dyDescent="0.4">
      <c r="A87" s="14">
        <f t="shared" si="5"/>
        <v>86</v>
      </c>
      <c r="B87" s="14">
        <v>15</v>
      </c>
      <c r="C87" s="18" t="s">
        <v>265</v>
      </c>
      <c r="D87" s="14" t="s">
        <v>266</v>
      </c>
      <c r="E87" s="14" t="s">
        <v>267</v>
      </c>
      <c r="G87" s="1" t="str">
        <f>_xlfn.XLOOKUP(B87,M_YT_LIVE!A:A,M_YT_LIVE!F:F,"ERROR",0,1)</f>
        <v>弾き語り</v>
      </c>
      <c r="W87" s="13">
        <f t="shared" si="3"/>
        <v>4010</v>
      </c>
      <c r="X87" s="12" t="str">
        <f>_xlfn.XLOOKUP($B87,M_YT_LIVE!$A:$A,M_YT_LIVE!$D:$D)</f>
        <v>https://www.youtube.com/live/lrLQ6akH23w?si=aC5HLJK6UZYwu-Yn</v>
      </c>
      <c r="Z87" s="16" t="str">
        <f>HYPERLINK($X87&amp;SUBSTITUTE(マスタ!$C$3,"XXXXX",$W87))</f>
        <v>https://www.youtube.com/live/lrLQ6akH23w?si=aC5HLJK6UZYwu-Yn&amp;t=4010s</v>
      </c>
      <c r="AA87" s="12" t="str">
        <f t="shared" si="4"/>
        <v>バルーン(須田景凪)feat.flowelシャルル</v>
      </c>
    </row>
    <row r="88" spans="1:27" x14ac:dyDescent="0.4">
      <c r="A88" s="14">
        <f t="shared" si="5"/>
        <v>87</v>
      </c>
      <c r="B88" s="14">
        <v>15</v>
      </c>
      <c r="C88" s="18" t="s">
        <v>268</v>
      </c>
      <c r="D88" s="14" t="s">
        <v>269</v>
      </c>
      <c r="E88" s="14" t="s">
        <v>270</v>
      </c>
      <c r="G88" s="1" t="str">
        <f>_xlfn.XLOOKUP(B88,M_YT_LIVE!A:A,M_YT_LIVE!F:F,"ERROR",0,1)</f>
        <v>弾き語り</v>
      </c>
      <c r="W88" s="13">
        <f t="shared" si="3"/>
        <v>4408</v>
      </c>
      <c r="X88" s="12" t="str">
        <f>_xlfn.XLOOKUP($B88,M_YT_LIVE!$A:$A,M_YT_LIVE!$D:$D)</f>
        <v>https://www.youtube.com/live/lrLQ6akH23w?si=aC5HLJK6UZYwu-Yn</v>
      </c>
      <c r="Z88" s="16" t="str">
        <f>HYPERLINK($X88&amp;SUBSTITUTE(マスタ!$C$3,"XXXXX",$W88))</f>
        <v>https://www.youtube.com/live/lrLQ6akH23w?si=aC5HLJK6UZYwu-Yn&amp;t=4408s</v>
      </c>
      <c r="AA88" s="12" t="str">
        <f t="shared" si="4"/>
        <v>れをる&amp;ぎがP feat.鏡音リン&amp;巡音ルカDrop pop candy</v>
      </c>
    </row>
    <row r="89" spans="1:27" x14ac:dyDescent="0.4">
      <c r="A89" s="14">
        <f t="shared" si="5"/>
        <v>88</v>
      </c>
      <c r="B89" s="14">
        <v>15</v>
      </c>
      <c r="C89" s="18" t="s">
        <v>271</v>
      </c>
      <c r="D89" s="14" t="s">
        <v>272</v>
      </c>
      <c r="E89" s="14" t="s">
        <v>273</v>
      </c>
      <c r="G89" s="1" t="str">
        <f>_xlfn.XLOOKUP(B89,M_YT_LIVE!A:A,M_YT_LIVE!F:F,"ERROR",0,1)</f>
        <v>弾き語り</v>
      </c>
      <c r="W89" s="13">
        <f t="shared" si="3"/>
        <v>4912</v>
      </c>
      <c r="X89" s="12" t="str">
        <f>_xlfn.XLOOKUP($B89,M_YT_LIVE!$A:$A,M_YT_LIVE!$D:$D)</f>
        <v>https://www.youtube.com/live/lrLQ6akH23w?si=aC5HLJK6UZYwu-Yn</v>
      </c>
      <c r="Z89" s="16" t="str">
        <f>HYPERLINK($X89&amp;SUBSTITUTE(マスタ!$C$3,"XXXXX",$W89))</f>
        <v>https://www.youtube.com/live/lrLQ6akH23w?si=aC5HLJK6UZYwu-Yn&amp;t=4912s</v>
      </c>
      <c r="AA89" s="12" t="str">
        <f t="shared" si="4"/>
        <v>Ado心という名の不可解</v>
      </c>
    </row>
    <row r="90" spans="1:27" x14ac:dyDescent="0.4">
      <c r="A90" s="14">
        <f t="shared" si="5"/>
        <v>89</v>
      </c>
      <c r="B90" s="14">
        <v>15</v>
      </c>
      <c r="C90" s="18" t="s">
        <v>274</v>
      </c>
      <c r="D90" s="14" t="s">
        <v>275</v>
      </c>
      <c r="E90" s="14" t="s">
        <v>276</v>
      </c>
      <c r="G90" s="1" t="str">
        <f>_xlfn.XLOOKUP(B90,M_YT_LIVE!A:A,M_YT_LIVE!F:F,"ERROR",0,1)</f>
        <v>弾き語り</v>
      </c>
      <c r="W90" s="13">
        <f t="shared" si="3"/>
        <v>5467</v>
      </c>
      <c r="X90" s="12" t="str">
        <f>_xlfn.XLOOKUP($B90,M_YT_LIVE!$A:$A,M_YT_LIVE!$D:$D)</f>
        <v>https://www.youtube.com/live/lrLQ6akH23w?si=aC5HLJK6UZYwu-Yn</v>
      </c>
      <c r="Z90" s="16" t="str">
        <f>HYPERLINK($X90&amp;SUBSTITUTE(マスタ!$C$3,"XXXXX",$W90))</f>
        <v>https://www.youtube.com/live/lrLQ6akH23w?si=aC5HLJK6UZYwu-Yn&amp;t=5467s</v>
      </c>
      <c r="AA90" s="12" t="str">
        <f t="shared" si="4"/>
        <v>YUIHELLO〜Paradise Kiss〜</v>
      </c>
    </row>
    <row r="91" spans="1:27" x14ac:dyDescent="0.4">
      <c r="A91" s="14">
        <f t="shared" si="5"/>
        <v>90</v>
      </c>
      <c r="B91" s="14">
        <v>15</v>
      </c>
      <c r="C91" s="18" t="s">
        <v>277</v>
      </c>
      <c r="D91" s="14" t="s">
        <v>278</v>
      </c>
      <c r="E91" s="14" t="s">
        <v>347</v>
      </c>
      <c r="G91" s="1" t="str">
        <f>_xlfn.XLOOKUP(B91,M_YT_LIVE!A:A,M_YT_LIVE!F:F,"ERROR",0,1)</f>
        <v>弾き語り</v>
      </c>
      <c r="W91" s="13">
        <f t="shared" si="3"/>
        <v>6040</v>
      </c>
      <c r="X91" s="12" t="str">
        <f>_xlfn.XLOOKUP($B91,M_YT_LIVE!$A:$A,M_YT_LIVE!$D:$D)</f>
        <v>https://www.youtube.com/live/lrLQ6akH23w?si=aC5HLJK6UZYwu-Yn</v>
      </c>
      <c r="Z91" s="16" t="str">
        <f>HYPERLINK($X91&amp;SUBSTITUTE(マスタ!$C$3,"XXXXX",$W91))</f>
        <v>https://www.youtube.com/live/lrLQ6akH23w?si=aC5HLJK6UZYwu-Yn&amp;t=6040s</v>
      </c>
      <c r="AA91" s="12" t="str">
        <f t="shared" si="4"/>
        <v>幽音しの(即興)忘れろの歌</v>
      </c>
    </row>
    <row r="92" spans="1:27" x14ac:dyDescent="0.4">
      <c r="A92" s="14">
        <f t="shared" si="5"/>
        <v>91</v>
      </c>
      <c r="B92" s="14">
        <v>16</v>
      </c>
      <c r="C92" s="18" t="s">
        <v>282</v>
      </c>
      <c r="D92" s="14" t="s">
        <v>283</v>
      </c>
      <c r="E92" s="14" t="s">
        <v>284</v>
      </c>
      <c r="G92" s="1" t="str">
        <f>_xlfn.XLOOKUP(B92,M_YT_LIVE!A:A,M_YT_LIVE!F:F,"ERROR",0,1)</f>
        <v>弾き語り</v>
      </c>
      <c r="W92" s="13">
        <f t="shared" si="3"/>
        <v>290</v>
      </c>
      <c r="X92" s="12" t="str">
        <f>_xlfn.XLOOKUP($B92,M_YT_LIVE!$A:$A,M_YT_LIVE!$D:$D)</f>
        <v>https://www.youtube.com/live/8yfLYQayxQg?si=O0Q0AXQXC39nd7WJ</v>
      </c>
      <c r="Z92" s="16" t="str">
        <f>HYPERLINK($X92&amp;SUBSTITUTE(マスタ!$C$3,"XXXXX",$W92))</f>
        <v>https://www.youtube.com/live/8yfLYQayxQg?si=O0Q0AXQXC39nd7WJ&amp;t=290s</v>
      </c>
      <c r="AA92" s="12" t="str">
        <f t="shared" si="4"/>
        <v>Girls Dead Monster一番の宝物</v>
      </c>
    </row>
    <row r="93" spans="1:27" x14ac:dyDescent="0.4">
      <c r="A93" s="14">
        <f t="shared" si="5"/>
        <v>92</v>
      </c>
      <c r="B93" s="14">
        <v>16</v>
      </c>
      <c r="C93" s="18" t="s">
        <v>285</v>
      </c>
      <c r="D93" s="14" t="s">
        <v>286</v>
      </c>
      <c r="E93" s="14" t="s">
        <v>287</v>
      </c>
      <c r="G93" s="1" t="str">
        <f>_xlfn.XLOOKUP(B93,M_YT_LIVE!A:A,M_YT_LIVE!F:F,"ERROR",0,1)</f>
        <v>弾き語り</v>
      </c>
      <c r="W93" s="13">
        <f t="shared" si="3"/>
        <v>715.00000000000011</v>
      </c>
      <c r="X93" s="12" t="str">
        <f>_xlfn.XLOOKUP($B93,M_YT_LIVE!$A:$A,M_YT_LIVE!$D:$D)</f>
        <v>https://www.youtube.com/live/8yfLYQayxQg?si=O0Q0AXQXC39nd7WJ</v>
      </c>
      <c r="Z93" s="16" t="str">
        <f>HYPERLINK($X93&amp;SUBSTITUTE(マスタ!$C$3,"XXXXX",$W93))</f>
        <v>https://www.youtube.com/live/8yfLYQayxQg?si=O0Q0AXQXC39nd7WJ&amp;t=715s</v>
      </c>
      <c r="AA93" s="12" t="str">
        <f t="shared" si="4"/>
        <v>LiaMy Soul Your Beats!</v>
      </c>
    </row>
    <row r="94" spans="1:27" x14ac:dyDescent="0.4">
      <c r="A94" s="14">
        <f t="shared" si="5"/>
        <v>93</v>
      </c>
      <c r="B94" s="14">
        <v>16</v>
      </c>
      <c r="C94" s="18" t="s">
        <v>288</v>
      </c>
      <c r="D94" s="14" t="s">
        <v>289</v>
      </c>
      <c r="E94" s="14" t="s">
        <v>135</v>
      </c>
      <c r="G94" s="1" t="str">
        <f>_xlfn.XLOOKUP(B94,M_YT_LIVE!A:A,M_YT_LIVE!F:F,"ERROR",0,1)</f>
        <v>弾き語り</v>
      </c>
      <c r="W94" s="13">
        <f t="shared" si="3"/>
        <v>1140</v>
      </c>
      <c r="X94" s="12" t="str">
        <f>_xlfn.XLOOKUP($B94,M_YT_LIVE!$A:$A,M_YT_LIVE!$D:$D)</f>
        <v>https://www.youtube.com/live/8yfLYQayxQg?si=O0Q0AXQXC39nd7WJ</v>
      </c>
      <c r="Z94" s="16" t="str">
        <f>HYPERLINK($X94&amp;SUBSTITUTE(マスタ!$C$3,"XXXXX",$W94))</f>
        <v>https://www.youtube.com/live/8yfLYQayxQg?si=O0Q0AXQXC39nd7WJ&amp;t=1140s</v>
      </c>
      <c r="AA94" s="12" t="str">
        <f t="shared" si="4"/>
        <v>EGOIST雨、キミを連れて</v>
      </c>
    </row>
    <row r="95" spans="1:27" x14ac:dyDescent="0.4">
      <c r="A95" s="14">
        <f t="shared" si="5"/>
        <v>94</v>
      </c>
      <c r="B95" s="14">
        <v>16</v>
      </c>
      <c r="C95" s="18" t="s">
        <v>290</v>
      </c>
      <c r="D95" s="14" t="s">
        <v>291</v>
      </c>
      <c r="E95" s="14" t="s">
        <v>292</v>
      </c>
      <c r="G95" s="1" t="str">
        <f>_xlfn.XLOOKUP(B95,M_YT_LIVE!A:A,M_YT_LIVE!F:F,"ERROR",0,1)</f>
        <v>弾き語り</v>
      </c>
      <c r="W95" s="13">
        <f t="shared" si="3"/>
        <v>1576</v>
      </c>
      <c r="X95" s="12" t="str">
        <f>_xlfn.XLOOKUP($B95,M_YT_LIVE!$A:$A,M_YT_LIVE!$D:$D)</f>
        <v>https://www.youtube.com/live/8yfLYQayxQg?si=O0Q0AXQXC39nd7WJ</v>
      </c>
      <c r="Z95" s="16" t="str">
        <f>HYPERLINK($X95&amp;SUBSTITUTE(マスタ!$C$3,"XXXXX",$W95))</f>
        <v>https://www.youtube.com/live/8yfLYQayxQg?si=O0Q0AXQXC39nd7WJ&amp;t=1576s</v>
      </c>
      <c r="AA95" s="12" t="str">
        <f t="shared" si="4"/>
        <v>奥華子変わらないもの</v>
      </c>
    </row>
    <row r="96" spans="1:27" x14ac:dyDescent="0.4">
      <c r="A96" s="14">
        <f t="shared" si="5"/>
        <v>95</v>
      </c>
      <c r="B96" s="14">
        <v>16</v>
      </c>
      <c r="C96" s="18" t="s">
        <v>293</v>
      </c>
      <c r="D96" s="14" t="s">
        <v>294</v>
      </c>
      <c r="E96" s="14" t="s">
        <v>295</v>
      </c>
      <c r="G96" s="1" t="str">
        <f>_xlfn.XLOOKUP(B96,M_YT_LIVE!A:A,M_YT_LIVE!F:F,"ERROR",0,1)</f>
        <v>弾き語り</v>
      </c>
      <c r="W96" s="13">
        <f t="shared" si="3"/>
        <v>1995</v>
      </c>
      <c r="X96" s="12" t="str">
        <f>_xlfn.XLOOKUP($B96,M_YT_LIVE!$A:$A,M_YT_LIVE!$D:$D)</f>
        <v>https://www.youtube.com/live/8yfLYQayxQg?si=O0Q0AXQXC39nd7WJ</v>
      </c>
      <c r="Z96" s="16" t="str">
        <f>HYPERLINK($X96&amp;SUBSTITUTE(マスタ!$C$3,"XXXXX",$W96))</f>
        <v>https://www.youtube.com/live/8yfLYQayxQg?si=O0Q0AXQXC39nd7WJ&amp;t=1995s</v>
      </c>
      <c r="AA96" s="12" t="str">
        <f t="shared" si="4"/>
        <v>羽生まゐご feat.flower阿吽のビーツ</v>
      </c>
    </row>
    <row r="97" spans="1:27" x14ac:dyDescent="0.4">
      <c r="A97" s="14">
        <f t="shared" si="5"/>
        <v>96</v>
      </c>
      <c r="B97" s="14">
        <v>16</v>
      </c>
      <c r="C97" s="18" t="s">
        <v>296</v>
      </c>
      <c r="D97" s="14" t="s">
        <v>297</v>
      </c>
      <c r="E97" s="14" t="s">
        <v>298</v>
      </c>
      <c r="G97" s="1" t="str">
        <f>_xlfn.XLOOKUP(B97,M_YT_LIVE!A:A,M_YT_LIVE!F:F,"ERROR",0,1)</f>
        <v>弾き語り</v>
      </c>
      <c r="W97" s="13">
        <f t="shared" si="3"/>
        <v>2363</v>
      </c>
      <c r="X97" s="12" t="str">
        <f>_xlfn.XLOOKUP($B97,M_YT_LIVE!$A:$A,M_YT_LIVE!$D:$D)</f>
        <v>https://www.youtube.com/live/8yfLYQayxQg?si=O0Q0AXQXC39nd7WJ</v>
      </c>
      <c r="Z97" s="16" t="str">
        <f>HYPERLINK($X97&amp;SUBSTITUTE(マスタ!$C$3,"XXXXX",$W97))</f>
        <v>https://www.youtube.com/live/8yfLYQayxQg?si=O0Q0AXQXC39nd7WJ&amp;t=2363s</v>
      </c>
      <c r="AA97" s="12" t="str">
        <f t="shared" si="4"/>
        <v>あいみょんマリーゴールド</v>
      </c>
    </row>
    <row r="98" spans="1:27" x14ac:dyDescent="0.4">
      <c r="A98" s="14">
        <f t="shared" si="5"/>
        <v>97</v>
      </c>
      <c r="B98" s="14">
        <v>16</v>
      </c>
      <c r="C98" s="18" t="s">
        <v>299</v>
      </c>
      <c r="D98" s="14" t="s">
        <v>300</v>
      </c>
      <c r="E98" s="14" t="s">
        <v>125</v>
      </c>
      <c r="G98" s="1" t="str">
        <f>_xlfn.XLOOKUP(B98,M_YT_LIVE!A:A,M_YT_LIVE!F:F,"ERROR",0,1)</f>
        <v>弾き語り</v>
      </c>
      <c r="W98" s="13">
        <f t="shared" si="3"/>
        <v>2915.0000000000005</v>
      </c>
      <c r="X98" s="12" t="str">
        <f>_xlfn.XLOOKUP($B98,M_YT_LIVE!$A:$A,M_YT_LIVE!$D:$D)</f>
        <v>https://www.youtube.com/live/8yfLYQayxQg?si=O0Q0AXQXC39nd7WJ</v>
      </c>
      <c r="Z98" s="16" t="str">
        <f>HYPERLINK($X98&amp;SUBSTITUTE(マスタ!$C$3,"XXXXX",$W98))</f>
        <v>https://www.youtube.com/live/8yfLYQayxQg?si=O0Q0AXQXC39nd7WJ&amp;t=2915s</v>
      </c>
      <c r="AA98" s="12" t="str">
        <f t="shared" si="4"/>
        <v>Orangestar feat.IAHenceforth</v>
      </c>
    </row>
    <row r="99" spans="1:27" x14ac:dyDescent="0.4">
      <c r="A99" s="14">
        <f t="shared" si="5"/>
        <v>98</v>
      </c>
      <c r="B99" s="14">
        <v>16</v>
      </c>
      <c r="C99" s="18" t="s">
        <v>301</v>
      </c>
      <c r="D99" s="14" t="s">
        <v>302</v>
      </c>
      <c r="E99" s="14" t="s">
        <v>303</v>
      </c>
      <c r="G99" s="1" t="str">
        <f>_xlfn.XLOOKUP(B99,M_YT_LIVE!A:A,M_YT_LIVE!F:F,"ERROR",0,1)</f>
        <v>弾き語り</v>
      </c>
      <c r="W99" s="13">
        <f t="shared" si="3"/>
        <v>3376</v>
      </c>
      <c r="X99" s="12" t="str">
        <f>_xlfn.XLOOKUP($B99,M_YT_LIVE!$A:$A,M_YT_LIVE!$D:$D)</f>
        <v>https://www.youtube.com/live/8yfLYQayxQg?si=O0Q0AXQXC39nd7WJ</v>
      </c>
      <c r="Z99" s="16" t="str">
        <f>HYPERLINK($X99&amp;SUBSTITUTE(マスタ!$C$3,"XXXXX",$W99))</f>
        <v>https://www.youtube.com/live/8yfLYQayxQg?si=O0Q0AXQXC39nd7WJ&amp;t=3376s</v>
      </c>
      <c r="AA99" s="12" t="str">
        <f t="shared" si="4"/>
        <v>Kemu feat.Gumi地球最後の告白を</v>
      </c>
    </row>
    <row r="100" spans="1:27" x14ac:dyDescent="0.4">
      <c r="A100" s="14">
        <f t="shared" si="5"/>
        <v>99</v>
      </c>
      <c r="B100" s="14">
        <v>16</v>
      </c>
      <c r="C100" s="18" t="s">
        <v>304</v>
      </c>
      <c r="D100" s="14" t="s">
        <v>305</v>
      </c>
      <c r="E100" s="14" t="s">
        <v>141</v>
      </c>
      <c r="G100" s="1" t="str">
        <f>_xlfn.XLOOKUP(B100,M_YT_LIVE!A:A,M_YT_LIVE!F:F,"ERROR",0,1)</f>
        <v>弾き語り</v>
      </c>
      <c r="W100" s="13">
        <f t="shared" si="3"/>
        <v>3821</v>
      </c>
      <c r="X100" s="12" t="str">
        <f>_xlfn.XLOOKUP($B100,M_YT_LIVE!$A:$A,M_YT_LIVE!$D:$D)</f>
        <v>https://www.youtube.com/live/8yfLYQayxQg?si=O0Q0AXQXC39nd7WJ</v>
      </c>
      <c r="Z100" s="16" t="str">
        <f>HYPERLINK($X100&amp;SUBSTITUTE(マスタ!$C$3,"XXXXX",$W100))</f>
        <v>https://www.youtube.com/live/8yfLYQayxQg?si=O0Q0AXQXC39nd7WJ&amp;t=3821s</v>
      </c>
      <c r="AA100" s="12" t="str">
        <f t="shared" si="4"/>
        <v>ヨルシカ花に亡霊</v>
      </c>
    </row>
    <row r="101" spans="1:27" x14ac:dyDescent="0.4">
      <c r="A101" s="14">
        <f t="shared" si="5"/>
        <v>100</v>
      </c>
      <c r="B101" s="14">
        <v>16</v>
      </c>
      <c r="C101" s="18" t="s">
        <v>306</v>
      </c>
      <c r="D101" s="14" t="s">
        <v>307</v>
      </c>
      <c r="E101" s="14" t="s">
        <v>208</v>
      </c>
      <c r="G101" s="1" t="str">
        <f>_xlfn.XLOOKUP(B101,M_YT_LIVE!A:A,M_YT_LIVE!F:F,"ERROR",0,1)</f>
        <v>弾き語り</v>
      </c>
      <c r="W101" s="13">
        <f t="shared" si="3"/>
        <v>4180</v>
      </c>
      <c r="X101" s="12" t="str">
        <f>_xlfn.XLOOKUP($B101,M_YT_LIVE!$A:$A,M_YT_LIVE!$D:$D)</f>
        <v>https://www.youtube.com/live/8yfLYQayxQg?si=O0Q0AXQXC39nd7WJ</v>
      </c>
      <c r="Z101" s="16" t="str">
        <f>HYPERLINK($X101&amp;SUBSTITUTE(マスタ!$C$3,"XXXXX",$W101))</f>
        <v>https://www.youtube.com/live/8yfLYQayxQg?si=O0Q0AXQXC39nd7WJ&amp;t=4180s</v>
      </c>
      <c r="AA101" s="12" t="str">
        <f t="shared" si="4"/>
        <v>supercellうたかた花火</v>
      </c>
    </row>
    <row r="102" spans="1:27" x14ac:dyDescent="0.4">
      <c r="A102" s="14">
        <f t="shared" si="5"/>
        <v>101</v>
      </c>
      <c r="B102" s="14">
        <v>16</v>
      </c>
      <c r="C102" s="18" t="s">
        <v>308</v>
      </c>
      <c r="D102" s="14" t="s">
        <v>342</v>
      </c>
      <c r="E102" s="14" t="s">
        <v>141</v>
      </c>
      <c r="G102" s="1" t="str">
        <f>_xlfn.XLOOKUP(B102,M_YT_LIVE!A:A,M_YT_LIVE!F:F,"ERROR",0,1)</f>
        <v>弾き語り</v>
      </c>
      <c r="W102" s="13">
        <f t="shared" si="3"/>
        <v>4754</v>
      </c>
      <c r="X102" s="12" t="str">
        <f>_xlfn.XLOOKUP($B102,M_YT_LIVE!$A:$A,M_YT_LIVE!$D:$D)</f>
        <v>https://www.youtube.com/live/8yfLYQayxQg?si=O0Q0AXQXC39nd7WJ</v>
      </c>
      <c r="Z102" s="16" t="str">
        <f>HYPERLINK($X102&amp;SUBSTITUTE(マスタ!$C$3,"XXXXX",$W102))</f>
        <v>https://www.youtube.com/live/8yfLYQayxQg?si=O0Q0AXQXC39nd7WJ&amp;t=4754s</v>
      </c>
      <c r="AA102" s="12" t="str">
        <f t="shared" si="4"/>
        <v>ヨルシカ雨とカプチーノ</v>
      </c>
    </row>
    <row r="103" spans="1:27" x14ac:dyDescent="0.4">
      <c r="A103" s="14">
        <f t="shared" si="5"/>
        <v>102</v>
      </c>
      <c r="B103" s="14">
        <v>16</v>
      </c>
      <c r="C103" s="18" t="s">
        <v>309</v>
      </c>
      <c r="D103" s="14" t="s">
        <v>310</v>
      </c>
      <c r="E103" s="14" t="s">
        <v>208</v>
      </c>
      <c r="G103" s="1" t="str">
        <f>_xlfn.XLOOKUP(B103,M_YT_LIVE!A:A,M_YT_LIVE!F:F,"ERROR",0,1)</f>
        <v>弾き語り</v>
      </c>
      <c r="W103" s="13">
        <f t="shared" si="3"/>
        <v>5252</v>
      </c>
      <c r="X103" s="12" t="str">
        <f>_xlfn.XLOOKUP($B103,M_YT_LIVE!$A:$A,M_YT_LIVE!$D:$D)</f>
        <v>https://www.youtube.com/live/8yfLYQayxQg?si=O0Q0AXQXC39nd7WJ</v>
      </c>
      <c r="Z103" s="16" t="str">
        <f>HYPERLINK($X103&amp;SUBSTITUTE(マスタ!$C$3,"XXXXX",$W103))</f>
        <v>https://www.youtube.com/live/8yfLYQayxQg?si=O0Q0AXQXC39nd7WJ&amp;t=5252s</v>
      </c>
      <c r="AA103" s="12" t="str">
        <f t="shared" si="4"/>
        <v>supercellさよならメモリーズ</v>
      </c>
    </row>
    <row r="104" spans="1:27" x14ac:dyDescent="0.4">
      <c r="A104" s="14">
        <f t="shared" si="5"/>
        <v>103</v>
      </c>
      <c r="B104" s="14">
        <v>16</v>
      </c>
      <c r="C104" s="18" t="s">
        <v>311</v>
      </c>
      <c r="D104" s="14" t="s">
        <v>312</v>
      </c>
      <c r="E104" s="14" t="s">
        <v>208</v>
      </c>
      <c r="G104" s="1" t="str">
        <f>_xlfn.XLOOKUP(B104,M_YT_LIVE!A:A,M_YT_LIVE!F:F,"ERROR",0,1)</f>
        <v>弾き語り</v>
      </c>
      <c r="W104" s="13">
        <f t="shared" si="3"/>
        <v>5694</v>
      </c>
      <c r="X104" s="12" t="str">
        <f>_xlfn.XLOOKUP($B104,M_YT_LIVE!$A:$A,M_YT_LIVE!$D:$D)</f>
        <v>https://www.youtube.com/live/8yfLYQayxQg?si=O0Q0AXQXC39nd7WJ</v>
      </c>
      <c r="Z104" s="16" t="str">
        <f>HYPERLINK($X104&amp;SUBSTITUTE(マスタ!$C$3,"XXXXX",$W104))</f>
        <v>https://www.youtube.com/live/8yfLYQayxQg?si=O0Q0AXQXC39nd7WJ&amp;t=5694s</v>
      </c>
      <c r="AA104" s="12" t="str">
        <f t="shared" si="4"/>
        <v>supercellリルモア</v>
      </c>
    </row>
    <row r="105" spans="1:27" x14ac:dyDescent="0.4">
      <c r="A105" s="14">
        <f t="shared" si="5"/>
        <v>104</v>
      </c>
      <c r="B105" s="14">
        <v>16</v>
      </c>
      <c r="C105" s="18" t="s">
        <v>313</v>
      </c>
      <c r="D105" s="14" t="s">
        <v>314</v>
      </c>
      <c r="E105" s="14" t="s">
        <v>208</v>
      </c>
      <c r="G105" s="1" t="str">
        <f>_xlfn.XLOOKUP(B105,M_YT_LIVE!A:A,M_YT_LIVE!F:F,"ERROR",0,1)</f>
        <v>弾き語り</v>
      </c>
      <c r="W105" s="13">
        <f t="shared" si="3"/>
        <v>6036</v>
      </c>
      <c r="X105" s="12" t="str">
        <f>_xlfn.XLOOKUP($B105,M_YT_LIVE!$A:$A,M_YT_LIVE!$D:$D)</f>
        <v>https://www.youtube.com/live/8yfLYQayxQg?si=O0Q0AXQXC39nd7WJ</v>
      </c>
      <c r="Z105" s="16" t="str">
        <f>HYPERLINK($X105&amp;SUBSTITUTE(マスタ!$C$3,"XXXXX",$W105))</f>
        <v>https://www.youtube.com/live/8yfLYQayxQg?si=O0Q0AXQXC39nd7WJ&amp;t=6036s</v>
      </c>
      <c r="AA105" s="12" t="str">
        <f t="shared" si="4"/>
        <v>supercellヒーロー(1chorus)</v>
      </c>
    </row>
    <row r="106" spans="1:27" x14ac:dyDescent="0.4">
      <c r="A106" s="14">
        <f t="shared" si="5"/>
        <v>105</v>
      </c>
      <c r="B106" s="14">
        <v>16</v>
      </c>
      <c r="C106" s="18" t="s">
        <v>315</v>
      </c>
      <c r="D106" s="14" t="s">
        <v>316</v>
      </c>
      <c r="E106" s="14" t="s">
        <v>208</v>
      </c>
      <c r="G106" s="1" t="str">
        <f>_xlfn.XLOOKUP(B106,M_YT_LIVE!A:A,M_YT_LIVE!F:F,"ERROR",0,1)</f>
        <v>弾き語り</v>
      </c>
      <c r="W106" s="13">
        <f t="shared" si="3"/>
        <v>6257.0000000000009</v>
      </c>
      <c r="X106" s="12" t="str">
        <f>_xlfn.XLOOKUP($B106,M_YT_LIVE!$A:$A,M_YT_LIVE!$D:$D)</f>
        <v>https://www.youtube.com/live/8yfLYQayxQg?si=O0Q0AXQXC39nd7WJ</v>
      </c>
      <c r="Z106" s="16" t="str">
        <f>HYPERLINK($X106&amp;SUBSTITUTE(マスタ!$C$3,"XXXXX",$W106))</f>
        <v>https://www.youtube.com/live/8yfLYQayxQg?si=O0Q0AXQXC39nd7WJ&amp;t=6257s</v>
      </c>
      <c r="AA106" s="12" t="str">
        <f t="shared" si="4"/>
        <v>supercellThe Bravery(1chorus)</v>
      </c>
    </row>
    <row r="107" spans="1:27" x14ac:dyDescent="0.4">
      <c r="A107" s="14">
        <f t="shared" si="5"/>
        <v>106</v>
      </c>
      <c r="B107" s="14">
        <v>16</v>
      </c>
      <c r="C107" s="18" t="s">
        <v>317</v>
      </c>
      <c r="D107" s="14" t="s">
        <v>318</v>
      </c>
      <c r="E107" s="14" t="s">
        <v>81</v>
      </c>
      <c r="G107" s="1" t="str">
        <f>_xlfn.XLOOKUP(B107,M_YT_LIVE!A:A,M_YT_LIVE!F:F,"ERROR",0,1)</f>
        <v>弾き語り</v>
      </c>
      <c r="W107" s="13">
        <f t="shared" si="3"/>
        <v>6523</v>
      </c>
      <c r="X107" s="12" t="str">
        <f>_xlfn.XLOOKUP($B107,M_YT_LIVE!$A:$A,M_YT_LIVE!$D:$D)</f>
        <v>https://www.youtube.com/live/8yfLYQayxQg?si=O0Q0AXQXC39nd7WJ</v>
      </c>
      <c r="Z107" s="16" t="str">
        <f>HYPERLINK($X107&amp;SUBSTITUTE(マスタ!$C$3,"XXXXX",$W107))</f>
        <v>https://www.youtube.com/live/8yfLYQayxQg?si=O0Q0AXQXC39nd7WJ&amp;t=6523s</v>
      </c>
      <c r="AA107" s="12" t="str">
        <f t="shared" si="4"/>
        <v>じん(自然の敵P) feat.IA少年ブレイヴ</v>
      </c>
    </row>
    <row r="108" spans="1:27" x14ac:dyDescent="0.4">
      <c r="A108" s="14">
        <f t="shared" si="5"/>
        <v>107</v>
      </c>
      <c r="B108" s="14">
        <v>16</v>
      </c>
      <c r="C108" s="18" t="s">
        <v>319</v>
      </c>
      <c r="D108" s="14" t="s">
        <v>320</v>
      </c>
      <c r="E108" s="14" t="s">
        <v>321</v>
      </c>
      <c r="G108" s="1" t="str">
        <f>_xlfn.XLOOKUP(B108,M_YT_LIVE!A:A,M_YT_LIVE!F:F,"ERROR",0,1)</f>
        <v>弾き語り</v>
      </c>
      <c r="W108" s="13">
        <f t="shared" si="3"/>
        <v>7035</v>
      </c>
      <c r="X108" s="12" t="str">
        <f>_xlfn.XLOOKUP($B108,M_YT_LIVE!$A:$A,M_YT_LIVE!$D:$D)</f>
        <v>https://www.youtube.com/live/8yfLYQayxQg?si=O0Q0AXQXC39nd7WJ</v>
      </c>
      <c r="Z108" s="16" t="str">
        <f>HYPERLINK($X108&amp;SUBSTITUTE(マスタ!$C$3,"XXXXX",$W108))</f>
        <v>https://www.youtube.com/live/8yfLYQayxQg?si=O0Q0AXQXC39nd7WJ&amp;t=7035s</v>
      </c>
      <c r="AA108" s="12" t="str">
        <f t="shared" si="4"/>
        <v>じん(自然の敵P) feat.初音ミクカゲロウデイズ(1chorus)</v>
      </c>
    </row>
    <row r="109" spans="1:27" x14ac:dyDescent="0.4">
      <c r="A109" s="14">
        <f t="shared" si="5"/>
        <v>108</v>
      </c>
      <c r="B109" s="14">
        <v>16</v>
      </c>
      <c r="C109" s="18" t="s">
        <v>322</v>
      </c>
      <c r="D109" s="14" t="s">
        <v>323</v>
      </c>
      <c r="E109" s="14" t="s">
        <v>324</v>
      </c>
      <c r="G109" s="1" t="str">
        <f>_xlfn.XLOOKUP(B109,M_YT_LIVE!A:A,M_YT_LIVE!F:F,"ERROR",0,1)</f>
        <v>弾き語り</v>
      </c>
      <c r="W109" s="13">
        <f t="shared" si="3"/>
        <v>7244.9999999999991</v>
      </c>
      <c r="X109" s="12" t="str">
        <f>_xlfn.XLOOKUP($B109,M_YT_LIVE!$A:$A,M_YT_LIVE!$D:$D)</f>
        <v>https://www.youtube.com/live/8yfLYQayxQg?si=O0Q0AXQXC39nd7WJ</v>
      </c>
      <c r="Z109" s="16" t="str">
        <f>HYPERLINK($X109&amp;SUBSTITUTE(マスタ!$C$3,"XXXXX",$W109))</f>
        <v>https://www.youtube.com/live/8yfLYQayxQg?si=O0Q0AXQXC39nd7WJ&amp;t=7245s</v>
      </c>
      <c r="AA109" s="12" t="str">
        <f t="shared" si="4"/>
        <v>ASIAN KUNG-FU GENERATIONリライト(1phrase)</v>
      </c>
    </row>
    <row r="110" spans="1:27" x14ac:dyDescent="0.4">
      <c r="A110" s="14">
        <f t="shared" si="5"/>
        <v>109</v>
      </c>
      <c r="B110" s="14">
        <v>16</v>
      </c>
      <c r="C110" s="18" t="s">
        <v>325</v>
      </c>
      <c r="D110" s="14" t="s">
        <v>326</v>
      </c>
      <c r="E110" s="14" t="s">
        <v>327</v>
      </c>
      <c r="G110" s="1" t="str">
        <f>_xlfn.XLOOKUP(B110,M_YT_LIVE!A:A,M_YT_LIVE!F:F,"ERROR",0,1)</f>
        <v>弾き語り</v>
      </c>
      <c r="W110" s="13">
        <f t="shared" si="3"/>
        <v>7372.0000000000009</v>
      </c>
      <c r="X110" s="12" t="str">
        <f>_xlfn.XLOOKUP($B110,M_YT_LIVE!$A:$A,M_YT_LIVE!$D:$D)</f>
        <v>https://www.youtube.com/live/8yfLYQayxQg?si=O0Q0AXQXC39nd7WJ</v>
      </c>
      <c r="Z110" s="16" t="str">
        <f>HYPERLINK($X110&amp;SUBSTITUTE(マスタ!$C$3,"XXXXX",$W110))</f>
        <v>https://www.youtube.com/live/8yfLYQayxQg?si=O0Q0AXQXC39nd7WJ&amp;t=7372s</v>
      </c>
      <c r="AA110" s="12" t="str">
        <f t="shared" si="4"/>
        <v>レミオロメン粉雪</v>
      </c>
    </row>
    <row r="111" spans="1:27" x14ac:dyDescent="0.4">
      <c r="A111" s="14">
        <f t="shared" si="5"/>
        <v>110</v>
      </c>
      <c r="B111" s="14">
        <v>16</v>
      </c>
      <c r="C111" s="18" t="s">
        <v>328</v>
      </c>
      <c r="D111" s="14" t="s">
        <v>329</v>
      </c>
      <c r="E111" s="14" t="s">
        <v>330</v>
      </c>
      <c r="G111" s="1" t="str">
        <f>_xlfn.XLOOKUP(B111,M_YT_LIVE!A:A,M_YT_LIVE!F:F,"ERROR",0,1)</f>
        <v>弾き語り</v>
      </c>
      <c r="W111" s="13">
        <f t="shared" si="3"/>
        <v>7822</v>
      </c>
      <c r="X111" s="12" t="str">
        <f>_xlfn.XLOOKUP($B111,M_YT_LIVE!$A:$A,M_YT_LIVE!$D:$D)</f>
        <v>https://www.youtube.com/live/8yfLYQayxQg?si=O0Q0AXQXC39nd7WJ</v>
      </c>
      <c r="Z111" s="16" t="str">
        <f>HYPERLINK($X111&amp;SUBSTITUTE(マスタ!$C$3,"XXXXX",$W111))</f>
        <v>https://www.youtube.com/live/8yfLYQayxQg?si=O0Q0AXQXC39nd7WJ&amp;t=7822s</v>
      </c>
      <c r="AA111" s="12" t="str">
        <f t="shared" si="4"/>
        <v>和田光司Butter-Fly(1phrase)</v>
      </c>
    </row>
    <row r="112" spans="1:27" x14ac:dyDescent="0.4">
      <c r="A112" s="14">
        <f t="shared" si="5"/>
        <v>111</v>
      </c>
      <c r="B112" s="14">
        <v>16</v>
      </c>
      <c r="C112" s="18" t="s">
        <v>331</v>
      </c>
      <c r="D112" s="14" t="s">
        <v>332</v>
      </c>
      <c r="E112" s="14" t="s">
        <v>1228</v>
      </c>
      <c r="G112" s="1" t="str">
        <f>_xlfn.XLOOKUP(B112,M_YT_LIVE!A:A,M_YT_LIVE!F:F,"ERROR",0,1)</f>
        <v>弾き語り</v>
      </c>
      <c r="W112" s="13">
        <f t="shared" si="3"/>
        <v>7991.0000000000009</v>
      </c>
      <c r="X112" s="12" t="str">
        <f>_xlfn.XLOOKUP($B112,M_YT_LIVE!$A:$A,M_YT_LIVE!$D:$D)</f>
        <v>https://www.youtube.com/live/8yfLYQayxQg?si=O0Q0AXQXC39nd7WJ</v>
      </c>
      <c r="Z112" s="16" t="str">
        <f>HYPERLINK($X112&amp;SUBSTITUTE(マスタ!$C$3,"XXXXX",$W112))</f>
        <v>https://www.youtube.com/live/8yfLYQayxQg?si=O0Q0AXQXC39nd7WJ&amp;t=7991s</v>
      </c>
      <c r="AA112" s="12" t="str">
        <f t="shared" si="4"/>
        <v>涼宮ハルヒ(CV.平野綾)God knows…</v>
      </c>
    </row>
    <row r="113" spans="1:27" x14ac:dyDescent="0.4">
      <c r="A113" s="14">
        <f t="shared" si="5"/>
        <v>112</v>
      </c>
      <c r="B113" s="14">
        <v>16</v>
      </c>
      <c r="C113" s="18" t="s">
        <v>334</v>
      </c>
      <c r="D113" s="14" t="s">
        <v>335</v>
      </c>
      <c r="E113" s="14" t="s">
        <v>336</v>
      </c>
      <c r="G113" s="1" t="str">
        <f>_xlfn.XLOOKUP(B113,M_YT_LIVE!A:A,M_YT_LIVE!F:F,"ERROR",0,1)</f>
        <v>弾き語り</v>
      </c>
      <c r="W113" s="13">
        <f t="shared" si="3"/>
        <v>8467</v>
      </c>
      <c r="X113" s="12" t="str">
        <f>_xlfn.XLOOKUP($B113,M_YT_LIVE!$A:$A,M_YT_LIVE!$D:$D)</f>
        <v>https://www.youtube.com/live/8yfLYQayxQg?si=O0Q0AXQXC39nd7WJ</v>
      </c>
      <c r="Z113" s="16" t="str">
        <f>HYPERLINK($X113&amp;SUBSTITUTE(マスタ!$C$3,"XXXXX",$W113))</f>
        <v>https://www.youtube.com/live/8yfLYQayxQg?si=O0Q0AXQXC39nd7WJ&amp;t=8467s</v>
      </c>
      <c r="AA113" s="12" t="str">
        <f t="shared" si="4"/>
        <v>涼宮ハルヒ(CV.平野綾)&amp;長門有希(CV.茅原実里)&amp;朝比奈みくる(CV.後藤邑子)ハレ晴レユカイ(1phrase)</v>
      </c>
    </row>
    <row r="114" spans="1:27" x14ac:dyDescent="0.4">
      <c r="A114" s="14">
        <f t="shared" si="5"/>
        <v>113</v>
      </c>
      <c r="B114" s="14">
        <v>16</v>
      </c>
      <c r="C114" s="18" t="s">
        <v>337</v>
      </c>
      <c r="D114" s="14" t="s">
        <v>343</v>
      </c>
      <c r="E114" s="14" t="s">
        <v>338</v>
      </c>
      <c r="G114" s="1" t="str">
        <f>_xlfn.XLOOKUP(B114,M_YT_LIVE!A:A,M_YT_LIVE!F:F,"ERROR",0,1)</f>
        <v>弾き語り</v>
      </c>
      <c r="W114" s="13">
        <f t="shared" si="3"/>
        <v>8628</v>
      </c>
      <c r="X114" s="12" t="str">
        <f>_xlfn.XLOOKUP($B114,M_YT_LIVE!$A:$A,M_YT_LIVE!$D:$D)</f>
        <v>https://www.youtube.com/live/8yfLYQayxQg?si=O0Q0AXQXC39nd7WJ</v>
      </c>
      <c r="Z114" s="16" t="str">
        <f>HYPERLINK($X114&amp;SUBSTITUTE(マスタ!$C$3,"XXXXX",$W114))</f>
        <v>https://www.youtube.com/live/8yfLYQayxQg?si=O0Q0AXQXC39nd7WJ&amp;t=8628s</v>
      </c>
      <c r="AA114" s="12" t="str">
        <f t="shared" si="4"/>
        <v>さユり花の塔</v>
      </c>
    </row>
    <row r="115" spans="1:27" x14ac:dyDescent="0.4">
      <c r="A115" s="14">
        <f t="shared" si="5"/>
        <v>114</v>
      </c>
      <c r="B115" s="14">
        <v>16</v>
      </c>
      <c r="C115" s="18" t="s">
        <v>339</v>
      </c>
      <c r="D115" s="14" t="s">
        <v>340</v>
      </c>
      <c r="E115" s="14" t="s">
        <v>341</v>
      </c>
      <c r="G115" s="1" t="str">
        <f>_xlfn.XLOOKUP(B115,M_YT_LIVE!A:A,M_YT_LIVE!F:F,"ERROR",0,1)</f>
        <v>弾き語り</v>
      </c>
      <c r="W115" s="13">
        <f t="shared" si="3"/>
        <v>9176</v>
      </c>
      <c r="X115" s="12" t="str">
        <f>_xlfn.XLOOKUP($B115,M_YT_LIVE!$A:$A,M_YT_LIVE!$D:$D)</f>
        <v>https://www.youtube.com/live/8yfLYQayxQg?si=O0Q0AXQXC39nd7WJ</v>
      </c>
      <c r="Z115" s="16" t="str">
        <f>HYPERLINK($X115&amp;SUBSTITUTE(マスタ!$C$3,"XXXXX",$W115))</f>
        <v>https://www.youtube.com/live/8yfLYQayxQg?si=O0Q0AXQXC39nd7WJ&amp;t=9176s</v>
      </c>
      <c r="AA115" s="12" t="str">
        <f t="shared" si="4"/>
        <v>TK from 凛unravel</v>
      </c>
    </row>
    <row r="116" spans="1:27" x14ac:dyDescent="0.4">
      <c r="A116" s="14">
        <f t="shared" si="5"/>
        <v>115</v>
      </c>
      <c r="B116" s="14">
        <v>17</v>
      </c>
      <c r="C116" s="18" t="s">
        <v>348</v>
      </c>
      <c r="D116" s="14" t="s">
        <v>346</v>
      </c>
      <c r="E116" s="14" t="s">
        <v>347</v>
      </c>
      <c r="G116" s="1" t="str">
        <f>_xlfn.XLOOKUP(B116,M_YT_LIVE!A:A,M_YT_LIVE!F:F,"ERROR",0,1)</f>
        <v>他</v>
      </c>
      <c r="W116" s="13">
        <f t="shared" si="3"/>
        <v>9708</v>
      </c>
      <c r="X116" s="12" t="str">
        <f>_xlfn.XLOOKUP($B116,M_YT_LIVE!$A:$A,M_YT_LIVE!$D:$D)</f>
        <v>https://www.youtube.com/live/gPoOwdHJsS0?si=m0w1THhhEjbjOfbt</v>
      </c>
      <c r="Z116" s="16" t="str">
        <f>HYPERLINK($X116&amp;SUBSTITUTE(マスタ!$C$3,"XXXXX",$W116))</f>
        <v>https://www.youtube.com/live/gPoOwdHJsS0?si=m0w1THhhEjbjOfbt&amp;t=9708s</v>
      </c>
      <c r="AA116" s="12" t="str">
        <f t="shared" si="4"/>
        <v>幽音しの(即興)即興ソング</v>
      </c>
    </row>
    <row r="117" spans="1:27" x14ac:dyDescent="0.4">
      <c r="A117" s="14">
        <f t="shared" si="5"/>
        <v>116</v>
      </c>
      <c r="B117" s="14">
        <v>18</v>
      </c>
      <c r="C117" s="18" t="s">
        <v>63</v>
      </c>
      <c r="D117" s="14" t="s">
        <v>351</v>
      </c>
      <c r="E117" s="14" t="s">
        <v>192</v>
      </c>
      <c r="G117" s="1" t="str">
        <f>_xlfn.XLOOKUP(B117,M_YT_LIVE!A:A,M_YT_LIVE!F:F,"ERROR",0,1)</f>
        <v>他</v>
      </c>
      <c r="W117" s="13">
        <f t="shared" si="3"/>
        <v>2156</v>
      </c>
      <c r="X117" s="12" t="str">
        <f>_xlfn.XLOOKUP($B117,M_YT_LIVE!$A:$A,M_YT_LIVE!$D:$D)</f>
        <v>https://www.youtube.com/live/9eMVaPOXvzM?si=jhgkuY6UKcne9MmF</v>
      </c>
      <c r="Z117" s="16" t="str">
        <f>HYPERLINK($X117&amp;SUBSTITUTE(マスタ!$C$3,"XXXXX",$W117))</f>
        <v>https://www.youtube.com/live/9eMVaPOXvzM?si=jhgkuY6UKcne9MmF&amp;t=2156s</v>
      </c>
      <c r="AA117" s="12" t="str">
        <f t="shared" si="4"/>
        <v>結束バンド忘れてやらない</v>
      </c>
    </row>
    <row r="118" spans="1:27" x14ac:dyDescent="0.4">
      <c r="A118" s="14">
        <f t="shared" si="5"/>
        <v>117</v>
      </c>
      <c r="B118" s="14">
        <v>18</v>
      </c>
      <c r="C118" s="18" t="s">
        <v>352</v>
      </c>
      <c r="D118" s="14" t="s">
        <v>353</v>
      </c>
      <c r="E118" s="14" t="s">
        <v>141</v>
      </c>
      <c r="G118" s="1" t="str">
        <f>_xlfn.XLOOKUP(B118,M_YT_LIVE!A:A,M_YT_LIVE!F:F,"ERROR",0,1)</f>
        <v>他</v>
      </c>
      <c r="W118" s="13">
        <f t="shared" si="3"/>
        <v>2601</v>
      </c>
      <c r="X118" s="12" t="str">
        <f>_xlfn.XLOOKUP($B118,M_YT_LIVE!$A:$A,M_YT_LIVE!$D:$D)</f>
        <v>https://www.youtube.com/live/9eMVaPOXvzM?si=jhgkuY6UKcne9MmF</v>
      </c>
      <c r="Z118" s="16" t="str">
        <f>HYPERLINK($X118&amp;SUBSTITUTE(マスタ!$C$3,"XXXXX",$W118))</f>
        <v>https://www.youtube.com/live/9eMVaPOXvzM?si=jhgkuY6UKcne9MmF&amp;t=2601s</v>
      </c>
      <c r="AA118" s="12" t="str">
        <f t="shared" si="4"/>
        <v>ヨルシカヒッチコック</v>
      </c>
    </row>
    <row r="119" spans="1:27" x14ac:dyDescent="0.4">
      <c r="A119" s="14">
        <f t="shared" si="5"/>
        <v>118</v>
      </c>
      <c r="B119" s="14">
        <v>18</v>
      </c>
      <c r="C119" s="18" t="s">
        <v>354</v>
      </c>
      <c r="D119" s="14" t="s">
        <v>355</v>
      </c>
      <c r="E119" s="14" t="s">
        <v>347</v>
      </c>
      <c r="G119" s="1" t="str">
        <f>_xlfn.XLOOKUP(B119,M_YT_LIVE!A:A,M_YT_LIVE!F:F,"ERROR",0,1)</f>
        <v>他</v>
      </c>
      <c r="W119" s="13">
        <f t="shared" si="3"/>
        <v>2955.0000000000005</v>
      </c>
      <c r="X119" s="12" t="str">
        <f>_xlfn.XLOOKUP($B119,M_YT_LIVE!$A:$A,M_YT_LIVE!$D:$D)</f>
        <v>https://www.youtube.com/live/9eMVaPOXvzM?si=jhgkuY6UKcne9MmF</v>
      </c>
      <c r="Z119" s="16" t="str">
        <f>HYPERLINK($X119&amp;SUBSTITUTE(マスタ!$C$3,"XXXXX",$W119))</f>
        <v>https://www.youtube.com/live/9eMVaPOXvzM?si=jhgkuY6UKcne9MmF&amp;t=2955s</v>
      </c>
      <c r="AA119" s="12" t="str">
        <f t="shared" si="4"/>
        <v>幽音しの(即興)これからもよろしくソング</v>
      </c>
    </row>
    <row r="120" spans="1:27" x14ac:dyDescent="0.4">
      <c r="A120" s="14">
        <f t="shared" si="5"/>
        <v>119</v>
      </c>
      <c r="B120" s="14">
        <v>20</v>
      </c>
      <c r="C120" s="18" t="s">
        <v>362</v>
      </c>
      <c r="D120" s="14" t="s">
        <v>363</v>
      </c>
      <c r="E120" s="14" t="s">
        <v>298</v>
      </c>
      <c r="G120" s="1" t="str">
        <f>_xlfn.XLOOKUP(B120,M_YT_LIVE!A:A,M_YT_LIVE!F:F,"ERROR",0,1)</f>
        <v>弾き語り</v>
      </c>
      <c r="W120" s="13">
        <f t="shared" si="3"/>
        <v>300</v>
      </c>
      <c r="X120" s="12" t="str">
        <f>_xlfn.XLOOKUP($B120,M_YT_LIVE!$A:$A,M_YT_LIVE!$D:$D)</f>
        <v>https://www.youtube.com/live/Z1v3sT_d6uU?si=epz4SGbUtnFLtw2-</v>
      </c>
      <c r="Z120" s="16" t="str">
        <f>HYPERLINK($X120&amp;SUBSTITUTE(マスタ!$C$3,"XXXXX",$W120))</f>
        <v>https://www.youtube.com/live/Z1v3sT_d6uU?si=epz4SGbUtnFLtw2-&amp;t=300s</v>
      </c>
      <c r="AA120" s="12" t="str">
        <f t="shared" si="4"/>
        <v>あいみょんハルノヒ</v>
      </c>
    </row>
    <row r="121" spans="1:27" x14ac:dyDescent="0.4">
      <c r="A121" s="14">
        <f t="shared" si="5"/>
        <v>120</v>
      </c>
      <c r="B121" s="14">
        <v>20</v>
      </c>
      <c r="C121" s="18" t="s">
        <v>364</v>
      </c>
      <c r="D121" s="14" t="s">
        <v>365</v>
      </c>
      <c r="E121" s="14" t="s">
        <v>366</v>
      </c>
      <c r="G121" s="1" t="str">
        <f>_xlfn.XLOOKUP(B121,M_YT_LIVE!A:A,M_YT_LIVE!F:F,"ERROR",0,1)</f>
        <v>弾き語り</v>
      </c>
      <c r="W121" s="13">
        <f t="shared" si="3"/>
        <v>775</v>
      </c>
      <c r="X121" s="12" t="str">
        <f>_xlfn.XLOOKUP($B121,M_YT_LIVE!$A:$A,M_YT_LIVE!$D:$D)</f>
        <v>https://www.youtube.com/live/Z1v3sT_d6uU?si=epz4SGbUtnFLtw2-</v>
      </c>
      <c r="Z121" s="16" t="str">
        <f>HYPERLINK($X121&amp;SUBSTITUTE(マスタ!$C$3,"XXXXX",$W121))</f>
        <v>https://www.youtube.com/live/Z1v3sT_d6uU?si=epz4SGbUtnFLtw2-&amp;t=775s</v>
      </c>
      <c r="AA121" s="12" t="str">
        <f t="shared" si="4"/>
        <v>すこっぷ feat.初音ミクアイロニ</v>
      </c>
    </row>
    <row r="122" spans="1:27" x14ac:dyDescent="0.4">
      <c r="A122" s="14">
        <f t="shared" si="5"/>
        <v>121</v>
      </c>
      <c r="B122" s="14">
        <v>20</v>
      </c>
      <c r="C122" s="18" t="s">
        <v>367</v>
      </c>
      <c r="D122" s="14" t="s">
        <v>368</v>
      </c>
      <c r="E122" s="14" t="s">
        <v>208</v>
      </c>
      <c r="G122" s="1" t="str">
        <f>_xlfn.XLOOKUP(B122,M_YT_LIVE!A:A,M_YT_LIVE!F:F,"ERROR",0,1)</f>
        <v>弾き語り</v>
      </c>
      <c r="W122" s="13">
        <f t="shared" si="3"/>
        <v>1164</v>
      </c>
      <c r="X122" s="12" t="str">
        <f>_xlfn.XLOOKUP($B122,M_YT_LIVE!$A:$A,M_YT_LIVE!$D:$D)</f>
        <v>https://www.youtube.com/live/Z1v3sT_d6uU?si=epz4SGbUtnFLtw2-</v>
      </c>
      <c r="Z122" s="16" t="str">
        <f>HYPERLINK($X122&amp;SUBSTITUTE(マスタ!$C$3,"XXXXX",$W122))</f>
        <v>https://www.youtube.com/live/Z1v3sT_d6uU?si=epz4SGbUtnFLtw2-&amp;t=1164s</v>
      </c>
      <c r="AA122" s="12" t="str">
        <f t="shared" si="4"/>
        <v>supercell星が瞬くこんな夜に</v>
      </c>
    </row>
    <row r="123" spans="1:27" x14ac:dyDescent="0.4">
      <c r="A123" s="14">
        <f t="shared" si="5"/>
        <v>122</v>
      </c>
      <c r="B123" s="14">
        <v>20</v>
      </c>
      <c r="C123" s="18" t="s">
        <v>369</v>
      </c>
      <c r="D123" s="14" t="s">
        <v>370</v>
      </c>
      <c r="E123" s="14" t="s">
        <v>208</v>
      </c>
      <c r="G123" s="1" t="str">
        <f>_xlfn.XLOOKUP(B123,M_YT_LIVE!A:A,M_YT_LIVE!F:F,"ERROR",0,1)</f>
        <v>弾き語り</v>
      </c>
      <c r="W123" s="13">
        <f t="shared" si="3"/>
        <v>1554.0000000000002</v>
      </c>
      <c r="X123" s="12" t="str">
        <f>_xlfn.XLOOKUP($B123,M_YT_LIVE!$A:$A,M_YT_LIVE!$D:$D)</f>
        <v>https://www.youtube.com/live/Z1v3sT_d6uU?si=epz4SGbUtnFLtw2-</v>
      </c>
      <c r="Z123" s="16" t="str">
        <f>HYPERLINK($X123&amp;SUBSTITUTE(マスタ!$C$3,"XXXXX",$W123))</f>
        <v>https://www.youtube.com/live/Z1v3sT_d6uU?si=epz4SGbUtnFLtw2-&amp;t=1554s</v>
      </c>
      <c r="AA123" s="12" t="str">
        <f t="shared" si="4"/>
        <v>supercellMy Dearest</v>
      </c>
    </row>
    <row r="124" spans="1:27" x14ac:dyDescent="0.4">
      <c r="A124" s="14">
        <f t="shared" si="5"/>
        <v>123</v>
      </c>
      <c r="B124" s="14">
        <v>20</v>
      </c>
      <c r="C124" s="18" t="s">
        <v>371</v>
      </c>
      <c r="D124" s="14" t="s">
        <v>372</v>
      </c>
      <c r="E124" s="14" t="s">
        <v>135</v>
      </c>
      <c r="G124" s="1" t="str">
        <f>_xlfn.XLOOKUP(B124,M_YT_LIVE!A:A,M_YT_LIVE!F:F,"ERROR",0,1)</f>
        <v>弾き語り</v>
      </c>
      <c r="W124" s="13">
        <f t="shared" si="3"/>
        <v>2044</v>
      </c>
      <c r="X124" s="12" t="str">
        <f>_xlfn.XLOOKUP($B124,M_YT_LIVE!$A:$A,M_YT_LIVE!$D:$D)</f>
        <v>https://www.youtube.com/live/Z1v3sT_d6uU?si=epz4SGbUtnFLtw2-</v>
      </c>
      <c r="Z124" s="16" t="str">
        <f>HYPERLINK($X124&amp;SUBSTITUTE(マスタ!$C$3,"XXXXX",$W124))</f>
        <v>https://www.youtube.com/live/Z1v3sT_d6uU?si=epz4SGbUtnFLtw2-&amp;t=2044s</v>
      </c>
      <c r="AA124" s="12" t="str">
        <f t="shared" si="4"/>
        <v>EGOISTThe Everlasting Guilty Crown</v>
      </c>
    </row>
    <row r="125" spans="1:27" x14ac:dyDescent="0.4">
      <c r="A125" s="14">
        <f t="shared" si="5"/>
        <v>124</v>
      </c>
      <c r="B125" s="14">
        <v>20</v>
      </c>
      <c r="C125" s="18" t="s">
        <v>373</v>
      </c>
      <c r="D125" s="14" t="s">
        <v>374</v>
      </c>
      <c r="E125" s="14" t="s">
        <v>135</v>
      </c>
      <c r="G125" s="1" t="str">
        <f>_xlfn.XLOOKUP(B125,M_YT_LIVE!A:A,M_YT_LIVE!F:F,"ERROR",0,1)</f>
        <v>弾き語り</v>
      </c>
      <c r="W125" s="13">
        <f t="shared" si="3"/>
        <v>2631</v>
      </c>
      <c r="X125" s="12" t="str">
        <f>_xlfn.XLOOKUP($B125,M_YT_LIVE!$A:$A,M_YT_LIVE!$D:$D)</f>
        <v>https://www.youtube.com/live/Z1v3sT_d6uU?si=epz4SGbUtnFLtw2-</v>
      </c>
      <c r="Z125" s="16" t="str">
        <f>HYPERLINK($X125&amp;SUBSTITUTE(マスタ!$C$3,"XXXXX",$W125))</f>
        <v>https://www.youtube.com/live/Z1v3sT_d6uU?si=epz4SGbUtnFLtw2-&amp;t=2631s</v>
      </c>
      <c r="AA125" s="12" t="str">
        <f t="shared" si="4"/>
        <v>EGOISTDepartures 〜あなたにおくるアイの歌〜</v>
      </c>
    </row>
    <row r="126" spans="1:27" x14ac:dyDescent="0.4">
      <c r="A126" s="14">
        <f t="shared" si="5"/>
        <v>125</v>
      </c>
      <c r="B126" s="14">
        <v>20</v>
      </c>
      <c r="C126" s="18" t="s">
        <v>375</v>
      </c>
      <c r="D126" s="14" t="s">
        <v>376</v>
      </c>
      <c r="E126" s="14" t="s">
        <v>395</v>
      </c>
      <c r="G126" s="1" t="str">
        <f>_xlfn.XLOOKUP(B126,M_YT_LIVE!A:A,M_YT_LIVE!F:F,"ERROR",0,1)</f>
        <v>弾き語り</v>
      </c>
      <c r="W126" s="13">
        <f t="shared" si="3"/>
        <v>3130</v>
      </c>
      <c r="X126" s="12" t="str">
        <f>_xlfn.XLOOKUP($B126,M_YT_LIVE!$A:$A,M_YT_LIVE!$D:$D)</f>
        <v>https://www.youtube.com/live/Z1v3sT_d6uU?si=epz4SGbUtnFLtw2-</v>
      </c>
      <c r="Z126" s="16" t="str">
        <f>HYPERLINK($X126&amp;SUBSTITUTE(マスタ!$C$3,"XXXXX",$W126))</f>
        <v>https://www.youtube.com/live/Z1v3sT_d6uU?si=epz4SGbUtnFLtw2-&amp;t=3130s</v>
      </c>
      <c r="AA126" s="12" t="str">
        <f t="shared" si="4"/>
        <v>幽音しの(即興)エモさはいつもしののそばに</v>
      </c>
    </row>
    <row r="127" spans="1:27" x14ac:dyDescent="0.4">
      <c r="A127" s="14">
        <f t="shared" si="5"/>
        <v>126</v>
      </c>
      <c r="B127" s="14">
        <v>20</v>
      </c>
      <c r="C127" s="18" t="s">
        <v>377</v>
      </c>
      <c r="D127" s="14" t="s">
        <v>378</v>
      </c>
      <c r="E127" s="14" t="s">
        <v>141</v>
      </c>
      <c r="G127" s="1" t="str">
        <f>_xlfn.XLOOKUP(B127,M_YT_LIVE!A:A,M_YT_LIVE!F:F,"ERROR",0,1)</f>
        <v>弾き語り</v>
      </c>
      <c r="W127" s="13">
        <f t="shared" si="3"/>
        <v>3480</v>
      </c>
      <c r="X127" s="12" t="str">
        <f>_xlfn.XLOOKUP($B127,M_YT_LIVE!$A:$A,M_YT_LIVE!$D:$D)</f>
        <v>https://www.youtube.com/live/Z1v3sT_d6uU?si=epz4SGbUtnFLtw2-</v>
      </c>
      <c r="Z127" s="16" t="str">
        <f>HYPERLINK($X127&amp;SUBSTITUTE(マスタ!$C$3,"XXXXX",$W127))</f>
        <v>https://www.youtube.com/live/Z1v3sT_d6uU?si=epz4SGbUtnFLtw2-&amp;t=3480s</v>
      </c>
      <c r="AA127" s="12" t="str">
        <f t="shared" si="4"/>
        <v>ヨルシカ斜陽</v>
      </c>
    </row>
    <row r="128" spans="1:27" x14ac:dyDescent="0.4">
      <c r="A128" s="14">
        <f t="shared" si="5"/>
        <v>127</v>
      </c>
      <c r="B128" s="14">
        <v>20</v>
      </c>
      <c r="C128" s="18" t="s">
        <v>379</v>
      </c>
      <c r="D128" s="14" t="s">
        <v>220</v>
      </c>
      <c r="E128" s="14" t="s">
        <v>192</v>
      </c>
      <c r="G128" s="1" t="str">
        <f>_xlfn.XLOOKUP(B128,M_YT_LIVE!A:A,M_YT_LIVE!F:F,"ERROR",0,1)</f>
        <v>弾き語り</v>
      </c>
      <c r="W128" s="13">
        <f t="shared" si="3"/>
        <v>3807</v>
      </c>
      <c r="X128" s="12" t="str">
        <f>_xlfn.XLOOKUP($B128,M_YT_LIVE!$A:$A,M_YT_LIVE!$D:$D)</f>
        <v>https://www.youtube.com/live/Z1v3sT_d6uU?si=epz4SGbUtnFLtw2-</v>
      </c>
      <c r="Z128" s="16" t="str">
        <f>HYPERLINK($X128&amp;SUBSTITUTE(マスタ!$C$3,"XXXXX",$W128))</f>
        <v>https://www.youtube.com/live/Z1v3sT_d6uU?si=epz4SGbUtnFLtw2-&amp;t=3807s</v>
      </c>
      <c r="AA128" s="12" t="str">
        <f t="shared" si="4"/>
        <v>結束バンドギターと孤独と蒼い惑星</v>
      </c>
    </row>
    <row r="129" spans="1:27" x14ac:dyDescent="0.4">
      <c r="A129" s="14">
        <f t="shared" si="5"/>
        <v>128</v>
      </c>
      <c r="B129" s="14">
        <v>20</v>
      </c>
      <c r="C129" s="18" t="s">
        <v>380</v>
      </c>
      <c r="D129" s="14" t="s">
        <v>87</v>
      </c>
      <c r="E129" s="14" t="s">
        <v>88</v>
      </c>
      <c r="G129" s="1" t="str">
        <f>_xlfn.XLOOKUP(B129,M_YT_LIVE!A:A,M_YT_LIVE!F:F,"ERROR",0,1)</f>
        <v>弾き語り</v>
      </c>
      <c r="W129" s="13">
        <f t="shared" si="3"/>
        <v>4174</v>
      </c>
      <c r="X129" s="12" t="str">
        <f>_xlfn.XLOOKUP($B129,M_YT_LIVE!$A:$A,M_YT_LIVE!$D:$D)</f>
        <v>https://www.youtube.com/live/Z1v3sT_d6uU?si=epz4SGbUtnFLtw2-</v>
      </c>
      <c r="Z129" s="16" t="str">
        <f>HYPERLINK($X129&amp;SUBSTITUTE(マスタ!$C$3,"XXXXX",$W129))</f>
        <v>https://www.youtube.com/live/Z1v3sT_d6uU?si=epz4SGbUtnFLtw2-&amp;t=4174s</v>
      </c>
      <c r="AA129" s="12" t="str">
        <f t="shared" si="4"/>
        <v>美波カワキヲアメク</v>
      </c>
    </row>
    <row r="130" spans="1:27" x14ac:dyDescent="0.4">
      <c r="A130" s="14">
        <f t="shared" si="5"/>
        <v>129</v>
      </c>
      <c r="B130" s="14">
        <v>20</v>
      </c>
      <c r="C130" s="18" t="s">
        <v>381</v>
      </c>
      <c r="D130" s="14" t="s">
        <v>382</v>
      </c>
      <c r="E130" s="14" t="s">
        <v>394</v>
      </c>
      <c r="G130" s="1" t="str">
        <f>_xlfn.XLOOKUP(B130,M_YT_LIVE!A:A,M_YT_LIVE!F:F,"ERROR",0,1)</f>
        <v>弾き語り</v>
      </c>
      <c r="W130" s="13">
        <f t="shared" si="3"/>
        <v>4838</v>
      </c>
      <c r="X130" s="12" t="str">
        <f>_xlfn.XLOOKUP($B130,M_YT_LIVE!$A:$A,M_YT_LIVE!$D:$D)</f>
        <v>https://www.youtube.com/live/Z1v3sT_d6uU?si=epz4SGbUtnFLtw2-</v>
      </c>
      <c r="Z130" s="16" t="str">
        <f>HYPERLINK($X130&amp;SUBSTITUTE(マスタ!$C$3,"XXXXX",$W130))</f>
        <v>https://www.youtube.com/live/Z1v3sT_d6uU?si=epz4SGbUtnFLtw2-&amp;t=4838s</v>
      </c>
      <c r="AA130" s="12" t="str">
        <f t="shared" si="4"/>
        <v>-しのぴが色々洋楽をうろ覚えで歌うよ!</v>
      </c>
    </row>
    <row r="131" spans="1:27" x14ac:dyDescent="0.4">
      <c r="A131" s="14">
        <f t="shared" si="5"/>
        <v>130</v>
      </c>
      <c r="B131" s="14">
        <v>20</v>
      </c>
      <c r="C131" s="18" t="s">
        <v>383</v>
      </c>
      <c r="D131" s="14" t="s">
        <v>384</v>
      </c>
      <c r="E131" s="14" t="s">
        <v>385</v>
      </c>
      <c r="G131" s="1" t="str">
        <f>_xlfn.XLOOKUP(B131,M_YT_LIVE!A:A,M_YT_LIVE!F:F,"ERROR",0,1)</f>
        <v>弾き語り</v>
      </c>
      <c r="W131" s="13">
        <f t="shared" ref="W131:W194" si="6">TIMEVALUE($C131)*86400</f>
        <v>5403.0000000000009</v>
      </c>
      <c r="X131" s="12" t="str">
        <f>_xlfn.XLOOKUP($B131,M_YT_LIVE!$A:$A,M_YT_LIVE!$D:$D)</f>
        <v>https://www.youtube.com/live/Z1v3sT_d6uU?si=epz4SGbUtnFLtw2-</v>
      </c>
      <c r="Z131" s="16" t="str">
        <f>HYPERLINK($X131&amp;SUBSTITUTE(マスタ!$C$3,"XXXXX",$W131))</f>
        <v>https://www.youtube.com/live/Z1v3sT_d6uU?si=epz4SGbUtnFLtw2-&amp;t=5403s</v>
      </c>
      <c r="AA131" s="12" t="str">
        <f t="shared" ref="AA131:AA194" si="7">TRIM(E131)&amp;TRIM(D131)</f>
        <v>ナノウ(ほえほえP) feat. 初音ミクハロ/ハワユ</v>
      </c>
    </row>
    <row r="132" spans="1:27" x14ac:dyDescent="0.4">
      <c r="A132" s="14">
        <f t="shared" si="5"/>
        <v>131</v>
      </c>
      <c r="B132" s="14">
        <v>20</v>
      </c>
      <c r="C132" s="18" t="s">
        <v>386</v>
      </c>
      <c r="D132" s="14" t="s">
        <v>387</v>
      </c>
      <c r="E132" s="14" t="s">
        <v>192</v>
      </c>
      <c r="G132" s="1" t="str">
        <f>_xlfn.XLOOKUP(B132,M_YT_LIVE!A:A,M_YT_LIVE!F:F,"ERROR",0,1)</f>
        <v>弾き語り</v>
      </c>
      <c r="W132" s="13">
        <f t="shared" si="6"/>
        <v>5887</v>
      </c>
      <c r="X132" s="12" t="str">
        <f>_xlfn.XLOOKUP($B132,M_YT_LIVE!$A:$A,M_YT_LIVE!$D:$D)</f>
        <v>https://www.youtube.com/live/Z1v3sT_d6uU?si=epz4SGbUtnFLtw2-</v>
      </c>
      <c r="Z132" s="16" t="str">
        <f>HYPERLINK($X132&amp;SUBSTITUTE(マスタ!$C$3,"XXXXX",$W132))</f>
        <v>https://www.youtube.com/live/Z1v3sT_d6uU?si=epz4SGbUtnFLtw2-&amp;t=5887s</v>
      </c>
      <c r="AA132" s="12" t="str">
        <f t="shared" si="7"/>
        <v>結束バンドフラッシュバッカー</v>
      </c>
    </row>
    <row r="133" spans="1:27" x14ac:dyDescent="0.4">
      <c r="A133" s="14">
        <f t="shared" ref="A133:A196" si="8">ROW()-1</f>
        <v>132</v>
      </c>
      <c r="B133" s="14">
        <v>20</v>
      </c>
      <c r="C133" s="18" t="s">
        <v>388</v>
      </c>
      <c r="D133" s="14" t="s">
        <v>389</v>
      </c>
      <c r="E133" s="14" t="s">
        <v>390</v>
      </c>
      <c r="G133" s="1" t="str">
        <f>_xlfn.XLOOKUP(B133,M_YT_LIVE!A:A,M_YT_LIVE!F:F,"ERROR",0,1)</f>
        <v>弾き語り</v>
      </c>
      <c r="W133" s="13">
        <f t="shared" si="6"/>
        <v>6332</v>
      </c>
      <c r="X133" s="12" t="str">
        <f>_xlfn.XLOOKUP($B133,M_YT_LIVE!$A:$A,M_YT_LIVE!$D:$D)</f>
        <v>https://www.youtube.com/live/Z1v3sT_d6uU?si=epz4SGbUtnFLtw2-</v>
      </c>
      <c r="Z133" s="16" t="str">
        <f>HYPERLINK($X133&amp;SUBSTITUTE(マスタ!$C$3,"XXXXX",$W133))</f>
        <v>https://www.youtube.com/live/Z1v3sT_d6uU?si=epz4SGbUtnFLtw2-&amp;t=6332s</v>
      </c>
      <c r="AA133" s="12" t="str">
        <f t="shared" si="7"/>
        <v>LiSAシルシ</v>
      </c>
    </row>
    <row r="134" spans="1:27" x14ac:dyDescent="0.4">
      <c r="A134" s="14">
        <f t="shared" si="8"/>
        <v>133</v>
      </c>
      <c r="B134" s="14">
        <v>20</v>
      </c>
      <c r="C134" s="18" t="s">
        <v>391</v>
      </c>
      <c r="D134" s="14" t="s">
        <v>392</v>
      </c>
      <c r="E134" s="14" t="s">
        <v>393</v>
      </c>
      <c r="G134" s="1" t="str">
        <f>_xlfn.XLOOKUP(B134,M_YT_LIVE!A:A,M_YT_LIVE!F:F,"ERROR",0,1)</f>
        <v>弾き語り</v>
      </c>
      <c r="W134" s="13">
        <f t="shared" si="6"/>
        <v>7045</v>
      </c>
      <c r="X134" s="12" t="str">
        <f>_xlfn.XLOOKUP($B134,M_YT_LIVE!$A:$A,M_YT_LIVE!$D:$D)</f>
        <v>https://www.youtube.com/live/Z1v3sT_d6uU?si=epz4SGbUtnFLtw2-</v>
      </c>
      <c r="Z134" s="16" t="str">
        <f>HYPERLINK($X134&amp;SUBSTITUTE(マスタ!$C$3,"XXXXX",$W134))</f>
        <v>https://www.youtube.com/live/Z1v3sT_d6uU?si=epz4SGbUtnFLtw2-&amp;t=7045s</v>
      </c>
      <c r="AA134" s="12" t="str">
        <f t="shared" si="7"/>
        <v>ONE OK ROCK完全感覚Dreamer</v>
      </c>
    </row>
    <row r="135" spans="1:27" x14ac:dyDescent="0.4">
      <c r="A135" s="14">
        <f t="shared" si="8"/>
        <v>134</v>
      </c>
      <c r="B135" s="14">
        <v>23</v>
      </c>
      <c r="C135" s="18" t="s">
        <v>402</v>
      </c>
      <c r="D135" s="14" t="s">
        <v>403</v>
      </c>
      <c r="E135" s="14" t="s">
        <v>404</v>
      </c>
      <c r="G135" s="1" t="str">
        <f>_xlfn.XLOOKUP(B135,M_YT_LIVE!A:A,M_YT_LIVE!F:F,"ERROR",0,1)</f>
        <v>音源</v>
      </c>
      <c r="W135" s="13">
        <f t="shared" si="6"/>
        <v>312</v>
      </c>
      <c r="X135" s="12" t="str">
        <f>_xlfn.XLOOKUP($B135,M_YT_LIVE!$A:$A,M_YT_LIVE!$D:$D)</f>
        <v>https://www.youtube.com/live/EIV2fME4Fec?si=lkzDtJEJ9agzd2Md</v>
      </c>
      <c r="Z135" s="16" t="str">
        <f>HYPERLINK($X135&amp;SUBSTITUTE(マスタ!$C$3,"XXXXX",$W135))</f>
        <v>https://www.youtube.com/live/EIV2fME4Fec?si=lkzDtJEJ9agzd2Md&amp;t=312s</v>
      </c>
      <c r="AA135" s="12" t="str">
        <f t="shared" si="7"/>
        <v>松本梨香めざせポケモンマスター</v>
      </c>
    </row>
    <row r="136" spans="1:27" x14ac:dyDescent="0.4">
      <c r="A136" s="14">
        <f t="shared" si="8"/>
        <v>135</v>
      </c>
      <c r="B136" s="14">
        <v>23</v>
      </c>
      <c r="C136" s="18" t="s">
        <v>405</v>
      </c>
      <c r="D136" s="14" t="s">
        <v>406</v>
      </c>
      <c r="E136" s="14" t="s">
        <v>407</v>
      </c>
      <c r="G136" s="1" t="str">
        <f>_xlfn.XLOOKUP(B136,M_YT_LIVE!A:A,M_YT_LIVE!F:F,"ERROR",0,1)</f>
        <v>音源</v>
      </c>
      <c r="W136" s="13">
        <f t="shared" si="6"/>
        <v>677.00000000000011</v>
      </c>
      <c r="X136" s="12" t="str">
        <f>_xlfn.XLOOKUP($B136,M_YT_LIVE!$A:$A,M_YT_LIVE!$D:$D)</f>
        <v>https://www.youtube.com/live/EIV2fME4Fec?si=lkzDtJEJ9agzd2Md</v>
      </c>
      <c r="Z136" s="16" t="str">
        <f>HYPERLINK($X136&amp;SUBSTITUTE(マスタ!$C$3,"XXXXX",$W136))</f>
        <v>https://www.youtube.com/live/EIV2fME4Fec?si=lkzDtJEJ9agzd2Md&amp;t=677s</v>
      </c>
      <c r="AA136" s="12" t="str">
        <f t="shared" si="7"/>
        <v>あきよしふみえTogether</v>
      </c>
    </row>
    <row r="137" spans="1:27" x14ac:dyDescent="0.4">
      <c r="A137" s="14">
        <f t="shared" si="8"/>
        <v>136</v>
      </c>
      <c r="B137" s="14">
        <v>23</v>
      </c>
      <c r="C137" s="18" t="s">
        <v>408</v>
      </c>
      <c r="D137" s="14" t="s">
        <v>409</v>
      </c>
      <c r="E137" s="14" t="s">
        <v>81</v>
      </c>
      <c r="G137" s="1" t="str">
        <f>_xlfn.XLOOKUP(B137,M_YT_LIVE!A:A,M_YT_LIVE!F:F,"ERROR",0,1)</f>
        <v>音源</v>
      </c>
      <c r="W137" s="13">
        <f t="shared" si="6"/>
        <v>1047</v>
      </c>
      <c r="X137" s="12" t="str">
        <f>_xlfn.XLOOKUP($B137,M_YT_LIVE!$A:$A,M_YT_LIVE!$D:$D)</f>
        <v>https://www.youtube.com/live/EIV2fME4Fec?si=lkzDtJEJ9agzd2Md</v>
      </c>
      <c r="Z137" s="16" t="str">
        <f>HYPERLINK($X137&amp;SUBSTITUTE(マスタ!$C$3,"XXXXX",$W137))</f>
        <v>https://www.youtube.com/live/EIV2fME4Fec?si=lkzDtJEJ9agzd2Md&amp;t=1047s</v>
      </c>
      <c r="AA137" s="12" t="str">
        <f t="shared" si="7"/>
        <v>じん(自然の敵P) feat.IAチルドレンレコード</v>
      </c>
    </row>
    <row r="138" spans="1:27" x14ac:dyDescent="0.4">
      <c r="A138" s="14">
        <f t="shared" si="8"/>
        <v>137</v>
      </c>
      <c r="B138" s="14">
        <v>23</v>
      </c>
      <c r="C138" s="18" t="s">
        <v>410</v>
      </c>
      <c r="D138" s="14" t="s">
        <v>411</v>
      </c>
      <c r="E138" s="14" t="s">
        <v>81</v>
      </c>
      <c r="G138" s="1" t="str">
        <f>_xlfn.XLOOKUP(B138,M_YT_LIVE!A:A,M_YT_LIVE!F:F,"ERROR",0,1)</f>
        <v>音源</v>
      </c>
      <c r="W138" s="13">
        <f t="shared" si="6"/>
        <v>1297</v>
      </c>
      <c r="X138" s="12" t="str">
        <f>_xlfn.XLOOKUP($B138,M_YT_LIVE!$A:$A,M_YT_LIVE!$D:$D)</f>
        <v>https://www.youtube.com/live/EIV2fME4Fec?si=lkzDtJEJ9agzd2Md</v>
      </c>
      <c r="Z138" s="16" t="str">
        <f>HYPERLINK($X138&amp;SUBSTITUTE(マスタ!$C$3,"XXXXX",$W138))</f>
        <v>https://www.youtube.com/live/EIV2fME4Fec?si=lkzDtJEJ9agzd2Md&amp;t=1297s</v>
      </c>
      <c r="AA138" s="12" t="str">
        <f t="shared" si="7"/>
        <v>じん(自然の敵P) feat.IAロスタイムメモリー</v>
      </c>
    </row>
    <row r="139" spans="1:27" x14ac:dyDescent="0.4">
      <c r="A139" s="14">
        <f t="shared" si="8"/>
        <v>138</v>
      </c>
      <c r="B139" s="14">
        <v>23</v>
      </c>
      <c r="C139" s="18" t="s">
        <v>412</v>
      </c>
      <c r="D139" s="14" t="s">
        <v>413</v>
      </c>
      <c r="E139" s="14" t="s">
        <v>414</v>
      </c>
      <c r="G139" s="1" t="str">
        <f>_xlfn.XLOOKUP(B139,M_YT_LIVE!A:A,M_YT_LIVE!F:F,"ERROR",0,1)</f>
        <v>音源</v>
      </c>
      <c r="W139" s="13">
        <f t="shared" si="6"/>
        <v>1690</v>
      </c>
      <c r="X139" s="12" t="str">
        <f>_xlfn.XLOOKUP($B139,M_YT_LIVE!$A:$A,M_YT_LIVE!$D:$D)</f>
        <v>https://www.youtube.com/live/EIV2fME4Fec?si=lkzDtJEJ9agzd2Md</v>
      </c>
      <c r="Z139" s="16" t="str">
        <f>HYPERLINK($X139&amp;SUBSTITUTE(マスタ!$C$3,"XXXXX",$W139))</f>
        <v>https://www.youtube.com/live/EIV2fME4Fec?si=lkzDtJEJ9agzd2Md&amp;t=1690s</v>
      </c>
      <c r="AA139" s="12" t="str">
        <f t="shared" si="7"/>
        <v>れるりり(当社比P) feat.初音ミク脳漿炸裂ガール</v>
      </c>
    </row>
    <row r="140" spans="1:27" x14ac:dyDescent="0.4">
      <c r="A140" s="14">
        <f t="shared" si="8"/>
        <v>139</v>
      </c>
      <c r="B140" s="14">
        <v>23</v>
      </c>
      <c r="C140" s="18" t="s">
        <v>415</v>
      </c>
      <c r="D140" s="14" t="s">
        <v>111</v>
      </c>
      <c r="E140" s="14" t="s">
        <v>112</v>
      </c>
      <c r="G140" s="1" t="str">
        <f>_xlfn.XLOOKUP(B140,M_YT_LIVE!A:A,M_YT_LIVE!F:F,"ERROR",0,1)</f>
        <v>音源</v>
      </c>
      <c r="W140" s="13">
        <f t="shared" si="6"/>
        <v>1986</v>
      </c>
      <c r="X140" s="12" t="str">
        <f>_xlfn.XLOOKUP($B140,M_YT_LIVE!$A:$A,M_YT_LIVE!$D:$D)</f>
        <v>https://www.youtube.com/live/EIV2fME4Fec?si=lkzDtJEJ9agzd2Md</v>
      </c>
      <c r="Z140" s="16" t="str">
        <f>HYPERLINK($X140&amp;SUBSTITUTE(マスタ!$C$3,"XXXXX",$W140))</f>
        <v>https://www.youtube.com/live/EIV2fME4Fec?si=lkzDtJEJ9agzd2Md&amp;t=1986s</v>
      </c>
      <c r="AA140" s="12" t="str">
        <f t="shared" si="7"/>
        <v>DECO*27 feat.初音ミク妄想感傷代償連盟</v>
      </c>
    </row>
    <row r="141" spans="1:27" x14ac:dyDescent="0.4">
      <c r="A141" s="14">
        <f t="shared" si="8"/>
        <v>140</v>
      </c>
      <c r="B141" s="14">
        <v>23</v>
      </c>
      <c r="C141" s="18" t="s">
        <v>416</v>
      </c>
      <c r="D141" s="14" t="s">
        <v>417</v>
      </c>
      <c r="E141" s="14" t="s">
        <v>418</v>
      </c>
      <c r="G141" s="1" t="str">
        <f>_xlfn.XLOOKUP(B141,M_YT_LIVE!A:A,M_YT_LIVE!F:F,"ERROR",0,1)</f>
        <v>音源</v>
      </c>
      <c r="W141" s="13">
        <f t="shared" si="6"/>
        <v>2410</v>
      </c>
      <c r="X141" s="12" t="str">
        <f>_xlfn.XLOOKUP($B141,M_YT_LIVE!$A:$A,M_YT_LIVE!$D:$D)</f>
        <v>https://www.youtube.com/live/EIV2fME4Fec?si=lkzDtJEJ9agzd2Md</v>
      </c>
      <c r="Z141" s="16" t="str">
        <f>HYPERLINK($X141&amp;SUBSTITUTE(マスタ!$C$3,"XXXXX",$W141))</f>
        <v>https://www.youtube.com/live/EIV2fME4Fec?si=lkzDtJEJ9agzd2Md&amp;t=2410s</v>
      </c>
      <c r="AA141" s="12" t="str">
        <f t="shared" si="7"/>
        <v>kemu feat.GUMI&amp;鏡音リンインビジブル</v>
      </c>
    </row>
    <row r="142" spans="1:27" x14ac:dyDescent="0.4">
      <c r="A142" s="14">
        <f t="shared" si="8"/>
        <v>141</v>
      </c>
      <c r="B142" s="14">
        <v>23</v>
      </c>
      <c r="C142" s="18" t="s">
        <v>419</v>
      </c>
      <c r="D142" s="14" t="s">
        <v>420</v>
      </c>
      <c r="E142" s="14" t="s">
        <v>421</v>
      </c>
      <c r="G142" s="1" t="str">
        <f>_xlfn.XLOOKUP(B142,M_YT_LIVE!A:A,M_YT_LIVE!F:F,"ERROR",0,1)</f>
        <v>音源</v>
      </c>
      <c r="W142" s="13">
        <f t="shared" si="6"/>
        <v>2689</v>
      </c>
      <c r="X142" s="12" t="str">
        <f>_xlfn.XLOOKUP($B142,M_YT_LIVE!$A:$A,M_YT_LIVE!$D:$D)</f>
        <v>https://www.youtube.com/live/EIV2fME4Fec?si=lkzDtJEJ9agzd2Md</v>
      </c>
      <c r="Z142" s="16" t="str">
        <f>HYPERLINK($X142&amp;SUBSTITUTE(マスタ!$C$3,"XXXXX",$W142))</f>
        <v>https://www.youtube.com/live/EIV2fME4Fec?si=lkzDtJEJ9agzd2Md&amp;t=2689s</v>
      </c>
      <c r="AA142" s="12" t="str">
        <f t="shared" si="7"/>
        <v>kemu feat.IA六兆年と一夜物語</v>
      </c>
    </row>
    <row r="143" spans="1:27" x14ac:dyDescent="0.4">
      <c r="A143" s="14">
        <f t="shared" si="8"/>
        <v>142</v>
      </c>
      <c r="B143" s="14">
        <v>23</v>
      </c>
      <c r="C143" s="18" t="s">
        <v>422</v>
      </c>
      <c r="D143" s="14" t="s">
        <v>423</v>
      </c>
      <c r="E143" s="14" t="s">
        <v>424</v>
      </c>
      <c r="G143" s="1" t="str">
        <f>_xlfn.XLOOKUP(B143,M_YT_LIVE!A:A,M_YT_LIVE!F:F,"ERROR",0,1)</f>
        <v>音源</v>
      </c>
      <c r="W143" s="13">
        <f t="shared" si="6"/>
        <v>3083</v>
      </c>
      <c r="X143" s="12" t="str">
        <f>_xlfn.XLOOKUP($B143,M_YT_LIVE!$A:$A,M_YT_LIVE!$D:$D)</f>
        <v>https://www.youtube.com/live/EIV2fME4Fec?si=lkzDtJEJ9agzd2Md</v>
      </c>
      <c r="Z143" s="16" t="str">
        <f>HYPERLINK($X143&amp;SUBSTITUTE(マスタ!$C$3,"XXXXX",$W143))</f>
        <v>https://www.youtube.com/live/EIV2fME4Fec?si=lkzDtJEJ9agzd2Md&amp;t=3083s</v>
      </c>
      <c r="AA143" s="12" t="str">
        <f t="shared" si="7"/>
        <v>トーマ feat.初音ミクエンヴィーキャットウォーク</v>
      </c>
    </row>
    <row r="144" spans="1:27" x14ac:dyDescent="0.4">
      <c r="A144" s="14">
        <f t="shared" si="8"/>
        <v>143</v>
      </c>
      <c r="B144" s="14">
        <v>23</v>
      </c>
      <c r="C144" s="18" t="s">
        <v>425</v>
      </c>
      <c r="D144" s="14" t="s">
        <v>426</v>
      </c>
      <c r="E144" s="14" t="s">
        <v>427</v>
      </c>
      <c r="G144" s="1" t="str">
        <f>_xlfn.XLOOKUP(B144,M_YT_LIVE!A:A,M_YT_LIVE!F:F,"ERROR",0,1)</f>
        <v>音源</v>
      </c>
      <c r="W144" s="13">
        <f t="shared" si="6"/>
        <v>3419</v>
      </c>
      <c r="X144" s="12" t="str">
        <f>_xlfn.XLOOKUP($B144,M_YT_LIVE!$A:$A,M_YT_LIVE!$D:$D)</f>
        <v>https://www.youtube.com/live/EIV2fME4Fec?si=lkzDtJEJ9agzd2Md</v>
      </c>
      <c r="Z144" s="16" t="str">
        <f>HYPERLINK($X144&amp;SUBSTITUTE(マスタ!$C$3,"XXXXX",$W144))</f>
        <v>https://www.youtube.com/live/EIV2fME4Fec?si=lkzDtJEJ9agzd2Md&amp;t=3419s</v>
      </c>
      <c r="AA144" s="12" t="str">
        <f t="shared" si="7"/>
        <v>cosMo(暴走P) feat.初音ミク初音ミクの消失 -DEAD END-</v>
      </c>
    </row>
    <row r="145" spans="1:27" x14ac:dyDescent="0.4">
      <c r="A145" s="14">
        <f t="shared" si="8"/>
        <v>144</v>
      </c>
      <c r="B145" s="14">
        <v>23</v>
      </c>
      <c r="C145" s="18" t="s">
        <v>428</v>
      </c>
      <c r="D145" s="14" t="s">
        <v>64</v>
      </c>
      <c r="E145" s="14" t="s">
        <v>65</v>
      </c>
      <c r="G145" s="1" t="str">
        <f>_xlfn.XLOOKUP(B145,M_YT_LIVE!A:A,M_YT_LIVE!F:F,"ERROR",0,1)</f>
        <v>音源</v>
      </c>
      <c r="W145" s="13">
        <f t="shared" si="6"/>
        <v>3840</v>
      </c>
      <c r="X145" s="12" t="str">
        <f>_xlfn.XLOOKUP($B145,M_YT_LIVE!$A:$A,M_YT_LIVE!$D:$D)</f>
        <v>https://www.youtube.com/live/EIV2fME4Fec?si=lkzDtJEJ9agzd2Md</v>
      </c>
      <c r="Z145" s="16" t="str">
        <f>HYPERLINK($X145&amp;SUBSTITUTE(マスタ!$C$3,"XXXXX",$W145))</f>
        <v>https://www.youtube.com/live/EIV2fME4Fec?si=lkzDtJEJ9agzd2Md&amp;t=3840s</v>
      </c>
      <c r="AA145" s="12" t="str">
        <f t="shared" si="7"/>
        <v>R Sound Design feat.初音ミクflos</v>
      </c>
    </row>
    <row r="146" spans="1:27" x14ac:dyDescent="0.4">
      <c r="A146" s="14">
        <f t="shared" si="8"/>
        <v>145</v>
      </c>
      <c r="B146" s="14">
        <v>23</v>
      </c>
      <c r="C146" s="18" t="s">
        <v>429</v>
      </c>
      <c r="D146" s="14" t="s">
        <v>430</v>
      </c>
      <c r="E146" s="14" t="s">
        <v>431</v>
      </c>
      <c r="G146" s="1" t="str">
        <f>_xlfn.XLOOKUP(B146,M_YT_LIVE!A:A,M_YT_LIVE!F:F,"ERROR",0,1)</f>
        <v>音源</v>
      </c>
      <c r="W146" s="13">
        <f t="shared" si="6"/>
        <v>4204</v>
      </c>
      <c r="X146" s="12" t="str">
        <f>_xlfn.XLOOKUP($B146,M_YT_LIVE!$A:$A,M_YT_LIVE!$D:$D)</f>
        <v>https://www.youtube.com/live/EIV2fME4Fec?si=lkzDtJEJ9agzd2Md</v>
      </c>
      <c r="Z146" s="16" t="str">
        <f>HYPERLINK($X146&amp;SUBSTITUTE(マスタ!$C$3,"XXXXX",$W146))</f>
        <v>https://www.youtube.com/live/EIV2fME4Fec?si=lkzDtJEJ9agzd2Md&amp;t=4204s</v>
      </c>
      <c r="AA146" s="12" t="str">
        <f t="shared" si="7"/>
        <v>Creepy NutsBling-Bang-Bang-Born</v>
      </c>
    </row>
    <row r="147" spans="1:27" x14ac:dyDescent="0.4">
      <c r="A147" s="14">
        <f t="shared" si="8"/>
        <v>146</v>
      </c>
      <c r="B147" s="14">
        <v>23</v>
      </c>
      <c r="C147" s="18" t="s">
        <v>432</v>
      </c>
      <c r="D147" s="14" t="s">
        <v>433</v>
      </c>
      <c r="E147" s="14" t="s">
        <v>180</v>
      </c>
      <c r="G147" s="1" t="str">
        <f>_xlfn.XLOOKUP(B147,M_YT_LIVE!A:A,M_YT_LIVE!F:F,"ERROR",0,1)</f>
        <v>音源</v>
      </c>
      <c r="W147" s="13">
        <f t="shared" si="6"/>
        <v>4734</v>
      </c>
      <c r="X147" s="12" t="str">
        <f>_xlfn.XLOOKUP($B147,M_YT_LIVE!$A:$A,M_YT_LIVE!$D:$D)</f>
        <v>https://www.youtube.com/live/EIV2fME4Fec?si=lkzDtJEJ9agzd2Md</v>
      </c>
      <c r="Z147" s="16" t="str">
        <f>HYPERLINK($X147&amp;SUBSTITUTE(マスタ!$C$3,"XXXXX",$W147))</f>
        <v>https://www.youtube.com/live/EIV2fME4Fec?si=lkzDtJEJ9agzd2Md&amp;t=4734s</v>
      </c>
      <c r="AA147" s="12" t="str">
        <f t="shared" si="7"/>
        <v>40mP feat.初音ミク恋愛裁判</v>
      </c>
    </row>
    <row r="148" spans="1:27" x14ac:dyDescent="0.4">
      <c r="A148" s="14">
        <f t="shared" si="8"/>
        <v>147</v>
      </c>
      <c r="B148" s="14">
        <v>23</v>
      </c>
      <c r="C148" s="18" t="s">
        <v>434</v>
      </c>
      <c r="D148" s="14" t="s">
        <v>435</v>
      </c>
      <c r="E148" s="14" t="s">
        <v>436</v>
      </c>
      <c r="G148" s="1" t="str">
        <f>_xlfn.XLOOKUP(B148,M_YT_LIVE!A:A,M_YT_LIVE!F:F,"ERROR",0,1)</f>
        <v>音源</v>
      </c>
      <c r="W148" s="13">
        <f t="shared" si="6"/>
        <v>5103</v>
      </c>
      <c r="X148" s="12" t="str">
        <f>_xlfn.XLOOKUP($B148,M_YT_LIVE!$A:$A,M_YT_LIVE!$D:$D)</f>
        <v>https://www.youtube.com/live/EIV2fME4Fec?si=lkzDtJEJ9agzd2Md</v>
      </c>
      <c r="Z148" s="16" t="str">
        <f>HYPERLINK($X148&amp;SUBSTITUTE(マスタ!$C$3,"XXXXX",$W148))</f>
        <v>https://www.youtube.com/live/EIV2fME4Fec?si=lkzDtJEJ9agzd2Md&amp;t=5103s</v>
      </c>
      <c r="AA148" s="12" t="str">
        <f t="shared" si="7"/>
        <v>ハチ(米津玄師) feat.GUMIドーナツホール</v>
      </c>
    </row>
    <row r="149" spans="1:27" x14ac:dyDescent="0.4">
      <c r="A149" s="14">
        <f t="shared" si="8"/>
        <v>148</v>
      </c>
      <c r="B149" s="14">
        <v>23</v>
      </c>
      <c r="C149" s="18" t="s">
        <v>437</v>
      </c>
      <c r="D149" s="14" t="s">
        <v>438</v>
      </c>
      <c r="E149" s="14" t="s">
        <v>112</v>
      </c>
      <c r="G149" s="1" t="str">
        <f>_xlfn.XLOOKUP(B149,M_YT_LIVE!A:A,M_YT_LIVE!F:F,"ERROR",0,1)</f>
        <v>音源</v>
      </c>
      <c r="W149" s="13">
        <f t="shared" si="6"/>
        <v>5460</v>
      </c>
      <c r="X149" s="12" t="str">
        <f>_xlfn.XLOOKUP($B149,M_YT_LIVE!$A:$A,M_YT_LIVE!$D:$D)</f>
        <v>https://www.youtube.com/live/EIV2fME4Fec?si=lkzDtJEJ9agzd2Md</v>
      </c>
      <c r="Z149" s="16" t="str">
        <f>HYPERLINK($X149&amp;SUBSTITUTE(マスタ!$C$3,"XXXXX",$W149))</f>
        <v>https://www.youtube.com/live/EIV2fME4Fec?si=lkzDtJEJ9agzd2Md&amp;t=5460s</v>
      </c>
      <c r="AA149" s="12" t="str">
        <f t="shared" si="7"/>
        <v>DECO*27 feat.初音ミクゴーストルール</v>
      </c>
    </row>
    <row r="150" spans="1:27" x14ac:dyDescent="0.4">
      <c r="A150" s="14">
        <f t="shared" si="8"/>
        <v>149</v>
      </c>
      <c r="B150" s="14">
        <v>23</v>
      </c>
      <c r="C150" s="18" t="s">
        <v>439</v>
      </c>
      <c r="D150" s="14" t="s">
        <v>440</v>
      </c>
      <c r="E150" s="14" t="s">
        <v>441</v>
      </c>
      <c r="G150" s="1" t="str">
        <f>_xlfn.XLOOKUP(B150,M_YT_LIVE!A:A,M_YT_LIVE!F:F,"ERROR",0,1)</f>
        <v>音源</v>
      </c>
      <c r="W150" s="13">
        <f t="shared" si="6"/>
        <v>5734</v>
      </c>
      <c r="X150" s="12" t="str">
        <f>_xlfn.XLOOKUP($B150,M_YT_LIVE!$A:$A,M_YT_LIVE!$D:$D)</f>
        <v>https://www.youtube.com/live/EIV2fME4Fec?si=lkzDtJEJ9agzd2Md</v>
      </c>
      <c r="Z150" s="16" t="str">
        <f>HYPERLINK($X150&amp;SUBSTITUTE(マスタ!$C$3,"XXXXX",$W150))</f>
        <v>https://www.youtube.com/live/EIV2fME4Fec?si=lkzDtJEJ9agzd2Md&amp;t=5734s</v>
      </c>
      <c r="AA150" s="12" t="str">
        <f t="shared" si="7"/>
        <v>梅とら feat. 巡音ルカ&amp;初音ミク&amp;GUMI&amp;IA&amp;鏡音リン虎視眈々</v>
      </c>
    </row>
    <row r="151" spans="1:27" x14ac:dyDescent="0.4">
      <c r="A151" s="14">
        <f t="shared" si="8"/>
        <v>150</v>
      </c>
      <c r="B151" s="14">
        <v>23</v>
      </c>
      <c r="C151" s="18" t="s">
        <v>442</v>
      </c>
      <c r="D151" s="14" t="s">
        <v>443</v>
      </c>
      <c r="E151" s="14" t="s">
        <v>441</v>
      </c>
      <c r="G151" s="1" t="str">
        <f>_xlfn.XLOOKUP(B151,M_YT_LIVE!A:A,M_YT_LIVE!F:F,"ERROR",0,1)</f>
        <v>音源</v>
      </c>
      <c r="W151" s="13">
        <f t="shared" si="6"/>
        <v>6042</v>
      </c>
      <c r="X151" s="12" t="str">
        <f>_xlfn.XLOOKUP($B151,M_YT_LIVE!$A:$A,M_YT_LIVE!$D:$D)</f>
        <v>https://www.youtube.com/live/EIV2fME4Fec?si=lkzDtJEJ9agzd2Md</v>
      </c>
      <c r="Z151" s="16" t="str">
        <f>HYPERLINK($X151&amp;SUBSTITUTE(マスタ!$C$3,"XXXXX",$W151))</f>
        <v>https://www.youtube.com/live/EIV2fME4Fec?si=lkzDtJEJ9agzd2Md&amp;t=6042s</v>
      </c>
      <c r="AA151" s="12" t="str">
        <f t="shared" si="7"/>
        <v>梅とら feat. 巡音ルカ&amp;初音ミク&amp;GUMI&amp;IA&amp;鏡音リン威風堂々</v>
      </c>
    </row>
    <row r="152" spans="1:27" x14ac:dyDescent="0.4">
      <c r="A152" s="14">
        <f t="shared" si="8"/>
        <v>151</v>
      </c>
      <c r="B152" s="14">
        <v>23</v>
      </c>
      <c r="C152" s="18" t="s">
        <v>444</v>
      </c>
      <c r="D152" s="14" t="s">
        <v>445</v>
      </c>
      <c r="E152" s="14" t="s">
        <v>446</v>
      </c>
      <c r="G152" s="1" t="str">
        <f>_xlfn.XLOOKUP(B152,M_YT_LIVE!A:A,M_YT_LIVE!F:F,"ERROR",0,1)</f>
        <v>音源</v>
      </c>
      <c r="W152" s="13">
        <f t="shared" si="6"/>
        <v>6401</v>
      </c>
      <c r="X152" s="12" t="str">
        <f>_xlfn.XLOOKUP($B152,M_YT_LIVE!$A:$A,M_YT_LIVE!$D:$D)</f>
        <v>https://www.youtube.com/live/EIV2fME4Fec?si=lkzDtJEJ9agzd2Md</v>
      </c>
      <c r="Z152" s="16" t="str">
        <f>HYPERLINK($X152&amp;SUBSTITUTE(マスタ!$C$3,"XXXXX",$W152))</f>
        <v>https://www.youtube.com/live/EIV2fME4Fec?si=lkzDtJEJ9agzd2Md&amp;t=6401s</v>
      </c>
      <c r="AA152" s="12" t="str">
        <f t="shared" si="7"/>
        <v>ryo feat.初音ミクワールドイズマイン</v>
      </c>
    </row>
    <row r="153" spans="1:27" x14ac:dyDescent="0.4">
      <c r="A153" s="14">
        <f t="shared" si="8"/>
        <v>152</v>
      </c>
      <c r="B153" s="14">
        <v>23</v>
      </c>
      <c r="C153" s="18" t="s">
        <v>447</v>
      </c>
      <c r="D153" s="14" t="s">
        <v>448</v>
      </c>
      <c r="E153" s="14" t="s">
        <v>449</v>
      </c>
      <c r="G153" s="1" t="str">
        <f>_xlfn.XLOOKUP(B153,M_YT_LIVE!A:A,M_YT_LIVE!F:F,"ERROR",0,1)</f>
        <v>音源</v>
      </c>
      <c r="W153" s="13">
        <f t="shared" si="6"/>
        <v>6942</v>
      </c>
      <c r="X153" s="12" t="str">
        <f>_xlfn.XLOOKUP($B153,M_YT_LIVE!$A:$A,M_YT_LIVE!$D:$D)</f>
        <v>https://www.youtube.com/live/EIV2fME4Fec?si=lkzDtJEJ9agzd2Md</v>
      </c>
      <c r="Z153" s="16" t="str">
        <f>HYPERLINK($X153&amp;SUBSTITUTE(マスタ!$C$3,"XXXXX",$W153))</f>
        <v>https://www.youtube.com/live/EIV2fME4Fec?si=lkzDtJEJ9agzd2Md&amp;t=6942s</v>
      </c>
      <c r="AA153" s="12" t="str">
        <f t="shared" si="7"/>
        <v>Neru feat.鏡音レン脱法ロック</v>
      </c>
    </row>
    <row r="154" spans="1:27" x14ac:dyDescent="0.4">
      <c r="A154" s="14">
        <f t="shared" si="8"/>
        <v>153</v>
      </c>
      <c r="B154" s="14">
        <v>23</v>
      </c>
      <c r="C154" s="18" t="s">
        <v>450</v>
      </c>
      <c r="D154" s="14" t="s">
        <v>451</v>
      </c>
      <c r="E154" s="14" t="s">
        <v>452</v>
      </c>
      <c r="G154" s="1" t="str">
        <f>_xlfn.XLOOKUP(B154,M_YT_LIVE!A:A,M_YT_LIVE!F:F,"ERROR",0,1)</f>
        <v>音源</v>
      </c>
      <c r="W154" s="13">
        <f t="shared" si="6"/>
        <v>7444</v>
      </c>
      <c r="X154" s="12" t="str">
        <f>_xlfn.XLOOKUP($B154,M_YT_LIVE!$A:$A,M_YT_LIVE!$D:$D)</f>
        <v>https://www.youtube.com/live/EIV2fME4Fec?si=lkzDtJEJ9agzd2Md</v>
      </c>
      <c r="Z154" s="16" t="str">
        <f>HYPERLINK($X154&amp;SUBSTITUTE(マスタ!$C$3,"XXXXX",$W154))</f>
        <v>https://www.youtube.com/live/EIV2fME4Fec?si=lkzDtJEJ9agzd2Md&amp;t=7444s</v>
      </c>
      <c r="AA154" s="12" t="str">
        <f t="shared" si="7"/>
        <v>koyori(電ポルP) feat.初音ミク独りんぼエンヴィー</v>
      </c>
    </row>
    <row r="155" spans="1:27" x14ac:dyDescent="0.4">
      <c r="A155" s="14">
        <f t="shared" si="8"/>
        <v>154</v>
      </c>
      <c r="B155" s="14">
        <v>23</v>
      </c>
      <c r="C155" s="18" t="s">
        <v>453</v>
      </c>
      <c r="D155" s="14" t="s">
        <v>454</v>
      </c>
      <c r="E155" s="14" t="s">
        <v>455</v>
      </c>
      <c r="G155" s="1" t="str">
        <f>_xlfn.XLOOKUP(B155,M_YT_LIVE!A:A,M_YT_LIVE!F:F,"ERROR",0,1)</f>
        <v>音源</v>
      </c>
      <c r="W155" s="13">
        <f t="shared" si="6"/>
        <v>7800</v>
      </c>
      <c r="X155" s="12" t="str">
        <f>_xlfn.XLOOKUP($B155,M_YT_LIVE!$A:$A,M_YT_LIVE!$D:$D)</f>
        <v>https://www.youtube.com/live/EIV2fME4Fec?si=lkzDtJEJ9agzd2Md</v>
      </c>
      <c r="Z155" s="16" t="str">
        <f>HYPERLINK($X155&amp;SUBSTITUTE(マスタ!$C$3,"XXXXX",$W155))</f>
        <v>https://www.youtube.com/live/EIV2fME4Fec?si=lkzDtJEJ9agzd2Md&amp;t=7800s</v>
      </c>
      <c r="AA155" s="12" t="str">
        <f t="shared" si="7"/>
        <v>ささくれ。P feat.初音ミクハロー、プラネット。</v>
      </c>
    </row>
    <row r="156" spans="1:27" x14ac:dyDescent="0.4">
      <c r="A156" s="14">
        <f t="shared" si="8"/>
        <v>155</v>
      </c>
      <c r="B156" s="14">
        <v>24</v>
      </c>
      <c r="C156" s="18" t="s">
        <v>458</v>
      </c>
      <c r="D156" s="14" t="s">
        <v>459</v>
      </c>
      <c r="E156" s="14" t="s">
        <v>460</v>
      </c>
      <c r="G156" s="1" t="str">
        <f>_xlfn.XLOOKUP(B156,M_YT_LIVE!A:A,M_YT_LIVE!F:F,"ERROR",0,1)</f>
        <v>弾き語り</v>
      </c>
      <c r="W156" s="13">
        <f t="shared" si="6"/>
        <v>266</v>
      </c>
      <c r="X156" s="12" t="str">
        <f>_xlfn.XLOOKUP($B156,M_YT_LIVE!$A:$A,M_YT_LIVE!$D:$D)</f>
        <v>https://www.youtube.com/live/Us_EP0LuOUI?si=QKfLbi9NsZLi9sIi</v>
      </c>
      <c r="Z156" s="16" t="str">
        <f>HYPERLINK($X156&amp;SUBSTITUTE(マスタ!$C$3,"XXXXX",$W156))</f>
        <v>https://www.youtube.com/live/Us_EP0LuOUI?si=QKfLbi9NsZLi9sIi&amp;t=266s</v>
      </c>
      <c r="AA156" s="12" t="str">
        <f t="shared" si="7"/>
        <v>バルーン(須田景凪) feat.flower花瓶に触れた</v>
      </c>
    </row>
    <row r="157" spans="1:27" x14ac:dyDescent="0.4">
      <c r="A157" s="14">
        <f t="shared" si="8"/>
        <v>156</v>
      </c>
      <c r="B157" s="14">
        <v>24</v>
      </c>
      <c r="C157" s="18" t="s">
        <v>243</v>
      </c>
      <c r="D157" s="14" t="s">
        <v>106</v>
      </c>
      <c r="E157" s="14" t="s">
        <v>107</v>
      </c>
      <c r="G157" s="1" t="str">
        <f>_xlfn.XLOOKUP(B157,M_YT_LIVE!A:A,M_YT_LIVE!F:F,"ERROR",0,1)</f>
        <v>弾き語り</v>
      </c>
      <c r="W157" s="13">
        <f t="shared" si="6"/>
        <v>703.99999999999989</v>
      </c>
      <c r="X157" s="12" t="str">
        <f>_xlfn.XLOOKUP($B157,M_YT_LIVE!$A:$A,M_YT_LIVE!$D:$D)</f>
        <v>https://www.youtube.com/live/Us_EP0LuOUI?si=QKfLbi9NsZLi9sIi</v>
      </c>
      <c r="Z157" s="16" t="str">
        <f>HYPERLINK($X157&amp;SUBSTITUTE(マスタ!$C$3,"XXXXX",$W157))</f>
        <v>https://www.youtube.com/live/Us_EP0LuOUI?si=QKfLbi9NsZLi9sIi&amp;t=704s</v>
      </c>
      <c r="AA157" s="12" t="str">
        <f t="shared" si="7"/>
        <v>バルーン feat.flowerレディーレ</v>
      </c>
    </row>
    <row r="158" spans="1:27" x14ac:dyDescent="0.4">
      <c r="A158" s="14">
        <f t="shared" si="8"/>
        <v>157</v>
      </c>
      <c r="B158" s="14">
        <v>24</v>
      </c>
      <c r="C158" s="18" t="s">
        <v>461</v>
      </c>
      <c r="D158" s="14" t="s">
        <v>462</v>
      </c>
      <c r="E158" s="14" t="s">
        <v>463</v>
      </c>
      <c r="G158" s="1" t="str">
        <f>_xlfn.XLOOKUP(B158,M_YT_LIVE!A:A,M_YT_LIVE!F:F,"ERROR",0,1)</f>
        <v>弾き語り</v>
      </c>
      <c r="W158" s="13">
        <f t="shared" si="6"/>
        <v>1230</v>
      </c>
      <c r="X158" s="12" t="str">
        <f>_xlfn.XLOOKUP($B158,M_YT_LIVE!$A:$A,M_YT_LIVE!$D:$D)</f>
        <v>https://www.youtube.com/live/Us_EP0LuOUI?si=QKfLbi9NsZLi9sIi</v>
      </c>
      <c r="Z158" s="16" t="str">
        <f>HYPERLINK($X158&amp;SUBSTITUTE(マスタ!$C$3,"XXXXX",$W158))</f>
        <v>https://www.youtube.com/live/Us_EP0LuOUI?si=QKfLbi9NsZLi9sIi&amp;t=1230s</v>
      </c>
      <c r="AA158" s="12" t="str">
        <f t="shared" si="7"/>
        <v>Guiano feat.flower死んでしまったのだろうか</v>
      </c>
    </row>
    <row r="159" spans="1:27" x14ac:dyDescent="0.4">
      <c r="A159" s="14">
        <f t="shared" si="8"/>
        <v>158</v>
      </c>
      <c r="B159" s="14">
        <v>24</v>
      </c>
      <c r="C159" s="18" t="s">
        <v>464</v>
      </c>
      <c r="D159" s="14" t="s">
        <v>465</v>
      </c>
      <c r="E159" s="14" t="s">
        <v>466</v>
      </c>
      <c r="G159" s="1" t="str">
        <f>_xlfn.XLOOKUP(B159,M_YT_LIVE!A:A,M_YT_LIVE!F:F,"ERROR",0,1)</f>
        <v>弾き語り</v>
      </c>
      <c r="W159" s="13">
        <f t="shared" si="6"/>
        <v>1614</v>
      </c>
      <c r="X159" s="12" t="str">
        <f>_xlfn.XLOOKUP($B159,M_YT_LIVE!$A:$A,M_YT_LIVE!$D:$D)</f>
        <v>https://www.youtube.com/live/Us_EP0LuOUI?si=QKfLbi9NsZLi9sIi</v>
      </c>
      <c r="Z159" s="16" t="str">
        <f>HYPERLINK($X159&amp;SUBSTITUTE(マスタ!$C$3,"XXXXX",$W159))</f>
        <v>https://www.youtube.com/live/Us_EP0LuOUI?si=QKfLbi9NsZLi9sIi&amp;t=1614s</v>
      </c>
      <c r="AA159" s="12" t="str">
        <f t="shared" si="7"/>
        <v>Eve feat.初音ミクナンセンス文学</v>
      </c>
    </row>
    <row r="160" spans="1:27" x14ac:dyDescent="0.4">
      <c r="A160" s="14">
        <f t="shared" si="8"/>
        <v>159</v>
      </c>
      <c r="B160" s="14">
        <v>24</v>
      </c>
      <c r="C160" s="18" t="s">
        <v>467</v>
      </c>
      <c r="D160" s="14" t="s">
        <v>468</v>
      </c>
      <c r="E160" s="14" t="s">
        <v>118</v>
      </c>
      <c r="G160" s="1" t="str">
        <f>_xlfn.XLOOKUP(B160,M_YT_LIVE!A:A,M_YT_LIVE!F:F,"ERROR",0,1)</f>
        <v>弾き語り</v>
      </c>
      <c r="W160" s="13">
        <f t="shared" si="6"/>
        <v>1983</v>
      </c>
      <c r="X160" s="12" t="str">
        <f>_xlfn.XLOOKUP($B160,M_YT_LIVE!$A:$A,M_YT_LIVE!$D:$D)</f>
        <v>https://www.youtube.com/live/Us_EP0LuOUI?si=QKfLbi9NsZLi9sIi</v>
      </c>
      <c r="Z160" s="16" t="str">
        <f>HYPERLINK($X160&amp;SUBSTITUTE(マスタ!$C$3,"XXXXX",$W160))</f>
        <v>https://www.youtube.com/live/Us_EP0LuOUI?si=QKfLbi9NsZLi9sIi&amp;t=1983s</v>
      </c>
      <c r="AA160" s="12" t="str">
        <f t="shared" si="7"/>
        <v>Orangestar feat.初音ミク残灯花火</v>
      </c>
    </row>
    <row r="161" spans="1:27" x14ac:dyDescent="0.4">
      <c r="A161" s="14">
        <f t="shared" si="8"/>
        <v>160</v>
      </c>
      <c r="B161" s="14">
        <v>24</v>
      </c>
      <c r="C161" s="18" t="s">
        <v>469</v>
      </c>
      <c r="D161" s="14" t="s">
        <v>470</v>
      </c>
      <c r="E161" s="14" t="s">
        <v>118</v>
      </c>
      <c r="G161" s="1" t="str">
        <f>_xlfn.XLOOKUP(B161,M_YT_LIVE!A:A,M_YT_LIVE!F:F,"ERROR",0,1)</f>
        <v>弾き語り</v>
      </c>
      <c r="W161" s="13">
        <f t="shared" si="6"/>
        <v>2539</v>
      </c>
      <c r="X161" s="12" t="str">
        <f>_xlfn.XLOOKUP($B161,M_YT_LIVE!$A:$A,M_YT_LIVE!$D:$D)</f>
        <v>https://www.youtube.com/live/Us_EP0LuOUI?si=QKfLbi9NsZLi9sIi</v>
      </c>
      <c r="Z161" s="16" t="str">
        <f>HYPERLINK($X161&amp;SUBSTITUTE(マスタ!$C$3,"XXXXX",$W161))</f>
        <v>https://www.youtube.com/live/Us_EP0LuOUI?si=QKfLbi9NsZLi9sIi&amp;t=2539s</v>
      </c>
      <c r="AA161" s="12" t="str">
        <f t="shared" si="7"/>
        <v>Orangestar feat.初音ミク霽れを待つ</v>
      </c>
    </row>
    <row r="162" spans="1:27" x14ac:dyDescent="0.4">
      <c r="A162" s="14">
        <f t="shared" si="8"/>
        <v>161</v>
      </c>
      <c r="B162" s="14">
        <v>24</v>
      </c>
      <c r="C162" s="18" t="s">
        <v>471</v>
      </c>
      <c r="D162" s="14" t="s">
        <v>472</v>
      </c>
      <c r="E162" s="14" t="s">
        <v>78</v>
      </c>
      <c r="G162" s="1" t="str">
        <f>_xlfn.XLOOKUP(B162,M_YT_LIVE!A:A,M_YT_LIVE!F:F,"ERROR",0,1)</f>
        <v>弾き語り</v>
      </c>
      <c r="W162" s="13">
        <f t="shared" si="6"/>
        <v>3004</v>
      </c>
      <c r="X162" s="12" t="str">
        <f>_xlfn.XLOOKUP($B162,M_YT_LIVE!$A:$A,M_YT_LIVE!$D:$D)</f>
        <v>https://www.youtube.com/live/Us_EP0LuOUI?si=QKfLbi9NsZLi9sIi</v>
      </c>
      <c r="Z162" s="16" t="str">
        <f>HYPERLINK($X162&amp;SUBSTITUTE(マスタ!$C$3,"XXXXX",$W162))</f>
        <v>https://www.youtube.com/live/Us_EP0LuOUI?si=QKfLbi9NsZLi9sIi&amp;t=3004s</v>
      </c>
      <c r="AA162" s="12" t="str">
        <f t="shared" si="7"/>
        <v>チャットモンチー染まるよ</v>
      </c>
    </row>
    <row r="163" spans="1:27" x14ac:dyDescent="0.4">
      <c r="A163" s="14">
        <f t="shared" si="8"/>
        <v>162</v>
      </c>
      <c r="B163" s="14">
        <v>24</v>
      </c>
      <c r="C163" s="18" t="s">
        <v>473</v>
      </c>
      <c r="D163" s="14" t="s">
        <v>474</v>
      </c>
      <c r="E163" s="14" t="s">
        <v>475</v>
      </c>
      <c r="G163" s="1" t="str">
        <f>_xlfn.XLOOKUP(B163,M_YT_LIVE!A:A,M_YT_LIVE!F:F,"ERROR",0,1)</f>
        <v>弾き語り</v>
      </c>
      <c r="W163" s="13">
        <f t="shared" si="6"/>
        <v>3456</v>
      </c>
      <c r="X163" s="12" t="str">
        <f>_xlfn.XLOOKUP($B163,M_YT_LIVE!$A:$A,M_YT_LIVE!$D:$D)</f>
        <v>https://www.youtube.com/live/Us_EP0LuOUI?si=QKfLbi9NsZLi9sIi</v>
      </c>
      <c r="Z163" s="16" t="str">
        <f>HYPERLINK($X163&amp;SUBSTITUTE(マスタ!$C$3,"XXXXX",$W163))</f>
        <v>https://www.youtube.com/live/Us_EP0LuOUI?si=QKfLbi9NsZLi9sIi&amp;t=3456s</v>
      </c>
      <c r="AA163" s="12" t="str">
        <f t="shared" si="7"/>
        <v>荒井由実(松任谷由実)ルージュの伝言</v>
      </c>
    </row>
    <row r="164" spans="1:27" x14ac:dyDescent="0.4">
      <c r="A164" s="14">
        <f t="shared" si="8"/>
        <v>163</v>
      </c>
      <c r="B164" s="14">
        <v>24</v>
      </c>
      <c r="C164" s="18" t="s">
        <v>476</v>
      </c>
      <c r="D164" s="14" t="s">
        <v>477</v>
      </c>
      <c r="E164" s="14" t="s">
        <v>478</v>
      </c>
      <c r="G164" s="1" t="str">
        <f>_xlfn.XLOOKUP(B164,M_YT_LIVE!A:A,M_YT_LIVE!F:F,"ERROR",0,1)</f>
        <v>弾き語り</v>
      </c>
      <c r="W164" s="13">
        <f t="shared" si="6"/>
        <v>3769.0000000000005</v>
      </c>
      <c r="X164" s="12" t="str">
        <f>_xlfn.XLOOKUP($B164,M_YT_LIVE!$A:$A,M_YT_LIVE!$D:$D)</f>
        <v>https://www.youtube.com/live/Us_EP0LuOUI?si=QKfLbi9NsZLi9sIi</v>
      </c>
      <c r="Z164" s="16" t="str">
        <f>HYPERLINK($X164&amp;SUBSTITUTE(マスタ!$C$3,"XXXXX",$W164))</f>
        <v>https://www.youtube.com/live/Us_EP0LuOUI?si=QKfLbi9NsZLi9sIi&amp;t=3769s</v>
      </c>
      <c r="AA164" s="12" t="str">
        <f t="shared" si="7"/>
        <v>煮ル果実 feat.可不ナイトルール</v>
      </c>
    </row>
    <row r="165" spans="1:27" x14ac:dyDescent="0.4">
      <c r="A165" s="14">
        <f t="shared" si="8"/>
        <v>164</v>
      </c>
      <c r="B165" s="14">
        <v>24</v>
      </c>
      <c r="C165" s="18" t="s">
        <v>479</v>
      </c>
      <c r="D165" s="14" t="s">
        <v>443</v>
      </c>
      <c r="E165" s="14" t="s">
        <v>441</v>
      </c>
      <c r="G165" s="1" t="str">
        <f>_xlfn.XLOOKUP(B165,M_YT_LIVE!A:A,M_YT_LIVE!F:F,"ERROR",0,1)</f>
        <v>弾き語り</v>
      </c>
      <c r="W165" s="13">
        <f t="shared" si="6"/>
        <v>4268</v>
      </c>
      <c r="X165" s="12" t="str">
        <f>_xlfn.XLOOKUP($B165,M_YT_LIVE!$A:$A,M_YT_LIVE!$D:$D)</f>
        <v>https://www.youtube.com/live/Us_EP0LuOUI?si=QKfLbi9NsZLi9sIi</v>
      </c>
      <c r="Z165" s="16" t="str">
        <f>HYPERLINK($X165&amp;SUBSTITUTE(マスタ!$C$3,"XXXXX",$W165))</f>
        <v>https://www.youtube.com/live/Us_EP0LuOUI?si=QKfLbi9NsZLi9sIi&amp;t=4268s</v>
      </c>
      <c r="AA165" s="12" t="str">
        <f t="shared" si="7"/>
        <v>梅とら feat. 巡音ルカ&amp;初音ミク&amp;GUMI&amp;IA&amp;鏡音リン威風堂々</v>
      </c>
    </row>
    <row r="166" spans="1:27" x14ac:dyDescent="0.4">
      <c r="A166" s="14">
        <f t="shared" si="8"/>
        <v>165</v>
      </c>
      <c r="B166" s="14">
        <v>24</v>
      </c>
      <c r="C166" s="18" t="s">
        <v>480</v>
      </c>
      <c r="D166" s="14" t="s">
        <v>481</v>
      </c>
      <c r="E166" s="14" t="s">
        <v>441</v>
      </c>
      <c r="G166" s="1" t="str">
        <f>_xlfn.XLOOKUP(B166,M_YT_LIVE!A:A,M_YT_LIVE!F:F,"ERROR",0,1)</f>
        <v>弾き語り</v>
      </c>
      <c r="W166" s="13">
        <f t="shared" si="6"/>
        <v>4517</v>
      </c>
      <c r="X166" s="12" t="str">
        <f>_xlfn.XLOOKUP($B166,M_YT_LIVE!$A:$A,M_YT_LIVE!$D:$D)</f>
        <v>https://www.youtube.com/live/Us_EP0LuOUI?si=QKfLbi9NsZLi9sIi</v>
      </c>
      <c r="Z166" s="16" t="str">
        <f>HYPERLINK($X166&amp;SUBSTITUTE(マスタ!$C$3,"XXXXX",$W166))</f>
        <v>https://www.youtube.com/live/Us_EP0LuOUI?si=QKfLbi9NsZLi9sIi&amp;t=4517s</v>
      </c>
      <c r="AA166" s="12" t="str">
        <f t="shared" si="7"/>
        <v>梅とら feat. 巡音ルカ&amp;初音ミク&amp;GUMI&amp;IA&amp;鏡音リン疑心暗鬼</v>
      </c>
    </row>
    <row r="167" spans="1:27" x14ac:dyDescent="0.4">
      <c r="A167" s="14">
        <f t="shared" si="8"/>
        <v>166</v>
      </c>
      <c r="B167" s="14">
        <v>24</v>
      </c>
      <c r="C167" s="18" t="s">
        <v>482</v>
      </c>
      <c r="D167" s="14" t="s">
        <v>483</v>
      </c>
      <c r="E167" s="14" t="s">
        <v>141</v>
      </c>
      <c r="G167" s="1" t="str">
        <f>_xlfn.XLOOKUP(B167,M_YT_LIVE!A:A,M_YT_LIVE!F:F,"ERROR",0,1)</f>
        <v>弾き語り</v>
      </c>
      <c r="W167" s="13">
        <f t="shared" si="6"/>
        <v>4945</v>
      </c>
      <c r="X167" s="12" t="str">
        <f>_xlfn.XLOOKUP($B167,M_YT_LIVE!$A:$A,M_YT_LIVE!$D:$D)</f>
        <v>https://www.youtube.com/live/Us_EP0LuOUI?si=QKfLbi9NsZLi9sIi</v>
      </c>
      <c r="Z167" s="16" t="str">
        <f>HYPERLINK($X167&amp;SUBSTITUTE(マスタ!$C$3,"XXXXX",$W167))</f>
        <v>https://www.youtube.com/live/Us_EP0LuOUI?si=QKfLbi9NsZLi9sIi&amp;t=4945s</v>
      </c>
      <c r="AA167" s="12" t="str">
        <f t="shared" si="7"/>
        <v>ヨルシカアルジャーノン</v>
      </c>
    </row>
    <row r="168" spans="1:27" x14ac:dyDescent="0.4">
      <c r="A168" s="14">
        <f t="shared" si="8"/>
        <v>167</v>
      </c>
      <c r="B168" s="14">
        <v>24</v>
      </c>
      <c r="C168" s="18" t="s">
        <v>484</v>
      </c>
      <c r="D168" s="14" t="s">
        <v>485</v>
      </c>
      <c r="E168" s="14" t="s">
        <v>208</v>
      </c>
      <c r="G168" s="1" t="str">
        <f>_xlfn.XLOOKUP(B168,M_YT_LIVE!A:A,M_YT_LIVE!F:F,"ERROR",0,1)</f>
        <v>弾き語り</v>
      </c>
      <c r="W168" s="13">
        <f t="shared" si="6"/>
        <v>5449</v>
      </c>
      <c r="X168" s="12" t="str">
        <f>_xlfn.XLOOKUP($B168,M_YT_LIVE!$A:$A,M_YT_LIVE!$D:$D)</f>
        <v>https://www.youtube.com/live/Us_EP0LuOUI?si=QKfLbi9NsZLi9sIi</v>
      </c>
      <c r="Z168" s="16" t="str">
        <f>HYPERLINK($X168&amp;SUBSTITUTE(マスタ!$C$3,"XXXXX",$W168))</f>
        <v>https://www.youtube.com/live/Us_EP0LuOUI?si=QKfLbi9NsZLi9sIi&amp;t=5449s</v>
      </c>
      <c r="AA168" s="12" t="str">
        <f t="shared" si="7"/>
        <v>supercellヒーロー</v>
      </c>
    </row>
    <row r="169" spans="1:27" x14ac:dyDescent="0.4">
      <c r="A169" s="14">
        <f t="shared" si="8"/>
        <v>168</v>
      </c>
      <c r="B169" s="14">
        <v>24</v>
      </c>
      <c r="C169" s="18" t="s">
        <v>486</v>
      </c>
      <c r="D169" s="14" t="s">
        <v>487</v>
      </c>
      <c r="E169" s="14" t="s">
        <v>347</v>
      </c>
      <c r="G169" s="1" t="str">
        <f>_xlfn.XLOOKUP(B169,M_YT_LIVE!A:A,M_YT_LIVE!F:F,"ERROR",0,1)</f>
        <v>弾き語り</v>
      </c>
      <c r="W169" s="13">
        <f t="shared" si="6"/>
        <v>5930</v>
      </c>
      <c r="X169" s="12" t="str">
        <f>_xlfn.XLOOKUP($B169,M_YT_LIVE!$A:$A,M_YT_LIVE!$D:$D)</f>
        <v>https://www.youtube.com/live/Us_EP0LuOUI?si=QKfLbi9NsZLi9sIi</v>
      </c>
      <c r="Z169" s="16" t="str">
        <f>HYPERLINK($X169&amp;SUBSTITUTE(マスタ!$C$3,"XXXXX",$W169))</f>
        <v>https://www.youtube.com/live/Us_EP0LuOUI?si=QKfLbi9NsZLi9sIi&amp;t=5930s</v>
      </c>
      <c r="AA169" s="12" t="str">
        <f t="shared" si="7"/>
        <v>幽音しの(即興)チルになりたい</v>
      </c>
    </row>
    <row r="170" spans="1:27" x14ac:dyDescent="0.4">
      <c r="A170" s="14">
        <f t="shared" si="8"/>
        <v>169</v>
      </c>
      <c r="B170" s="14">
        <v>24</v>
      </c>
      <c r="C170" s="18" t="s">
        <v>488</v>
      </c>
      <c r="D170" s="14" t="s">
        <v>224</v>
      </c>
      <c r="E170" s="14" t="s">
        <v>225</v>
      </c>
      <c r="G170" s="1" t="str">
        <f>_xlfn.XLOOKUP(B170,M_YT_LIVE!A:A,M_YT_LIVE!F:F,"ERROR",0,1)</f>
        <v>弾き語り</v>
      </c>
      <c r="W170" s="13">
        <f t="shared" si="6"/>
        <v>6354</v>
      </c>
      <c r="X170" s="12" t="str">
        <f>_xlfn.XLOOKUP($B170,M_YT_LIVE!$A:$A,M_YT_LIVE!$D:$D)</f>
        <v>https://www.youtube.com/live/Us_EP0LuOUI?si=QKfLbi9NsZLi9sIi</v>
      </c>
      <c r="Z170" s="16" t="str">
        <f>HYPERLINK($X170&amp;SUBSTITUTE(マスタ!$C$3,"XXXXX",$W170))</f>
        <v>https://www.youtube.com/live/Us_EP0LuOUI?si=QKfLbi9NsZLi9sIi&amp;t=6354s</v>
      </c>
      <c r="AA170" s="12" t="str">
        <f t="shared" si="7"/>
        <v>ryo(supercell) feat.初音ミクメルト</v>
      </c>
    </row>
    <row r="171" spans="1:27" x14ac:dyDescent="0.4">
      <c r="A171" s="14">
        <f t="shared" si="8"/>
        <v>170</v>
      </c>
      <c r="B171" s="14">
        <v>24</v>
      </c>
      <c r="C171" s="18" t="s">
        <v>489</v>
      </c>
      <c r="D171" s="14" t="s">
        <v>490</v>
      </c>
      <c r="E171" s="14" t="s">
        <v>347</v>
      </c>
      <c r="G171" s="1" t="str">
        <f>_xlfn.XLOOKUP(B171,M_YT_LIVE!A:A,M_YT_LIVE!F:F,"ERROR",0,1)</f>
        <v>弾き語り</v>
      </c>
      <c r="W171" s="13">
        <f t="shared" si="6"/>
        <v>6908</v>
      </c>
      <c r="X171" s="12" t="str">
        <f>_xlfn.XLOOKUP($B171,M_YT_LIVE!$A:$A,M_YT_LIVE!$D:$D)</f>
        <v>https://www.youtube.com/live/Us_EP0LuOUI?si=QKfLbi9NsZLi9sIi</v>
      </c>
      <c r="Z171" s="16" t="str">
        <f>HYPERLINK($X171&amp;SUBSTITUTE(マスタ!$C$3,"XXXXX",$W171))</f>
        <v>https://www.youtube.com/live/Us_EP0LuOUI?si=QKfLbi9NsZLi9sIi&amp;t=6908s</v>
      </c>
      <c r="AA171" s="12" t="str">
        <f t="shared" si="7"/>
        <v>幽音しの(即興)ワロタ＆明日の宣伝の歌</v>
      </c>
    </row>
    <row r="172" spans="1:27" x14ac:dyDescent="0.4">
      <c r="A172" s="14">
        <f t="shared" si="8"/>
        <v>171</v>
      </c>
      <c r="B172" s="14">
        <v>25</v>
      </c>
      <c r="C172" s="18" t="s">
        <v>493</v>
      </c>
      <c r="D172" s="14" t="s">
        <v>266</v>
      </c>
      <c r="E172" s="14" t="s">
        <v>527</v>
      </c>
      <c r="G172" s="1" t="str">
        <f>_xlfn.XLOOKUP(B172,M_YT_LIVE!A:A,M_YT_LIVE!F:F,"ERROR",0,1)</f>
        <v>音源</v>
      </c>
      <c r="W172" s="13">
        <f t="shared" si="6"/>
        <v>302</v>
      </c>
      <c r="X172" s="12" t="str">
        <f>_xlfn.XLOOKUP($B172,M_YT_LIVE!$A:$A,M_YT_LIVE!$D:$D)</f>
        <v>https://www.youtube.com/live/E8l1nOoKLLI?si=9GMtlAOzsgHxbniX</v>
      </c>
      <c r="Z172" s="16" t="str">
        <f>HYPERLINK($X172&amp;SUBSTITUTE(マスタ!$C$3,"XXXXX",$W172))</f>
        <v>https://www.youtube.com/live/E8l1nOoKLLI?si=9GMtlAOzsgHxbniX&amp;t=302s</v>
      </c>
      <c r="AA172" s="12" t="str">
        <f t="shared" si="7"/>
        <v>バルーン(須田景凪) feat.flowelシャルル</v>
      </c>
    </row>
    <row r="173" spans="1:27" x14ac:dyDescent="0.4">
      <c r="A173" s="14">
        <f t="shared" si="8"/>
        <v>172</v>
      </c>
      <c r="B173" s="14">
        <v>25</v>
      </c>
      <c r="C173" s="18" t="s">
        <v>494</v>
      </c>
      <c r="D173" s="14" t="s">
        <v>495</v>
      </c>
      <c r="E173" s="14" t="s">
        <v>112</v>
      </c>
      <c r="G173" s="1" t="str">
        <f>_xlfn.XLOOKUP(B173,M_YT_LIVE!A:A,M_YT_LIVE!F:F,"ERROR",0,1)</f>
        <v>音源</v>
      </c>
      <c r="W173" s="13">
        <f t="shared" si="6"/>
        <v>604</v>
      </c>
      <c r="X173" s="12" t="str">
        <f>_xlfn.XLOOKUP($B173,M_YT_LIVE!$A:$A,M_YT_LIVE!$D:$D)</f>
        <v>https://www.youtube.com/live/E8l1nOoKLLI?si=9GMtlAOzsgHxbniX</v>
      </c>
      <c r="Z173" s="16" t="str">
        <f>HYPERLINK($X173&amp;SUBSTITUTE(マスタ!$C$3,"XXXXX",$W173))</f>
        <v>https://www.youtube.com/live/E8l1nOoKLLI?si=9GMtlAOzsgHxbniX&amp;t=604s</v>
      </c>
      <c r="AA173" s="12" t="str">
        <f t="shared" si="7"/>
        <v>DECO*27 feat.初音ミクストリーミングハート</v>
      </c>
    </row>
    <row r="174" spans="1:27" x14ac:dyDescent="0.4">
      <c r="A174" s="14">
        <f t="shared" si="8"/>
        <v>173</v>
      </c>
      <c r="B174" s="14">
        <v>25</v>
      </c>
      <c r="C174" s="18" t="s">
        <v>496</v>
      </c>
      <c r="D174" s="14" t="s">
        <v>250</v>
      </c>
      <c r="E174" s="14" t="s">
        <v>251</v>
      </c>
      <c r="G174" s="1" t="str">
        <f>_xlfn.XLOOKUP(B174,M_YT_LIVE!A:A,M_YT_LIVE!F:F,"ERROR",0,1)</f>
        <v>音源</v>
      </c>
      <c r="W174" s="13">
        <f t="shared" si="6"/>
        <v>876</v>
      </c>
      <c r="X174" s="12" t="str">
        <f>_xlfn.XLOOKUP($B174,M_YT_LIVE!$A:$A,M_YT_LIVE!$D:$D)</f>
        <v>https://www.youtube.com/live/E8l1nOoKLLI?si=9GMtlAOzsgHxbniX</v>
      </c>
      <c r="Z174" s="16" t="str">
        <f>HYPERLINK($X174&amp;SUBSTITUTE(マスタ!$C$3,"XXXXX",$W174))</f>
        <v>https://www.youtube.com/live/E8l1nOoKLLI?si=9GMtlAOzsgHxbniX&amp;t=876s</v>
      </c>
      <c r="AA174" s="12" t="str">
        <f t="shared" si="7"/>
        <v>Neru feat.鏡音リンロストワンの号哭</v>
      </c>
    </row>
    <row r="175" spans="1:27" x14ac:dyDescent="0.4">
      <c r="A175" s="14">
        <f t="shared" si="8"/>
        <v>174</v>
      </c>
      <c r="B175" s="14">
        <v>25</v>
      </c>
      <c r="C175" s="18" t="s">
        <v>497</v>
      </c>
      <c r="D175" s="14" t="s">
        <v>443</v>
      </c>
      <c r="E175" s="14" t="s">
        <v>441</v>
      </c>
      <c r="G175" s="1" t="str">
        <f>_xlfn.XLOOKUP(B175,M_YT_LIVE!A:A,M_YT_LIVE!F:F,"ERROR",0,1)</f>
        <v>音源</v>
      </c>
      <c r="W175" s="13">
        <f t="shared" si="6"/>
        <v>1156</v>
      </c>
      <c r="X175" s="12" t="str">
        <f>_xlfn.XLOOKUP($B175,M_YT_LIVE!$A:$A,M_YT_LIVE!$D:$D)</f>
        <v>https://www.youtube.com/live/E8l1nOoKLLI?si=9GMtlAOzsgHxbniX</v>
      </c>
      <c r="Z175" s="16" t="str">
        <f>HYPERLINK($X175&amp;SUBSTITUTE(マスタ!$C$3,"XXXXX",$W175))</f>
        <v>https://www.youtube.com/live/E8l1nOoKLLI?si=9GMtlAOzsgHxbniX&amp;t=1156s</v>
      </c>
      <c r="AA175" s="12" t="str">
        <f t="shared" si="7"/>
        <v>梅とら feat. 巡音ルカ&amp;初音ミク&amp;GUMI&amp;IA&amp;鏡音リン威風堂々</v>
      </c>
    </row>
    <row r="176" spans="1:27" x14ac:dyDescent="0.4">
      <c r="A176" s="14">
        <f t="shared" si="8"/>
        <v>175</v>
      </c>
      <c r="B176" s="14">
        <v>25</v>
      </c>
      <c r="C176" s="18" t="s">
        <v>498</v>
      </c>
      <c r="D176" s="14" t="s">
        <v>499</v>
      </c>
      <c r="E176" s="14" t="s">
        <v>393</v>
      </c>
      <c r="G176" s="1" t="str">
        <f>_xlfn.XLOOKUP(B176,M_YT_LIVE!A:A,M_YT_LIVE!F:F,"ERROR",0,1)</f>
        <v>音源</v>
      </c>
      <c r="W176" s="13">
        <f t="shared" si="6"/>
        <v>1626</v>
      </c>
      <c r="X176" s="12" t="str">
        <f>_xlfn.XLOOKUP($B176,M_YT_LIVE!$A:$A,M_YT_LIVE!$D:$D)</f>
        <v>https://www.youtube.com/live/E8l1nOoKLLI?si=9GMtlAOzsgHxbniX</v>
      </c>
      <c r="Z176" s="16" t="str">
        <f>HYPERLINK($X176&amp;SUBSTITUTE(マスタ!$C$3,"XXXXX",$W176))</f>
        <v>https://www.youtube.com/live/E8l1nOoKLLI?si=9GMtlAOzsgHxbniX&amp;t=1626s</v>
      </c>
      <c r="AA176" s="12" t="str">
        <f t="shared" si="7"/>
        <v>ONE OK ROCKThe Beginning</v>
      </c>
    </row>
    <row r="177" spans="1:27" x14ac:dyDescent="0.4">
      <c r="A177" s="14">
        <f t="shared" si="8"/>
        <v>176</v>
      </c>
      <c r="B177" s="14">
        <v>25</v>
      </c>
      <c r="C177" s="18" t="s">
        <v>500</v>
      </c>
      <c r="D177" s="14" t="s">
        <v>74</v>
      </c>
      <c r="E177" s="14" t="s">
        <v>1373</v>
      </c>
      <c r="G177" s="1" t="str">
        <f>_xlfn.XLOOKUP(B177,M_YT_LIVE!A:A,M_YT_LIVE!F:F,"ERROR",0,1)</f>
        <v>音源</v>
      </c>
      <c r="W177" s="13">
        <f t="shared" si="6"/>
        <v>2050</v>
      </c>
      <c r="X177" s="12" t="str">
        <f>_xlfn.XLOOKUP($B177,M_YT_LIVE!$A:$A,M_YT_LIVE!$D:$D)</f>
        <v>https://www.youtube.com/live/E8l1nOoKLLI?si=9GMtlAOzsgHxbniX</v>
      </c>
      <c r="Z177" s="16" t="str">
        <f>HYPERLINK($X177&amp;SUBSTITUTE(マスタ!$C$3,"XXXXX",$W177))</f>
        <v>https://www.youtube.com/live/E8l1nOoKLLI?si=9GMtlAOzsgHxbniX&amp;t=2050s</v>
      </c>
      <c r="AA177" s="12" t="str">
        <f t="shared" si="7"/>
        <v>ずっと真夜中でいいのに。秒針を噛む</v>
      </c>
    </row>
    <row r="178" spans="1:27" x14ac:dyDescent="0.4">
      <c r="A178" s="14">
        <f t="shared" si="8"/>
        <v>177</v>
      </c>
      <c r="B178" s="14">
        <v>25</v>
      </c>
      <c r="C178" s="18" t="s">
        <v>501</v>
      </c>
      <c r="D178" s="14" t="s">
        <v>502</v>
      </c>
      <c r="E178" s="14" t="s">
        <v>1373</v>
      </c>
      <c r="G178" s="1" t="str">
        <f>_xlfn.XLOOKUP(B178,M_YT_LIVE!A:A,M_YT_LIVE!F:F,"ERROR",0,1)</f>
        <v>音源</v>
      </c>
      <c r="W178" s="13">
        <f t="shared" si="6"/>
        <v>2531</v>
      </c>
      <c r="X178" s="12" t="str">
        <f>_xlfn.XLOOKUP($B178,M_YT_LIVE!$A:$A,M_YT_LIVE!$D:$D)</f>
        <v>https://www.youtube.com/live/E8l1nOoKLLI?si=9GMtlAOzsgHxbniX</v>
      </c>
      <c r="Z178" s="16" t="str">
        <f>HYPERLINK($X178&amp;SUBSTITUTE(マスタ!$C$3,"XXXXX",$W178))</f>
        <v>https://www.youtube.com/live/E8l1nOoKLLI?si=9GMtlAOzsgHxbniX&amp;t=2531s</v>
      </c>
      <c r="AA178" s="12" t="str">
        <f t="shared" si="7"/>
        <v>ずっと真夜中でいいのに。脳裏上のクラッカー</v>
      </c>
    </row>
    <row r="179" spans="1:27" x14ac:dyDescent="0.4">
      <c r="A179" s="14">
        <f t="shared" si="8"/>
        <v>178</v>
      </c>
      <c r="B179" s="14">
        <v>25</v>
      </c>
      <c r="C179" s="18" t="s">
        <v>503</v>
      </c>
      <c r="D179" s="14" t="s">
        <v>504</v>
      </c>
      <c r="E179" s="14" t="s">
        <v>1373</v>
      </c>
      <c r="G179" s="1" t="str">
        <f>_xlfn.XLOOKUP(B179,M_YT_LIVE!A:A,M_YT_LIVE!F:F,"ERROR",0,1)</f>
        <v>音源</v>
      </c>
      <c r="W179" s="13">
        <f t="shared" si="6"/>
        <v>2888</v>
      </c>
      <c r="X179" s="12" t="str">
        <f>_xlfn.XLOOKUP($B179,M_YT_LIVE!$A:$A,M_YT_LIVE!$D:$D)</f>
        <v>https://www.youtube.com/live/E8l1nOoKLLI?si=9GMtlAOzsgHxbniX</v>
      </c>
      <c r="Z179" s="16" t="str">
        <f>HYPERLINK($X179&amp;SUBSTITUTE(マスタ!$C$3,"XXXXX",$W179))</f>
        <v>https://www.youtube.com/live/E8l1nOoKLLI?si=9GMtlAOzsgHxbniX&amp;t=2888s</v>
      </c>
      <c r="AA179" s="12" t="str">
        <f t="shared" si="7"/>
        <v>ずっと真夜中でいいのに。勘冴えて悔しいわ</v>
      </c>
    </row>
    <row r="180" spans="1:27" x14ac:dyDescent="0.4">
      <c r="A180" s="14">
        <f t="shared" si="8"/>
        <v>179</v>
      </c>
      <c r="B180" s="14">
        <v>25</v>
      </c>
      <c r="C180" s="18" t="s">
        <v>505</v>
      </c>
      <c r="D180" s="14" t="s">
        <v>506</v>
      </c>
      <c r="E180" s="14" t="s">
        <v>507</v>
      </c>
      <c r="G180" s="1" t="str">
        <f>_xlfn.XLOOKUP(B180,M_YT_LIVE!A:A,M_YT_LIVE!F:F,"ERROR",0,1)</f>
        <v>音源</v>
      </c>
      <c r="W180" s="13">
        <f t="shared" si="6"/>
        <v>3220</v>
      </c>
      <c r="X180" s="12" t="str">
        <f>_xlfn.XLOOKUP($B180,M_YT_LIVE!$A:$A,M_YT_LIVE!$D:$D)</f>
        <v>https://www.youtube.com/live/E8l1nOoKLLI?si=9GMtlAOzsgHxbniX</v>
      </c>
      <c r="Z180" s="16" t="str">
        <f>HYPERLINK($X180&amp;SUBSTITUTE(マスタ!$C$3,"XXXXX",$W180))</f>
        <v>https://www.youtube.com/live/E8l1nOoKLLI?si=9GMtlAOzsgHxbniX&amp;t=3220s</v>
      </c>
      <c r="AA180" s="12" t="str">
        <f t="shared" si="7"/>
        <v>YOASOBI夜に駆ける</v>
      </c>
    </row>
    <row r="181" spans="1:27" x14ac:dyDescent="0.4">
      <c r="A181" s="14">
        <f t="shared" si="8"/>
        <v>180</v>
      </c>
      <c r="B181" s="14">
        <v>25</v>
      </c>
      <c r="C181" s="18" t="s">
        <v>508</v>
      </c>
      <c r="D181" s="14" t="s">
        <v>440</v>
      </c>
      <c r="E181" s="14" t="s">
        <v>1226</v>
      </c>
      <c r="G181" s="1" t="str">
        <f>_xlfn.XLOOKUP(B181,M_YT_LIVE!A:A,M_YT_LIVE!F:F,"ERROR",0,1)</f>
        <v>音源</v>
      </c>
      <c r="W181" s="13">
        <f t="shared" si="6"/>
        <v>3559.9999999999995</v>
      </c>
      <c r="X181" s="12" t="str">
        <f>_xlfn.XLOOKUP($B181,M_YT_LIVE!$A:$A,M_YT_LIVE!$D:$D)</f>
        <v>https://www.youtube.com/live/E8l1nOoKLLI?si=9GMtlAOzsgHxbniX</v>
      </c>
      <c r="Z181" s="16" t="str">
        <f>HYPERLINK($X181&amp;SUBSTITUTE(マスタ!$C$3,"XXXXX",$W181))</f>
        <v>https://www.youtube.com/live/E8l1nOoKLLI?si=9GMtlAOzsgHxbniX&amp;t=3560s</v>
      </c>
      <c r="AA181" s="12" t="str">
        <f t="shared" si="7"/>
        <v>梅とら feat. 巡音ルカ&amp;初音ミク&amp;GUMI&amp;IA&amp;鏡音リン虎視眈々</v>
      </c>
    </row>
    <row r="182" spans="1:27" x14ac:dyDescent="0.4">
      <c r="A182" s="14">
        <f t="shared" si="8"/>
        <v>181</v>
      </c>
      <c r="B182" s="14">
        <v>25</v>
      </c>
      <c r="C182" s="18" t="s">
        <v>509</v>
      </c>
      <c r="D182" s="14" t="s">
        <v>426</v>
      </c>
      <c r="E182" s="14" t="s">
        <v>427</v>
      </c>
      <c r="G182" s="1" t="str">
        <f>_xlfn.XLOOKUP(B182,M_YT_LIVE!A:A,M_YT_LIVE!F:F,"ERROR",0,1)</f>
        <v>音源</v>
      </c>
      <c r="W182" s="13">
        <f t="shared" si="6"/>
        <v>3861</v>
      </c>
      <c r="X182" s="12" t="str">
        <f>_xlfn.XLOOKUP($B182,M_YT_LIVE!$A:$A,M_YT_LIVE!$D:$D)</f>
        <v>https://www.youtube.com/live/E8l1nOoKLLI?si=9GMtlAOzsgHxbniX</v>
      </c>
      <c r="Z182" s="16" t="str">
        <f>HYPERLINK($X182&amp;SUBSTITUTE(マスタ!$C$3,"XXXXX",$W182))</f>
        <v>https://www.youtube.com/live/E8l1nOoKLLI?si=9GMtlAOzsgHxbniX&amp;t=3861s</v>
      </c>
      <c r="AA182" s="12" t="str">
        <f t="shared" si="7"/>
        <v>cosMo(暴走P) feat.初音ミク初音ミクの消失 -DEAD END-</v>
      </c>
    </row>
    <row r="183" spans="1:27" x14ac:dyDescent="0.4">
      <c r="A183" s="14">
        <f t="shared" si="8"/>
        <v>182</v>
      </c>
      <c r="B183" s="14">
        <v>25</v>
      </c>
      <c r="C183" s="18" t="s">
        <v>510</v>
      </c>
      <c r="D183" s="14" t="s">
        <v>149</v>
      </c>
      <c r="E183" s="14" t="s">
        <v>150</v>
      </c>
      <c r="G183" s="1" t="str">
        <f>_xlfn.XLOOKUP(B183,M_YT_LIVE!A:A,M_YT_LIVE!F:F,"ERROR",0,1)</f>
        <v>音源</v>
      </c>
      <c r="W183" s="13">
        <f t="shared" si="6"/>
        <v>4325</v>
      </c>
      <c r="X183" s="12" t="str">
        <f>_xlfn.XLOOKUP($B183,M_YT_LIVE!$A:$A,M_YT_LIVE!$D:$D)</f>
        <v>https://www.youtube.com/live/E8l1nOoKLLI?si=9GMtlAOzsgHxbniX</v>
      </c>
      <c r="Z183" s="16" t="str">
        <f>HYPERLINK($X183&amp;SUBSTITUTE(マスタ!$C$3,"XXXXX",$W183))</f>
        <v>https://www.youtube.com/live/E8l1nOoKLLI?si=9GMtlAOzsgHxbniX&amp;t=4325s</v>
      </c>
      <c r="AA183" s="12" t="str">
        <f t="shared" si="7"/>
        <v>みきとP feat.初音ミク少女レイ</v>
      </c>
    </row>
    <row r="184" spans="1:27" x14ac:dyDescent="0.4">
      <c r="A184" s="14">
        <f t="shared" si="8"/>
        <v>183</v>
      </c>
      <c r="B184" s="14">
        <v>25</v>
      </c>
      <c r="C184" s="18" t="s">
        <v>511</v>
      </c>
      <c r="D184" s="14" t="s">
        <v>512</v>
      </c>
      <c r="E184" s="14" t="s">
        <v>528</v>
      </c>
      <c r="G184" s="1" t="str">
        <f>_xlfn.XLOOKUP(B184,M_YT_LIVE!A:A,M_YT_LIVE!F:F,"ERROR",0,1)</f>
        <v>音源</v>
      </c>
      <c r="W184" s="13">
        <f t="shared" si="6"/>
        <v>4721</v>
      </c>
      <c r="X184" s="12" t="str">
        <f>_xlfn.XLOOKUP($B184,M_YT_LIVE!$A:$A,M_YT_LIVE!$D:$D)</f>
        <v>https://www.youtube.com/live/E8l1nOoKLLI?si=9GMtlAOzsgHxbniX</v>
      </c>
      <c r="Z184" s="16" t="str">
        <f>HYPERLINK($X184&amp;SUBSTITUTE(マスタ!$C$3,"XXXXX",$W184))</f>
        <v>https://www.youtube.com/live/E8l1nOoKLLI?si=9GMtlAOzsgHxbniX&amp;t=4721s</v>
      </c>
      <c r="AA184" s="12" t="str">
        <f t="shared" si="7"/>
        <v>みきとP feat.MAYU夕立のりぼん</v>
      </c>
    </row>
    <row r="185" spans="1:27" x14ac:dyDescent="0.4">
      <c r="A185" s="14">
        <f t="shared" si="8"/>
        <v>184</v>
      </c>
      <c r="B185" s="14">
        <v>25</v>
      </c>
      <c r="C185" s="18" t="s">
        <v>513</v>
      </c>
      <c r="D185" s="14" t="s">
        <v>514</v>
      </c>
      <c r="E185" s="14" t="s">
        <v>529</v>
      </c>
      <c r="G185" s="1" t="str">
        <f>_xlfn.XLOOKUP(B185,M_YT_LIVE!A:A,M_YT_LIVE!F:F,"ERROR",0,1)</f>
        <v>音源</v>
      </c>
      <c r="W185" s="13">
        <f t="shared" si="6"/>
        <v>4998</v>
      </c>
      <c r="X185" s="12" t="str">
        <f>_xlfn.XLOOKUP($B185,M_YT_LIVE!$A:$A,M_YT_LIVE!$D:$D)</f>
        <v>https://www.youtube.com/live/E8l1nOoKLLI?si=9GMtlAOzsgHxbniX</v>
      </c>
      <c r="Z185" s="16" t="str">
        <f>HYPERLINK($X185&amp;SUBSTITUTE(マスタ!$C$3,"XXXXX",$W185))</f>
        <v>https://www.youtube.com/live/E8l1nOoKLLI?si=9GMtlAOzsgHxbniX&amp;t=4998s</v>
      </c>
      <c r="AA185" s="12" t="str">
        <f t="shared" si="7"/>
        <v>Mitchie M feat.初音ミクビバハピ</v>
      </c>
    </row>
    <row r="186" spans="1:27" x14ac:dyDescent="0.4">
      <c r="A186" s="14">
        <f t="shared" si="8"/>
        <v>185</v>
      </c>
      <c r="B186" s="14">
        <v>25</v>
      </c>
      <c r="C186" s="18" t="s">
        <v>515</v>
      </c>
      <c r="D186" s="14" t="s">
        <v>120</v>
      </c>
      <c r="E186" s="14" t="s">
        <v>118</v>
      </c>
      <c r="G186" s="1" t="str">
        <f>_xlfn.XLOOKUP(B186,M_YT_LIVE!A:A,M_YT_LIVE!F:F,"ERROR",0,1)</f>
        <v>音源</v>
      </c>
      <c r="W186" s="13">
        <f t="shared" si="6"/>
        <v>5420</v>
      </c>
      <c r="X186" s="12" t="str">
        <f>_xlfn.XLOOKUP($B186,M_YT_LIVE!$A:$A,M_YT_LIVE!$D:$D)</f>
        <v>https://www.youtube.com/live/E8l1nOoKLLI?si=9GMtlAOzsgHxbniX</v>
      </c>
      <c r="Z186" s="16" t="str">
        <f>HYPERLINK($X186&amp;SUBSTITUTE(マスタ!$C$3,"XXXXX",$W186))</f>
        <v>https://www.youtube.com/live/E8l1nOoKLLI?si=9GMtlAOzsgHxbniX&amp;t=5420s</v>
      </c>
      <c r="AA186" s="12" t="str">
        <f t="shared" si="7"/>
        <v>Orangestar feat.初音ミクアスノヨゾラ哨戒班</v>
      </c>
    </row>
    <row r="187" spans="1:27" x14ac:dyDescent="0.4">
      <c r="A187" s="14">
        <f t="shared" si="8"/>
        <v>186</v>
      </c>
      <c r="B187" s="14">
        <v>25</v>
      </c>
      <c r="C187" s="18" t="s">
        <v>516</v>
      </c>
      <c r="D187" s="14" t="s">
        <v>517</v>
      </c>
      <c r="E187" s="14" t="s">
        <v>530</v>
      </c>
      <c r="G187" s="1" t="str">
        <f>_xlfn.XLOOKUP(B187,M_YT_LIVE!A:A,M_YT_LIVE!F:F,"ERROR",0,1)</f>
        <v>音源</v>
      </c>
      <c r="W187" s="13">
        <f t="shared" si="6"/>
        <v>5666</v>
      </c>
      <c r="X187" s="12" t="str">
        <f>_xlfn.XLOOKUP($B187,M_YT_LIVE!$A:$A,M_YT_LIVE!$D:$D)</f>
        <v>https://www.youtube.com/live/E8l1nOoKLLI?si=9GMtlAOzsgHxbniX</v>
      </c>
      <c r="Z187" s="16" t="str">
        <f>HYPERLINK($X187&amp;SUBSTITUTE(マスタ!$C$3,"XXXXX",$W187))</f>
        <v>https://www.youtube.com/live/E8l1nOoKLLI?si=9GMtlAOzsgHxbniX&amp;t=5666s</v>
      </c>
      <c r="AA187" s="12" t="str">
        <f t="shared" si="7"/>
        <v>Orangestar feat.初音ミク&amp;IA空奏列車</v>
      </c>
    </row>
    <row r="188" spans="1:27" x14ac:dyDescent="0.4">
      <c r="A188" s="14">
        <f t="shared" si="8"/>
        <v>187</v>
      </c>
      <c r="B188" s="14">
        <v>25</v>
      </c>
      <c r="C188" s="18" t="s">
        <v>518</v>
      </c>
      <c r="D188" s="14" t="s">
        <v>256</v>
      </c>
      <c r="E188" s="14" t="s">
        <v>257</v>
      </c>
      <c r="G188" s="1" t="str">
        <f>_xlfn.XLOOKUP(B188,M_YT_LIVE!A:A,M_YT_LIVE!F:F,"ERROR",0,1)</f>
        <v>音源</v>
      </c>
      <c r="W188" s="13">
        <f t="shared" si="6"/>
        <v>6045.9999999999991</v>
      </c>
      <c r="X188" s="12" t="str">
        <f>_xlfn.XLOOKUP($B188,M_YT_LIVE!$A:$A,M_YT_LIVE!$D:$D)</f>
        <v>https://www.youtube.com/live/E8l1nOoKLLI?si=9GMtlAOzsgHxbniX</v>
      </c>
      <c r="Z188" s="16" t="str">
        <f>HYPERLINK($X188&amp;SUBSTITUTE(マスタ!$C$3,"XXXXX",$W188))</f>
        <v>https://www.youtube.com/live/E8l1nOoKLLI?si=9GMtlAOzsgHxbniX&amp;t=6046s</v>
      </c>
      <c r="AA188" s="12" t="str">
        <f t="shared" si="7"/>
        <v>ナユタン星人ロケットサイダー</v>
      </c>
    </row>
    <row r="189" spans="1:27" x14ac:dyDescent="0.4">
      <c r="A189" s="14">
        <f t="shared" si="8"/>
        <v>188</v>
      </c>
      <c r="B189" s="14">
        <v>25</v>
      </c>
      <c r="C189" s="18" t="s">
        <v>519</v>
      </c>
      <c r="D189" s="14" t="s">
        <v>520</v>
      </c>
      <c r="E189" s="14" t="s">
        <v>531</v>
      </c>
      <c r="G189" s="1" t="str">
        <f>_xlfn.XLOOKUP(B189,M_YT_LIVE!A:A,M_YT_LIVE!F:F,"ERROR",0,1)</f>
        <v>音源</v>
      </c>
      <c r="W189" s="13">
        <f t="shared" si="6"/>
        <v>6312</v>
      </c>
      <c r="X189" s="12" t="str">
        <f>_xlfn.XLOOKUP($B189,M_YT_LIVE!$A:$A,M_YT_LIVE!$D:$D)</f>
        <v>https://www.youtube.com/live/E8l1nOoKLLI?si=9GMtlAOzsgHxbniX</v>
      </c>
      <c r="Z189" s="16" t="str">
        <f>HYPERLINK($X189&amp;SUBSTITUTE(マスタ!$C$3,"XXXXX",$W189))</f>
        <v>https://www.youtube.com/live/E8l1nOoKLLI?si=9GMtlAOzsgHxbniX&amp;t=6312s</v>
      </c>
      <c r="AA189" s="12" t="str">
        <f t="shared" si="7"/>
        <v>黒うさ feat.初音ミク千本桜</v>
      </c>
    </row>
    <row r="190" spans="1:27" x14ac:dyDescent="0.4">
      <c r="A190" s="14">
        <f t="shared" si="8"/>
        <v>189</v>
      </c>
      <c r="B190" s="14">
        <v>25</v>
      </c>
      <c r="C190" s="18" t="s">
        <v>521</v>
      </c>
      <c r="D190" s="14" t="s">
        <v>522</v>
      </c>
      <c r="E190" s="14" t="s">
        <v>81</v>
      </c>
      <c r="G190" s="1" t="str">
        <f>_xlfn.XLOOKUP(B190,M_YT_LIVE!A:A,M_YT_LIVE!F:F,"ERROR",0,1)</f>
        <v>音源</v>
      </c>
      <c r="W190" s="13">
        <f t="shared" si="6"/>
        <v>6686</v>
      </c>
      <c r="X190" s="12" t="str">
        <f>_xlfn.XLOOKUP($B190,M_YT_LIVE!$A:$A,M_YT_LIVE!$D:$D)</f>
        <v>https://www.youtube.com/live/E8l1nOoKLLI?si=9GMtlAOzsgHxbniX</v>
      </c>
      <c r="Z190" s="16" t="str">
        <f>HYPERLINK($X190&amp;SUBSTITUTE(マスタ!$C$3,"XXXXX",$W190))</f>
        <v>https://www.youtube.com/live/E8l1nOoKLLI?si=9GMtlAOzsgHxbniX&amp;t=6686s</v>
      </c>
      <c r="AA190" s="12" t="str">
        <f t="shared" si="7"/>
        <v>じん(自然の敵P) feat.IA空想フォレスト</v>
      </c>
    </row>
    <row r="191" spans="1:27" x14ac:dyDescent="0.4">
      <c r="A191" s="14">
        <f t="shared" si="8"/>
        <v>190</v>
      </c>
      <c r="B191" s="14">
        <v>25</v>
      </c>
      <c r="C191" s="18" t="s">
        <v>523</v>
      </c>
      <c r="D191" s="14" t="s">
        <v>524</v>
      </c>
      <c r="E191" s="14" t="s">
        <v>81</v>
      </c>
      <c r="G191" s="1" t="str">
        <f>_xlfn.XLOOKUP(B191,M_YT_LIVE!A:A,M_YT_LIVE!F:F,"ERROR",0,1)</f>
        <v>音源</v>
      </c>
      <c r="W191" s="13">
        <f t="shared" si="6"/>
        <v>6981</v>
      </c>
      <c r="X191" s="12" t="str">
        <f>_xlfn.XLOOKUP($B191,M_YT_LIVE!$A:$A,M_YT_LIVE!$D:$D)</f>
        <v>https://www.youtube.com/live/E8l1nOoKLLI?si=9GMtlAOzsgHxbniX</v>
      </c>
      <c r="Z191" s="16" t="str">
        <f>HYPERLINK($X191&amp;SUBSTITUTE(マスタ!$C$3,"XXXXX",$W191))</f>
        <v>https://www.youtube.com/live/E8l1nOoKLLI?si=9GMtlAOzsgHxbniX&amp;t=6981s</v>
      </c>
      <c r="AA191" s="12" t="str">
        <f t="shared" si="7"/>
        <v>じん(自然の敵P) feat.IAサマータイムレコード</v>
      </c>
    </row>
    <row r="192" spans="1:27" x14ac:dyDescent="0.4">
      <c r="A192" s="14">
        <f t="shared" si="8"/>
        <v>191</v>
      </c>
      <c r="B192" s="14">
        <v>25</v>
      </c>
      <c r="C192" s="18" t="s">
        <v>525</v>
      </c>
      <c r="D192" s="14" t="s">
        <v>326</v>
      </c>
      <c r="E192" s="14" t="s">
        <v>327</v>
      </c>
      <c r="G192" s="1" t="str">
        <f>_xlfn.XLOOKUP(B192,M_YT_LIVE!A:A,M_YT_LIVE!F:F,"ERROR",0,1)</f>
        <v>音源</v>
      </c>
      <c r="W192" s="13">
        <f t="shared" si="6"/>
        <v>7366</v>
      </c>
      <c r="X192" s="12" t="str">
        <f>_xlfn.XLOOKUP($B192,M_YT_LIVE!$A:$A,M_YT_LIVE!$D:$D)</f>
        <v>https://www.youtube.com/live/E8l1nOoKLLI?si=9GMtlAOzsgHxbniX</v>
      </c>
      <c r="Z192" s="16" t="str">
        <f>HYPERLINK($X192&amp;SUBSTITUTE(マスタ!$C$3,"XXXXX",$W192))</f>
        <v>https://www.youtube.com/live/E8l1nOoKLLI?si=9GMtlAOzsgHxbniX&amp;t=7366s</v>
      </c>
      <c r="AA192" s="12" t="str">
        <f t="shared" si="7"/>
        <v>レミオロメン粉雪</v>
      </c>
    </row>
    <row r="193" spans="1:27" x14ac:dyDescent="0.4">
      <c r="A193" s="14">
        <f t="shared" si="8"/>
        <v>192</v>
      </c>
      <c r="B193" s="14">
        <v>25</v>
      </c>
      <c r="C193" s="18" t="s">
        <v>526</v>
      </c>
      <c r="D193" s="14" t="s">
        <v>426</v>
      </c>
      <c r="E193" s="14" t="s">
        <v>427</v>
      </c>
      <c r="G193" s="1" t="str">
        <f>_xlfn.XLOOKUP(B193,M_YT_LIVE!A:A,M_YT_LIVE!F:F,"ERROR",0,1)</f>
        <v>音源</v>
      </c>
      <c r="W193" s="13">
        <f t="shared" si="6"/>
        <v>7992</v>
      </c>
      <c r="X193" s="12" t="str">
        <f>_xlfn.XLOOKUP($B193,M_YT_LIVE!$A:$A,M_YT_LIVE!$D:$D)</f>
        <v>https://www.youtube.com/live/E8l1nOoKLLI?si=9GMtlAOzsgHxbniX</v>
      </c>
      <c r="Z193" s="16" t="str">
        <f>HYPERLINK($X193&amp;SUBSTITUTE(マスタ!$C$3,"XXXXX",$W193))</f>
        <v>https://www.youtube.com/live/E8l1nOoKLLI?si=9GMtlAOzsgHxbniX&amp;t=7992s</v>
      </c>
      <c r="AA193" s="12" t="str">
        <f t="shared" si="7"/>
        <v>cosMo(暴走P) feat.初音ミク初音ミクの消失 -DEAD END-</v>
      </c>
    </row>
    <row r="194" spans="1:27" x14ac:dyDescent="0.4">
      <c r="A194" s="14">
        <f t="shared" si="8"/>
        <v>193</v>
      </c>
      <c r="B194" s="14">
        <v>26</v>
      </c>
      <c r="C194" s="18" t="s">
        <v>535</v>
      </c>
      <c r="D194" s="14" t="s">
        <v>536</v>
      </c>
      <c r="E194" s="14" t="s">
        <v>537</v>
      </c>
      <c r="G194" s="1" t="str">
        <f>_xlfn.XLOOKUP(B194,M_YT_LIVE!A:A,M_YT_LIVE!F:F,"ERROR",0,1)</f>
        <v>弾き語り</v>
      </c>
      <c r="W194" s="13">
        <f t="shared" si="6"/>
        <v>272</v>
      </c>
      <c r="X194" s="12" t="str">
        <f>_xlfn.XLOOKUP($B194,M_YT_LIVE!$A:$A,M_YT_LIVE!$D:$D)</f>
        <v>https://www.youtube.com/live/T2z_BAhLZz0?si=FZhoxASjxucX4Rxr</v>
      </c>
      <c r="Z194" s="16" t="str">
        <f>HYPERLINK($X194&amp;SUBSTITUTE(マスタ!$C$3,"XXXXX",$W194))</f>
        <v>https://www.youtube.com/live/T2z_BAhLZz0?si=FZhoxASjxucX4Rxr&amp;t=272s</v>
      </c>
      <c r="AA194" s="12" t="str">
        <f t="shared" si="7"/>
        <v>tuki.晩餐歌</v>
      </c>
    </row>
    <row r="195" spans="1:27" x14ac:dyDescent="0.4">
      <c r="A195" s="14">
        <f t="shared" si="8"/>
        <v>194</v>
      </c>
      <c r="B195" s="14">
        <v>26</v>
      </c>
      <c r="C195" s="18" t="s">
        <v>538</v>
      </c>
      <c r="D195" s="14" t="s">
        <v>539</v>
      </c>
      <c r="E195" s="14" t="s">
        <v>20</v>
      </c>
      <c r="G195" s="1" t="str">
        <f>_xlfn.XLOOKUP(B195,M_YT_LIVE!A:A,M_YT_LIVE!F:F,"ERROR",0,1)</f>
        <v>弾き語り</v>
      </c>
      <c r="W195" s="13">
        <f t="shared" ref="W195:W258" si="9">TIMEVALUE($C195)*86400</f>
        <v>765</v>
      </c>
      <c r="X195" s="12" t="str">
        <f>_xlfn.XLOOKUP($B195,M_YT_LIVE!$A:$A,M_YT_LIVE!$D:$D)</f>
        <v>https://www.youtube.com/live/T2z_BAhLZz0?si=FZhoxASjxucX4Rxr</v>
      </c>
      <c r="Z195" s="16" t="str">
        <f>HYPERLINK($X195&amp;SUBSTITUTE(マスタ!$C$3,"XXXXX",$W195))</f>
        <v>https://www.youtube.com/live/T2z_BAhLZz0?si=FZhoxASjxucX4Rxr&amp;t=765s</v>
      </c>
      <c r="AA195" s="12" t="str">
        <f t="shared" ref="AA195:AA258" si="10">TRIM(E195)&amp;TRIM(D195)</f>
        <v>Vaundy恋風邪に乗せて</v>
      </c>
    </row>
    <row r="196" spans="1:27" x14ac:dyDescent="0.4">
      <c r="A196" s="14">
        <f t="shared" si="8"/>
        <v>195</v>
      </c>
      <c r="B196" s="14">
        <v>26</v>
      </c>
      <c r="C196" s="18" t="s">
        <v>540</v>
      </c>
      <c r="D196" s="14" t="s">
        <v>541</v>
      </c>
      <c r="E196" s="14" t="s">
        <v>20</v>
      </c>
      <c r="G196" s="1" t="str">
        <f>_xlfn.XLOOKUP(B196,M_YT_LIVE!A:A,M_YT_LIVE!F:F,"ERROR",0,1)</f>
        <v>弾き語り</v>
      </c>
      <c r="W196" s="13">
        <f t="shared" si="9"/>
        <v>1312</v>
      </c>
      <c r="X196" s="12" t="str">
        <f>_xlfn.XLOOKUP($B196,M_YT_LIVE!$A:$A,M_YT_LIVE!$D:$D)</f>
        <v>https://www.youtube.com/live/T2z_BAhLZz0?si=FZhoxASjxucX4Rxr</v>
      </c>
      <c r="Z196" s="16" t="str">
        <f>HYPERLINK($X196&amp;SUBSTITUTE(マスタ!$C$3,"XXXXX",$W196))</f>
        <v>https://www.youtube.com/live/T2z_BAhLZz0?si=FZhoxASjxucX4Rxr&amp;t=1312s</v>
      </c>
      <c r="AA196" s="12" t="str">
        <f t="shared" si="10"/>
        <v>Vaundy置き手紙</v>
      </c>
    </row>
    <row r="197" spans="1:27" x14ac:dyDescent="0.4">
      <c r="A197" s="14">
        <f t="shared" ref="A197:A260" si="11">ROW()-1</f>
        <v>196</v>
      </c>
      <c r="B197" s="14">
        <v>26</v>
      </c>
      <c r="C197" s="18" t="s">
        <v>542</v>
      </c>
      <c r="D197" s="14" t="s">
        <v>543</v>
      </c>
      <c r="E197" s="14" t="s">
        <v>544</v>
      </c>
      <c r="G197" s="1" t="str">
        <f>_xlfn.XLOOKUP(B197,M_YT_LIVE!A:A,M_YT_LIVE!F:F,"ERROR",0,1)</f>
        <v>弾き語り</v>
      </c>
      <c r="W197" s="13">
        <f t="shared" si="9"/>
        <v>1777</v>
      </c>
      <c r="X197" s="12" t="str">
        <f>_xlfn.XLOOKUP($B197,M_YT_LIVE!$A:$A,M_YT_LIVE!$D:$D)</f>
        <v>https://www.youtube.com/live/T2z_BAhLZz0?si=FZhoxASjxucX4Rxr</v>
      </c>
      <c r="Z197" s="16" t="str">
        <f>HYPERLINK($X197&amp;SUBSTITUTE(マスタ!$C$3,"XXXXX",$W197))</f>
        <v>https://www.youtube.com/live/T2z_BAhLZz0?si=FZhoxASjxucX4Rxr&amp;t=1777s</v>
      </c>
      <c r="AA197" s="12" t="str">
        <f t="shared" si="10"/>
        <v>椎名林檎丸の内サディスティック</v>
      </c>
    </row>
    <row r="198" spans="1:27" x14ac:dyDescent="0.4">
      <c r="A198" s="14">
        <f t="shared" si="11"/>
        <v>197</v>
      </c>
      <c r="B198" s="14">
        <v>26</v>
      </c>
      <c r="C198" s="18" t="s">
        <v>545</v>
      </c>
      <c r="D198" s="14" t="s">
        <v>546</v>
      </c>
      <c r="E198" s="14" t="s">
        <v>547</v>
      </c>
      <c r="G198" s="1" t="str">
        <f>_xlfn.XLOOKUP(B198,M_YT_LIVE!A:A,M_YT_LIVE!F:F,"ERROR",0,1)</f>
        <v>弾き語り</v>
      </c>
      <c r="W198" s="13">
        <f t="shared" si="9"/>
        <v>2322</v>
      </c>
      <c r="X198" s="12" t="str">
        <f>_xlfn.XLOOKUP($B198,M_YT_LIVE!$A:$A,M_YT_LIVE!$D:$D)</f>
        <v>https://www.youtube.com/live/T2z_BAhLZz0?si=FZhoxASjxucX4Rxr</v>
      </c>
      <c r="Z198" s="16" t="str">
        <f>HYPERLINK($X198&amp;SUBSTITUTE(マスタ!$C$3,"XXXXX",$W198))</f>
        <v>https://www.youtube.com/live/T2z_BAhLZz0?si=FZhoxASjxucX4Rxr&amp;t=2322s</v>
      </c>
      <c r="AA198" s="12" t="str">
        <f t="shared" si="10"/>
        <v>米津玄師アイネクライネ</v>
      </c>
    </row>
    <row r="199" spans="1:27" x14ac:dyDescent="0.4">
      <c r="A199" s="14">
        <f t="shared" si="11"/>
        <v>198</v>
      </c>
      <c r="B199" s="14">
        <v>26</v>
      </c>
      <c r="C199" s="18" t="s">
        <v>548</v>
      </c>
      <c r="D199" s="14" t="s">
        <v>143</v>
      </c>
      <c r="E199" s="14" t="s">
        <v>144</v>
      </c>
      <c r="G199" s="1" t="str">
        <f>_xlfn.XLOOKUP(B199,M_YT_LIVE!A:A,M_YT_LIVE!F:F,"ERROR",0,1)</f>
        <v>弾き語り</v>
      </c>
      <c r="W199" s="13">
        <f t="shared" si="9"/>
        <v>2835</v>
      </c>
      <c r="X199" s="12" t="str">
        <f>_xlfn.XLOOKUP($B199,M_YT_LIVE!$A:$A,M_YT_LIVE!$D:$D)</f>
        <v>https://www.youtube.com/live/T2z_BAhLZz0?si=FZhoxASjxucX4Rxr</v>
      </c>
      <c r="Z199" s="16" t="str">
        <f>HYPERLINK($X199&amp;SUBSTITUTE(マスタ!$C$3,"XXXXX",$W199))</f>
        <v>https://www.youtube.com/live/T2z_BAhLZz0?si=FZhoxASjxucX4Rxr&amp;t=2835s</v>
      </c>
      <c r="AA199" s="12" t="str">
        <f t="shared" si="10"/>
        <v>マカロニえんぴつブルーベリー・ナイツ</v>
      </c>
    </row>
    <row r="200" spans="1:27" x14ac:dyDescent="0.4">
      <c r="A200" s="14">
        <f t="shared" si="11"/>
        <v>199</v>
      </c>
      <c r="B200" s="14">
        <v>26</v>
      </c>
      <c r="C200" s="18" t="s">
        <v>549</v>
      </c>
      <c r="D200" s="14" t="s">
        <v>83</v>
      </c>
      <c r="E200" s="14" t="s">
        <v>84</v>
      </c>
      <c r="G200" s="1" t="str">
        <f>_xlfn.XLOOKUP(B200,M_YT_LIVE!A:A,M_YT_LIVE!F:F,"ERROR",0,1)</f>
        <v>弾き語り</v>
      </c>
      <c r="W200" s="13">
        <f t="shared" si="9"/>
        <v>3487</v>
      </c>
      <c r="X200" s="12" t="str">
        <f>_xlfn.XLOOKUP($B200,M_YT_LIVE!$A:$A,M_YT_LIVE!$D:$D)</f>
        <v>https://www.youtube.com/live/T2z_BAhLZz0?si=FZhoxASjxucX4Rxr</v>
      </c>
      <c r="Z200" s="16" t="str">
        <f>HYPERLINK($X200&amp;SUBSTITUTE(マスタ!$C$3,"XXXXX",$W200))</f>
        <v>https://www.youtube.com/live/T2z_BAhLZz0?si=FZhoxASjxucX4Rxr&amp;t=3487s</v>
      </c>
      <c r="AA200" s="12" t="str">
        <f t="shared" si="10"/>
        <v>木村弓いのちの名前</v>
      </c>
    </row>
    <row r="201" spans="1:27" x14ac:dyDescent="0.4">
      <c r="A201" s="14">
        <f t="shared" si="11"/>
        <v>200</v>
      </c>
      <c r="B201" s="14">
        <v>26</v>
      </c>
      <c r="C201" s="18" t="s">
        <v>550</v>
      </c>
      <c r="D201" s="14" t="s">
        <v>551</v>
      </c>
      <c r="E201" s="14" t="s">
        <v>168</v>
      </c>
      <c r="G201" s="1" t="str">
        <f>_xlfn.XLOOKUP(B201,M_YT_LIVE!A:A,M_YT_LIVE!F:F,"ERROR",0,1)</f>
        <v>弾き語り</v>
      </c>
      <c r="W201" s="13">
        <f t="shared" si="9"/>
        <v>4035</v>
      </c>
      <c r="X201" s="12" t="str">
        <f>_xlfn.XLOOKUP($B201,M_YT_LIVE!$A:$A,M_YT_LIVE!$D:$D)</f>
        <v>https://www.youtube.com/live/T2z_BAhLZz0?si=FZhoxASjxucX4Rxr</v>
      </c>
      <c r="Z201" s="16" t="str">
        <f>HYPERLINK($X201&amp;SUBSTITUTE(マスタ!$C$3,"XXXXX",$W201))</f>
        <v>https://www.youtube.com/live/T2z_BAhLZz0?si=FZhoxASjxucX4Rxr&amp;t=4035s</v>
      </c>
      <c r="AA201" s="12" t="str">
        <f t="shared" si="10"/>
        <v>Aimer星が消えた夜に</v>
      </c>
    </row>
    <row r="202" spans="1:27" x14ac:dyDescent="0.4">
      <c r="A202" s="14">
        <f t="shared" si="11"/>
        <v>201</v>
      </c>
      <c r="B202" s="14">
        <v>26</v>
      </c>
      <c r="C202" s="18" t="s">
        <v>552</v>
      </c>
      <c r="D202" s="14" t="s">
        <v>553</v>
      </c>
      <c r="E202" s="14" t="s">
        <v>347</v>
      </c>
      <c r="G202" s="1" t="str">
        <f>_xlfn.XLOOKUP(B202,M_YT_LIVE!A:A,M_YT_LIVE!F:F,"ERROR",0,1)</f>
        <v>弾き語り</v>
      </c>
      <c r="W202" s="13">
        <f t="shared" si="9"/>
        <v>4621</v>
      </c>
      <c r="X202" s="12" t="str">
        <f>_xlfn.XLOOKUP($B202,M_YT_LIVE!$A:$A,M_YT_LIVE!$D:$D)</f>
        <v>https://www.youtube.com/live/T2z_BAhLZz0?si=FZhoxASjxucX4Rxr</v>
      </c>
      <c r="Z202" s="16" t="str">
        <f>HYPERLINK($X202&amp;SUBSTITUTE(マスタ!$C$3,"XXXXX",$W202))</f>
        <v>https://www.youtube.com/live/T2z_BAhLZz0?si=FZhoxASjxucX4Rxr&amp;t=4621s</v>
      </c>
      <c r="AA202" s="12" t="str">
        <f t="shared" si="10"/>
        <v>幽音しの(即興)今食べたいもの</v>
      </c>
    </row>
    <row r="203" spans="1:27" x14ac:dyDescent="0.4">
      <c r="A203" s="14">
        <f t="shared" si="11"/>
        <v>202</v>
      </c>
      <c r="B203" s="14">
        <v>26</v>
      </c>
      <c r="C203" s="18" t="s">
        <v>554</v>
      </c>
      <c r="D203" s="14" t="s">
        <v>185</v>
      </c>
      <c r="E203" s="14" t="s">
        <v>186</v>
      </c>
      <c r="G203" s="1" t="str">
        <f>_xlfn.XLOOKUP(B203,M_YT_LIVE!A:A,M_YT_LIVE!F:F,"ERROR",0,1)</f>
        <v>弾き語り</v>
      </c>
      <c r="W203" s="13">
        <f t="shared" si="9"/>
        <v>5042</v>
      </c>
      <c r="X203" s="12" t="str">
        <f>_xlfn.XLOOKUP($B203,M_YT_LIVE!$A:$A,M_YT_LIVE!$D:$D)</f>
        <v>https://www.youtube.com/live/T2z_BAhLZz0?si=FZhoxASjxucX4Rxr</v>
      </c>
      <c r="Z203" s="16" t="str">
        <f>HYPERLINK($X203&amp;SUBSTITUTE(マスタ!$C$3,"XXXXX",$W203))</f>
        <v>https://www.youtube.com/live/T2z_BAhLZz0?si=FZhoxASjxucX4Rxr&amp;t=5042s</v>
      </c>
      <c r="AA203" s="12" t="str">
        <f t="shared" si="10"/>
        <v>YUI for 雨音薫Good-bye days</v>
      </c>
    </row>
    <row r="204" spans="1:27" x14ac:dyDescent="0.4">
      <c r="A204" s="14">
        <f t="shared" si="11"/>
        <v>203</v>
      </c>
      <c r="B204" s="14">
        <v>27</v>
      </c>
      <c r="C204" s="18" t="s">
        <v>557</v>
      </c>
      <c r="D204" s="14" t="s">
        <v>558</v>
      </c>
      <c r="E204" s="14" t="s">
        <v>141</v>
      </c>
      <c r="G204" s="1" t="str">
        <f>_xlfn.XLOOKUP(B204,M_YT_LIVE!A:A,M_YT_LIVE!F:F,"ERROR",0,1)</f>
        <v>弾き語り</v>
      </c>
      <c r="W204" s="13">
        <f t="shared" si="9"/>
        <v>498</v>
      </c>
      <c r="X204" s="12" t="str">
        <f>_xlfn.XLOOKUP($B204,M_YT_LIVE!$A:$A,M_YT_LIVE!$D:$D)</f>
        <v>https://www.youtube.com/live/OEtLBen9pLM?si=M4WDMSGkkHfWLvDr</v>
      </c>
      <c r="Z204" s="16" t="str">
        <f>HYPERLINK($X204&amp;SUBSTITUTE(マスタ!$C$3,"XXXXX",$W204))</f>
        <v>https://www.youtube.com/live/OEtLBen9pLM?si=M4WDMSGkkHfWLvDr&amp;t=498s</v>
      </c>
      <c r="AA204" s="12" t="str">
        <f t="shared" si="10"/>
        <v>ヨルシカだから僕は音楽を辞めた</v>
      </c>
    </row>
    <row r="205" spans="1:27" x14ac:dyDescent="0.4">
      <c r="A205" s="14">
        <f t="shared" si="11"/>
        <v>204</v>
      </c>
      <c r="B205" s="14">
        <v>27</v>
      </c>
      <c r="C205" s="18" t="s">
        <v>559</v>
      </c>
      <c r="D205" s="14" t="s">
        <v>560</v>
      </c>
      <c r="E205" s="14" t="s">
        <v>141</v>
      </c>
      <c r="G205" s="1" t="str">
        <f>_xlfn.XLOOKUP(B205,M_YT_LIVE!A:A,M_YT_LIVE!F:F,"ERROR",0,1)</f>
        <v>弾き語り</v>
      </c>
      <c r="W205" s="13">
        <f t="shared" si="9"/>
        <v>973.00000000000011</v>
      </c>
      <c r="X205" s="12" t="str">
        <f>_xlfn.XLOOKUP($B205,M_YT_LIVE!$A:$A,M_YT_LIVE!$D:$D)</f>
        <v>https://www.youtube.com/live/OEtLBen9pLM?si=M4WDMSGkkHfWLvDr</v>
      </c>
      <c r="Z205" s="16" t="str">
        <f>HYPERLINK($X205&amp;SUBSTITUTE(マスタ!$C$3,"XXXXX",$W205))</f>
        <v>https://www.youtube.com/live/OEtLBen9pLM?si=M4WDMSGkkHfWLvDr&amp;t=973s</v>
      </c>
      <c r="AA205" s="12" t="str">
        <f t="shared" si="10"/>
        <v>ヨルシカ又三郎</v>
      </c>
    </row>
    <row r="206" spans="1:27" x14ac:dyDescent="0.4">
      <c r="A206" s="14">
        <f t="shared" si="11"/>
        <v>205</v>
      </c>
      <c r="B206" s="14">
        <v>27</v>
      </c>
      <c r="C206" s="18" t="s">
        <v>561</v>
      </c>
      <c r="D206" s="14" t="s">
        <v>562</v>
      </c>
      <c r="E206" s="14" t="s">
        <v>276</v>
      </c>
      <c r="G206" s="1" t="str">
        <f>_xlfn.XLOOKUP(B206,M_YT_LIVE!A:A,M_YT_LIVE!F:F,"ERROR",0,1)</f>
        <v>弾き語り</v>
      </c>
      <c r="W206" s="13">
        <f t="shared" si="9"/>
        <v>1449</v>
      </c>
      <c r="X206" s="12" t="str">
        <f>_xlfn.XLOOKUP($B206,M_YT_LIVE!$A:$A,M_YT_LIVE!$D:$D)</f>
        <v>https://www.youtube.com/live/OEtLBen9pLM?si=M4WDMSGkkHfWLvDr</v>
      </c>
      <c r="Z206" s="16" t="str">
        <f>HYPERLINK($X206&amp;SUBSTITUTE(マスタ!$C$3,"XXXXX",$W206))</f>
        <v>https://www.youtube.com/live/OEtLBen9pLM?si=M4WDMSGkkHfWLvDr&amp;t=1449s</v>
      </c>
      <c r="AA206" s="12" t="str">
        <f t="shared" si="10"/>
        <v>YUIagain</v>
      </c>
    </row>
    <row r="207" spans="1:27" x14ac:dyDescent="0.4">
      <c r="A207" s="14">
        <f t="shared" si="11"/>
        <v>206</v>
      </c>
      <c r="B207" s="14">
        <v>27</v>
      </c>
      <c r="C207" s="18" t="s">
        <v>563</v>
      </c>
      <c r="D207" s="14" t="s">
        <v>564</v>
      </c>
      <c r="E207" s="14" t="s">
        <v>507</v>
      </c>
      <c r="G207" s="1" t="str">
        <f>_xlfn.XLOOKUP(B207,M_YT_LIVE!A:A,M_YT_LIVE!F:F,"ERROR",0,1)</f>
        <v>弾き語り</v>
      </c>
      <c r="W207" s="13">
        <f t="shared" si="9"/>
        <v>1859</v>
      </c>
      <c r="X207" s="12" t="str">
        <f>_xlfn.XLOOKUP($B207,M_YT_LIVE!$A:$A,M_YT_LIVE!$D:$D)</f>
        <v>https://www.youtube.com/live/OEtLBen9pLM?si=M4WDMSGkkHfWLvDr</v>
      </c>
      <c r="Z207" s="16" t="str">
        <f>HYPERLINK($X207&amp;SUBSTITUTE(マスタ!$C$3,"XXXXX",$W207))</f>
        <v>https://www.youtube.com/live/OEtLBen9pLM?si=M4WDMSGkkHfWLvDr&amp;t=1859s</v>
      </c>
      <c r="AA207" s="12" t="str">
        <f t="shared" si="10"/>
        <v>YOASOBIあの夢をなぞって</v>
      </c>
    </row>
    <row r="208" spans="1:27" x14ac:dyDescent="0.4">
      <c r="A208" s="14">
        <f t="shared" si="11"/>
        <v>207</v>
      </c>
      <c r="B208" s="14">
        <v>27</v>
      </c>
      <c r="C208" s="18" t="s">
        <v>565</v>
      </c>
      <c r="D208" s="14" t="s">
        <v>566</v>
      </c>
      <c r="E208" s="14" t="s">
        <v>228</v>
      </c>
      <c r="G208" s="1" t="str">
        <f>_xlfn.XLOOKUP(B208,M_YT_LIVE!A:A,M_YT_LIVE!F:F,"ERROR",0,1)</f>
        <v>弾き語り</v>
      </c>
      <c r="W208" s="13">
        <f t="shared" si="9"/>
        <v>2519</v>
      </c>
      <c r="X208" s="12" t="str">
        <f>_xlfn.XLOOKUP($B208,M_YT_LIVE!$A:$A,M_YT_LIVE!$D:$D)</f>
        <v>https://www.youtube.com/live/OEtLBen9pLM?si=M4WDMSGkkHfWLvDr</v>
      </c>
      <c r="Z208" s="16" t="str">
        <f>HYPERLINK($X208&amp;SUBSTITUTE(マスタ!$C$3,"XXXXX",$W208))</f>
        <v>https://www.youtube.com/live/OEtLBen9pLM?si=M4WDMSGkkHfWLvDr&amp;t=2519s</v>
      </c>
      <c r="AA208" s="12" t="str">
        <f t="shared" si="10"/>
        <v>ずっと真夜中でいいのに。MILABO</v>
      </c>
    </row>
    <row r="209" spans="1:27" x14ac:dyDescent="0.4">
      <c r="A209" s="14">
        <f t="shared" si="11"/>
        <v>208</v>
      </c>
      <c r="B209" s="14">
        <v>27</v>
      </c>
      <c r="C209" s="18" t="s">
        <v>567</v>
      </c>
      <c r="D209" s="14" t="s">
        <v>568</v>
      </c>
      <c r="E209" s="14" t="s">
        <v>228</v>
      </c>
      <c r="G209" s="1" t="str">
        <f>_xlfn.XLOOKUP(B209,M_YT_LIVE!A:A,M_YT_LIVE!F:F,"ERROR",0,1)</f>
        <v>弾き語り</v>
      </c>
      <c r="W209" s="13">
        <f t="shared" si="9"/>
        <v>2976</v>
      </c>
      <c r="X209" s="12" t="str">
        <f>_xlfn.XLOOKUP($B209,M_YT_LIVE!$A:$A,M_YT_LIVE!$D:$D)</f>
        <v>https://www.youtube.com/live/OEtLBen9pLM?si=M4WDMSGkkHfWLvDr</v>
      </c>
      <c r="Z209" s="16" t="str">
        <f>HYPERLINK($X209&amp;SUBSTITUTE(マスタ!$C$3,"XXXXX",$W209))</f>
        <v>https://www.youtube.com/live/OEtLBen9pLM?si=M4WDMSGkkHfWLvDr&amp;t=2976s</v>
      </c>
      <c r="AA209" s="12" t="str">
        <f t="shared" si="10"/>
        <v>ずっと真夜中でいいのに。正しくなれない</v>
      </c>
    </row>
    <row r="210" spans="1:27" x14ac:dyDescent="0.4">
      <c r="A210" s="14">
        <f t="shared" si="11"/>
        <v>209</v>
      </c>
      <c r="B210" s="14">
        <v>27</v>
      </c>
      <c r="C210" s="18" t="s">
        <v>569</v>
      </c>
      <c r="D210" s="14" t="s">
        <v>570</v>
      </c>
      <c r="E210" s="14" t="s">
        <v>228</v>
      </c>
      <c r="G210" s="1" t="str">
        <f>_xlfn.XLOOKUP(B210,M_YT_LIVE!A:A,M_YT_LIVE!F:F,"ERROR",0,1)</f>
        <v>弾き語り</v>
      </c>
      <c r="W210" s="13">
        <f t="shared" si="9"/>
        <v>3438.0000000000005</v>
      </c>
      <c r="X210" s="12" t="str">
        <f>_xlfn.XLOOKUP($B210,M_YT_LIVE!$A:$A,M_YT_LIVE!$D:$D)</f>
        <v>https://www.youtube.com/live/OEtLBen9pLM?si=M4WDMSGkkHfWLvDr</v>
      </c>
      <c r="Z210" s="16" t="str">
        <f>HYPERLINK($X210&amp;SUBSTITUTE(マスタ!$C$3,"XXXXX",$W210))</f>
        <v>https://www.youtube.com/live/OEtLBen9pLM?si=M4WDMSGkkHfWLvDr&amp;t=3438s</v>
      </c>
      <c r="AA210" s="12" t="str">
        <f t="shared" si="10"/>
        <v>ずっと真夜中でいいのに。低血ボルト</v>
      </c>
    </row>
    <row r="211" spans="1:27" x14ac:dyDescent="0.4">
      <c r="A211" s="14">
        <f t="shared" si="11"/>
        <v>210</v>
      </c>
      <c r="B211" s="14">
        <v>27</v>
      </c>
      <c r="C211" s="18" t="s">
        <v>571</v>
      </c>
      <c r="D211" s="14" t="s">
        <v>572</v>
      </c>
      <c r="E211" s="14" t="s">
        <v>573</v>
      </c>
      <c r="G211" s="1" t="str">
        <f>_xlfn.XLOOKUP(B211,M_YT_LIVE!A:A,M_YT_LIVE!F:F,"ERROR",0,1)</f>
        <v>弾き語り</v>
      </c>
      <c r="W211" s="13">
        <f t="shared" si="9"/>
        <v>4117</v>
      </c>
      <c r="X211" s="12" t="str">
        <f>_xlfn.XLOOKUP($B211,M_YT_LIVE!$A:$A,M_YT_LIVE!$D:$D)</f>
        <v>https://www.youtube.com/live/OEtLBen9pLM?si=M4WDMSGkkHfWLvDr</v>
      </c>
      <c r="Z211" s="16" t="str">
        <f>HYPERLINK($X211&amp;SUBSTITUTE(マスタ!$C$3,"XXXXX",$W211))</f>
        <v>https://www.youtube.com/live/OEtLBen9pLM?si=M4WDMSGkkHfWLvDr&amp;t=4117s</v>
      </c>
      <c r="AA211" s="12" t="str">
        <f t="shared" si="10"/>
        <v>なきそ feat.歌愛ユキド屑</v>
      </c>
    </row>
    <row r="212" spans="1:27" x14ac:dyDescent="0.4">
      <c r="A212" s="14">
        <f t="shared" si="11"/>
        <v>211</v>
      </c>
      <c r="B212" s="14">
        <v>27</v>
      </c>
      <c r="C212" s="18" t="s">
        <v>574</v>
      </c>
      <c r="D212" s="14" t="s">
        <v>583</v>
      </c>
      <c r="E212" s="14" t="s">
        <v>1776</v>
      </c>
      <c r="G212" s="1" t="str">
        <f>_xlfn.XLOOKUP(B212,M_YT_LIVE!A:A,M_YT_LIVE!F:F,"ERROR",0,1)</f>
        <v>弾き語り</v>
      </c>
      <c r="W212" s="13">
        <f t="shared" si="9"/>
        <v>4372</v>
      </c>
      <c r="X212" s="12" t="str">
        <f>_xlfn.XLOOKUP($B212,M_YT_LIVE!$A:$A,M_YT_LIVE!$D:$D)</f>
        <v>https://www.youtube.com/live/OEtLBen9pLM?si=M4WDMSGkkHfWLvDr</v>
      </c>
      <c r="Z212" s="16" t="str">
        <f>HYPERLINK($X212&amp;SUBSTITUTE(マスタ!$C$3,"XXXXX",$W212))</f>
        <v>https://www.youtube.com/live/OEtLBen9pLM?si=M4WDMSGkkHfWLvDr&amp;t=4372s</v>
      </c>
      <c r="AA212" s="12" t="str">
        <f t="shared" si="10"/>
        <v>25時、ナイトコードで。×KAITO化けの花(1chorus)</v>
      </c>
    </row>
    <row r="213" spans="1:27" x14ac:dyDescent="0.4">
      <c r="A213" s="14">
        <f t="shared" si="11"/>
        <v>212</v>
      </c>
      <c r="B213" s="14">
        <v>27</v>
      </c>
      <c r="C213" s="18" t="s">
        <v>575</v>
      </c>
      <c r="D213" s="14" t="s">
        <v>576</v>
      </c>
      <c r="E213" s="14" t="s">
        <v>577</v>
      </c>
      <c r="G213" s="1" t="str">
        <f>_xlfn.XLOOKUP(B213,M_YT_LIVE!A:A,M_YT_LIVE!F:F,"ERROR",0,1)</f>
        <v>弾き語り</v>
      </c>
      <c r="W213" s="13">
        <f t="shared" si="9"/>
        <v>4610</v>
      </c>
      <c r="X213" s="12" t="str">
        <f>_xlfn.XLOOKUP($B213,M_YT_LIVE!$A:$A,M_YT_LIVE!$D:$D)</f>
        <v>https://www.youtube.com/live/OEtLBen9pLM?si=M4WDMSGkkHfWLvDr</v>
      </c>
      <c r="Z213" s="16" t="str">
        <f>HYPERLINK($X213&amp;SUBSTITUTE(マスタ!$C$3,"XXXXX",$W213))</f>
        <v>https://www.youtube.com/live/OEtLBen9pLM?si=M4WDMSGkkHfWLvDr&amp;t=4610s</v>
      </c>
      <c r="AA213" s="12" t="str">
        <f t="shared" si="10"/>
        <v>阿部真央ストーカーの唄～3丁目、貴方の家～</v>
      </c>
    </row>
    <row r="214" spans="1:27" x14ac:dyDescent="0.4">
      <c r="A214" s="14">
        <f t="shared" si="11"/>
        <v>213</v>
      </c>
      <c r="B214" s="14">
        <v>27</v>
      </c>
      <c r="C214" s="18" t="s">
        <v>578</v>
      </c>
      <c r="D214" s="14" t="s">
        <v>579</v>
      </c>
      <c r="E214" s="14" t="s">
        <v>577</v>
      </c>
      <c r="G214" s="1" t="str">
        <f>_xlfn.XLOOKUP(B214,M_YT_LIVE!A:A,M_YT_LIVE!F:F,"ERROR",0,1)</f>
        <v>弾き語り</v>
      </c>
      <c r="W214" s="13">
        <f t="shared" si="9"/>
        <v>5351</v>
      </c>
      <c r="X214" s="12" t="str">
        <f>_xlfn.XLOOKUP($B214,M_YT_LIVE!$A:$A,M_YT_LIVE!$D:$D)</f>
        <v>https://www.youtube.com/live/OEtLBen9pLM?si=M4WDMSGkkHfWLvDr</v>
      </c>
      <c r="Z214" s="16" t="str">
        <f>HYPERLINK($X214&amp;SUBSTITUTE(マスタ!$C$3,"XXXXX",$W214))</f>
        <v>https://www.youtube.com/live/OEtLBen9pLM?si=M4WDMSGkkHfWLvDr&amp;t=5351s</v>
      </c>
      <c r="AA214" s="12" t="str">
        <f t="shared" si="10"/>
        <v>阿部真央ロンリー</v>
      </c>
    </row>
    <row r="215" spans="1:27" x14ac:dyDescent="0.4">
      <c r="A215" s="14">
        <f t="shared" si="11"/>
        <v>214</v>
      </c>
      <c r="B215" s="14">
        <v>27</v>
      </c>
      <c r="C215" s="18" t="s">
        <v>580</v>
      </c>
      <c r="D215" s="14" t="s">
        <v>581</v>
      </c>
      <c r="E215" s="14" t="s">
        <v>582</v>
      </c>
      <c r="G215" s="1" t="str">
        <f>_xlfn.XLOOKUP(B215,M_YT_LIVE!A:A,M_YT_LIVE!F:F,"ERROR",0,1)</f>
        <v>弾き語り</v>
      </c>
      <c r="W215" s="13">
        <f t="shared" si="9"/>
        <v>6099.9999999999991</v>
      </c>
      <c r="X215" s="12" t="str">
        <f>_xlfn.XLOOKUP($B215,M_YT_LIVE!$A:$A,M_YT_LIVE!$D:$D)</f>
        <v>https://www.youtube.com/live/OEtLBen9pLM?si=M4WDMSGkkHfWLvDr</v>
      </c>
      <c r="Z215" s="16" t="str">
        <f>HYPERLINK($X215&amp;SUBSTITUTE(マスタ!$C$3,"XXXXX",$W215))</f>
        <v>https://www.youtube.com/live/OEtLBen9pLM?si=M4WDMSGkkHfWLvDr&amp;t=6100s</v>
      </c>
      <c r="AA215" s="12" t="str">
        <f t="shared" si="10"/>
        <v>GRe4N BOYZ(GReeeeN)キセキ</v>
      </c>
    </row>
    <row r="216" spans="1:27" x14ac:dyDescent="0.4">
      <c r="A216" s="14">
        <f t="shared" si="11"/>
        <v>215</v>
      </c>
      <c r="B216" s="14">
        <v>29</v>
      </c>
      <c r="C216" s="18" t="s">
        <v>588</v>
      </c>
      <c r="D216" s="14" t="s">
        <v>589</v>
      </c>
      <c r="E216" s="14" t="s">
        <v>1230</v>
      </c>
      <c r="G216" s="1" t="str">
        <f>_xlfn.XLOOKUP(B216,M_YT_LIVE!A:A,M_YT_LIVE!F:F,"ERROR",0,1)</f>
        <v>弾き語り</v>
      </c>
      <c r="W216" s="13">
        <f t="shared" si="9"/>
        <v>329</v>
      </c>
      <c r="X216" s="12" t="str">
        <f>_xlfn.XLOOKUP($B216,M_YT_LIVE!$A:$A,M_YT_LIVE!$D:$D)</f>
        <v>https://www.youtube.com/live/wEZHgaS4eCg?si=_Rpt2MlexrsFC7dZ</v>
      </c>
      <c r="Z216" s="16" t="str">
        <f>HYPERLINK($X216&amp;SUBSTITUTE(マスタ!$C$3,"XXXXX",$W216))</f>
        <v>https://www.youtube.com/live/wEZHgaS4eCg?si=_Rpt2MlexrsFC7dZ&amp;t=329s</v>
      </c>
      <c r="AA216" s="12" t="str">
        <f t="shared" si="10"/>
        <v>さユりミカヅキ</v>
      </c>
    </row>
    <row r="217" spans="1:27" x14ac:dyDescent="0.4">
      <c r="A217" s="14">
        <f t="shared" si="11"/>
        <v>216</v>
      </c>
      <c r="B217" s="14">
        <v>29</v>
      </c>
      <c r="C217" s="18" t="s">
        <v>590</v>
      </c>
      <c r="D217" s="14" t="s">
        <v>591</v>
      </c>
      <c r="E217" s="14" t="s">
        <v>338</v>
      </c>
      <c r="G217" s="1" t="str">
        <f>_xlfn.XLOOKUP(B217,M_YT_LIVE!A:A,M_YT_LIVE!F:F,"ERROR",0,1)</f>
        <v>弾き語り</v>
      </c>
      <c r="W217" s="13">
        <f t="shared" si="9"/>
        <v>807</v>
      </c>
      <c r="X217" s="12" t="str">
        <f>_xlfn.XLOOKUP($B217,M_YT_LIVE!$A:$A,M_YT_LIVE!$D:$D)</f>
        <v>https://www.youtube.com/live/wEZHgaS4eCg?si=_Rpt2MlexrsFC7dZ</v>
      </c>
      <c r="Z217" s="16" t="str">
        <f>HYPERLINK($X217&amp;SUBSTITUTE(マスタ!$C$3,"XXXXX",$W217))</f>
        <v>https://www.youtube.com/live/wEZHgaS4eCg?si=_Rpt2MlexrsFC7dZ&amp;t=807s</v>
      </c>
      <c r="AA217" s="12" t="str">
        <f t="shared" si="10"/>
        <v>さユりフラレガイガール</v>
      </c>
    </row>
    <row r="218" spans="1:27" x14ac:dyDescent="0.4">
      <c r="A218" s="14">
        <f t="shared" si="11"/>
        <v>217</v>
      </c>
      <c r="B218" s="14">
        <v>29</v>
      </c>
      <c r="C218" s="18" t="s">
        <v>592</v>
      </c>
      <c r="D218" s="14" t="s">
        <v>593</v>
      </c>
      <c r="E218" s="14" t="s">
        <v>65</v>
      </c>
      <c r="G218" s="1" t="str">
        <f>_xlfn.XLOOKUP(B218,M_YT_LIVE!A:A,M_YT_LIVE!F:F,"ERROR",0,1)</f>
        <v>弾き語り</v>
      </c>
      <c r="W218" s="13">
        <f t="shared" si="9"/>
        <v>1405</v>
      </c>
      <c r="X218" s="12" t="str">
        <f>_xlfn.XLOOKUP($B218,M_YT_LIVE!$A:$A,M_YT_LIVE!$D:$D)</f>
        <v>https://www.youtube.com/live/wEZHgaS4eCg?si=_Rpt2MlexrsFC7dZ</v>
      </c>
      <c r="Z218" s="16" t="str">
        <f>HYPERLINK($X218&amp;SUBSTITUTE(マスタ!$C$3,"XXXXX",$W218))</f>
        <v>https://www.youtube.com/live/wEZHgaS4eCg?si=_Rpt2MlexrsFC7dZ&amp;t=1405s</v>
      </c>
      <c r="AA218" s="12" t="str">
        <f t="shared" si="10"/>
        <v>R Sound Design feat.初音ミク帝国少女</v>
      </c>
    </row>
    <row r="219" spans="1:27" x14ac:dyDescent="0.4">
      <c r="A219" s="14">
        <f t="shared" si="11"/>
        <v>218</v>
      </c>
      <c r="B219" s="14">
        <v>29</v>
      </c>
      <c r="C219" s="18" t="s">
        <v>594</v>
      </c>
      <c r="D219" s="14" t="s">
        <v>595</v>
      </c>
      <c r="E219" s="14" t="s">
        <v>596</v>
      </c>
      <c r="G219" s="1" t="str">
        <f>_xlfn.XLOOKUP(B219,M_YT_LIVE!A:A,M_YT_LIVE!F:F,"ERROR",0,1)</f>
        <v>弾き語り</v>
      </c>
      <c r="W219" s="13">
        <f t="shared" si="9"/>
        <v>1955</v>
      </c>
      <c r="X219" s="12" t="str">
        <f>_xlfn.XLOOKUP($B219,M_YT_LIVE!$A:$A,M_YT_LIVE!$D:$D)</f>
        <v>https://www.youtube.com/live/wEZHgaS4eCg?si=_Rpt2MlexrsFC7dZ</v>
      </c>
      <c r="Z219" s="16" t="str">
        <f>HYPERLINK($X219&amp;SUBSTITUTE(マスタ!$C$3,"XXXXX",$W219))</f>
        <v>https://www.youtube.com/live/wEZHgaS4eCg?si=_Rpt2MlexrsFC7dZ&amp;t=1955s</v>
      </c>
      <c r="AA219" s="12" t="str">
        <f t="shared" si="10"/>
        <v>有機酸(神山羊) feat.初音ミクカトラリー</v>
      </c>
    </row>
    <row r="220" spans="1:27" x14ac:dyDescent="0.4">
      <c r="A220" s="14">
        <f t="shared" si="11"/>
        <v>219</v>
      </c>
      <c r="B220" s="14">
        <v>29</v>
      </c>
      <c r="C220" s="18" t="s">
        <v>597</v>
      </c>
      <c r="D220" s="14" t="s">
        <v>598</v>
      </c>
      <c r="E220" s="14" t="s">
        <v>599</v>
      </c>
      <c r="G220" s="1" t="str">
        <f>_xlfn.XLOOKUP(B220,M_YT_LIVE!A:A,M_YT_LIVE!F:F,"ERROR",0,1)</f>
        <v>弾き語り</v>
      </c>
      <c r="W220" s="13">
        <f t="shared" si="9"/>
        <v>2414</v>
      </c>
      <c r="X220" s="12" t="str">
        <f>_xlfn.XLOOKUP($B220,M_YT_LIVE!$A:$A,M_YT_LIVE!$D:$D)</f>
        <v>https://www.youtube.com/live/wEZHgaS4eCg?si=_Rpt2MlexrsFC7dZ</v>
      </c>
      <c r="Z220" s="16" t="str">
        <f>HYPERLINK($X220&amp;SUBSTITUTE(マスタ!$C$3,"XXXXX",$W220))</f>
        <v>https://www.youtube.com/live/wEZHgaS4eCg?si=_Rpt2MlexrsFC7dZ&amp;t=2414s</v>
      </c>
      <c r="AA220" s="12" t="str">
        <f t="shared" si="10"/>
        <v>Guiano feat.可不鳥</v>
      </c>
    </row>
    <row r="221" spans="1:27" x14ac:dyDescent="0.4">
      <c r="A221" s="14">
        <f t="shared" si="11"/>
        <v>220</v>
      </c>
      <c r="B221" s="14">
        <v>29</v>
      </c>
      <c r="C221" s="18" t="s">
        <v>600</v>
      </c>
      <c r="D221" s="14" t="s">
        <v>131</v>
      </c>
      <c r="E221" s="14" t="s">
        <v>132</v>
      </c>
      <c r="G221" s="1" t="str">
        <f>_xlfn.XLOOKUP(B221,M_YT_LIVE!A:A,M_YT_LIVE!F:F,"ERROR",0,1)</f>
        <v>弾き語り</v>
      </c>
      <c r="W221" s="13">
        <f t="shared" si="9"/>
        <v>2764</v>
      </c>
      <c r="X221" s="12" t="str">
        <f>_xlfn.XLOOKUP($B221,M_YT_LIVE!$A:$A,M_YT_LIVE!$D:$D)</f>
        <v>https://www.youtube.com/live/wEZHgaS4eCg?si=_Rpt2MlexrsFC7dZ</v>
      </c>
      <c r="Z221" s="16" t="str">
        <f>HYPERLINK($X221&amp;SUBSTITUTE(マスタ!$C$3,"XXXXX",$W221))</f>
        <v>https://www.youtube.com/live/wEZHgaS4eCg?si=_Rpt2MlexrsFC7dZ&amp;t=2764s</v>
      </c>
      <c r="AA221" s="12" t="str">
        <f t="shared" si="10"/>
        <v>phatmans after schoolツキヨミ</v>
      </c>
    </row>
    <row r="222" spans="1:27" x14ac:dyDescent="0.4">
      <c r="A222" s="14">
        <f t="shared" si="11"/>
        <v>221</v>
      </c>
      <c r="B222" s="14">
        <v>29</v>
      </c>
      <c r="C222" s="18" t="s">
        <v>601</v>
      </c>
      <c r="D222" s="14" t="s">
        <v>602</v>
      </c>
      <c r="E222" s="14" t="s">
        <v>603</v>
      </c>
      <c r="G222" s="1" t="str">
        <f>_xlfn.XLOOKUP(B222,M_YT_LIVE!A:A,M_YT_LIVE!F:F,"ERROR",0,1)</f>
        <v>弾き語り</v>
      </c>
      <c r="W222" s="13">
        <f t="shared" si="9"/>
        <v>3276</v>
      </c>
      <c r="X222" s="12" t="str">
        <f>_xlfn.XLOOKUP($B222,M_YT_LIVE!$A:$A,M_YT_LIVE!$D:$D)</f>
        <v>https://www.youtube.com/live/wEZHgaS4eCg?si=_Rpt2MlexrsFC7dZ</v>
      </c>
      <c r="Z222" s="16" t="str">
        <f>HYPERLINK($X222&amp;SUBSTITUTE(マスタ!$C$3,"XXXXX",$W222))</f>
        <v>https://www.youtube.com/live/wEZHgaS4eCg?si=_Rpt2MlexrsFC7dZ&amp;t=3276s</v>
      </c>
      <c r="AA222" s="12" t="str">
        <f t="shared" si="10"/>
        <v>茅原実里境界の彼方</v>
      </c>
    </row>
    <row r="223" spans="1:27" x14ac:dyDescent="0.4">
      <c r="A223" s="14">
        <f t="shared" si="11"/>
        <v>222</v>
      </c>
      <c r="B223" s="14">
        <v>29</v>
      </c>
      <c r="C223" s="18" t="s">
        <v>604</v>
      </c>
      <c r="D223" s="14" t="s">
        <v>605</v>
      </c>
      <c r="E223" s="14" t="s">
        <v>606</v>
      </c>
      <c r="G223" s="1" t="str">
        <f>_xlfn.XLOOKUP(B223,M_YT_LIVE!A:A,M_YT_LIVE!F:F,"ERROR",0,1)</f>
        <v>弾き語り</v>
      </c>
      <c r="W223" s="13">
        <f t="shared" si="9"/>
        <v>3828</v>
      </c>
      <c r="X223" s="12" t="str">
        <f>_xlfn.XLOOKUP($B223,M_YT_LIVE!$A:$A,M_YT_LIVE!$D:$D)</f>
        <v>https://www.youtube.com/live/wEZHgaS4eCg?si=_Rpt2MlexrsFC7dZ</v>
      </c>
      <c r="Z223" s="16" t="str">
        <f>HYPERLINK($X223&amp;SUBSTITUTE(マスタ!$C$3,"XXXXX",$W223))</f>
        <v>https://www.youtube.com/live/wEZHgaS4eCg?si=_Rpt2MlexrsFC7dZ&amp;t=3828s</v>
      </c>
      <c r="AA223" s="12" t="str">
        <f t="shared" si="10"/>
        <v>中川翔子空色デイズ</v>
      </c>
    </row>
    <row r="224" spans="1:27" x14ac:dyDescent="0.4">
      <c r="A224" s="14">
        <f t="shared" si="11"/>
        <v>223</v>
      </c>
      <c r="B224" s="14">
        <v>29</v>
      </c>
      <c r="C224" s="18" t="s">
        <v>607</v>
      </c>
      <c r="D224" s="14" t="s">
        <v>608</v>
      </c>
      <c r="E224" s="14" t="s">
        <v>609</v>
      </c>
      <c r="G224" s="1" t="str">
        <f>_xlfn.XLOOKUP(B224,M_YT_LIVE!A:A,M_YT_LIVE!F:F,"ERROR",0,1)</f>
        <v>弾き語り</v>
      </c>
      <c r="W224" s="13">
        <f t="shared" si="9"/>
        <v>4450</v>
      </c>
      <c r="X224" s="12" t="str">
        <f>_xlfn.XLOOKUP($B224,M_YT_LIVE!$A:$A,M_YT_LIVE!$D:$D)</f>
        <v>https://www.youtube.com/live/wEZHgaS4eCg?si=_Rpt2MlexrsFC7dZ</v>
      </c>
      <c r="Z224" s="16" t="str">
        <f>HYPERLINK($X224&amp;SUBSTITUTE(マスタ!$C$3,"XXXXX",$W224))</f>
        <v>https://www.youtube.com/live/wEZHgaS4eCg?si=_Rpt2MlexrsFC7dZ&amp;t=4450s</v>
      </c>
      <c r="AA224" s="12" t="str">
        <f t="shared" si="10"/>
        <v>Orangestar feat.IA＆初音ミクsurges</v>
      </c>
    </row>
    <row r="225" spans="1:27" x14ac:dyDescent="0.4">
      <c r="A225" s="14">
        <f t="shared" si="11"/>
        <v>224</v>
      </c>
      <c r="B225" s="14">
        <v>29</v>
      </c>
      <c r="C225" s="18" t="s">
        <v>610</v>
      </c>
      <c r="D225" s="14" t="s">
        <v>611</v>
      </c>
      <c r="E225" s="14" t="s">
        <v>390</v>
      </c>
      <c r="G225" s="1" t="str">
        <f>_xlfn.XLOOKUP(B225,M_YT_LIVE!A:A,M_YT_LIVE!F:F,"ERROR",0,1)</f>
        <v>弾き語り</v>
      </c>
      <c r="W225" s="13">
        <f t="shared" si="9"/>
        <v>4806</v>
      </c>
      <c r="X225" s="12" t="str">
        <f>_xlfn.XLOOKUP($B225,M_YT_LIVE!$A:$A,M_YT_LIVE!$D:$D)</f>
        <v>https://www.youtube.com/live/wEZHgaS4eCg?si=_Rpt2MlexrsFC7dZ</v>
      </c>
      <c r="Z225" s="16" t="str">
        <f>HYPERLINK($X225&amp;SUBSTITUTE(マスタ!$C$3,"XXXXX",$W225))</f>
        <v>https://www.youtube.com/live/wEZHgaS4eCg?si=_Rpt2MlexrsFC7dZ&amp;t=4806s</v>
      </c>
      <c r="AA225" s="12" t="str">
        <f t="shared" si="10"/>
        <v>LiSA紅蓮華</v>
      </c>
    </row>
    <row r="226" spans="1:27" x14ac:dyDescent="0.4">
      <c r="A226" s="14">
        <f t="shared" si="11"/>
        <v>225</v>
      </c>
      <c r="B226" s="14">
        <v>29</v>
      </c>
      <c r="C226" s="18" t="s">
        <v>612</v>
      </c>
      <c r="D226" s="14" t="s">
        <v>613</v>
      </c>
      <c r="E226" s="14" t="s">
        <v>614</v>
      </c>
      <c r="G226" s="1" t="str">
        <f>_xlfn.XLOOKUP(B226,M_YT_LIVE!A:A,M_YT_LIVE!F:F,"ERROR",0,1)</f>
        <v>弾き語り</v>
      </c>
      <c r="W226" s="13">
        <f t="shared" si="9"/>
        <v>5405</v>
      </c>
      <c r="X226" s="12" t="str">
        <f>_xlfn.XLOOKUP($B226,M_YT_LIVE!$A:$A,M_YT_LIVE!$D:$D)</f>
        <v>https://www.youtube.com/live/wEZHgaS4eCg?si=_Rpt2MlexrsFC7dZ</v>
      </c>
      <c r="Z226" s="16" t="str">
        <f>HYPERLINK($X226&amp;SUBSTITUTE(マスタ!$C$3,"XXXXX",$W226))</f>
        <v>https://www.youtube.com/live/wEZHgaS4eCg?si=_Rpt2MlexrsFC7dZ&amp;t=5405s</v>
      </c>
      <c r="AA226" s="12" t="str">
        <f t="shared" si="10"/>
        <v>高橋洋子残酷な天使のテーゼ</v>
      </c>
    </row>
    <row r="227" spans="1:27" x14ac:dyDescent="0.4">
      <c r="A227" s="14">
        <f t="shared" si="11"/>
        <v>226</v>
      </c>
      <c r="B227" s="14">
        <v>29</v>
      </c>
      <c r="C227" s="18" t="s">
        <v>615</v>
      </c>
      <c r="D227" s="14" t="s">
        <v>616</v>
      </c>
      <c r="E227" s="14" t="s">
        <v>347</v>
      </c>
      <c r="G227" s="1" t="str">
        <f>_xlfn.XLOOKUP(B227,M_YT_LIVE!A:A,M_YT_LIVE!F:F,"ERROR",0,1)</f>
        <v>弾き語り</v>
      </c>
      <c r="W227" s="13">
        <f t="shared" si="9"/>
        <v>5795</v>
      </c>
      <c r="X227" s="12" t="str">
        <f>_xlfn.XLOOKUP($B227,M_YT_LIVE!$A:$A,M_YT_LIVE!$D:$D)</f>
        <v>https://www.youtube.com/live/wEZHgaS4eCg?si=_Rpt2MlexrsFC7dZ</v>
      </c>
      <c r="Z227" s="16" t="str">
        <f>HYPERLINK($X227&amp;SUBSTITUTE(マスタ!$C$3,"XXXXX",$W227))</f>
        <v>https://www.youtube.com/live/wEZHgaS4eCg?si=_Rpt2MlexrsFC7dZ&amp;t=5795s</v>
      </c>
      <c r="AA227" s="12" t="str">
        <f t="shared" si="10"/>
        <v>幽音しの(即興)多分チル2の歌</v>
      </c>
    </row>
    <row r="228" spans="1:27" x14ac:dyDescent="0.4">
      <c r="A228" s="14">
        <f t="shared" si="11"/>
        <v>227</v>
      </c>
      <c r="B228" s="14">
        <v>29</v>
      </c>
      <c r="C228" s="18" t="s">
        <v>617</v>
      </c>
      <c r="D228" s="14" t="s">
        <v>618</v>
      </c>
      <c r="E228" s="14" t="s">
        <v>619</v>
      </c>
      <c r="G228" s="1" t="str">
        <f>_xlfn.XLOOKUP(B228,M_YT_LIVE!A:A,M_YT_LIVE!F:F,"ERROR",0,1)</f>
        <v>弾き語り</v>
      </c>
      <c r="W228" s="13">
        <f t="shared" si="9"/>
        <v>6230</v>
      </c>
      <c r="X228" s="12" t="str">
        <f>_xlfn.XLOOKUP($B228,M_YT_LIVE!$A:$A,M_YT_LIVE!$D:$D)</f>
        <v>https://www.youtube.com/live/wEZHgaS4eCg?si=_Rpt2MlexrsFC7dZ</v>
      </c>
      <c r="Z228" s="16" t="str">
        <f>HYPERLINK($X228&amp;SUBSTITUTE(マスタ!$C$3,"XXXXX",$W228))</f>
        <v>https://www.youtube.com/live/wEZHgaS4eCg?si=_Rpt2MlexrsFC7dZ&amp;t=6230s</v>
      </c>
      <c r="AA228" s="12" t="str">
        <f t="shared" si="10"/>
        <v>みきとP feat.鏡音リンロキ</v>
      </c>
    </row>
    <row r="229" spans="1:27" x14ac:dyDescent="0.4">
      <c r="A229" s="14">
        <f t="shared" si="11"/>
        <v>228</v>
      </c>
      <c r="B229" s="14">
        <v>29</v>
      </c>
      <c r="C229" s="18" t="s">
        <v>620</v>
      </c>
      <c r="D229" s="14" t="s">
        <v>326</v>
      </c>
      <c r="E229" s="14" t="s">
        <v>327</v>
      </c>
      <c r="G229" s="1" t="str">
        <f>_xlfn.XLOOKUP(B229,M_YT_LIVE!A:A,M_YT_LIVE!F:F,"ERROR",0,1)</f>
        <v>弾き語り</v>
      </c>
      <c r="W229" s="13">
        <f t="shared" si="9"/>
        <v>6891.0000000000009</v>
      </c>
      <c r="X229" s="12" t="str">
        <f>_xlfn.XLOOKUP($B229,M_YT_LIVE!$A:$A,M_YT_LIVE!$D:$D)</f>
        <v>https://www.youtube.com/live/wEZHgaS4eCg?si=_Rpt2MlexrsFC7dZ</v>
      </c>
      <c r="Z229" s="16" t="str">
        <f>HYPERLINK($X229&amp;SUBSTITUTE(マスタ!$C$3,"XXXXX",$W229))</f>
        <v>https://www.youtube.com/live/wEZHgaS4eCg?si=_Rpt2MlexrsFC7dZ&amp;t=6891s</v>
      </c>
      <c r="AA229" s="12" t="str">
        <f t="shared" si="10"/>
        <v>レミオロメン粉雪</v>
      </c>
    </row>
    <row r="230" spans="1:27" x14ac:dyDescent="0.4">
      <c r="A230" s="14">
        <f t="shared" si="11"/>
        <v>229</v>
      </c>
      <c r="B230" s="14">
        <v>29</v>
      </c>
      <c r="C230" s="18" t="s">
        <v>621</v>
      </c>
      <c r="D230" s="14" t="s">
        <v>622</v>
      </c>
      <c r="E230" s="14" t="s">
        <v>1224</v>
      </c>
      <c r="G230" s="1" t="str">
        <f>_xlfn.XLOOKUP(B230,M_YT_LIVE!A:A,M_YT_LIVE!F:F,"ERROR",0,1)</f>
        <v>弾き語り</v>
      </c>
      <c r="W230" s="13">
        <f t="shared" si="9"/>
        <v>7621</v>
      </c>
      <c r="X230" s="12" t="str">
        <f>_xlfn.XLOOKUP($B230,M_YT_LIVE!$A:$A,M_YT_LIVE!$D:$D)</f>
        <v>https://www.youtube.com/live/wEZHgaS4eCg?si=_Rpt2MlexrsFC7dZ</v>
      </c>
      <c r="Z230" s="16" t="str">
        <f>HYPERLINK($X230&amp;SUBSTITUTE(マスタ!$C$3,"XXXXX",$W230))</f>
        <v>https://www.youtube.com/live/wEZHgaS4eCg?si=_Rpt2MlexrsFC7dZ&amp;t=7621s</v>
      </c>
      <c r="AA230" s="12" t="str">
        <f t="shared" si="10"/>
        <v>シェリル・ノーム starring May'nダイアモンドクレバス</v>
      </c>
    </row>
    <row r="231" spans="1:27" x14ac:dyDescent="0.4">
      <c r="A231" s="14">
        <f t="shared" si="11"/>
        <v>230</v>
      </c>
      <c r="B231" s="14">
        <v>29</v>
      </c>
      <c r="C231" s="18" t="s">
        <v>623</v>
      </c>
      <c r="D231" s="14" t="s">
        <v>624</v>
      </c>
      <c r="E231" s="14" t="s">
        <v>625</v>
      </c>
      <c r="G231" s="1" t="str">
        <f>_xlfn.XLOOKUP(B231,M_YT_LIVE!A:A,M_YT_LIVE!F:F,"ERROR",0,1)</f>
        <v>弾き語り</v>
      </c>
      <c r="W231" s="13">
        <f t="shared" si="9"/>
        <v>8349</v>
      </c>
      <c r="X231" s="12" t="str">
        <f>_xlfn.XLOOKUP($B231,M_YT_LIVE!$A:$A,M_YT_LIVE!$D:$D)</f>
        <v>https://www.youtube.com/live/wEZHgaS4eCg?si=_Rpt2MlexrsFC7dZ</v>
      </c>
      <c r="Z231" s="16" t="str">
        <f>HYPERLINK($X231&amp;SUBSTITUTE(マスタ!$C$3,"XXXXX",$W231))</f>
        <v>https://www.youtube.com/live/wEZHgaS4eCg?si=_Rpt2MlexrsFC7dZ&amp;t=8349s</v>
      </c>
      <c r="AA231" s="12" t="str">
        <f t="shared" si="10"/>
        <v>Rayebb and flow</v>
      </c>
    </row>
    <row r="232" spans="1:27" x14ac:dyDescent="0.4">
      <c r="A232" s="14">
        <f t="shared" si="11"/>
        <v>231</v>
      </c>
      <c r="B232" s="14">
        <v>30</v>
      </c>
      <c r="C232" s="18" t="s">
        <v>633</v>
      </c>
      <c r="D232" s="14" t="s">
        <v>332</v>
      </c>
      <c r="E232" s="14" t="s">
        <v>1235</v>
      </c>
      <c r="G232" s="1" t="str">
        <f>_xlfn.XLOOKUP(B232,M_YT_LIVE!A:A,M_YT_LIVE!F:F,"ERROR",0,1)</f>
        <v>音源</v>
      </c>
      <c r="W232" s="13">
        <f t="shared" si="9"/>
        <v>553</v>
      </c>
      <c r="X232" s="12" t="str">
        <f>_xlfn.XLOOKUP($B232,M_YT_LIVE!$A:$A,M_YT_LIVE!$D:$D)</f>
        <v>https://www.youtube.com/live/GvGh24EJfGg?si=QLYBryRLPz4v_Qdl</v>
      </c>
      <c r="Z232" s="16" t="str">
        <f>HYPERLINK($X232&amp;SUBSTITUTE(マスタ!$C$3,"XXXXX",$W232))</f>
        <v>https://www.youtube.com/live/GvGh24EJfGg?si=QLYBryRLPz4v_Qdl&amp;t=553s</v>
      </c>
      <c r="AA232" s="12" t="str">
        <f t="shared" si="10"/>
        <v>涼宮ハルヒ(CV.平野綾)God knows…</v>
      </c>
    </row>
    <row r="233" spans="1:27" x14ac:dyDescent="0.4">
      <c r="A233" s="14">
        <f t="shared" si="11"/>
        <v>232</v>
      </c>
      <c r="B233" s="14">
        <v>30</v>
      </c>
      <c r="C233" s="18" t="s">
        <v>634</v>
      </c>
      <c r="D233" s="14" t="s">
        <v>218</v>
      </c>
      <c r="E233" s="14" t="s">
        <v>208</v>
      </c>
      <c r="G233" s="1" t="str">
        <f>_xlfn.XLOOKUP(B233,M_YT_LIVE!A:A,M_YT_LIVE!F:F,"ERROR",0,1)</f>
        <v>音源</v>
      </c>
      <c r="W233" s="13">
        <f t="shared" si="9"/>
        <v>968</v>
      </c>
      <c r="X233" s="12" t="str">
        <f>_xlfn.XLOOKUP($B233,M_YT_LIVE!$A:$A,M_YT_LIVE!$D:$D)</f>
        <v>https://www.youtube.com/live/GvGh24EJfGg?si=QLYBryRLPz4v_Qdl</v>
      </c>
      <c r="Z233" s="16" t="str">
        <f>HYPERLINK($X233&amp;SUBSTITUTE(マスタ!$C$3,"XXXXX",$W233))</f>
        <v>https://www.youtube.com/live/GvGh24EJfGg?si=QLYBryRLPz4v_Qdl&amp;t=968s</v>
      </c>
      <c r="AA233" s="12" t="str">
        <f t="shared" si="10"/>
        <v>supercell君の知らない物語</v>
      </c>
    </row>
    <row r="234" spans="1:27" x14ac:dyDescent="0.4">
      <c r="A234" s="14">
        <f t="shared" si="11"/>
        <v>233</v>
      </c>
      <c r="B234" s="14">
        <v>30</v>
      </c>
      <c r="C234" s="18" t="s">
        <v>635</v>
      </c>
      <c r="D234" s="14" t="s">
        <v>1229</v>
      </c>
      <c r="E234" s="14" t="s">
        <v>135</v>
      </c>
      <c r="G234" s="1" t="str">
        <f>_xlfn.XLOOKUP(B234,M_YT_LIVE!A:A,M_YT_LIVE!F:F,"ERROR",0,1)</f>
        <v>音源</v>
      </c>
      <c r="W234" s="13">
        <f t="shared" si="9"/>
        <v>1440</v>
      </c>
      <c r="X234" s="12" t="str">
        <f>_xlfn.XLOOKUP($B234,M_YT_LIVE!$A:$A,M_YT_LIVE!$D:$D)</f>
        <v>https://www.youtube.com/live/GvGh24EJfGg?si=QLYBryRLPz4v_Qdl</v>
      </c>
      <c r="Z234" s="16" t="str">
        <f>HYPERLINK($X234&amp;SUBSTITUTE(マスタ!$C$3,"XXXXX",$W234))</f>
        <v>https://www.youtube.com/live/GvGh24EJfGg?si=QLYBryRLPz4v_Qdl&amp;t=1440s</v>
      </c>
      <c r="AA234" s="12" t="str">
        <f t="shared" si="10"/>
        <v>EGOISTFallen</v>
      </c>
    </row>
    <row r="235" spans="1:27" x14ac:dyDescent="0.4">
      <c r="A235" s="14">
        <f t="shared" si="11"/>
        <v>234</v>
      </c>
      <c r="B235" s="14">
        <v>30</v>
      </c>
      <c r="C235" s="18" t="s">
        <v>636</v>
      </c>
      <c r="D235" s="14" t="s">
        <v>637</v>
      </c>
      <c r="E235" s="14" t="s">
        <v>135</v>
      </c>
      <c r="G235" s="1" t="str">
        <f>_xlfn.XLOOKUP(B235,M_YT_LIVE!A:A,M_YT_LIVE!F:F,"ERROR",0,1)</f>
        <v>音源</v>
      </c>
      <c r="W235" s="13">
        <f t="shared" si="9"/>
        <v>1807.9999999999998</v>
      </c>
      <c r="X235" s="12" t="str">
        <f>_xlfn.XLOOKUP($B235,M_YT_LIVE!$A:$A,M_YT_LIVE!$D:$D)</f>
        <v>https://www.youtube.com/live/GvGh24EJfGg?si=QLYBryRLPz4v_Qdl</v>
      </c>
      <c r="Z235" s="16" t="str">
        <f>HYPERLINK($X235&amp;SUBSTITUTE(マスタ!$C$3,"XXXXX",$W235))</f>
        <v>https://www.youtube.com/live/GvGh24EJfGg?si=QLYBryRLPz4v_Qdl&amp;t=1808s</v>
      </c>
      <c r="AA235" s="12" t="str">
        <f t="shared" si="10"/>
        <v>EGOISTAll Alone With You</v>
      </c>
    </row>
    <row r="236" spans="1:27" x14ac:dyDescent="0.4">
      <c r="A236" s="14">
        <f t="shared" si="11"/>
        <v>235</v>
      </c>
      <c r="B236" s="14">
        <v>30</v>
      </c>
      <c r="C236" s="18" t="s">
        <v>638</v>
      </c>
      <c r="D236" s="14" t="s">
        <v>639</v>
      </c>
      <c r="E236" s="14" t="s">
        <v>135</v>
      </c>
      <c r="G236" s="1" t="str">
        <f>_xlfn.XLOOKUP(B236,M_YT_LIVE!A:A,M_YT_LIVE!F:F,"ERROR",0,1)</f>
        <v>音源</v>
      </c>
      <c r="W236" s="13">
        <f t="shared" si="9"/>
        <v>2238</v>
      </c>
      <c r="X236" s="12" t="str">
        <f>_xlfn.XLOOKUP($B236,M_YT_LIVE!$A:$A,M_YT_LIVE!$D:$D)</f>
        <v>https://www.youtube.com/live/GvGh24EJfGg?si=QLYBryRLPz4v_Qdl</v>
      </c>
      <c r="Z236" s="16" t="str">
        <f>HYPERLINK($X236&amp;SUBSTITUTE(マスタ!$C$3,"XXXXX",$W236))</f>
        <v>https://www.youtube.com/live/GvGh24EJfGg?si=QLYBryRLPz4v_Qdl&amp;t=2238s</v>
      </c>
      <c r="AA236" s="12" t="str">
        <f t="shared" si="10"/>
        <v>EGOISTリローデッド</v>
      </c>
    </row>
    <row r="237" spans="1:27" x14ac:dyDescent="0.4">
      <c r="A237" s="14">
        <f t="shared" si="11"/>
        <v>236</v>
      </c>
      <c r="B237" s="14">
        <v>30</v>
      </c>
      <c r="C237" s="18" t="s">
        <v>640</v>
      </c>
      <c r="D237" s="14" t="s">
        <v>370</v>
      </c>
      <c r="E237" s="14" t="s">
        <v>208</v>
      </c>
      <c r="G237" s="1" t="str">
        <f>_xlfn.XLOOKUP(B237,M_YT_LIVE!A:A,M_YT_LIVE!F:F,"ERROR",0,1)</f>
        <v>音源</v>
      </c>
      <c r="W237" s="13">
        <f t="shared" si="9"/>
        <v>2657</v>
      </c>
      <c r="X237" s="12" t="str">
        <f>_xlfn.XLOOKUP($B237,M_YT_LIVE!$A:$A,M_YT_LIVE!$D:$D)</f>
        <v>https://www.youtube.com/live/GvGh24EJfGg?si=QLYBryRLPz4v_Qdl</v>
      </c>
      <c r="Z237" s="16" t="str">
        <f>HYPERLINK($X237&amp;SUBSTITUTE(マスタ!$C$3,"XXXXX",$W237))</f>
        <v>https://www.youtube.com/live/GvGh24EJfGg?si=QLYBryRLPz4v_Qdl&amp;t=2657s</v>
      </c>
      <c r="AA237" s="12" t="str">
        <f t="shared" si="10"/>
        <v>supercellMy Dearest</v>
      </c>
    </row>
    <row r="238" spans="1:27" x14ac:dyDescent="0.4">
      <c r="A238" s="14">
        <f t="shared" si="11"/>
        <v>237</v>
      </c>
      <c r="B238" s="14">
        <v>30</v>
      </c>
      <c r="C238" s="18" t="s">
        <v>641</v>
      </c>
      <c r="D238" s="14" t="s">
        <v>307</v>
      </c>
      <c r="E238" s="14" t="s">
        <v>208</v>
      </c>
      <c r="G238" s="1" t="str">
        <f>_xlfn.XLOOKUP(B238,M_YT_LIVE!A:A,M_YT_LIVE!F:F,"ERROR",0,1)</f>
        <v>音源</v>
      </c>
      <c r="W238" s="13">
        <f t="shared" si="9"/>
        <v>3159</v>
      </c>
      <c r="X238" s="12" t="str">
        <f>_xlfn.XLOOKUP($B238,M_YT_LIVE!$A:$A,M_YT_LIVE!$D:$D)</f>
        <v>https://www.youtube.com/live/GvGh24EJfGg?si=QLYBryRLPz4v_Qdl</v>
      </c>
      <c r="Z238" s="16" t="str">
        <f>HYPERLINK($X238&amp;SUBSTITUTE(マスタ!$C$3,"XXXXX",$W238))</f>
        <v>https://www.youtube.com/live/GvGh24EJfGg?si=QLYBryRLPz4v_Qdl&amp;t=3159s</v>
      </c>
      <c r="AA238" s="12" t="str">
        <f t="shared" si="10"/>
        <v>supercellうたかた花火</v>
      </c>
    </row>
    <row r="239" spans="1:27" x14ac:dyDescent="0.4">
      <c r="A239" s="14">
        <f t="shared" si="11"/>
        <v>238</v>
      </c>
      <c r="B239" s="14">
        <v>30</v>
      </c>
      <c r="C239" s="18" t="s">
        <v>642</v>
      </c>
      <c r="D239" s="14" t="s">
        <v>643</v>
      </c>
      <c r="E239" s="14" t="s">
        <v>168</v>
      </c>
      <c r="G239" s="1" t="str">
        <f>_xlfn.XLOOKUP(B239,M_YT_LIVE!A:A,M_YT_LIVE!F:F,"ERROR",0,1)</f>
        <v>音源</v>
      </c>
      <c r="W239" s="13">
        <f t="shared" si="9"/>
        <v>3680</v>
      </c>
      <c r="X239" s="12" t="str">
        <f>_xlfn.XLOOKUP($B239,M_YT_LIVE!$A:$A,M_YT_LIVE!$D:$D)</f>
        <v>https://www.youtube.com/live/GvGh24EJfGg?si=QLYBryRLPz4v_Qdl</v>
      </c>
      <c r="Z239" s="16" t="str">
        <f>HYPERLINK($X239&amp;SUBSTITUTE(マスタ!$C$3,"XXXXX",$W239))</f>
        <v>https://www.youtube.com/live/GvGh24EJfGg?si=QLYBryRLPz4v_Qdl&amp;t=3680s</v>
      </c>
      <c r="AA239" s="12" t="str">
        <f t="shared" si="10"/>
        <v>AimerRef:rain</v>
      </c>
    </row>
    <row r="240" spans="1:27" x14ac:dyDescent="0.4">
      <c r="A240" s="14">
        <f t="shared" si="11"/>
        <v>239</v>
      </c>
      <c r="B240" s="14">
        <v>30</v>
      </c>
      <c r="C240" s="18" t="s">
        <v>644</v>
      </c>
      <c r="D240" s="14" t="s">
        <v>645</v>
      </c>
      <c r="E240" s="14" t="s">
        <v>168</v>
      </c>
      <c r="G240" s="1" t="str">
        <f>_xlfn.XLOOKUP(B240,M_YT_LIVE!A:A,M_YT_LIVE!F:F,"ERROR",0,1)</f>
        <v>音源</v>
      </c>
      <c r="W240" s="13">
        <f t="shared" si="9"/>
        <v>4053</v>
      </c>
      <c r="X240" s="12" t="str">
        <f>_xlfn.XLOOKUP($B240,M_YT_LIVE!$A:$A,M_YT_LIVE!$D:$D)</f>
        <v>https://www.youtube.com/live/GvGh24EJfGg?si=QLYBryRLPz4v_Qdl</v>
      </c>
      <c r="Z240" s="16" t="str">
        <f>HYPERLINK($X240&amp;SUBSTITUTE(マスタ!$C$3,"XXXXX",$W240))</f>
        <v>https://www.youtube.com/live/GvGh24EJfGg?si=QLYBryRLPz4v_Qdl&amp;t=4053s</v>
      </c>
      <c r="AA240" s="12" t="str">
        <f t="shared" si="10"/>
        <v>AimerI beg you</v>
      </c>
    </row>
    <row r="241" spans="1:27" x14ac:dyDescent="0.4">
      <c r="A241" s="14">
        <f t="shared" si="11"/>
        <v>240</v>
      </c>
      <c r="B241" s="14">
        <v>30</v>
      </c>
      <c r="C241" s="18" t="s">
        <v>646</v>
      </c>
      <c r="D241" s="14" t="s">
        <v>647</v>
      </c>
      <c r="E241" s="14" t="s">
        <v>390</v>
      </c>
      <c r="G241" s="1" t="str">
        <f>_xlfn.XLOOKUP(B241,M_YT_LIVE!A:A,M_YT_LIVE!F:F,"ERROR",0,1)</f>
        <v>音源</v>
      </c>
      <c r="W241" s="13">
        <f t="shared" si="9"/>
        <v>4472</v>
      </c>
      <c r="X241" s="12" t="str">
        <f>_xlfn.XLOOKUP($B241,M_YT_LIVE!$A:$A,M_YT_LIVE!$D:$D)</f>
        <v>https://www.youtube.com/live/GvGh24EJfGg?si=QLYBryRLPz4v_Qdl</v>
      </c>
      <c r="Z241" s="16" t="str">
        <f>HYPERLINK($X241&amp;SUBSTITUTE(マスタ!$C$3,"XXXXX",$W241))</f>
        <v>https://www.youtube.com/live/GvGh24EJfGg?si=QLYBryRLPz4v_Qdl&amp;t=4472s</v>
      </c>
      <c r="AA241" s="12" t="str">
        <f t="shared" si="10"/>
        <v>LiSA炎</v>
      </c>
    </row>
    <row r="242" spans="1:27" x14ac:dyDescent="0.4">
      <c r="A242" s="14">
        <f t="shared" si="11"/>
        <v>241</v>
      </c>
      <c r="B242" s="14">
        <v>30</v>
      </c>
      <c r="C242" s="18" t="s">
        <v>648</v>
      </c>
      <c r="D242" s="14" t="s">
        <v>649</v>
      </c>
      <c r="E242" s="14" t="s">
        <v>650</v>
      </c>
      <c r="G242" s="1" t="str">
        <f>_xlfn.XLOOKUP(B242,M_YT_LIVE!A:A,M_YT_LIVE!F:F,"ERROR",0,1)</f>
        <v>音源</v>
      </c>
      <c r="W242" s="13">
        <f t="shared" si="9"/>
        <v>4895</v>
      </c>
      <c r="X242" s="12" t="str">
        <f>_xlfn.XLOOKUP($B242,M_YT_LIVE!$A:$A,M_YT_LIVE!$D:$D)</f>
        <v>https://www.youtube.com/live/GvGh24EJfGg?si=QLYBryRLPz4v_Qdl</v>
      </c>
      <c r="Z242" s="16" t="str">
        <f>HYPERLINK($X242&amp;SUBSTITUTE(マスタ!$C$3,"XXXXX",$W242))</f>
        <v>https://www.youtube.com/live/GvGh24EJfGg?si=QLYBryRLPz4v_Qdl&amp;t=4895s</v>
      </c>
      <c r="AA242" s="12" t="str">
        <f t="shared" si="10"/>
        <v>シェリル・ノーム starring May'n&amp;ランカ・リー(CV.中島愛)ライオン</v>
      </c>
    </row>
    <row r="243" spans="1:27" x14ac:dyDescent="0.4">
      <c r="A243" s="14">
        <f t="shared" si="11"/>
        <v>242</v>
      </c>
      <c r="B243" s="14">
        <v>30</v>
      </c>
      <c r="C243" s="18" t="s">
        <v>651</v>
      </c>
      <c r="D243" s="14" t="s">
        <v>652</v>
      </c>
      <c r="E243" s="14" t="s">
        <v>653</v>
      </c>
      <c r="G243" s="1" t="str">
        <f>_xlfn.XLOOKUP(B243,M_YT_LIVE!A:A,M_YT_LIVE!F:F,"ERROR",0,1)</f>
        <v>音源</v>
      </c>
      <c r="W243" s="13">
        <f t="shared" si="9"/>
        <v>5347</v>
      </c>
      <c r="X243" s="12" t="str">
        <f>_xlfn.XLOOKUP($B243,M_YT_LIVE!$A:$A,M_YT_LIVE!$D:$D)</f>
        <v>https://www.youtube.com/live/GvGh24EJfGg?si=QLYBryRLPz4v_Qdl</v>
      </c>
      <c r="Z243" s="16" t="str">
        <f>HYPERLINK($X243&amp;SUBSTITUTE(マスタ!$C$3,"XXXXX",$W243))</f>
        <v>https://www.youtube.com/live/GvGh24EJfGg?si=QLYBryRLPz4v_Qdl&amp;t=5347s</v>
      </c>
      <c r="AA243" s="12" t="str">
        <f t="shared" si="10"/>
        <v>Cö shu Nieasphyxia</v>
      </c>
    </row>
    <row r="244" spans="1:27" x14ac:dyDescent="0.4">
      <c r="A244" s="14">
        <f t="shared" si="11"/>
        <v>243</v>
      </c>
      <c r="B244" s="14">
        <v>30</v>
      </c>
      <c r="C244" s="18" t="s">
        <v>654</v>
      </c>
      <c r="D244" s="14" t="s">
        <v>655</v>
      </c>
      <c r="E244" s="14" t="s">
        <v>390</v>
      </c>
      <c r="G244" s="1" t="str">
        <f>_xlfn.XLOOKUP(B244,M_YT_LIVE!A:A,M_YT_LIVE!F:F,"ERROR",0,1)</f>
        <v>音源</v>
      </c>
      <c r="W244" s="13">
        <f t="shared" si="9"/>
        <v>5670</v>
      </c>
      <c r="X244" s="12" t="str">
        <f>_xlfn.XLOOKUP($B244,M_YT_LIVE!$A:$A,M_YT_LIVE!$D:$D)</f>
        <v>https://www.youtube.com/live/GvGh24EJfGg?si=QLYBryRLPz4v_Qdl</v>
      </c>
      <c r="Z244" s="16" t="str">
        <f>HYPERLINK($X244&amp;SUBSTITUTE(マスタ!$C$3,"XXXXX",$W244))</f>
        <v>https://www.youtube.com/live/GvGh24EJfGg?si=QLYBryRLPz4v_Qdl&amp;t=5670s</v>
      </c>
      <c r="AA244" s="12" t="str">
        <f t="shared" si="10"/>
        <v>LiSAunlasting</v>
      </c>
    </row>
    <row r="245" spans="1:27" x14ac:dyDescent="0.4">
      <c r="A245" s="14">
        <f t="shared" si="11"/>
        <v>244</v>
      </c>
      <c r="B245" s="14">
        <v>30</v>
      </c>
      <c r="C245" s="18" t="s">
        <v>656</v>
      </c>
      <c r="D245" s="14" t="s">
        <v>657</v>
      </c>
      <c r="E245" s="14" t="s">
        <v>658</v>
      </c>
      <c r="G245" s="1" t="str">
        <f>_xlfn.XLOOKUP(B245,M_YT_LIVE!A:A,M_YT_LIVE!F:F,"ERROR",0,1)</f>
        <v>音源</v>
      </c>
      <c r="W245" s="13">
        <f t="shared" si="9"/>
        <v>6054</v>
      </c>
      <c r="X245" s="12" t="str">
        <f>_xlfn.XLOOKUP($B245,M_YT_LIVE!$A:$A,M_YT_LIVE!$D:$D)</f>
        <v>https://www.youtube.com/live/GvGh24EJfGg?si=QLYBryRLPz4v_Qdl</v>
      </c>
      <c r="Z245" s="16" t="str">
        <f>HYPERLINK($X245&amp;SUBSTITUTE(マスタ!$C$3,"XXXXX",$W245))</f>
        <v>https://www.youtube.com/live/GvGh24EJfGg?si=QLYBryRLPz4v_Qdl&amp;t=6054s</v>
      </c>
      <c r="AA245" s="12" t="str">
        <f t="shared" si="10"/>
        <v>fhána青空のラプソディ</v>
      </c>
    </row>
    <row r="246" spans="1:27" x14ac:dyDescent="0.4">
      <c r="A246" s="14">
        <f t="shared" si="11"/>
        <v>245</v>
      </c>
      <c r="B246" s="14">
        <v>30</v>
      </c>
      <c r="C246" s="18" t="s">
        <v>659</v>
      </c>
      <c r="D246" s="14" t="s">
        <v>134</v>
      </c>
      <c r="E246" s="14" t="s">
        <v>135</v>
      </c>
      <c r="G246" s="1" t="str">
        <f>_xlfn.XLOOKUP(B246,M_YT_LIVE!A:A,M_YT_LIVE!F:F,"ERROR",0,1)</f>
        <v>音源</v>
      </c>
      <c r="W246" s="13">
        <f t="shared" si="9"/>
        <v>6543</v>
      </c>
      <c r="X246" s="12" t="str">
        <f>_xlfn.XLOOKUP($B246,M_YT_LIVE!$A:$A,M_YT_LIVE!$D:$D)</f>
        <v>https://www.youtube.com/live/GvGh24EJfGg?si=QLYBryRLPz4v_Qdl</v>
      </c>
      <c r="Z246" s="16" t="str">
        <f>HYPERLINK($X246&amp;SUBSTITUTE(マスタ!$C$3,"XXXXX",$W246))</f>
        <v>https://www.youtube.com/live/GvGh24EJfGg?si=QLYBryRLPz4v_Qdl&amp;t=6543s</v>
      </c>
      <c r="AA246" s="12" t="str">
        <f t="shared" si="10"/>
        <v>EGOISTGhost of a smile</v>
      </c>
    </row>
    <row r="247" spans="1:27" x14ac:dyDescent="0.4">
      <c r="A247" s="14">
        <f t="shared" si="11"/>
        <v>246</v>
      </c>
      <c r="B247" s="14">
        <v>30</v>
      </c>
      <c r="C247" s="18" t="s">
        <v>660</v>
      </c>
      <c r="D247" s="14" t="s">
        <v>661</v>
      </c>
      <c r="E247" s="14" t="s">
        <v>662</v>
      </c>
      <c r="G247" s="1" t="str">
        <f>_xlfn.XLOOKUP(B247,M_YT_LIVE!A:A,M_YT_LIVE!F:F,"ERROR",0,1)</f>
        <v>音源</v>
      </c>
      <c r="W247" s="13">
        <f t="shared" si="9"/>
        <v>6966</v>
      </c>
      <c r="X247" s="12" t="str">
        <f>_xlfn.XLOOKUP($B247,M_YT_LIVE!$A:$A,M_YT_LIVE!$D:$D)</f>
        <v>https://www.youtube.com/live/GvGh24EJfGg?si=QLYBryRLPz4v_Qdl</v>
      </c>
      <c r="Z247" s="16" t="str">
        <f>HYPERLINK($X247&amp;SUBSTITUTE(マスタ!$C$3,"XXXXX",$W247))</f>
        <v>https://www.youtube.com/live/GvGh24EJfGg?si=QLYBryRLPz4v_Qdl&amp;t=6966s</v>
      </c>
      <c r="AA247" s="12" t="str">
        <f t="shared" si="10"/>
        <v>じん(自然の敵P) feat.メイリアdaze</v>
      </c>
    </row>
    <row r="248" spans="1:27" x14ac:dyDescent="0.4">
      <c r="A248" s="14">
        <f t="shared" si="11"/>
        <v>247</v>
      </c>
      <c r="B248" s="14">
        <v>30</v>
      </c>
      <c r="C248" s="18" t="s">
        <v>663</v>
      </c>
      <c r="D248" s="14" t="s">
        <v>664</v>
      </c>
      <c r="E248" s="14" t="s">
        <v>507</v>
      </c>
      <c r="G248" s="1" t="str">
        <f>_xlfn.XLOOKUP(B248,M_YT_LIVE!A:A,M_YT_LIVE!F:F,"ERROR",0,1)</f>
        <v>音源</v>
      </c>
      <c r="W248" s="13">
        <f t="shared" si="9"/>
        <v>7260.0000000000009</v>
      </c>
      <c r="X248" s="12" t="str">
        <f>_xlfn.XLOOKUP($B248,M_YT_LIVE!$A:$A,M_YT_LIVE!$D:$D)</f>
        <v>https://www.youtube.com/live/GvGh24EJfGg?si=QLYBryRLPz4v_Qdl</v>
      </c>
      <c r="Z248" s="16" t="str">
        <f>HYPERLINK($X248&amp;SUBSTITUTE(マスタ!$C$3,"XXXXX",$W248))</f>
        <v>https://www.youtube.com/live/GvGh24EJfGg?si=QLYBryRLPz4v_Qdl&amp;t=7260s</v>
      </c>
      <c r="AA248" s="12" t="str">
        <f t="shared" si="10"/>
        <v>YOASOBI優しい彗星</v>
      </c>
    </row>
    <row r="249" spans="1:27" x14ac:dyDescent="0.4">
      <c r="A249" s="14">
        <f t="shared" si="11"/>
        <v>248</v>
      </c>
      <c r="B249" s="14">
        <v>30</v>
      </c>
      <c r="C249" s="18" t="s">
        <v>665</v>
      </c>
      <c r="D249" s="14" t="s">
        <v>666</v>
      </c>
      <c r="E249" s="14" t="s">
        <v>667</v>
      </c>
      <c r="G249" s="1" t="str">
        <f>_xlfn.XLOOKUP(B249,M_YT_LIVE!A:A,M_YT_LIVE!F:F,"ERROR",0,1)</f>
        <v>音源</v>
      </c>
      <c r="W249" s="13">
        <f t="shared" si="9"/>
        <v>7568</v>
      </c>
      <c r="X249" s="12" t="str">
        <f>_xlfn.XLOOKUP($B249,M_YT_LIVE!$A:$A,M_YT_LIVE!$D:$D)</f>
        <v>https://www.youtube.com/live/GvGh24EJfGg?si=QLYBryRLPz4v_Qdl</v>
      </c>
      <c r="Z249" s="16" t="str">
        <f>HYPERLINK($X249&amp;SUBSTITUTE(マスタ!$C$3,"XXXXX",$W249))</f>
        <v>https://www.youtube.com/live/GvGh24EJfGg?si=QLYBryRLPz4v_Qdl&amp;t=7568s</v>
      </c>
      <c r="AA249" s="12" t="str">
        <f t="shared" si="10"/>
        <v>UNISON SQUARE GARDENシュガーソングとビターステップ</v>
      </c>
    </row>
    <row r="250" spans="1:27" x14ac:dyDescent="0.4">
      <c r="A250" s="14">
        <f t="shared" si="11"/>
        <v>249</v>
      </c>
      <c r="B250" s="14">
        <v>30</v>
      </c>
      <c r="C250" s="18" t="s">
        <v>668</v>
      </c>
      <c r="D250" s="14" t="s">
        <v>669</v>
      </c>
      <c r="E250" s="14" t="s">
        <v>670</v>
      </c>
      <c r="G250" s="1" t="str">
        <f>_xlfn.XLOOKUP(B250,M_YT_LIVE!A:A,M_YT_LIVE!F:F,"ERROR",0,1)</f>
        <v>音源</v>
      </c>
      <c r="W250" s="13">
        <f t="shared" si="9"/>
        <v>7988</v>
      </c>
      <c r="X250" s="12" t="str">
        <f>_xlfn.XLOOKUP($B250,M_YT_LIVE!$A:$A,M_YT_LIVE!$D:$D)</f>
        <v>https://www.youtube.com/live/GvGh24EJfGg?si=QLYBryRLPz4v_Qdl</v>
      </c>
      <c r="Z250" s="16" t="str">
        <f>HYPERLINK($X250&amp;SUBSTITUTE(マスタ!$C$3,"XXXXX",$W250))</f>
        <v>https://www.youtube.com/live/GvGh24EJfGg?si=QLYBryRLPz4v_Qdl&amp;t=7988s</v>
      </c>
      <c r="AA250" s="12" t="str">
        <f t="shared" si="10"/>
        <v>μ‘s(ラブライブ!)Snow halation</v>
      </c>
    </row>
    <row r="251" spans="1:27" x14ac:dyDescent="0.4">
      <c r="A251" s="14">
        <f t="shared" si="11"/>
        <v>250</v>
      </c>
      <c r="B251" s="14">
        <v>30</v>
      </c>
      <c r="C251" s="18" t="s">
        <v>671</v>
      </c>
      <c r="D251" s="14" t="s">
        <v>672</v>
      </c>
      <c r="E251" s="14" t="s">
        <v>673</v>
      </c>
      <c r="G251" s="1" t="str">
        <f>_xlfn.XLOOKUP(B251,M_YT_LIVE!A:A,M_YT_LIVE!F:F,"ERROR",0,1)</f>
        <v>音源</v>
      </c>
      <c r="W251" s="13">
        <f t="shared" si="9"/>
        <v>8380</v>
      </c>
      <c r="X251" s="12" t="str">
        <f>_xlfn.XLOOKUP($B251,M_YT_LIVE!$A:$A,M_YT_LIVE!$D:$D)</f>
        <v>https://www.youtube.com/live/GvGh24EJfGg?si=QLYBryRLPz4v_Qdl</v>
      </c>
      <c r="Z251" s="16" t="str">
        <f>HYPERLINK($X251&amp;SUBSTITUTE(マスタ!$C$3,"XXXXX",$W251))</f>
        <v>https://www.youtube.com/live/GvGh24EJfGg?si=QLYBryRLPz4v_Qdl&amp;t=8380s</v>
      </c>
      <c r="AA251" s="12" t="str">
        <f t="shared" si="10"/>
        <v>セブンスシスターズSEVENTH HAVEN</v>
      </c>
    </row>
    <row r="252" spans="1:27" x14ac:dyDescent="0.4">
      <c r="A252" s="14">
        <f t="shared" si="11"/>
        <v>251</v>
      </c>
      <c r="B252" s="14">
        <v>30</v>
      </c>
      <c r="C252" s="18" t="s">
        <v>674</v>
      </c>
      <c r="D252" s="14" t="s">
        <v>675</v>
      </c>
      <c r="E252" s="14" t="s">
        <v>1225</v>
      </c>
      <c r="G252" s="1" t="str">
        <f>_xlfn.XLOOKUP(B252,M_YT_LIVE!A:A,M_YT_LIVE!F:F,"ERROR",0,1)</f>
        <v>音源</v>
      </c>
      <c r="W252" s="13">
        <f t="shared" si="9"/>
        <v>8804</v>
      </c>
      <c r="X252" s="12" t="str">
        <f>_xlfn.XLOOKUP($B252,M_YT_LIVE!$A:$A,M_YT_LIVE!$D:$D)</f>
        <v>https://www.youtube.com/live/GvGh24EJfGg?si=QLYBryRLPz4v_Qdl</v>
      </c>
      <c r="Z252" s="16" t="str">
        <f>HYPERLINK($X252&amp;SUBSTITUTE(マスタ!$C$3,"XXXXX",$W252))</f>
        <v>https://www.youtube.com/live/GvGh24EJfGg?si=QLYBryRLPz4v_Qdl&amp;t=8804s</v>
      </c>
      <c r="AA252" s="12" t="str">
        <f t="shared" si="10"/>
        <v>ランカー・リー(CV.中島愛)星間飛行</v>
      </c>
    </row>
    <row r="253" spans="1:27" x14ac:dyDescent="0.4">
      <c r="A253" s="14">
        <f t="shared" si="11"/>
        <v>252</v>
      </c>
      <c r="B253" s="14">
        <v>30</v>
      </c>
      <c r="C253" s="18" t="s">
        <v>676</v>
      </c>
      <c r="D253" s="14" t="s">
        <v>677</v>
      </c>
      <c r="E253" s="14" t="s">
        <v>1224</v>
      </c>
      <c r="G253" s="1" t="str">
        <f>_xlfn.XLOOKUP(B253,M_YT_LIVE!A:A,M_YT_LIVE!F:F,"ERROR",0,1)</f>
        <v>音源</v>
      </c>
      <c r="W253" s="13">
        <f t="shared" si="9"/>
        <v>9144</v>
      </c>
      <c r="X253" s="12" t="str">
        <f>_xlfn.XLOOKUP($B253,M_YT_LIVE!$A:$A,M_YT_LIVE!$D:$D)</f>
        <v>https://www.youtube.com/live/GvGh24EJfGg?si=QLYBryRLPz4v_Qdl</v>
      </c>
      <c r="Z253" s="16" t="str">
        <f>HYPERLINK($X253&amp;SUBSTITUTE(マスタ!$C$3,"XXXXX",$W253))</f>
        <v>https://www.youtube.com/live/GvGh24EJfGg?si=QLYBryRLPz4v_Qdl&amp;t=9144s</v>
      </c>
      <c r="AA253" s="12" t="str">
        <f t="shared" si="10"/>
        <v>シェリル・ノーム starring May'n射手座☆午後九時Don't be late</v>
      </c>
    </row>
    <row r="254" spans="1:27" x14ac:dyDescent="0.4">
      <c r="A254" s="14">
        <f t="shared" si="11"/>
        <v>253</v>
      </c>
      <c r="B254" s="14">
        <v>30</v>
      </c>
      <c r="C254" s="18" t="s">
        <v>678</v>
      </c>
      <c r="D254" s="14" t="s">
        <v>679</v>
      </c>
      <c r="E254" s="14" t="s">
        <v>1224</v>
      </c>
      <c r="G254" s="1" t="str">
        <f>_xlfn.XLOOKUP(B254,M_YT_LIVE!A:A,M_YT_LIVE!F:F,"ERROR",0,1)</f>
        <v>音源</v>
      </c>
      <c r="W254" s="13">
        <f t="shared" si="9"/>
        <v>9547</v>
      </c>
      <c r="X254" s="12" t="str">
        <f>_xlfn.XLOOKUP($B254,M_YT_LIVE!$A:$A,M_YT_LIVE!$D:$D)</f>
        <v>https://www.youtube.com/live/GvGh24EJfGg?si=QLYBryRLPz4v_Qdl</v>
      </c>
      <c r="Z254" s="16" t="str">
        <f>HYPERLINK($X254&amp;SUBSTITUTE(マスタ!$C$3,"XXXXX",$W254))</f>
        <v>https://www.youtube.com/live/GvGh24EJfGg?si=QLYBryRLPz4v_Qdl&amp;t=9547s</v>
      </c>
      <c r="AA254" s="12" t="str">
        <f t="shared" si="10"/>
        <v>シェリル・ノーム starring May'nノーザンクロス</v>
      </c>
    </row>
    <row r="255" spans="1:27" x14ac:dyDescent="0.4">
      <c r="A255" s="14">
        <f t="shared" si="11"/>
        <v>254</v>
      </c>
      <c r="B255" s="14">
        <v>30</v>
      </c>
      <c r="C255" s="18" t="s">
        <v>680</v>
      </c>
      <c r="D255" s="14" t="s">
        <v>681</v>
      </c>
      <c r="E255" s="14" t="s">
        <v>682</v>
      </c>
      <c r="G255" s="1" t="str">
        <f>_xlfn.XLOOKUP(B255,M_YT_LIVE!A:A,M_YT_LIVE!F:F,"ERROR",0,1)</f>
        <v>音源</v>
      </c>
      <c r="W255" s="13">
        <f t="shared" si="9"/>
        <v>9950</v>
      </c>
      <c r="X255" s="12" t="str">
        <f>_xlfn.XLOOKUP($B255,M_YT_LIVE!$A:$A,M_YT_LIVE!$D:$D)</f>
        <v>https://www.youtube.com/live/GvGh24EJfGg?si=QLYBryRLPz4v_Qdl</v>
      </c>
      <c r="Z255" s="16" t="str">
        <f>HYPERLINK($X255&amp;SUBSTITUTE(マスタ!$C$3,"XXXXX",$W255))</f>
        <v>https://www.youtube.com/live/GvGh24EJfGg?si=QLYBryRLPz4v_Qdl&amp;t=9950s</v>
      </c>
      <c r="AA255" s="12" t="str">
        <f t="shared" si="10"/>
        <v>THE ORAL CIGARETTES狂乱 Hey Kids!!</v>
      </c>
    </row>
    <row r="256" spans="1:27" x14ac:dyDescent="0.4">
      <c r="A256" s="14">
        <f t="shared" si="11"/>
        <v>255</v>
      </c>
      <c r="B256" s="14">
        <v>30</v>
      </c>
      <c r="C256" s="18" t="s">
        <v>683</v>
      </c>
      <c r="D256" s="14" t="s">
        <v>622</v>
      </c>
      <c r="E256" s="14" t="s">
        <v>1224</v>
      </c>
      <c r="G256" s="1" t="str">
        <f>_xlfn.XLOOKUP(B256,M_YT_LIVE!A:A,M_YT_LIVE!F:F,"ERROR",0,1)</f>
        <v>音源</v>
      </c>
      <c r="W256" s="13">
        <f t="shared" si="9"/>
        <v>10341</v>
      </c>
      <c r="X256" s="12" t="str">
        <f>_xlfn.XLOOKUP($B256,M_YT_LIVE!$A:$A,M_YT_LIVE!$D:$D)</f>
        <v>https://www.youtube.com/live/GvGh24EJfGg?si=QLYBryRLPz4v_Qdl</v>
      </c>
      <c r="Z256" s="16" t="str">
        <f>HYPERLINK($X256&amp;SUBSTITUTE(マスタ!$C$3,"XXXXX",$W256))</f>
        <v>https://www.youtube.com/live/GvGh24EJfGg?si=QLYBryRLPz4v_Qdl&amp;t=10341s</v>
      </c>
      <c r="AA256" s="12" t="str">
        <f t="shared" si="10"/>
        <v>シェリル・ノーム starring May'nダイアモンドクレバス</v>
      </c>
    </row>
    <row r="257" spans="1:27" x14ac:dyDescent="0.4">
      <c r="A257" s="14">
        <f t="shared" si="11"/>
        <v>256</v>
      </c>
      <c r="B257" s="14">
        <v>33</v>
      </c>
      <c r="C257" s="18" t="s">
        <v>690</v>
      </c>
      <c r="D257" s="14" t="s">
        <v>691</v>
      </c>
      <c r="E257" s="14" t="s">
        <v>692</v>
      </c>
      <c r="G257" s="1" t="str">
        <f>_xlfn.XLOOKUP(B257,M_YT_LIVE!A:A,M_YT_LIVE!F:F,"ERROR",0,1)</f>
        <v>弾き語り</v>
      </c>
      <c r="W257" s="13">
        <f t="shared" si="9"/>
        <v>455</v>
      </c>
      <c r="X257" s="12" t="str">
        <f>_xlfn.XLOOKUP($B257,M_YT_LIVE!$A:$A,M_YT_LIVE!$D:$D)</f>
        <v>https://www.youtube.com/live/6wh0qjbo6K4?si=vntI9mYE52ZplV6U</v>
      </c>
      <c r="Z257" s="16" t="str">
        <f>HYPERLINK($X257&amp;SUBSTITUTE(マスタ!$C$3,"XXXXX",$W257))</f>
        <v>https://www.youtube.com/live/6wh0qjbo6K4?si=vntI9mYE52ZplV6U&amp;t=455s</v>
      </c>
      <c r="AA257" s="12" t="str">
        <f t="shared" si="10"/>
        <v>大塚愛プラネタリウム</v>
      </c>
    </row>
    <row r="258" spans="1:27" x14ac:dyDescent="0.4">
      <c r="A258" s="14">
        <f t="shared" si="11"/>
        <v>257</v>
      </c>
      <c r="B258" s="14">
        <v>33</v>
      </c>
      <c r="C258" s="18" t="s">
        <v>693</v>
      </c>
      <c r="D258" s="14" t="s">
        <v>694</v>
      </c>
      <c r="E258" s="14" t="s">
        <v>228</v>
      </c>
      <c r="G258" s="1" t="str">
        <f>_xlfn.XLOOKUP(B258,M_YT_LIVE!A:A,M_YT_LIVE!F:F,"ERROR",0,1)</f>
        <v>弾き語り</v>
      </c>
      <c r="W258" s="13">
        <f t="shared" si="9"/>
        <v>909</v>
      </c>
      <c r="X258" s="12" t="str">
        <f>_xlfn.XLOOKUP($B258,M_YT_LIVE!$A:$A,M_YT_LIVE!$D:$D)</f>
        <v>https://www.youtube.com/live/6wh0qjbo6K4?si=vntI9mYE52ZplV6U</v>
      </c>
      <c r="Z258" s="16" t="str">
        <f>HYPERLINK($X258&amp;SUBSTITUTE(マスタ!$C$3,"XXXXX",$W258))</f>
        <v>https://www.youtube.com/live/6wh0qjbo6K4?si=vntI9mYE52ZplV6U&amp;t=909s</v>
      </c>
      <c r="AA258" s="12" t="str">
        <f t="shared" si="10"/>
        <v>ずっと真夜中でいいのに。ヒューマノイド</v>
      </c>
    </row>
    <row r="259" spans="1:27" x14ac:dyDescent="0.4">
      <c r="A259" s="14">
        <f t="shared" si="11"/>
        <v>258</v>
      </c>
      <c r="B259" s="14">
        <v>33</v>
      </c>
      <c r="C259" s="18" t="s">
        <v>695</v>
      </c>
      <c r="D259" s="14" t="s">
        <v>67</v>
      </c>
      <c r="E259" s="14" t="s">
        <v>20</v>
      </c>
      <c r="G259" s="1" t="str">
        <f>_xlfn.XLOOKUP(B259,M_YT_LIVE!A:A,M_YT_LIVE!F:F,"ERROR",0,1)</f>
        <v>弾き語り</v>
      </c>
      <c r="W259" s="13">
        <f t="shared" ref="W259:W323" si="12">TIMEVALUE($C259)*86400</f>
        <v>1397</v>
      </c>
      <c r="X259" s="12" t="str">
        <f>_xlfn.XLOOKUP($B259,M_YT_LIVE!$A:$A,M_YT_LIVE!$D:$D)</f>
        <v>https://www.youtube.com/live/6wh0qjbo6K4?si=vntI9mYE52ZplV6U</v>
      </c>
      <c r="Z259" s="16" t="str">
        <f>HYPERLINK($X259&amp;SUBSTITUTE(マスタ!$C$3,"XXXXX",$W259))</f>
        <v>https://www.youtube.com/live/6wh0qjbo6K4?si=vntI9mYE52ZplV6U&amp;t=1397s</v>
      </c>
      <c r="AA259" s="12" t="str">
        <f t="shared" ref="AA259:AA322" si="13">TRIM(E259)&amp;TRIM(D259)</f>
        <v>Vaundy灯火</v>
      </c>
    </row>
    <row r="260" spans="1:27" x14ac:dyDescent="0.4">
      <c r="A260" s="14">
        <f t="shared" si="11"/>
        <v>259</v>
      </c>
      <c r="B260" s="14">
        <v>33</v>
      </c>
      <c r="C260" s="18" t="s">
        <v>696</v>
      </c>
      <c r="D260" s="14" t="s">
        <v>697</v>
      </c>
      <c r="E260" s="14" t="s">
        <v>698</v>
      </c>
      <c r="G260" s="1" t="str">
        <f>_xlfn.XLOOKUP(B260,M_YT_LIVE!A:A,M_YT_LIVE!F:F,"ERROR",0,1)</f>
        <v>弾き語り</v>
      </c>
      <c r="W260" s="13">
        <f t="shared" si="12"/>
        <v>1648</v>
      </c>
      <c r="X260" s="12" t="str">
        <f>_xlfn.XLOOKUP($B260,M_YT_LIVE!$A:$A,M_YT_LIVE!$D:$D)</f>
        <v>https://www.youtube.com/live/6wh0qjbo6K4?si=vntI9mYE52ZplV6U</v>
      </c>
      <c r="Z260" s="16" t="str">
        <f>HYPERLINK($X260&amp;SUBSTITUTE(マスタ!$C$3,"XXXXX",$W260))</f>
        <v>https://www.youtube.com/live/6wh0qjbo6K4?si=vntI9mYE52ZplV6U&amp;t=1648s</v>
      </c>
      <c r="AA260" s="12" t="str">
        <f t="shared" si="13"/>
        <v>手嶌葵テルーの唄</v>
      </c>
    </row>
    <row r="261" spans="1:27" x14ac:dyDescent="0.4">
      <c r="A261" s="14">
        <f t="shared" ref="A261:A324" si="14">ROW()-1</f>
        <v>260</v>
      </c>
      <c r="B261" s="14">
        <v>33</v>
      </c>
      <c r="C261" s="18" t="s">
        <v>699</v>
      </c>
      <c r="D261" s="14" t="s">
        <v>700</v>
      </c>
      <c r="E261" s="14" t="s">
        <v>577</v>
      </c>
      <c r="G261" s="1" t="str">
        <f>_xlfn.XLOOKUP(B261,M_YT_LIVE!A:A,M_YT_LIVE!F:F,"ERROR",0,1)</f>
        <v>弾き語り</v>
      </c>
      <c r="W261" s="13">
        <f t="shared" si="12"/>
        <v>2111</v>
      </c>
      <c r="X261" s="12" t="str">
        <f>_xlfn.XLOOKUP($B261,M_YT_LIVE!$A:$A,M_YT_LIVE!$D:$D)</f>
        <v>https://www.youtube.com/live/6wh0qjbo6K4?si=vntI9mYE52ZplV6U</v>
      </c>
      <c r="Z261" s="16" t="str">
        <f>HYPERLINK($X261&amp;SUBSTITUTE(マスタ!$C$3,"XXXXX",$W261))</f>
        <v>https://www.youtube.com/live/6wh0qjbo6K4?si=vntI9mYE52ZplV6U&amp;t=2111s</v>
      </c>
      <c r="AA261" s="12" t="str">
        <f t="shared" si="13"/>
        <v>阿部真央側にいて</v>
      </c>
    </row>
    <row r="262" spans="1:27" x14ac:dyDescent="0.4">
      <c r="A262" s="14">
        <f t="shared" si="14"/>
        <v>261</v>
      </c>
      <c r="B262" s="14">
        <v>33</v>
      </c>
      <c r="C262" s="18" t="s">
        <v>701</v>
      </c>
      <c r="D262" s="14" t="s">
        <v>702</v>
      </c>
      <c r="E262" s="14" t="s">
        <v>703</v>
      </c>
      <c r="G262" s="1" t="str">
        <f>_xlfn.XLOOKUP(B262,M_YT_LIVE!A:A,M_YT_LIVE!F:F,"ERROR",0,1)</f>
        <v>弾き語り</v>
      </c>
      <c r="W262" s="13">
        <f t="shared" si="12"/>
        <v>2583</v>
      </c>
      <c r="X262" s="12" t="str">
        <f>_xlfn.XLOOKUP($B262,M_YT_LIVE!$A:$A,M_YT_LIVE!$D:$D)</f>
        <v>https://www.youtube.com/live/6wh0qjbo6K4?si=vntI9mYE52ZplV6U</v>
      </c>
      <c r="Z262" s="16" t="str">
        <f>HYPERLINK($X262&amp;SUBSTITUTE(マスタ!$C$3,"XXXXX",$W262))</f>
        <v>https://www.youtube.com/live/6wh0qjbo6K4?si=vntI9mYE52ZplV6U&amp;t=2583s</v>
      </c>
      <c r="AA262" s="12" t="str">
        <f t="shared" si="13"/>
        <v>aikomilk</v>
      </c>
    </row>
    <row r="263" spans="1:27" x14ac:dyDescent="0.4">
      <c r="A263" s="14">
        <f t="shared" si="14"/>
        <v>262</v>
      </c>
      <c r="B263" s="14">
        <v>33</v>
      </c>
      <c r="C263" s="18" t="s">
        <v>704</v>
      </c>
      <c r="D263" s="14" t="s">
        <v>705</v>
      </c>
      <c r="E263" s="14" t="s">
        <v>276</v>
      </c>
      <c r="G263" s="1" t="str">
        <f>_xlfn.XLOOKUP(B263,M_YT_LIVE!A:A,M_YT_LIVE!F:F,"ERROR",0,1)</f>
        <v>弾き語り</v>
      </c>
      <c r="W263" s="13">
        <f t="shared" si="12"/>
        <v>3007</v>
      </c>
      <c r="X263" s="12" t="str">
        <f>_xlfn.XLOOKUP($B263,M_YT_LIVE!$A:$A,M_YT_LIVE!$D:$D)</f>
        <v>https://www.youtube.com/live/6wh0qjbo6K4?si=vntI9mYE52ZplV6U</v>
      </c>
      <c r="Z263" s="16" t="str">
        <f>HYPERLINK($X263&amp;SUBSTITUTE(マスタ!$C$3,"XXXXX",$W263))</f>
        <v>https://www.youtube.com/live/6wh0qjbo6K4?si=vntI9mYE52ZplV6U&amp;t=3007s</v>
      </c>
      <c r="AA263" s="12" t="str">
        <f t="shared" si="13"/>
        <v>YUIHow Crazy</v>
      </c>
    </row>
    <row r="264" spans="1:27" x14ac:dyDescent="0.4">
      <c r="A264" s="14">
        <f t="shared" si="14"/>
        <v>263</v>
      </c>
      <c r="B264" s="14">
        <v>33</v>
      </c>
      <c r="C264" s="18" t="s">
        <v>706</v>
      </c>
      <c r="D264" s="14" t="s">
        <v>707</v>
      </c>
      <c r="E264" s="14" t="s">
        <v>708</v>
      </c>
      <c r="G264" s="1" t="str">
        <f>_xlfn.XLOOKUP(B264,M_YT_LIVE!A:A,M_YT_LIVE!F:F,"ERROR",0,1)</f>
        <v>弾き語り</v>
      </c>
      <c r="W264" s="13">
        <f t="shared" si="12"/>
        <v>3729</v>
      </c>
      <c r="X264" s="12" t="str">
        <f>_xlfn.XLOOKUP($B264,M_YT_LIVE!$A:$A,M_YT_LIVE!$D:$D)</f>
        <v>https://www.youtube.com/live/6wh0qjbo6K4?si=vntI9mYE52ZplV6U</v>
      </c>
      <c r="Z264" s="16" t="str">
        <f>HYPERLINK($X264&amp;SUBSTITUTE(マスタ!$C$3,"XXXXX",$W264))</f>
        <v>https://www.youtube.com/live/6wh0qjbo6K4?si=vntI9mYE52ZplV6U&amp;t=3729s</v>
      </c>
      <c r="AA264" s="12" t="str">
        <f t="shared" si="13"/>
        <v>halyosy feat.鏡音レンFire◎Flower</v>
      </c>
    </row>
    <row r="265" spans="1:27" x14ac:dyDescent="0.4">
      <c r="A265" s="14">
        <f t="shared" si="14"/>
        <v>264</v>
      </c>
      <c r="B265" s="14">
        <v>33</v>
      </c>
      <c r="C265" s="18" t="s">
        <v>709</v>
      </c>
      <c r="D265" s="14" t="s">
        <v>710</v>
      </c>
      <c r="E265" s="14" t="s">
        <v>1221</v>
      </c>
      <c r="G265" s="1" t="str">
        <f>_xlfn.XLOOKUP(B265,M_YT_LIVE!A:A,M_YT_LIVE!F:F,"ERROR",0,1)</f>
        <v>弾き語り</v>
      </c>
      <c r="W265" s="13">
        <f t="shared" si="12"/>
        <v>4132</v>
      </c>
      <c r="X265" s="12" t="str">
        <f>_xlfn.XLOOKUP($B265,M_YT_LIVE!$A:$A,M_YT_LIVE!$D:$D)</f>
        <v>https://www.youtube.com/live/6wh0qjbo6K4?si=vntI9mYE52ZplV6U</v>
      </c>
      <c r="Z265" s="16" t="str">
        <f>HYPERLINK($X265&amp;SUBSTITUTE(マスタ!$C$3,"XXXXX",$W265))</f>
        <v>https://www.youtube.com/live/6wh0qjbo6K4?si=vntI9mYE52ZplV6U&amp;t=4132s</v>
      </c>
      <c r="AA265" s="12" t="str">
        <f t="shared" si="13"/>
        <v>40mP feat.初音ミク&amp;GUMIフタリボシ</v>
      </c>
    </row>
    <row r="266" spans="1:27" x14ac:dyDescent="0.4">
      <c r="A266" s="14">
        <f t="shared" si="14"/>
        <v>265</v>
      </c>
      <c r="B266" s="14">
        <v>33</v>
      </c>
      <c r="C266" s="18" t="s">
        <v>711</v>
      </c>
      <c r="D266" s="14" t="s">
        <v>712</v>
      </c>
      <c r="E266" s="14" t="s">
        <v>713</v>
      </c>
      <c r="G266" s="1" t="str">
        <f>_xlfn.XLOOKUP(B266,M_YT_LIVE!A:A,M_YT_LIVE!F:F,"ERROR",0,1)</f>
        <v>弾き語り</v>
      </c>
      <c r="W266" s="13">
        <f t="shared" si="12"/>
        <v>4622</v>
      </c>
      <c r="X266" s="12" t="str">
        <f>_xlfn.XLOOKUP($B266,M_YT_LIVE!$A:$A,M_YT_LIVE!$D:$D)</f>
        <v>https://www.youtube.com/live/6wh0qjbo6K4?si=vntI9mYE52ZplV6U</v>
      </c>
      <c r="Z266" s="16" t="str">
        <f>HYPERLINK($X266&amp;SUBSTITUTE(マスタ!$C$3,"XXXXX",$W266))</f>
        <v>https://www.youtube.com/live/6wh0qjbo6K4?si=vntI9mYE52ZplV6U&amp;t=4622s</v>
      </c>
      <c r="AA266" s="12" t="str">
        <f t="shared" si="13"/>
        <v>ロクデナシリインカーネーション</v>
      </c>
    </row>
    <row r="267" spans="1:27" x14ac:dyDescent="0.4">
      <c r="A267" s="14">
        <f t="shared" si="14"/>
        <v>266</v>
      </c>
      <c r="B267" s="14">
        <v>33</v>
      </c>
      <c r="C267" s="18" t="s">
        <v>714</v>
      </c>
      <c r="D267" s="14" t="s">
        <v>715</v>
      </c>
      <c r="E267" s="14" t="s">
        <v>716</v>
      </c>
      <c r="G267" s="1" t="str">
        <f>_xlfn.XLOOKUP(B267,M_YT_LIVE!A:A,M_YT_LIVE!F:F,"ERROR",0,1)</f>
        <v>弾き語り</v>
      </c>
      <c r="W267" s="13">
        <f t="shared" si="12"/>
        <v>4979</v>
      </c>
      <c r="X267" s="12" t="str">
        <f>_xlfn.XLOOKUP($B267,M_YT_LIVE!$A:$A,M_YT_LIVE!$D:$D)</f>
        <v>https://www.youtube.com/live/6wh0qjbo6K4?si=vntI9mYE52ZplV6U</v>
      </c>
      <c r="Z267" s="16" t="str">
        <f>HYPERLINK($X267&amp;SUBSTITUTE(マスタ!$C$3,"XXXXX",$W267))</f>
        <v>https://www.youtube.com/live/6wh0qjbo6K4?si=vntI9mYE52ZplV6U&amp;t=4979s</v>
      </c>
      <c r="AA267" s="12" t="str">
        <f t="shared" si="13"/>
        <v>RADWIMPSなんでもないや</v>
      </c>
    </row>
    <row r="268" spans="1:27" x14ac:dyDescent="0.4">
      <c r="A268" s="14">
        <f t="shared" si="14"/>
        <v>267</v>
      </c>
      <c r="B268" s="14">
        <v>33</v>
      </c>
      <c r="C268" s="18" t="s">
        <v>717</v>
      </c>
      <c r="D268" s="14" t="s">
        <v>718</v>
      </c>
      <c r="E268" s="14" t="s">
        <v>703</v>
      </c>
      <c r="G268" s="1" t="str">
        <f>_xlfn.XLOOKUP(B268,M_YT_LIVE!A:A,M_YT_LIVE!F:F,"ERROR",0,1)</f>
        <v>弾き語り</v>
      </c>
      <c r="W268" s="13">
        <f t="shared" si="12"/>
        <v>5498.0000000000009</v>
      </c>
      <c r="X268" s="12" t="str">
        <f>_xlfn.XLOOKUP($B268,M_YT_LIVE!$A:$A,M_YT_LIVE!$D:$D)</f>
        <v>https://www.youtube.com/live/6wh0qjbo6K4?si=vntI9mYE52ZplV6U</v>
      </c>
      <c r="Z268" s="16" t="str">
        <f>HYPERLINK($X268&amp;SUBSTITUTE(マスタ!$C$3,"XXXXX",$W268))</f>
        <v>https://www.youtube.com/live/6wh0qjbo6K4?si=vntI9mYE52ZplV6U&amp;t=5498s</v>
      </c>
      <c r="AA268" s="12" t="str">
        <f t="shared" si="13"/>
        <v>aiko花火</v>
      </c>
    </row>
    <row r="269" spans="1:27" x14ac:dyDescent="0.4">
      <c r="A269" s="14">
        <f t="shared" si="14"/>
        <v>268</v>
      </c>
      <c r="B269" s="14">
        <v>33</v>
      </c>
      <c r="C269" s="18" t="s">
        <v>719</v>
      </c>
      <c r="D269" s="14" t="s">
        <v>720</v>
      </c>
      <c r="E269" s="14" t="s">
        <v>721</v>
      </c>
      <c r="G269" s="1" t="str">
        <f>_xlfn.XLOOKUP(B269,M_YT_LIVE!A:A,M_YT_LIVE!F:F,"ERROR",0,1)</f>
        <v>弾き語り</v>
      </c>
      <c r="W269" s="13">
        <f t="shared" si="12"/>
        <v>5980</v>
      </c>
      <c r="X269" s="12" t="str">
        <f>_xlfn.XLOOKUP($B269,M_YT_LIVE!$A:$A,M_YT_LIVE!$D:$D)</f>
        <v>https://www.youtube.com/live/6wh0qjbo6K4?si=vntI9mYE52ZplV6U</v>
      </c>
      <c r="Z269" s="16" t="str">
        <f>HYPERLINK($X269&amp;SUBSTITUTE(マスタ!$C$3,"XXXXX",$W269))</f>
        <v>https://www.youtube.com/live/6wh0qjbo6K4?si=vntI9mYE52ZplV6U&amp;t=5980s</v>
      </c>
      <c r="AA269" s="12" t="str">
        <f t="shared" si="13"/>
        <v>未来古代楽団 feat. 安次嶺希和子忘れじの言の葉 (short ver)</v>
      </c>
    </row>
    <row r="270" spans="1:27" x14ac:dyDescent="0.4">
      <c r="A270" s="14">
        <f t="shared" si="14"/>
        <v>269</v>
      </c>
      <c r="B270" s="14">
        <v>36</v>
      </c>
      <c r="C270" s="18" t="s">
        <v>728</v>
      </c>
      <c r="D270" s="14" t="s">
        <v>729</v>
      </c>
      <c r="E270" s="14" t="s">
        <v>730</v>
      </c>
      <c r="G270" s="1" t="str">
        <f>_xlfn.XLOOKUP(B270,M_YT_LIVE!A:A,M_YT_LIVE!F:F,"ERROR",0,1)</f>
        <v>音源</v>
      </c>
      <c r="W270" s="13">
        <f t="shared" si="12"/>
        <v>430</v>
      </c>
      <c r="X270" s="12" t="str">
        <f>_xlfn.XLOOKUP($B270,M_YT_LIVE!$A:$A,M_YT_LIVE!$D:$D)</f>
        <v>https://www.youtube.com/live/cHLqE4AOOjI?si=heDnYTUAoUpLyQ_J</v>
      </c>
      <c r="Z270" s="16" t="str">
        <f>HYPERLINK($X270&amp;SUBSTITUTE(マスタ!$C$3,"XXXXX",$W270))</f>
        <v>https://www.youtube.com/live/cHLqE4AOOjI?si=heDnYTUAoUpLyQ_J&amp;t=430s</v>
      </c>
      <c r="AA270" s="12" t="str">
        <f t="shared" si="13"/>
        <v>Mrs. GREEN APPLE青と夏</v>
      </c>
    </row>
    <row r="271" spans="1:27" x14ac:dyDescent="0.4">
      <c r="A271" s="14">
        <f t="shared" si="14"/>
        <v>270</v>
      </c>
      <c r="B271" s="14">
        <v>36</v>
      </c>
      <c r="C271" s="18" t="s">
        <v>731</v>
      </c>
      <c r="D271" s="14" t="s">
        <v>732</v>
      </c>
      <c r="E271" s="14" t="s">
        <v>733</v>
      </c>
      <c r="G271" s="1" t="str">
        <f>_xlfn.XLOOKUP(B271,M_YT_LIVE!A:A,M_YT_LIVE!F:F,"ERROR",0,1)</f>
        <v>音源</v>
      </c>
      <c r="W271" s="13">
        <f t="shared" si="12"/>
        <v>872.99999999999989</v>
      </c>
      <c r="X271" s="12" t="str">
        <f>_xlfn.XLOOKUP($B271,M_YT_LIVE!$A:$A,M_YT_LIVE!$D:$D)</f>
        <v>https://www.youtube.com/live/cHLqE4AOOjI?si=heDnYTUAoUpLyQ_J</v>
      </c>
      <c r="Z271" s="16" t="str">
        <f>HYPERLINK($X271&amp;SUBSTITUTE(マスタ!$C$3,"XXXXX",$W271))</f>
        <v>https://www.youtube.com/live/cHLqE4AOOjI?si=heDnYTUAoUpLyQ_J&amp;t=873s</v>
      </c>
      <c r="AA271" s="12" t="str">
        <f t="shared" si="13"/>
        <v>M.S.Jハッピー・ジャムジャム</v>
      </c>
    </row>
    <row r="272" spans="1:27" x14ac:dyDescent="0.4">
      <c r="A272" s="14">
        <f t="shared" si="14"/>
        <v>271</v>
      </c>
      <c r="B272" s="14">
        <v>36</v>
      </c>
      <c r="C272" s="18" t="s">
        <v>734</v>
      </c>
      <c r="D272" s="14" t="s">
        <v>735</v>
      </c>
      <c r="E272" s="14" t="s">
        <v>736</v>
      </c>
      <c r="G272" s="1" t="str">
        <f>_xlfn.XLOOKUP(B272,M_YT_LIVE!A:A,M_YT_LIVE!F:F,"ERROR",0,1)</f>
        <v>音源</v>
      </c>
      <c r="W272" s="13">
        <f t="shared" si="12"/>
        <v>1183</v>
      </c>
      <c r="X272" s="12" t="str">
        <f>_xlfn.XLOOKUP($B272,M_YT_LIVE!$A:$A,M_YT_LIVE!$D:$D)</f>
        <v>https://www.youtube.com/live/cHLqE4AOOjI?si=heDnYTUAoUpLyQ_J</v>
      </c>
      <c r="Z272" s="16" t="str">
        <f>HYPERLINK($X272&amp;SUBSTITUTE(マスタ!$C$3,"XXXXX",$W272))</f>
        <v>https://www.youtube.com/live/cHLqE4AOOjI?si=heDnYTUAoUpLyQ_J&amp;t=1183s</v>
      </c>
      <c r="AA272" s="12" t="str">
        <f t="shared" si="13"/>
        <v>やなせたかし(作曲者)アンパンマンのマーチ</v>
      </c>
    </row>
    <row r="273" spans="1:27" x14ac:dyDescent="0.4">
      <c r="A273" s="14">
        <f t="shared" si="14"/>
        <v>272</v>
      </c>
      <c r="B273" s="14">
        <v>36</v>
      </c>
      <c r="C273" s="18" t="s">
        <v>737</v>
      </c>
      <c r="D273" s="14" t="s">
        <v>738</v>
      </c>
      <c r="E273" s="14" t="s">
        <v>739</v>
      </c>
      <c r="G273" s="1" t="str">
        <f>_xlfn.XLOOKUP(B273,M_YT_LIVE!A:A,M_YT_LIVE!F:F,"ERROR",0,1)</f>
        <v>音源</v>
      </c>
      <c r="W273" s="13">
        <f t="shared" si="12"/>
        <v>1483.9999999999998</v>
      </c>
      <c r="X273" s="12" t="str">
        <f>_xlfn.XLOOKUP($B273,M_YT_LIVE!$A:$A,M_YT_LIVE!$D:$D)</f>
        <v>https://www.youtube.com/live/cHLqE4AOOjI?si=heDnYTUAoUpLyQ_J</v>
      </c>
      <c r="Z273" s="16" t="str">
        <f>HYPERLINK($X273&amp;SUBSTITUTE(マスタ!$C$3,"XXXXX",$W273))</f>
        <v>https://www.youtube.com/live/cHLqE4AOOjI?si=heDnYTUAoUpLyQ_J&amp;t=1484s</v>
      </c>
      <c r="AA273" s="12" t="str">
        <f t="shared" si="13"/>
        <v>SPYAIRサムライハート(Some Like It Hot!!)</v>
      </c>
    </row>
    <row r="274" spans="1:27" x14ac:dyDescent="0.4">
      <c r="A274" s="14">
        <f t="shared" si="14"/>
        <v>273</v>
      </c>
      <c r="B274" s="14">
        <v>36</v>
      </c>
      <c r="C274" s="18" t="s">
        <v>740</v>
      </c>
      <c r="D274" s="14" t="s">
        <v>741</v>
      </c>
      <c r="E274" s="14" t="s">
        <v>742</v>
      </c>
      <c r="G274" s="1" t="str">
        <f>_xlfn.XLOOKUP(B274,M_YT_LIVE!A:A,M_YT_LIVE!F:F,"ERROR",0,1)</f>
        <v>音源</v>
      </c>
      <c r="W274" s="13">
        <f t="shared" si="12"/>
        <v>1786</v>
      </c>
      <c r="X274" s="12" t="str">
        <f>_xlfn.XLOOKUP($B274,M_YT_LIVE!$A:$A,M_YT_LIVE!$D:$D)</f>
        <v>https://www.youtube.com/live/cHLqE4AOOjI?si=heDnYTUAoUpLyQ_J</v>
      </c>
      <c r="Z274" s="16" t="str">
        <f>HYPERLINK($X274&amp;SUBSTITUTE(マスタ!$C$3,"XXXXX",$W274))</f>
        <v>https://www.youtube.com/live/cHLqE4AOOjI?si=heDnYTUAoUpLyQ_J&amp;t=1786s</v>
      </c>
      <c r="AA274" s="12" t="str">
        <f t="shared" si="13"/>
        <v>KANA-BOONないものねだり</v>
      </c>
    </row>
    <row r="275" spans="1:27" x14ac:dyDescent="0.4">
      <c r="A275" s="14">
        <f t="shared" si="14"/>
        <v>274</v>
      </c>
      <c r="B275" s="14">
        <v>36</v>
      </c>
      <c r="C275" s="18" t="s">
        <v>743</v>
      </c>
      <c r="D275" s="14" t="s">
        <v>744</v>
      </c>
      <c r="E275" s="14" t="s">
        <v>742</v>
      </c>
      <c r="G275" s="1" t="str">
        <f>_xlfn.XLOOKUP(B275,M_YT_LIVE!A:A,M_YT_LIVE!F:F,"ERROR",0,1)</f>
        <v>音源</v>
      </c>
      <c r="W275" s="13">
        <f t="shared" si="12"/>
        <v>2071</v>
      </c>
      <c r="X275" s="12" t="str">
        <f>_xlfn.XLOOKUP($B275,M_YT_LIVE!$A:$A,M_YT_LIVE!$D:$D)</f>
        <v>https://www.youtube.com/live/cHLqE4AOOjI?si=heDnYTUAoUpLyQ_J</v>
      </c>
      <c r="Z275" s="16" t="str">
        <f>HYPERLINK($X275&amp;SUBSTITUTE(マスタ!$C$3,"XXXXX",$W275))</f>
        <v>https://www.youtube.com/live/cHLqE4AOOjI?si=heDnYTUAoUpLyQ_J&amp;t=2071s</v>
      </c>
      <c r="AA275" s="12" t="str">
        <f t="shared" si="13"/>
        <v>KANA-BOON結晶星</v>
      </c>
    </row>
    <row r="276" spans="1:27" x14ac:dyDescent="0.4">
      <c r="A276" s="14">
        <f t="shared" si="14"/>
        <v>275</v>
      </c>
      <c r="B276" s="14">
        <v>36</v>
      </c>
      <c r="C276" s="18" t="s">
        <v>745</v>
      </c>
      <c r="D276" s="14" t="s">
        <v>746</v>
      </c>
      <c r="E276" s="14" t="s">
        <v>747</v>
      </c>
      <c r="G276" s="1" t="str">
        <f>_xlfn.XLOOKUP(B276,M_YT_LIVE!A:A,M_YT_LIVE!F:F,"ERROR",0,1)</f>
        <v>音源</v>
      </c>
      <c r="W276" s="13">
        <f t="shared" si="12"/>
        <v>2432</v>
      </c>
      <c r="X276" s="12" t="str">
        <f>_xlfn.XLOOKUP($B276,M_YT_LIVE!$A:$A,M_YT_LIVE!$D:$D)</f>
        <v>https://www.youtube.com/live/cHLqE4AOOjI?si=heDnYTUAoUpLyQ_J</v>
      </c>
      <c r="Z276" s="16" t="str">
        <f>HYPERLINK($X276&amp;SUBSTITUTE(マスタ!$C$3,"XXXXX",$W276))</f>
        <v>https://www.youtube.com/live/cHLqE4AOOjI?si=heDnYTUAoUpLyQ_J&amp;t=2432s</v>
      </c>
      <c r="AA276" s="12" t="str">
        <f t="shared" si="13"/>
        <v>シナリオアートナナヒツジ</v>
      </c>
    </row>
    <row r="277" spans="1:27" x14ac:dyDescent="0.4">
      <c r="A277" s="14">
        <f t="shared" si="14"/>
        <v>276</v>
      </c>
      <c r="B277" s="14">
        <v>36</v>
      </c>
      <c r="C277" s="18" t="s">
        <v>748</v>
      </c>
      <c r="D277" s="14" t="s">
        <v>749</v>
      </c>
      <c r="E277" s="14" t="s">
        <v>138</v>
      </c>
      <c r="G277" s="1" t="str">
        <f>_xlfn.XLOOKUP(B277,M_YT_LIVE!A:A,M_YT_LIVE!F:F,"ERROR",0,1)</f>
        <v>音源</v>
      </c>
      <c r="W277" s="13">
        <f t="shared" si="12"/>
        <v>2773</v>
      </c>
      <c r="X277" s="12" t="str">
        <f>_xlfn.XLOOKUP($B277,M_YT_LIVE!$A:$A,M_YT_LIVE!$D:$D)</f>
        <v>https://www.youtube.com/live/cHLqE4AOOjI?si=heDnYTUAoUpLyQ_J</v>
      </c>
      <c r="Z277" s="16" t="str">
        <f>HYPERLINK($X277&amp;SUBSTITUTE(マスタ!$C$3,"XXXXX",$W277))</f>
        <v>https://www.youtube.com/live/cHLqE4AOOjI?si=heDnYTUAoUpLyQ_J&amp;t=2773s</v>
      </c>
      <c r="AA277" s="12" t="str">
        <f t="shared" si="13"/>
        <v>ポルカドットスティングレイテレキャスター・ストライプ</v>
      </c>
    </row>
    <row r="278" spans="1:27" x14ac:dyDescent="0.4">
      <c r="A278" s="14">
        <f t="shared" si="14"/>
        <v>277</v>
      </c>
      <c r="B278" s="14">
        <v>36</v>
      </c>
      <c r="C278" s="18" t="s">
        <v>750</v>
      </c>
      <c r="D278" s="14" t="s">
        <v>751</v>
      </c>
      <c r="E278" s="14" t="s">
        <v>183</v>
      </c>
      <c r="G278" s="1" t="str">
        <f>_xlfn.XLOOKUP(B278,M_YT_LIVE!A:A,M_YT_LIVE!F:F,"ERROR",0,1)</f>
        <v>音源</v>
      </c>
      <c r="W278" s="13">
        <f t="shared" si="12"/>
        <v>3182</v>
      </c>
      <c r="X278" s="12" t="str">
        <f>_xlfn.XLOOKUP($B278,M_YT_LIVE!$A:$A,M_YT_LIVE!$D:$D)</f>
        <v>https://www.youtube.com/live/cHLqE4AOOjI?si=heDnYTUAoUpLyQ_J</v>
      </c>
      <c r="Z278" s="16" t="str">
        <f>HYPERLINK($X278&amp;SUBSTITUTE(マスタ!$C$3,"XXXXX",$W278))</f>
        <v>https://www.youtube.com/live/cHLqE4AOOjI?si=heDnYTUAoUpLyQ_J&amp;t=3182s</v>
      </c>
      <c r="AA278" s="12" t="str">
        <f t="shared" si="13"/>
        <v>クリープハイプ社会の窓</v>
      </c>
    </row>
    <row r="279" spans="1:27" x14ac:dyDescent="0.4">
      <c r="A279" s="14">
        <f t="shared" si="14"/>
        <v>278</v>
      </c>
      <c r="B279" s="14">
        <v>36</v>
      </c>
      <c r="C279" s="18" t="s">
        <v>752</v>
      </c>
      <c r="D279" s="14" t="s">
        <v>300</v>
      </c>
      <c r="E279" s="14" t="s">
        <v>125</v>
      </c>
      <c r="G279" s="1" t="str">
        <f>_xlfn.XLOOKUP(B279,M_YT_LIVE!A:A,M_YT_LIVE!F:F,"ERROR",0,1)</f>
        <v>音源</v>
      </c>
      <c r="W279" s="13">
        <f t="shared" si="12"/>
        <v>3507.0000000000005</v>
      </c>
      <c r="X279" s="12" t="str">
        <f>_xlfn.XLOOKUP($B279,M_YT_LIVE!$A:$A,M_YT_LIVE!$D:$D)</f>
        <v>https://www.youtube.com/live/cHLqE4AOOjI?si=heDnYTUAoUpLyQ_J</v>
      </c>
      <c r="Z279" s="16" t="str">
        <f>HYPERLINK($X279&amp;SUBSTITUTE(マスタ!$C$3,"XXXXX",$W279))</f>
        <v>https://www.youtube.com/live/cHLqE4AOOjI?si=heDnYTUAoUpLyQ_J&amp;t=3507s</v>
      </c>
      <c r="AA279" s="12" t="str">
        <f t="shared" si="13"/>
        <v>Orangestar feat.IAHenceforth</v>
      </c>
    </row>
    <row r="280" spans="1:27" x14ac:dyDescent="0.4">
      <c r="A280" s="14">
        <f t="shared" si="14"/>
        <v>279</v>
      </c>
      <c r="B280" s="14">
        <v>36</v>
      </c>
      <c r="C280" s="18" t="s">
        <v>753</v>
      </c>
      <c r="D280" s="14" t="s">
        <v>117</v>
      </c>
      <c r="E280" s="14" t="s">
        <v>125</v>
      </c>
      <c r="G280" s="1" t="str">
        <f>_xlfn.XLOOKUP(B280,M_YT_LIVE!A:A,M_YT_LIVE!F:F,"ERROR",0,1)</f>
        <v>音源</v>
      </c>
      <c r="W280" s="13">
        <f t="shared" si="12"/>
        <v>3832</v>
      </c>
      <c r="X280" s="12" t="str">
        <f>_xlfn.XLOOKUP($B280,M_YT_LIVE!$A:$A,M_YT_LIVE!$D:$D)</f>
        <v>https://www.youtube.com/live/cHLqE4AOOjI?si=heDnYTUAoUpLyQ_J</v>
      </c>
      <c r="Z280" s="16" t="str">
        <f>HYPERLINK($X280&amp;SUBSTITUTE(マスタ!$C$3,"XXXXX",$W280))</f>
        <v>https://www.youtube.com/live/cHLqE4AOOjI?si=heDnYTUAoUpLyQ_J&amp;t=3832s</v>
      </c>
      <c r="AA280" s="12" t="str">
        <f t="shared" si="13"/>
        <v>Orangestar feat.IA快晴</v>
      </c>
    </row>
    <row r="281" spans="1:27" x14ac:dyDescent="0.4">
      <c r="A281" s="14">
        <f t="shared" si="14"/>
        <v>280</v>
      </c>
      <c r="B281" s="14">
        <v>37</v>
      </c>
      <c r="C281" s="18" t="s">
        <v>756</v>
      </c>
      <c r="D281" s="14" t="s">
        <v>757</v>
      </c>
      <c r="E281" s="14" t="s">
        <v>390</v>
      </c>
      <c r="G281" s="1" t="str">
        <f>_xlfn.XLOOKUP(B281,M_YT_LIVE!A:A,M_YT_LIVE!F:F,"ERROR",0,1)</f>
        <v>弾き語り</v>
      </c>
      <c r="W281" s="13">
        <f t="shared" si="12"/>
        <v>29760</v>
      </c>
      <c r="X281" s="12" t="str">
        <f>_xlfn.XLOOKUP($B281,M_YT_LIVE!$A:$A,M_YT_LIVE!$D:$D)</f>
        <v>https://www.youtube.com/live/wY3z5W9B8N0?si=FVqBjyoCdmcOKFxz</v>
      </c>
      <c r="Z281" s="16" t="str">
        <f>HYPERLINK($X281&amp;SUBSTITUTE(マスタ!$C$3,"XXXXX",$W281))</f>
        <v>https://www.youtube.com/live/wY3z5W9B8N0?si=FVqBjyoCdmcOKFxz&amp;t=29760s</v>
      </c>
      <c r="AA281" s="12" t="str">
        <f t="shared" si="13"/>
        <v>LiSAträumerei</v>
      </c>
    </row>
    <row r="282" spans="1:27" x14ac:dyDescent="0.4">
      <c r="A282" s="14">
        <f t="shared" si="14"/>
        <v>281</v>
      </c>
      <c r="B282" s="14">
        <v>37</v>
      </c>
      <c r="C282" s="18" t="s">
        <v>758</v>
      </c>
      <c r="D282" s="14" t="s">
        <v>759</v>
      </c>
      <c r="E282" s="14" t="s">
        <v>390</v>
      </c>
      <c r="G282" s="1" t="str">
        <f>_xlfn.XLOOKUP(B282,M_YT_LIVE!A:A,M_YT_LIVE!F:F,"ERROR",0,1)</f>
        <v>弾き語り</v>
      </c>
      <c r="W282" s="13">
        <f t="shared" si="12"/>
        <v>58740</v>
      </c>
      <c r="X282" s="12" t="str">
        <f>_xlfn.XLOOKUP($B282,M_YT_LIVE!$A:$A,M_YT_LIVE!$D:$D)</f>
        <v>https://www.youtube.com/live/wY3z5W9B8N0?si=FVqBjyoCdmcOKFxz</v>
      </c>
      <c r="Z282" s="16" t="str">
        <f>HYPERLINK($X282&amp;SUBSTITUTE(マスタ!$C$3,"XXXXX",$W282))</f>
        <v>https://www.youtube.com/live/wY3z5W9B8N0?si=FVqBjyoCdmcOKFxz&amp;t=58740s</v>
      </c>
      <c r="AA282" s="12" t="str">
        <f t="shared" si="13"/>
        <v>LiSACatch the Moment</v>
      </c>
    </row>
    <row r="283" spans="1:27" x14ac:dyDescent="0.4">
      <c r="A283" s="14">
        <f t="shared" si="14"/>
        <v>282</v>
      </c>
      <c r="B283" s="14">
        <v>37</v>
      </c>
      <c r="C283" s="18" t="s">
        <v>760</v>
      </c>
      <c r="D283" s="14" t="s">
        <v>761</v>
      </c>
      <c r="E283" s="14" t="s">
        <v>390</v>
      </c>
      <c r="G283" s="1" t="str">
        <f>_xlfn.XLOOKUP(B283,M_YT_LIVE!A:A,M_YT_LIVE!F:F,"ERROR",0,1)</f>
        <v>弾き語り</v>
      </c>
      <c r="W283" s="13">
        <f t="shared" si="12"/>
        <v>1199.9999999999957</v>
      </c>
      <c r="X283" s="12" t="str">
        <f>_xlfn.XLOOKUP($B283,M_YT_LIVE!$A:$A,M_YT_LIVE!$D:$D)</f>
        <v>https://www.youtube.com/live/wY3z5W9B8N0?si=FVqBjyoCdmcOKFxz</v>
      </c>
      <c r="Z283" s="16" t="str">
        <f>HYPERLINK($X283&amp;SUBSTITUTE(マスタ!$C$3,"XXXXX",$W283))</f>
        <v>https://www.youtube.com/live/wY3z5W9B8N0?si=FVqBjyoCdmcOKFxz&amp;t=1200s</v>
      </c>
      <c r="AA283" s="12" t="str">
        <f t="shared" si="13"/>
        <v>LiSAcrossing field</v>
      </c>
    </row>
    <row r="284" spans="1:27" x14ac:dyDescent="0.4">
      <c r="A284" s="14">
        <f t="shared" si="14"/>
        <v>283</v>
      </c>
      <c r="B284" s="14">
        <v>37</v>
      </c>
      <c r="C284" s="18" t="s">
        <v>762</v>
      </c>
      <c r="D284" s="14" t="s">
        <v>763</v>
      </c>
      <c r="E284" s="14" t="s">
        <v>195</v>
      </c>
      <c r="G284" s="1" t="str">
        <f>_xlfn.XLOOKUP(B284,M_YT_LIVE!A:A,M_YT_LIVE!F:F,"ERROR",0,1)</f>
        <v>弾き語り</v>
      </c>
      <c r="W284" s="13">
        <f t="shared" si="12"/>
        <v>26760</v>
      </c>
      <c r="X284" s="12" t="str">
        <f>_xlfn.XLOOKUP($B284,M_YT_LIVE!$A:$A,M_YT_LIVE!$D:$D)</f>
        <v>https://www.youtube.com/live/wY3z5W9B8N0?si=FVqBjyoCdmcOKFxz</v>
      </c>
      <c r="Z284" s="16" t="str">
        <f>HYPERLINK($X284&amp;SUBSTITUTE(マスタ!$C$3,"XXXXX",$W284))</f>
        <v>https://www.youtube.com/live/wY3z5W9B8N0?si=FVqBjyoCdmcOKFxz&amp;t=26760s</v>
      </c>
      <c r="AA284" s="12" t="str">
        <f t="shared" si="13"/>
        <v>やなぎなぎトコハナ</v>
      </c>
    </row>
    <row r="285" spans="1:27" x14ac:dyDescent="0.4">
      <c r="A285" s="14">
        <f t="shared" si="14"/>
        <v>284</v>
      </c>
      <c r="B285" s="14">
        <v>37</v>
      </c>
      <c r="C285" s="18" t="s">
        <v>764</v>
      </c>
      <c r="D285" s="14" t="s">
        <v>765</v>
      </c>
      <c r="E285" s="14" t="s">
        <v>195</v>
      </c>
      <c r="G285" s="1" t="str">
        <f>_xlfn.XLOOKUP(B285,M_YT_LIVE!A:A,M_YT_LIVE!F:F,"ERROR",0,1)</f>
        <v>弾き語り</v>
      </c>
      <c r="W285" s="13">
        <f t="shared" si="12"/>
        <v>53760</v>
      </c>
      <c r="X285" s="12" t="str">
        <f>_xlfn.XLOOKUP($B285,M_YT_LIVE!$A:$A,M_YT_LIVE!$D:$D)</f>
        <v>https://www.youtube.com/live/wY3z5W9B8N0?si=FVqBjyoCdmcOKFxz</v>
      </c>
      <c r="Z285" s="16" t="str">
        <f>HYPERLINK($X285&amp;SUBSTITUTE(マスタ!$C$3,"XXXXX",$W285))</f>
        <v>https://www.youtube.com/live/wY3z5W9B8N0?si=FVqBjyoCdmcOKFxz&amp;t=53760s</v>
      </c>
      <c r="AA285" s="12" t="str">
        <f t="shared" si="13"/>
        <v>やなぎなぎover and over</v>
      </c>
    </row>
    <row r="286" spans="1:27" x14ac:dyDescent="0.4">
      <c r="A286" s="14">
        <f t="shared" si="14"/>
        <v>285</v>
      </c>
      <c r="B286" s="14">
        <v>37</v>
      </c>
      <c r="C286" s="18" t="s">
        <v>766</v>
      </c>
      <c r="D286" s="14" t="s">
        <v>767</v>
      </c>
      <c r="E286" s="14" t="s">
        <v>768</v>
      </c>
      <c r="G286" s="1" t="str">
        <f>_xlfn.XLOOKUP(B286,M_YT_LIVE!A:A,M_YT_LIVE!F:F,"ERROR",0,1)</f>
        <v>弾き語り</v>
      </c>
      <c r="W286" s="13">
        <f t="shared" si="12"/>
        <v>81540.000000000015</v>
      </c>
      <c r="X286" s="12" t="str">
        <f>_xlfn.XLOOKUP($B286,M_YT_LIVE!$A:$A,M_YT_LIVE!$D:$D)</f>
        <v>https://www.youtube.com/live/wY3z5W9B8N0?si=FVqBjyoCdmcOKFxz</v>
      </c>
      <c r="Z286" s="16" t="str">
        <f>HYPERLINK($X286&amp;SUBSTITUTE(マスタ!$C$3,"XXXXX",$W286))</f>
        <v>https://www.youtube.com/live/wY3z5W9B8N0?si=FVqBjyoCdmcOKFxz&amp;t=81540s</v>
      </c>
      <c r="AA286" s="12" t="str">
        <f t="shared" si="13"/>
        <v>チト(水瀬いのり)、ユーリ(久保ユリカ)動く、動く</v>
      </c>
    </row>
    <row r="287" spans="1:27" x14ac:dyDescent="0.4">
      <c r="A287" s="14">
        <f t="shared" si="14"/>
        <v>286</v>
      </c>
      <c r="B287" s="14">
        <v>37</v>
      </c>
      <c r="C287" s="18" t="s">
        <v>769</v>
      </c>
      <c r="D287" s="14" t="s">
        <v>770</v>
      </c>
      <c r="E287" s="14" t="s">
        <v>771</v>
      </c>
      <c r="G287" s="1" t="str">
        <f>_xlfn.XLOOKUP(B287,M_YT_LIVE!A:A,M_YT_LIVE!F:F,"ERROR",0,1)</f>
        <v>弾き語り</v>
      </c>
      <c r="W287" s="13">
        <f t="shared" si="12"/>
        <v>31799.999999999982</v>
      </c>
      <c r="X287" s="12" t="str">
        <f>_xlfn.XLOOKUP($B287,M_YT_LIVE!$A:$A,M_YT_LIVE!$D:$D)</f>
        <v>https://www.youtube.com/live/wY3z5W9B8N0?si=FVqBjyoCdmcOKFxz</v>
      </c>
      <c r="Z287" s="16" t="str">
        <f>HYPERLINK($X287&amp;SUBSTITUTE(マスタ!$C$3,"XXXXX",$W287))</f>
        <v>https://www.youtube.com/live/wY3z5W9B8N0?si=FVqBjyoCdmcOKFxz&amp;t=31800s</v>
      </c>
      <c r="AA287" s="12" t="str">
        <f t="shared" si="13"/>
        <v>(K)NoW_NAMEHarvest</v>
      </c>
    </row>
    <row r="288" spans="1:27" x14ac:dyDescent="0.4">
      <c r="A288" s="14">
        <f t="shared" si="14"/>
        <v>287</v>
      </c>
      <c r="B288" s="14">
        <v>37</v>
      </c>
      <c r="C288" s="18" t="s">
        <v>772</v>
      </c>
      <c r="D288" s="14" t="s">
        <v>773</v>
      </c>
      <c r="E288" s="14" t="s">
        <v>774</v>
      </c>
      <c r="G288" s="1" t="str">
        <f>_xlfn.XLOOKUP(B288,M_YT_LIVE!A:A,M_YT_LIVE!F:F,"ERROR",0,1)</f>
        <v>弾き語り</v>
      </c>
      <c r="W288" s="13">
        <f t="shared" si="12"/>
        <v>3830</v>
      </c>
      <c r="X288" s="12" t="str">
        <f>_xlfn.XLOOKUP($B288,M_YT_LIVE!$A:$A,M_YT_LIVE!$D:$D)</f>
        <v>https://www.youtube.com/live/wY3z5W9B8N0?si=FVqBjyoCdmcOKFxz</v>
      </c>
      <c r="Z288" s="16" t="str">
        <f>HYPERLINK($X288&amp;SUBSTITUTE(マスタ!$C$3,"XXXXX",$W288))</f>
        <v>https://www.youtube.com/live/wY3z5W9B8N0?si=FVqBjyoCdmcOKFxz&amp;t=3830s</v>
      </c>
      <c r="AA288" s="12" t="str">
        <f t="shared" si="13"/>
        <v>鈴木このみThis game</v>
      </c>
    </row>
    <row r="289" spans="1:27" x14ac:dyDescent="0.4">
      <c r="A289" s="14">
        <f t="shared" si="14"/>
        <v>288</v>
      </c>
      <c r="B289" s="14">
        <v>37</v>
      </c>
      <c r="C289" s="18" t="s">
        <v>775</v>
      </c>
      <c r="D289" s="14" t="s">
        <v>776</v>
      </c>
      <c r="E289" s="14" t="s">
        <v>777</v>
      </c>
      <c r="G289" s="1" t="str">
        <f>_xlfn.XLOOKUP(B289,M_YT_LIVE!A:A,M_YT_LIVE!F:F,"ERROR",0,1)</f>
        <v>弾き語り</v>
      </c>
      <c r="W289" s="13">
        <f t="shared" si="12"/>
        <v>4314</v>
      </c>
      <c r="X289" s="12" t="str">
        <f>_xlfn.XLOOKUP($B289,M_YT_LIVE!$A:$A,M_YT_LIVE!$D:$D)</f>
        <v>https://www.youtube.com/live/wY3z5W9B8N0?si=FVqBjyoCdmcOKFxz</v>
      </c>
      <c r="Z289" s="16" t="str">
        <f>HYPERLINK($X289&amp;SUBSTITUTE(マスタ!$C$3,"XXXXX",$W289))</f>
        <v>https://www.youtube.com/live/wY3z5W9B8N0?si=FVqBjyoCdmcOKFxz&amp;t=4314s</v>
      </c>
      <c r="AA289" s="12" t="str">
        <f t="shared" si="13"/>
        <v>エミリア(高橋李依)Stay Alive</v>
      </c>
    </row>
    <row r="290" spans="1:27" x14ac:dyDescent="0.4">
      <c r="A290" s="14">
        <f t="shared" si="14"/>
        <v>289</v>
      </c>
      <c r="B290" s="14">
        <v>37</v>
      </c>
      <c r="C290" s="18" t="s">
        <v>778</v>
      </c>
      <c r="D290" s="14" t="s">
        <v>791</v>
      </c>
      <c r="E290" s="14" t="s">
        <v>779</v>
      </c>
      <c r="G290" s="1" t="str">
        <f>_xlfn.XLOOKUP(B290,M_YT_LIVE!A:A,M_YT_LIVE!F:F,"ERROR",0,1)</f>
        <v>弾き語り</v>
      </c>
      <c r="W290" s="13">
        <f t="shared" si="12"/>
        <v>4847</v>
      </c>
      <c r="X290" s="12" t="str">
        <f>_xlfn.XLOOKUP($B290,M_YT_LIVE!$A:$A,M_YT_LIVE!$D:$D)</f>
        <v>https://www.youtube.com/live/wY3z5W9B8N0?si=FVqBjyoCdmcOKFxz</v>
      </c>
      <c r="Z290" s="16" t="str">
        <f>HYPERLINK($X290&amp;SUBSTITUTE(マスタ!$C$3,"XXXXX",$W290))</f>
        <v>https://www.youtube.com/live/wY3z5W9B8N0?si=FVqBjyoCdmcOKFxz&amp;t=4847s</v>
      </c>
      <c r="AA290" s="12" t="str">
        <f t="shared" si="13"/>
        <v>T-Pistonz＋KMCつながリーヨ(1番のみ)</v>
      </c>
    </row>
    <row r="291" spans="1:27" x14ac:dyDescent="0.4">
      <c r="A291" s="14">
        <f t="shared" si="14"/>
        <v>290</v>
      </c>
      <c r="B291" s="14">
        <v>37</v>
      </c>
      <c r="C291" s="18" t="s">
        <v>780</v>
      </c>
      <c r="D291" s="14" t="s">
        <v>781</v>
      </c>
      <c r="E291" s="14" t="s">
        <v>782</v>
      </c>
      <c r="G291" s="1" t="str">
        <f>_xlfn.XLOOKUP(B291,M_YT_LIVE!A:A,M_YT_LIVE!F:F,"ERROR",0,1)</f>
        <v>弾き語り</v>
      </c>
      <c r="W291" s="13">
        <f t="shared" si="12"/>
        <v>5226</v>
      </c>
      <c r="X291" s="12" t="str">
        <f>_xlfn.XLOOKUP($B291,M_YT_LIVE!$A:$A,M_YT_LIVE!$D:$D)</f>
        <v>https://www.youtube.com/live/wY3z5W9B8N0?si=FVqBjyoCdmcOKFxz</v>
      </c>
      <c r="Z291" s="16" t="str">
        <f>HYPERLINK($X291&amp;SUBSTITUTE(マスタ!$C$3,"XXXXX",$W291))</f>
        <v>https://www.youtube.com/live/wY3z5W9B8N0?si=FVqBjyoCdmcOKFxz&amp;t=5226s</v>
      </c>
      <c r="AA291" s="12" t="str">
        <f t="shared" si="13"/>
        <v>角田信朗＆いはたじゅりケロッ!とマーチ</v>
      </c>
    </row>
    <row r="292" spans="1:27" x14ac:dyDescent="0.4">
      <c r="A292" s="14">
        <f t="shared" si="14"/>
        <v>291</v>
      </c>
      <c r="B292" s="14">
        <v>37</v>
      </c>
      <c r="C292" s="18" t="s">
        <v>783</v>
      </c>
      <c r="D292" s="14" t="s">
        <v>784</v>
      </c>
      <c r="E292" s="14" t="s">
        <v>785</v>
      </c>
      <c r="G292" s="1" t="str">
        <f>_xlfn.XLOOKUP(B292,M_YT_LIVE!A:A,M_YT_LIVE!F:F,"ERROR",0,1)</f>
        <v>弾き語り</v>
      </c>
      <c r="W292" s="13">
        <f t="shared" si="12"/>
        <v>6075</v>
      </c>
      <c r="X292" s="12" t="str">
        <f>_xlfn.XLOOKUP($B292,M_YT_LIVE!$A:$A,M_YT_LIVE!$D:$D)</f>
        <v>https://www.youtube.com/live/wY3z5W9B8N0?si=FVqBjyoCdmcOKFxz</v>
      </c>
      <c r="Z292" s="16" t="str">
        <f>HYPERLINK($X292&amp;SUBSTITUTE(マスタ!$C$3,"XXXXX",$W292))</f>
        <v>https://www.youtube.com/live/wY3z5W9B8N0?si=FVqBjyoCdmcOKFxz&amp;t=6075s</v>
      </c>
      <c r="AA292" s="12" t="str">
        <f t="shared" si="13"/>
        <v>HoneyWorks金曜日のおはよう</v>
      </c>
    </row>
    <row r="293" spans="1:27" x14ac:dyDescent="0.4">
      <c r="A293" s="14">
        <f t="shared" si="14"/>
        <v>292</v>
      </c>
      <c r="B293" s="14">
        <v>37</v>
      </c>
      <c r="C293" s="18" t="s">
        <v>786</v>
      </c>
      <c r="D293" s="14" t="s">
        <v>787</v>
      </c>
      <c r="E293" s="14" t="s">
        <v>785</v>
      </c>
      <c r="G293" s="1" t="str">
        <f>_xlfn.XLOOKUP(B293,M_YT_LIVE!A:A,M_YT_LIVE!F:F,"ERROR",0,1)</f>
        <v>弾き語り</v>
      </c>
      <c r="W293" s="13">
        <f t="shared" si="12"/>
        <v>6534</v>
      </c>
      <c r="X293" s="12" t="str">
        <f>_xlfn.XLOOKUP($B293,M_YT_LIVE!$A:$A,M_YT_LIVE!$D:$D)</f>
        <v>https://www.youtube.com/live/wY3z5W9B8N0?si=FVqBjyoCdmcOKFxz</v>
      </c>
      <c r="Z293" s="16" t="str">
        <f>HYPERLINK($X293&amp;SUBSTITUTE(マスタ!$C$3,"XXXXX",$W293))</f>
        <v>https://www.youtube.com/live/wY3z5W9B8N0?si=FVqBjyoCdmcOKFxz&amp;t=6534s</v>
      </c>
      <c r="AA293" s="12" t="str">
        <f t="shared" si="13"/>
        <v>HoneyWorks東京サマーセッション</v>
      </c>
    </row>
    <row r="294" spans="1:27" x14ac:dyDescent="0.4">
      <c r="A294" s="14">
        <f t="shared" si="14"/>
        <v>293</v>
      </c>
      <c r="B294" s="14">
        <v>37</v>
      </c>
      <c r="C294" s="18" t="s">
        <v>788</v>
      </c>
      <c r="D294" s="14" t="s">
        <v>789</v>
      </c>
      <c r="E294" s="14" t="s">
        <v>790</v>
      </c>
      <c r="G294" s="1" t="str">
        <f>_xlfn.XLOOKUP(B294,M_YT_LIVE!A:A,M_YT_LIVE!F:F,"ERROR",0,1)</f>
        <v>弾き語り</v>
      </c>
      <c r="W294" s="13">
        <f t="shared" si="12"/>
        <v>7072</v>
      </c>
      <c r="X294" s="12" t="str">
        <f>_xlfn.XLOOKUP($B294,M_YT_LIVE!$A:$A,M_YT_LIVE!$D:$D)</f>
        <v>https://www.youtube.com/live/wY3z5W9B8N0?si=FVqBjyoCdmcOKFxz</v>
      </c>
      <c r="Z294" s="16" t="str">
        <f>HYPERLINK($X294&amp;SUBSTITUTE(マスタ!$C$3,"XXXXX",$W294))</f>
        <v>https://www.youtube.com/live/wY3z5W9B8N0?si=FVqBjyoCdmcOKFxz&amp;t=7072s</v>
      </c>
      <c r="AA294" s="12" t="str">
        <f t="shared" si="13"/>
        <v>CHiCO with HoneyWorksカヌレ</v>
      </c>
    </row>
    <row r="295" spans="1:27" x14ac:dyDescent="0.4">
      <c r="A295" s="14">
        <f t="shared" si="14"/>
        <v>294</v>
      </c>
      <c r="B295" s="14">
        <v>39</v>
      </c>
      <c r="C295" s="18" t="s">
        <v>796</v>
      </c>
      <c r="D295" s="14" t="s">
        <v>176</v>
      </c>
      <c r="E295" s="14" t="s">
        <v>177</v>
      </c>
      <c r="G295" s="1" t="str">
        <f>_xlfn.XLOOKUP(B295,M_YT_LIVE!A:A,M_YT_LIVE!F:F,"ERROR",0,1)</f>
        <v>弾き語り</v>
      </c>
      <c r="W295" s="13">
        <f t="shared" si="12"/>
        <v>263</v>
      </c>
      <c r="X295" s="12" t="str">
        <f>_xlfn.XLOOKUP($B295,M_YT_LIVE!$A:$A,M_YT_LIVE!$D:$D)</f>
        <v>https://www.youtube.com/live/UhIJMxJCcSo?si=d4Gic-mx0PwrsxJ-</v>
      </c>
      <c r="Z295" s="16" t="str">
        <f>HYPERLINK($X295&amp;SUBSTITUTE(マスタ!$C$3,"XXXXX",$W295))</f>
        <v>https://www.youtube.com/live/UhIJMxJCcSo?si=d4Gic-mx0PwrsxJ-&amp;t=263s</v>
      </c>
      <c r="AA295" s="12" t="str">
        <f t="shared" si="13"/>
        <v>Saucy Dogシンデレラボーイ</v>
      </c>
    </row>
    <row r="296" spans="1:27" x14ac:dyDescent="0.4">
      <c r="A296" s="14">
        <f t="shared" si="14"/>
        <v>295</v>
      </c>
      <c r="B296" s="14">
        <v>39</v>
      </c>
      <c r="C296" s="18" t="s">
        <v>797</v>
      </c>
      <c r="D296" s="14" t="s">
        <v>71</v>
      </c>
      <c r="E296" s="14" t="s">
        <v>72</v>
      </c>
      <c r="G296" s="1" t="str">
        <f>_xlfn.XLOOKUP(B296,M_YT_LIVE!A:A,M_YT_LIVE!F:F,"ERROR",0,1)</f>
        <v>弾き語り</v>
      </c>
      <c r="W296" s="13">
        <f t="shared" si="12"/>
        <v>676</v>
      </c>
      <c r="X296" s="12" t="str">
        <f>_xlfn.XLOOKUP($B296,M_YT_LIVE!$A:$A,M_YT_LIVE!$D:$D)</f>
        <v>https://www.youtube.com/live/UhIJMxJCcSo?si=d4Gic-mx0PwrsxJ-</v>
      </c>
      <c r="Z296" s="16" t="str">
        <f>HYPERLINK($X296&amp;SUBSTITUTE(マスタ!$C$3,"XXXXX",$W296))</f>
        <v>https://www.youtube.com/live/UhIJMxJCcSo?si=d4Gic-mx0PwrsxJ-&amp;t=676s</v>
      </c>
      <c r="AA296" s="12" t="str">
        <f t="shared" si="13"/>
        <v>優里ドライフラワー</v>
      </c>
    </row>
    <row r="297" spans="1:27" x14ac:dyDescent="0.4">
      <c r="A297" s="14">
        <f t="shared" si="14"/>
        <v>296</v>
      </c>
      <c r="B297" s="14">
        <v>39</v>
      </c>
      <c r="C297" s="18" t="s">
        <v>798</v>
      </c>
      <c r="D297" s="14" t="s">
        <v>56</v>
      </c>
      <c r="E297" s="14" t="s">
        <v>57</v>
      </c>
      <c r="G297" s="1" t="str">
        <f>_xlfn.XLOOKUP(B297,M_YT_LIVE!A:A,M_YT_LIVE!F:F,"ERROR",0,1)</f>
        <v>弾き語り</v>
      </c>
      <c r="W297" s="13">
        <f t="shared" si="12"/>
        <v>1110</v>
      </c>
      <c r="X297" s="12" t="str">
        <f>_xlfn.XLOOKUP($B297,M_YT_LIVE!$A:$A,M_YT_LIVE!$D:$D)</f>
        <v>https://www.youtube.com/live/UhIJMxJCcSo?si=d4Gic-mx0PwrsxJ-</v>
      </c>
      <c r="Z297" s="16" t="str">
        <f>HYPERLINK($X297&amp;SUBSTITUTE(マスタ!$C$3,"XXXXX",$W297))</f>
        <v>https://www.youtube.com/live/UhIJMxJCcSo?si=d4Gic-mx0PwrsxJ-&amp;t=1110s</v>
      </c>
      <c r="AA297" s="12" t="str">
        <f t="shared" si="13"/>
        <v>羊文学more than words</v>
      </c>
    </row>
    <row r="298" spans="1:27" x14ac:dyDescent="0.4">
      <c r="A298" s="14">
        <f t="shared" si="14"/>
        <v>297</v>
      </c>
      <c r="B298" s="14">
        <v>39</v>
      </c>
      <c r="C298" s="18" t="s">
        <v>799</v>
      </c>
      <c r="D298" s="14" t="s">
        <v>222</v>
      </c>
      <c r="E298" s="14" t="s">
        <v>57</v>
      </c>
      <c r="G298" s="1" t="str">
        <f>_xlfn.XLOOKUP(B298,M_YT_LIVE!A:A,M_YT_LIVE!F:F,"ERROR",0,1)</f>
        <v>弾き語り</v>
      </c>
      <c r="W298" s="13">
        <f t="shared" si="12"/>
        <v>1534</v>
      </c>
      <c r="X298" s="12" t="str">
        <f>_xlfn.XLOOKUP($B298,M_YT_LIVE!$A:$A,M_YT_LIVE!$D:$D)</f>
        <v>https://www.youtube.com/live/UhIJMxJCcSo?si=d4Gic-mx0PwrsxJ-</v>
      </c>
      <c r="Z298" s="16" t="str">
        <f>HYPERLINK($X298&amp;SUBSTITUTE(マスタ!$C$3,"XXXXX",$W298))</f>
        <v>https://www.youtube.com/live/UhIJMxJCcSo?si=d4Gic-mx0PwrsxJ-&amp;t=1534s</v>
      </c>
      <c r="AA298" s="12" t="str">
        <f t="shared" si="13"/>
        <v>羊文学光るとき</v>
      </c>
    </row>
    <row r="299" spans="1:27" x14ac:dyDescent="0.4">
      <c r="A299" s="14">
        <f t="shared" si="14"/>
        <v>298</v>
      </c>
      <c r="B299" s="14">
        <v>39</v>
      </c>
      <c r="C299" s="18" t="s">
        <v>800</v>
      </c>
      <c r="D299" s="14" t="s">
        <v>29</v>
      </c>
      <c r="E299" s="14" t="s">
        <v>183</v>
      </c>
      <c r="G299" s="1" t="str">
        <f>_xlfn.XLOOKUP(B299,M_YT_LIVE!A:A,M_YT_LIVE!F:F,"ERROR",0,1)</f>
        <v>弾き語り</v>
      </c>
      <c r="W299" s="13">
        <f t="shared" si="12"/>
        <v>2043.0000000000002</v>
      </c>
      <c r="X299" s="12" t="str">
        <f>_xlfn.XLOOKUP($B299,M_YT_LIVE!$A:$A,M_YT_LIVE!$D:$D)</f>
        <v>https://www.youtube.com/live/UhIJMxJCcSo?si=d4Gic-mx0PwrsxJ-</v>
      </c>
      <c r="Z299" s="16" t="str">
        <f>HYPERLINK($X299&amp;SUBSTITUTE(マスタ!$C$3,"XXXXX",$W299))</f>
        <v>https://www.youtube.com/live/UhIJMxJCcSo?si=d4Gic-mx0PwrsxJ-&amp;t=2043s</v>
      </c>
      <c r="AA299" s="12" t="str">
        <f t="shared" si="13"/>
        <v>クリープハイプ憂、燦々</v>
      </c>
    </row>
    <row r="300" spans="1:27" x14ac:dyDescent="0.4">
      <c r="A300" s="14">
        <f t="shared" si="14"/>
        <v>299</v>
      </c>
      <c r="B300" s="14">
        <v>39</v>
      </c>
      <c r="C300" s="18" t="s">
        <v>801</v>
      </c>
      <c r="D300" s="14" t="s">
        <v>137</v>
      </c>
      <c r="E300" s="14" t="s">
        <v>138</v>
      </c>
      <c r="G300" s="1" t="str">
        <f>_xlfn.XLOOKUP(B300,M_YT_LIVE!A:A,M_YT_LIVE!F:F,"ERROR",0,1)</f>
        <v>弾き語り</v>
      </c>
      <c r="W300" s="13">
        <f t="shared" si="12"/>
        <v>2493</v>
      </c>
      <c r="X300" s="12" t="str">
        <f>_xlfn.XLOOKUP($B300,M_YT_LIVE!$A:$A,M_YT_LIVE!$D:$D)</f>
        <v>https://www.youtube.com/live/UhIJMxJCcSo?si=d4Gic-mx0PwrsxJ-</v>
      </c>
      <c r="Z300" s="16" t="str">
        <f>HYPERLINK($X300&amp;SUBSTITUTE(マスタ!$C$3,"XXXXX",$W300))</f>
        <v>https://www.youtube.com/live/UhIJMxJCcSo?si=d4Gic-mx0PwrsxJ-&amp;t=2493s</v>
      </c>
      <c r="AA300" s="12" t="str">
        <f t="shared" si="13"/>
        <v>ポルカドットスティングレイトゲめくスピカ</v>
      </c>
    </row>
    <row r="301" spans="1:27" x14ac:dyDescent="0.4">
      <c r="A301" s="14">
        <f t="shared" si="14"/>
        <v>300</v>
      </c>
      <c r="B301" s="14">
        <v>39</v>
      </c>
      <c r="C301" s="18" t="s">
        <v>802</v>
      </c>
      <c r="D301" s="14" t="s">
        <v>80</v>
      </c>
      <c r="E301" s="14" t="s">
        <v>81</v>
      </c>
      <c r="G301" s="1" t="str">
        <f>_xlfn.XLOOKUP(B301,M_YT_LIVE!A:A,M_YT_LIVE!F:F,"ERROR",0,1)</f>
        <v>弾き語り</v>
      </c>
      <c r="W301" s="13">
        <f t="shared" si="12"/>
        <v>3008.9999999999995</v>
      </c>
      <c r="X301" s="12" t="str">
        <f>_xlfn.XLOOKUP($B301,M_YT_LIVE!$A:$A,M_YT_LIVE!$D:$D)</f>
        <v>https://www.youtube.com/live/UhIJMxJCcSo?si=d4Gic-mx0PwrsxJ-</v>
      </c>
      <c r="Z301" s="16" t="str">
        <f>HYPERLINK($X301&amp;SUBSTITUTE(マスタ!$C$3,"XXXXX",$W301))</f>
        <v>https://www.youtube.com/live/UhIJMxJCcSo?si=d4Gic-mx0PwrsxJ-&amp;t=3009s</v>
      </c>
      <c r="AA301" s="12" t="str">
        <f t="shared" si="13"/>
        <v>じん(自然の敵P) feat.IA想像フォレスト</v>
      </c>
    </row>
    <row r="302" spans="1:27" x14ac:dyDescent="0.4">
      <c r="A302" s="14">
        <f t="shared" si="14"/>
        <v>301</v>
      </c>
      <c r="B302" s="14">
        <v>39</v>
      </c>
      <c r="C302" s="18" t="s">
        <v>803</v>
      </c>
      <c r="D302" s="14" t="s">
        <v>97</v>
      </c>
      <c r="E302" s="14" t="s">
        <v>98</v>
      </c>
      <c r="G302" s="1" t="str">
        <f>_xlfn.XLOOKUP(B302,M_YT_LIVE!A:A,M_YT_LIVE!F:F,"ERROR",0,1)</f>
        <v>弾き語り</v>
      </c>
      <c r="W302" s="13">
        <f t="shared" si="12"/>
        <v>3504.9999999999995</v>
      </c>
      <c r="X302" s="12" t="str">
        <f>_xlfn.XLOOKUP($B302,M_YT_LIVE!$A:$A,M_YT_LIVE!$D:$D)</f>
        <v>https://www.youtube.com/live/UhIJMxJCcSo?si=d4Gic-mx0PwrsxJ-</v>
      </c>
      <c r="Z302" s="16" t="str">
        <f>HYPERLINK($X302&amp;SUBSTITUTE(マスタ!$C$3,"XXXXX",$W302))</f>
        <v>https://www.youtube.com/live/UhIJMxJCcSo?si=d4Gic-mx0PwrsxJ-&amp;t=3505s</v>
      </c>
      <c r="AA302" s="12" t="str">
        <f t="shared" si="13"/>
        <v>Dixie Flatline feat.巡音ルカJust Be Friends</v>
      </c>
    </row>
    <row r="303" spans="1:27" x14ac:dyDescent="0.4">
      <c r="A303" s="14">
        <f t="shared" si="14"/>
        <v>302</v>
      </c>
      <c r="B303" s="14">
        <v>39</v>
      </c>
      <c r="C303" s="18" t="s">
        <v>804</v>
      </c>
      <c r="D303" s="14" t="s">
        <v>152</v>
      </c>
      <c r="E303" s="14" t="s">
        <v>153</v>
      </c>
      <c r="G303" s="1" t="str">
        <f>_xlfn.XLOOKUP(B303,M_YT_LIVE!A:A,M_YT_LIVE!F:F,"ERROR",0,1)</f>
        <v>弾き語り</v>
      </c>
      <c r="W303" s="13">
        <f t="shared" si="12"/>
        <v>4142</v>
      </c>
      <c r="X303" s="12" t="str">
        <f>_xlfn.XLOOKUP($B303,M_YT_LIVE!$A:$A,M_YT_LIVE!$D:$D)</f>
        <v>https://www.youtube.com/live/UhIJMxJCcSo?si=d4Gic-mx0PwrsxJ-</v>
      </c>
      <c r="Z303" s="16" t="str">
        <f>HYPERLINK($X303&amp;SUBSTITUTE(マスタ!$C$3,"XXXXX",$W303))</f>
        <v>https://www.youtube.com/live/UhIJMxJCcSo?si=d4Gic-mx0PwrsxJ-&amp;t=4142s</v>
      </c>
      <c r="AA303" s="12" t="str">
        <f t="shared" si="13"/>
        <v>こんにちは谷田さん(キタニタツヤ) feat.初音ミク記憶の水槽</v>
      </c>
    </row>
    <row r="304" spans="1:27" x14ac:dyDescent="0.4">
      <c r="A304" s="14">
        <f t="shared" si="14"/>
        <v>303</v>
      </c>
      <c r="B304" s="14">
        <v>39</v>
      </c>
      <c r="C304" s="18" t="s">
        <v>805</v>
      </c>
      <c r="D304" s="14" t="s">
        <v>806</v>
      </c>
      <c r="E304" s="14" t="s">
        <v>807</v>
      </c>
      <c r="G304" s="1" t="str">
        <f>_xlfn.XLOOKUP(B304,M_YT_LIVE!A:A,M_YT_LIVE!F:F,"ERROR",0,1)</f>
        <v>弾き語り</v>
      </c>
      <c r="W304" s="13">
        <f t="shared" si="12"/>
        <v>4594</v>
      </c>
      <c r="X304" s="12" t="str">
        <f>_xlfn.XLOOKUP($B304,M_YT_LIVE!$A:$A,M_YT_LIVE!$D:$D)</f>
        <v>https://www.youtube.com/live/UhIJMxJCcSo?si=d4Gic-mx0PwrsxJ-</v>
      </c>
      <c r="Z304" s="16" t="str">
        <f>HYPERLINK($X304&amp;SUBSTITUTE(マスタ!$C$3,"XXXXX",$W304))</f>
        <v>https://www.youtube.com/live/UhIJMxJCcSo?si=d4Gic-mx0PwrsxJ-&amp;t=4594s</v>
      </c>
      <c r="AA304" s="12" t="str">
        <f t="shared" si="13"/>
        <v>キタニタツヤ青のすみか</v>
      </c>
    </row>
    <row r="305" spans="1:27" x14ac:dyDescent="0.4">
      <c r="A305" s="14">
        <f t="shared" si="14"/>
        <v>304</v>
      </c>
      <c r="B305" s="14">
        <v>39</v>
      </c>
      <c r="C305" s="18" t="s">
        <v>808</v>
      </c>
      <c r="D305" s="14" t="s">
        <v>83</v>
      </c>
      <c r="E305" s="14" t="s">
        <v>84</v>
      </c>
      <c r="G305" s="1" t="str">
        <f>_xlfn.XLOOKUP(B305,M_YT_LIVE!A:A,M_YT_LIVE!F:F,"ERROR",0,1)</f>
        <v>弾き語り</v>
      </c>
      <c r="W305" s="13">
        <f t="shared" si="12"/>
        <v>5049</v>
      </c>
      <c r="X305" s="12" t="str">
        <f>_xlfn.XLOOKUP($B305,M_YT_LIVE!$A:$A,M_YT_LIVE!$D:$D)</f>
        <v>https://www.youtube.com/live/UhIJMxJCcSo?si=d4Gic-mx0PwrsxJ-</v>
      </c>
      <c r="Z305" s="16" t="str">
        <f>HYPERLINK($X305&amp;SUBSTITUTE(マスタ!$C$3,"XXXXX",$W305))</f>
        <v>https://www.youtube.com/live/UhIJMxJCcSo?si=d4Gic-mx0PwrsxJ-&amp;t=5049s</v>
      </c>
      <c r="AA305" s="12" t="str">
        <f t="shared" si="13"/>
        <v>木村弓いのちの名前</v>
      </c>
    </row>
    <row r="306" spans="1:27" x14ac:dyDescent="0.4">
      <c r="A306" s="14">
        <f t="shared" si="14"/>
        <v>305</v>
      </c>
      <c r="B306" s="14">
        <v>42</v>
      </c>
      <c r="C306" s="18" t="s">
        <v>815</v>
      </c>
      <c r="D306" s="14" t="s">
        <v>816</v>
      </c>
      <c r="E306" s="14" t="s">
        <v>817</v>
      </c>
      <c r="G306" s="1" t="str">
        <f>_xlfn.XLOOKUP(B306,M_YT_LIVE!A:A,M_YT_LIVE!F:F,"ERROR",0,1)</f>
        <v>他</v>
      </c>
      <c r="W306" s="13">
        <f t="shared" si="12"/>
        <v>1455</v>
      </c>
      <c r="X306" s="12" t="str">
        <f>_xlfn.XLOOKUP($B306,M_YT_LIVE!$A:$A,M_YT_LIVE!$D:$D)</f>
        <v>https://www.youtube.com/live/PDfzdlcsxB4?si=NS72teYqyxrgmxUE</v>
      </c>
      <c r="Z306" s="16" t="str">
        <f>HYPERLINK($X306&amp;SUBSTITUTE(マスタ!$C$3,"XXXXX",$W306))</f>
        <v>https://www.youtube.com/live/PDfzdlcsxB4?si=NS72teYqyxrgmxUE&amp;t=1455s</v>
      </c>
      <c r="AA306" s="12" t="str">
        <f t="shared" si="13"/>
        <v>Honey Works feat.初音ミク┗|∵|┓金曜日のおはよう-another story-</v>
      </c>
    </row>
    <row r="307" spans="1:27" x14ac:dyDescent="0.4">
      <c r="A307" s="14">
        <f t="shared" si="14"/>
        <v>306</v>
      </c>
      <c r="B307" s="14">
        <v>42</v>
      </c>
      <c r="C307" s="18" t="s">
        <v>818</v>
      </c>
      <c r="D307" s="14" t="s">
        <v>207</v>
      </c>
      <c r="E307" s="14" t="s">
        <v>208</v>
      </c>
      <c r="G307" s="1" t="str">
        <f>_xlfn.XLOOKUP(B307,M_YT_LIVE!A:A,M_YT_LIVE!F:F,"ERROR",0,1)</f>
        <v>他</v>
      </c>
      <c r="W307" s="13">
        <f t="shared" si="12"/>
        <v>1858</v>
      </c>
      <c r="X307" s="12" t="str">
        <f>_xlfn.XLOOKUP($B307,M_YT_LIVE!$A:$A,M_YT_LIVE!$D:$D)</f>
        <v>https://www.youtube.com/live/PDfzdlcsxB4?si=NS72teYqyxrgmxUE</v>
      </c>
      <c r="Z307" s="16" t="str">
        <f>HYPERLINK($X307&amp;SUBSTITUTE(マスタ!$C$3,"XXXXX",$W307))</f>
        <v>https://www.youtube.com/live/PDfzdlcsxB4?si=NS72teYqyxrgmxUE&amp;t=1858s</v>
      </c>
      <c r="AA307" s="12" t="str">
        <f t="shared" si="13"/>
        <v>supercellPerfect Day</v>
      </c>
    </row>
    <row r="308" spans="1:27" x14ac:dyDescent="0.4">
      <c r="A308" s="14">
        <f t="shared" si="14"/>
        <v>307</v>
      </c>
      <c r="B308" s="14">
        <v>44</v>
      </c>
      <c r="C308" s="18" t="s">
        <v>282</v>
      </c>
      <c r="D308" s="14" t="s">
        <v>218</v>
      </c>
      <c r="E308" s="14" t="s">
        <v>208</v>
      </c>
      <c r="G308" s="1" t="str">
        <f>_xlfn.XLOOKUP(B308,M_YT_LIVE!A:A,M_YT_LIVE!F:F,"ERROR",0,1)</f>
        <v>弾き語り</v>
      </c>
      <c r="W308" s="13">
        <f t="shared" si="12"/>
        <v>290</v>
      </c>
      <c r="X308" s="12" t="str">
        <f>_xlfn.XLOOKUP($B308,M_YT_LIVE!$A:$A,M_YT_LIVE!$D:$D)</f>
        <v>https://www.youtube.com/live/FuJDk5I3Oyo?si=KP6eEuJrPYERUqMb</v>
      </c>
      <c r="Z308" s="16" t="str">
        <f>HYPERLINK($X308&amp;SUBSTITUTE(マスタ!$C$3,"XXXXX",$W308))</f>
        <v>https://www.youtube.com/live/FuJDk5I3Oyo?si=KP6eEuJrPYERUqMb&amp;t=290s</v>
      </c>
      <c r="AA308" s="12" t="str">
        <f t="shared" si="13"/>
        <v>supercell君の知らない物語</v>
      </c>
    </row>
    <row r="309" spans="1:27" x14ac:dyDescent="0.4">
      <c r="A309" s="14">
        <f t="shared" si="14"/>
        <v>308</v>
      </c>
      <c r="B309" s="14">
        <v>44</v>
      </c>
      <c r="C309" s="18" t="s">
        <v>823</v>
      </c>
      <c r="D309" s="14" t="s">
        <v>289</v>
      </c>
      <c r="E309" s="14" t="s">
        <v>135</v>
      </c>
      <c r="G309" s="1" t="str">
        <f>_xlfn.XLOOKUP(B309,M_YT_LIVE!A:A,M_YT_LIVE!F:F,"ERROR",0,1)</f>
        <v>弾き語り</v>
      </c>
      <c r="W309" s="13">
        <f t="shared" si="12"/>
        <v>808.00000000000011</v>
      </c>
      <c r="X309" s="12" t="str">
        <f>_xlfn.XLOOKUP($B309,M_YT_LIVE!$A:$A,M_YT_LIVE!$D:$D)</f>
        <v>https://www.youtube.com/live/FuJDk5I3Oyo?si=KP6eEuJrPYERUqMb</v>
      </c>
      <c r="Z309" s="16" t="str">
        <f>HYPERLINK($X309&amp;SUBSTITUTE(マスタ!$C$3,"XXXXX",$W309))</f>
        <v>https://www.youtube.com/live/FuJDk5I3Oyo?si=KP6eEuJrPYERUqMb&amp;t=808s</v>
      </c>
      <c r="AA309" s="12" t="str">
        <f t="shared" si="13"/>
        <v>EGOIST雨、キミを連れて</v>
      </c>
    </row>
    <row r="310" spans="1:27" x14ac:dyDescent="0.4">
      <c r="A310" s="14">
        <f t="shared" si="14"/>
        <v>309</v>
      </c>
      <c r="B310" s="14">
        <v>44</v>
      </c>
      <c r="C310" s="18" t="s">
        <v>824</v>
      </c>
      <c r="D310" s="14" t="s">
        <v>372</v>
      </c>
      <c r="E310" s="14" t="s">
        <v>135</v>
      </c>
      <c r="G310" s="1" t="str">
        <f>_xlfn.XLOOKUP(B310,M_YT_LIVE!A:A,M_YT_LIVE!F:F,"ERROR",0,1)</f>
        <v>弾き語り</v>
      </c>
      <c r="W310" s="13">
        <f t="shared" si="12"/>
        <v>1134</v>
      </c>
      <c r="X310" s="12" t="str">
        <f>_xlfn.XLOOKUP($B310,M_YT_LIVE!$A:$A,M_YT_LIVE!$D:$D)</f>
        <v>https://www.youtube.com/live/FuJDk5I3Oyo?si=KP6eEuJrPYERUqMb</v>
      </c>
      <c r="Z310" s="16" t="str">
        <f>HYPERLINK($X310&amp;SUBSTITUTE(マスタ!$C$3,"XXXXX",$W310))</f>
        <v>https://www.youtube.com/live/FuJDk5I3Oyo?si=KP6eEuJrPYERUqMb&amp;t=1134s</v>
      </c>
      <c r="AA310" s="12" t="str">
        <f t="shared" si="13"/>
        <v>EGOISTThe Everlasting Guilty Crown</v>
      </c>
    </row>
    <row r="311" spans="1:27" x14ac:dyDescent="0.4">
      <c r="A311" s="14">
        <f t="shared" si="14"/>
        <v>310</v>
      </c>
      <c r="B311" s="14">
        <v>44</v>
      </c>
      <c r="C311" s="18" t="s">
        <v>825</v>
      </c>
      <c r="D311" s="14" t="s">
        <v>370</v>
      </c>
      <c r="E311" s="14" t="s">
        <v>208</v>
      </c>
      <c r="G311" s="1" t="str">
        <f>_xlfn.XLOOKUP(B311,M_YT_LIVE!A:A,M_YT_LIVE!F:F,"ERROR",0,1)</f>
        <v>弾き語り</v>
      </c>
      <c r="W311" s="13">
        <f t="shared" si="12"/>
        <v>1641</v>
      </c>
      <c r="X311" s="12" t="str">
        <f>_xlfn.XLOOKUP($B311,M_YT_LIVE!$A:$A,M_YT_LIVE!$D:$D)</f>
        <v>https://www.youtube.com/live/FuJDk5I3Oyo?si=KP6eEuJrPYERUqMb</v>
      </c>
      <c r="Z311" s="16" t="str">
        <f>HYPERLINK($X311&amp;SUBSTITUTE(マスタ!$C$3,"XXXXX",$W311))</f>
        <v>https://www.youtube.com/live/FuJDk5I3Oyo?si=KP6eEuJrPYERUqMb&amp;t=1641s</v>
      </c>
      <c r="AA311" s="12" t="str">
        <f t="shared" si="13"/>
        <v>supercellMy Dearest</v>
      </c>
    </row>
    <row r="312" spans="1:27" x14ac:dyDescent="0.4">
      <c r="A312" s="14">
        <f t="shared" si="14"/>
        <v>311</v>
      </c>
      <c r="B312" s="14">
        <v>44</v>
      </c>
      <c r="C312" s="18" t="s">
        <v>196</v>
      </c>
      <c r="D312" s="14" t="s">
        <v>238</v>
      </c>
      <c r="E312" s="14" t="s">
        <v>135</v>
      </c>
      <c r="G312" s="1" t="str">
        <f>_xlfn.XLOOKUP(B312,M_YT_LIVE!A:A,M_YT_LIVE!F:F,"ERROR",0,1)</f>
        <v>弾き語り</v>
      </c>
      <c r="W312" s="13">
        <f t="shared" si="12"/>
        <v>2110</v>
      </c>
      <c r="X312" s="12" t="str">
        <f>_xlfn.XLOOKUP($B312,M_YT_LIVE!$A:$A,M_YT_LIVE!$D:$D)</f>
        <v>https://www.youtube.com/live/FuJDk5I3Oyo?si=KP6eEuJrPYERUqMb</v>
      </c>
      <c r="Z312" s="16" t="str">
        <f>HYPERLINK($X312&amp;SUBSTITUTE(マスタ!$C$3,"XXXXX",$W312))</f>
        <v>https://www.youtube.com/live/FuJDk5I3Oyo?si=KP6eEuJrPYERUqMb&amp;t=2110s</v>
      </c>
      <c r="AA312" s="12" t="str">
        <f t="shared" si="13"/>
        <v>EGOIST名前のない怪物</v>
      </c>
    </row>
    <row r="313" spans="1:27" x14ac:dyDescent="0.4">
      <c r="A313" s="14">
        <f t="shared" si="14"/>
        <v>312</v>
      </c>
      <c r="B313" s="14">
        <v>44</v>
      </c>
      <c r="C313" s="18" t="s">
        <v>826</v>
      </c>
      <c r="D313" s="14" t="s">
        <v>827</v>
      </c>
      <c r="E313" s="14" t="s">
        <v>135</v>
      </c>
      <c r="G313" s="1" t="str">
        <f>_xlfn.XLOOKUP(B313,M_YT_LIVE!A:A,M_YT_LIVE!F:F,"ERROR",0,1)</f>
        <v>弾き語り</v>
      </c>
      <c r="W313" s="13">
        <f t="shared" si="12"/>
        <v>2557</v>
      </c>
      <c r="X313" s="12" t="str">
        <f>_xlfn.XLOOKUP($B313,M_YT_LIVE!$A:$A,M_YT_LIVE!$D:$D)</f>
        <v>https://www.youtube.com/live/FuJDk5I3Oyo?si=KP6eEuJrPYERUqMb</v>
      </c>
      <c r="Z313" s="16" t="str">
        <f>HYPERLINK($X313&amp;SUBSTITUTE(マスタ!$C$3,"XXXXX",$W313))</f>
        <v>https://www.youtube.com/live/FuJDk5I3Oyo?si=KP6eEuJrPYERUqMb&amp;t=2557s</v>
      </c>
      <c r="AA313" s="12" t="str">
        <f t="shared" si="13"/>
        <v>EGOISTFallen</v>
      </c>
    </row>
    <row r="314" spans="1:27" x14ac:dyDescent="0.4">
      <c r="A314" s="14">
        <f t="shared" si="14"/>
        <v>313</v>
      </c>
      <c r="B314" s="14">
        <v>44</v>
      </c>
      <c r="C314" s="18" t="s">
        <v>828</v>
      </c>
      <c r="D314" s="14" t="s">
        <v>829</v>
      </c>
      <c r="E314" s="14" t="s">
        <v>208</v>
      </c>
      <c r="G314" s="1" t="str">
        <f>_xlfn.XLOOKUP(B314,M_YT_LIVE!A:A,M_YT_LIVE!F:F,"ERROR",0,1)</f>
        <v>弾き語り</v>
      </c>
      <c r="W314" s="13">
        <f t="shared" si="12"/>
        <v>3080.0000000000005</v>
      </c>
      <c r="X314" s="12" t="str">
        <f>_xlfn.XLOOKUP($B314,M_YT_LIVE!$A:$A,M_YT_LIVE!$D:$D)</f>
        <v>https://www.youtube.com/live/FuJDk5I3Oyo?si=KP6eEuJrPYERUqMb</v>
      </c>
      <c r="Z314" s="16" t="str">
        <f>HYPERLINK($X314&amp;SUBSTITUTE(マスタ!$C$3,"XXXXX",$W314))</f>
        <v>https://www.youtube.com/live/FuJDk5I3Oyo?si=KP6eEuJrPYERUqMb&amp;t=3080s</v>
      </c>
      <c r="AA314" s="12" t="str">
        <f t="shared" si="13"/>
        <v>supercellLove&amp;Roll</v>
      </c>
    </row>
    <row r="315" spans="1:27" x14ac:dyDescent="0.4">
      <c r="A315" s="14">
        <f t="shared" si="14"/>
        <v>314</v>
      </c>
      <c r="B315" s="14">
        <v>44</v>
      </c>
      <c r="C315" s="18" t="s">
        <v>830</v>
      </c>
      <c r="D315" s="14" t="s">
        <v>831</v>
      </c>
      <c r="E315" s="14" t="s">
        <v>832</v>
      </c>
      <c r="G315" s="1" t="str">
        <f>_xlfn.XLOOKUP(B315,M_YT_LIVE!A:A,M_YT_LIVE!F:F,"ERROR",0,1)</f>
        <v>弾き語り</v>
      </c>
      <c r="W315" s="13">
        <f t="shared" si="12"/>
        <v>3518.9999999999995</v>
      </c>
      <c r="X315" s="12" t="str">
        <f>_xlfn.XLOOKUP($B315,M_YT_LIVE!$A:$A,M_YT_LIVE!$D:$D)</f>
        <v>https://www.youtube.com/live/FuJDk5I3Oyo?si=KP6eEuJrPYERUqMb</v>
      </c>
      <c r="Z315" s="16" t="str">
        <f>HYPERLINK($X315&amp;SUBSTITUTE(マスタ!$C$3,"XXXXX",$W315))</f>
        <v>https://www.youtube.com/live/FuJDk5I3Oyo?si=KP6eEuJrPYERUqMb&amp;t=3519s</v>
      </c>
      <c r="AA315" s="12" t="str">
        <f t="shared" si="13"/>
        <v>ryo feat.chellyGreat distance</v>
      </c>
    </row>
    <row r="316" spans="1:27" x14ac:dyDescent="0.4">
      <c r="A316" s="14">
        <f t="shared" si="14"/>
        <v>315</v>
      </c>
      <c r="B316" s="14">
        <v>44</v>
      </c>
      <c r="C316" s="18" t="s">
        <v>833</v>
      </c>
      <c r="D316" s="14" t="s">
        <v>312</v>
      </c>
      <c r="E316" s="14" t="s">
        <v>208</v>
      </c>
      <c r="G316" s="1" t="str">
        <f>_xlfn.XLOOKUP(B316,M_YT_LIVE!A:A,M_YT_LIVE!F:F,"ERROR",0,1)</f>
        <v>弾き語り</v>
      </c>
      <c r="W316" s="13">
        <f t="shared" si="12"/>
        <v>4245</v>
      </c>
      <c r="X316" s="12" t="str">
        <f>_xlfn.XLOOKUP($B316,M_YT_LIVE!$A:$A,M_YT_LIVE!$D:$D)</f>
        <v>https://www.youtube.com/live/FuJDk5I3Oyo?si=KP6eEuJrPYERUqMb</v>
      </c>
      <c r="Z316" s="16" t="str">
        <f>HYPERLINK($X316&amp;SUBSTITUTE(マスタ!$C$3,"XXXXX",$W316))</f>
        <v>https://www.youtube.com/live/FuJDk5I3Oyo?si=KP6eEuJrPYERUqMb&amp;t=4245s</v>
      </c>
      <c r="AA316" s="12" t="str">
        <f t="shared" si="13"/>
        <v>supercellリルモア</v>
      </c>
    </row>
    <row r="317" spans="1:27" x14ac:dyDescent="0.4">
      <c r="A317" s="14">
        <f t="shared" si="14"/>
        <v>316</v>
      </c>
      <c r="B317" s="14">
        <v>44</v>
      </c>
      <c r="C317" s="18" t="s">
        <v>834</v>
      </c>
      <c r="D317" s="14" t="s">
        <v>835</v>
      </c>
      <c r="E317" s="14" t="s">
        <v>135</v>
      </c>
      <c r="G317" s="1" t="str">
        <f>_xlfn.XLOOKUP(B317,M_YT_LIVE!A:A,M_YT_LIVE!F:F,"ERROR",0,1)</f>
        <v>弾き語り</v>
      </c>
      <c r="W317" s="13">
        <f t="shared" si="12"/>
        <v>4618</v>
      </c>
      <c r="X317" s="12" t="str">
        <f>_xlfn.XLOOKUP($B317,M_YT_LIVE!$A:$A,M_YT_LIVE!$D:$D)</f>
        <v>https://www.youtube.com/live/FuJDk5I3Oyo?si=KP6eEuJrPYERUqMb</v>
      </c>
      <c r="Z317" s="16" t="str">
        <f>HYPERLINK($X317&amp;SUBSTITUTE(マスタ!$C$3,"XXXXX",$W317))</f>
        <v>https://www.youtube.com/live/FuJDk5I3Oyo?si=KP6eEuJrPYERUqMb&amp;t=4618s</v>
      </c>
      <c r="AA317" s="12" t="str">
        <f t="shared" si="13"/>
        <v>EGOISTLoveStruck</v>
      </c>
    </row>
    <row r="318" spans="1:27" x14ac:dyDescent="0.4">
      <c r="A318" s="14">
        <f t="shared" si="14"/>
        <v>317</v>
      </c>
      <c r="B318" s="14">
        <v>44</v>
      </c>
      <c r="C318" s="18" t="s">
        <v>836</v>
      </c>
      <c r="D318" s="14" t="s">
        <v>310</v>
      </c>
      <c r="E318" s="14" t="s">
        <v>208</v>
      </c>
      <c r="G318" s="1" t="str">
        <f>_xlfn.XLOOKUP(B318,M_YT_LIVE!A:A,M_YT_LIVE!F:F,"ERROR",0,1)</f>
        <v>弾き語り</v>
      </c>
      <c r="W318" s="13">
        <f t="shared" si="12"/>
        <v>5165</v>
      </c>
      <c r="X318" s="12" t="str">
        <f>_xlfn.XLOOKUP($B318,M_YT_LIVE!$A:$A,M_YT_LIVE!$D:$D)</f>
        <v>https://www.youtube.com/live/FuJDk5I3Oyo?si=KP6eEuJrPYERUqMb</v>
      </c>
      <c r="Z318" s="16" t="str">
        <f>HYPERLINK($X318&amp;SUBSTITUTE(マスタ!$C$3,"XXXXX",$W318))</f>
        <v>https://www.youtube.com/live/FuJDk5I3Oyo?si=KP6eEuJrPYERUqMb&amp;t=5165s</v>
      </c>
      <c r="AA318" s="12" t="str">
        <f t="shared" si="13"/>
        <v>supercellさよならメモリーズ</v>
      </c>
    </row>
    <row r="319" spans="1:27" x14ac:dyDescent="0.4">
      <c r="A319" s="14">
        <f t="shared" si="14"/>
        <v>318</v>
      </c>
      <c r="B319" s="14">
        <v>44</v>
      </c>
      <c r="C319" s="18" t="s">
        <v>837</v>
      </c>
      <c r="D319" s="14" t="s">
        <v>838</v>
      </c>
      <c r="E319" s="14" t="s">
        <v>208</v>
      </c>
      <c r="G319" s="1" t="str">
        <f>_xlfn.XLOOKUP(B319,M_YT_LIVE!A:A,M_YT_LIVE!F:F,"ERROR",0,1)</f>
        <v>弾き語り</v>
      </c>
      <c r="W319" s="13">
        <f t="shared" si="12"/>
        <v>5789.0000000000009</v>
      </c>
      <c r="X319" s="12" t="str">
        <f>_xlfn.XLOOKUP($B319,M_YT_LIVE!$A:$A,M_YT_LIVE!$D:$D)</f>
        <v>https://www.youtube.com/live/FuJDk5I3Oyo?si=KP6eEuJrPYERUqMb</v>
      </c>
      <c r="Z319" s="16" t="str">
        <f>HYPERLINK($X319&amp;SUBSTITUTE(マスタ!$C$3,"XXXXX",$W319))</f>
        <v>https://www.youtube.com/live/FuJDk5I3Oyo?si=KP6eEuJrPYERUqMb&amp;t=5789s</v>
      </c>
      <c r="AA319" s="12" t="str">
        <f t="shared" si="13"/>
        <v>supercell銀色飛行船</v>
      </c>
    </row>
    <row r="320" spans="1:27" x14ac:dyDescent="0.4">
      <c r="A320" s="14">
        <f t="shared" si="14"/>
        <v>319</v>
      </c>
      <c r="B320" s="14">
        <v>44</v>
      </c>
      <c r="C320" s="18" t="s">
        <v>840</v>
      </c>
      <c r="D320" s="14" t="s">
        <v>839</v>
      </c>
      <c r="E320" s="14" t="s">
        <v>208</v>
      </c>
      <c r="G320" s="1" t="str">
        <f>_xlfn.XLOOKUP(B320,M_YT_LIVE!A:A,M_YT_LIVE!F:F,"ERROR",0,1)</f>
        <v>弾き語り</v>
      </c>
      <c r="W320" s="13">
        <f t="shared" si="12"/>
        <v>6386</v>
      </c>
      <c r="X320" s="12" t="str">
        <f>_xlfn.XLOOKUP($B320,M_YT_LIVE!$A:$A,M_YT_LIVE!$D:$D)</f>
        <v>https://www.youtube.com/live/FuJDk5I3Oyo?si=KP6eEuJrPYERUqMb</v>
      </c>
      <c r="Z320" s="16" t="str">
        <f>HYPERLINK($X320&amp;SUBSTITUTE(マスタ!$C$3,"XXXXX",$W320))</f>
        <v>https://www.youtube.com/live/FuJDk5I3Oyo?si=KP6eEuJrPYERUqMb&amp;t=6386s</v>
      </c>
      <c r="AA320" s="12" t="str">
        <f t="shared" si="13"/>
        <v>supercellThe Bravery</v>
      </c>
    </row>
    <row r="321" spans="1:27" x14ac:dyDescent="0.4">
      <c r="A321" s="14">
        <f t="shared" si="14"/>
        <v>320</v>
      </c>
      <c r="B321" s="14">
        <v>46</v>
      </c>
      <c r="C321" s="18" t="s">
        <v>845</v>
      </c>
      <c r="D321" s="14" t="s">
        <v>846</v>
      </c>
      <c r="E321" s="14" t="s">
        <v>847</v>
      </c>
      <c r="G321" s="1" t="str">
        <f>_xlfn.XLOOKUP(B321,M_YT_LIVE!A:A,M_YT_LIVE!F:F,"ERROR",0,1)</f>
        <v>音源</v>
      </c>
      <c r="W321" s="13">
        <f t="shared" si="12"/>
        <v>241</v>
      </c>
      <c r="X321" s="12" t="str">
        <f>_xlfn.XLOOKUP($B321,M_YT_LIVE!$A:$A,M_YT_LIVE!$D:$D)</f>
        <v>https://www.youtube.com/live/DX8misWhJuA?si=x9BqkZPlvHen5SCl</v>
      </c>
      <c r="Z321" s="16" t="str">
        <f>HYPERLINK($X321&amp;SUBSTITUTE(マスタ!$C$3,"XXXXX",$W321))</f>
        <v>https://www.youtube.com/live/DX8misWhJuA?si=x9BqkZPlvHen5SCl&amp;t=241s</v>
      </c>
      <c r="AA321" s="12" t="str">
        <f t="shared" si="13"/>
        <v>スキマスイッチゴールデンタイムラバー</v>
      </c>
    </row>
    <row r="322" spans="1:27" x14ac:dyDescent="0.4">
      <c r="A322" s="14">
        <f t="shared" si="14"/>
        <v>321</v>
      </c>
      <c r="B322" s="14">
        <v>46</v>
      </c>
      <c r="C322" s="18" t="s">
        <v>848</v>
      </c>
      <c r="D322" s="14" t="s">
        <v>849</v>
      </c>
      <c r="E322" s="14" t="s">
        <v>847</v>
      </c>
      <c r="G322" s="1" t="str">
        <f>_xlfn.XLOOKUP(B322,M_YT_LIVE!A:A,M_YT_LIVE!F:F,"ERROR",0,1)</f>
        <v>音源</v>
      </c>
      <c r="W322" s="13">
        <f t="shared" si="12"/>
        <v>614</v>
      </c>
      <c r="X322" s="12" t="str">
        <f>_xlfn.XLOOKUP($B322,M_YT_LIVE!$A:$A,M_YT_LIVE!$D:$D)</f>
        <v>https://www.youtube.com/live/DX8misWhJuA?si=x9BqkZPlvHen5SCl</v>
      </c>
      <c r="Z322" s="16" t="str">
        <f>HYPERLINK($X322&amp;SUBSTITUTE(マスタ!$C$3,"XXXXX",$W322))</f>
        <v>https://www.youtube.com/live/DX8misWhJuA?si=x9BqkZPlvHen5SCl&amp;t=614s</v>
      </c>
      <c r="AA322" s="12" t="str">
        <f t="shared" si="13"/>
        <v>スキマスイッチ全力少年</v>
      </c>
    </row>
    <row r="323" spans="1:27" x14ac:dyDescent="0.4">
      <c r="A323" s="14">
        <f t="shared" si="14"/>
        <v>322</v>
      </c>
      <c r="B323" s="14">
        <v>46</v>
      </c>
      <c r="C323" s="18" t="s">
        <v>850</v>
      </c>
      <c r="D323" s="14" t="s">
        <v>851</v>
      </c>
      <c r="E323" s="14" t="s">
        <v>847</v>
      </c>
      <c r="G323" s="1" t="str">
        <f>_xlfn.XLOOKUP(B323,M_YT_LIVE!A:A,M_YT_LIVE!F:F,"ERROR",0,1)</f>
        <v>音源</v>
      </c>
      <c r="W323" s="13">
        <f t="shared" si="12"/>
        <v>915</v>
      </c>
      <c r="X323" s="12" t="str">
        <f>_xlfn.XLOOKUP($B323,M_YT_LIVE!$A:$A,M_YT_LIVE!$D:$D)</f>
        <v>https://www.youtube.com/live/DX8misWhJuA?si=x9BqkZPlvHen5SCl</v>
      </c>
      <c r="Z323" s="16" t="str">
        <f>HYPERLINK($X323&amp;SUBSTITUTE(マスタ!$C$3,"XXXXX",$W323))</f>
        <v>https://www.youtube.com/live/DX8misWhJuA?si=x9BqkZPlvHen5SCl&amp;t=915s</v>
      </c>
      <c r="AA323" s="12" t="str">
        <f t="shared" ref="AA323:AA386" si="15">TRIM(E323)&amp;TRIM(D323)</f>
        <v>スキマスイッチ奏</v>
      </c>
    </row>
    <row r="324" spans="1:27" x14ac:dyDescent="0.4">
      <c r="A324" s="14">
        <f t="shared" si="14"/>
        <v>323</v>
      </c>
      <c r="B324" s="14">
        <v>46</v>
      </c>
      <c r="C324" s="18" t="s">
        <v>852</v>
      </c>
      <c r="D324" s="14" t="s">
        <v>853</v>
      </c>
      <c r="E324" s="14" t="s">
        <v>854</v>
      </c>
      <c r="G324" s="1" t="str">
        <f>_xlfn.XLOOKUP(B324,M_YT_LIVE!A:A,M_YT_LIVE!F:F,"ERROR",0,1)</f>
        <v>音源</v>
      </c>
      <c r="W324" s="13">
        <f t="shared" ref="W324:W387" si="16">TIMEVALUE($C324)*86400</f>
        <v>1282</v>
      </c>
      <c r="X324" s="12" t="str">
        <f>_xlfn.XLOOKUP($B324,M_YT_LIVE!$A:$A,M_YT_LIVE!$D:$D)</f>
        <v>https://www.youtube.com/live/DX8misWhJuA?si=x9BqkZPlvHen5SCl</v>
      </c>
      <c r="Z324" s="16" t="str">
        <f>HYPERLINK($X324&amp;SUBSTITUTE(マスタ!$C$3,"XXXXX",$W324))</f>
        <v>https://www.youtube.com/live/DX8misWhJuA?si=x9BqkZPlvHen5SCl&amp;t=1282s</v>
      </c>
      <c r="AA324" s="12" t="str">
        <f t="shared" si="15"/>
        <v>いきものがかり気まぐれロマンティック</v>
      </c>
    </row>
    <row r="325" spans="1:27" x14ac:dyDescent="0.4">
      <c r="A325" s="14">
        <f t="shared" ref="A325:A388" si="17">ROW()-1</f>
        <v>324</v>
      </c>
      <c r="B325" s="14">
        <v>46</v>
      </c>
      <c r="C325" s="18" t="s">
        <v>855</v>
      </c>
      <c r="D325" s="14" t="s">
        <v>856</v>
      </c>
      <c r="E325" s="14" t="s">
        <v>854</v>
      </c>
      <c r="G325" s="1" t="str">
        <f>_xlfn.XLOOKUP(B325,M_YT_LIVE!A:A,M_YT_LIVE!F:F,"ERROR",0,1)</f>
        <v>音源</v>
      </c>
      <c r="W325" s="13">
        <f t="shared" si="16"/>
        <v>1636.0000000000002</v>
      </c>
      <c r="X325" s="12" t="str">
        <f>_xlfn.XLOOKUP($B325,M_YT_LIVE!$A:$A,M_YT_LIVE!$D:$D)</f>
        <v>https://www.youtube.com/live/DX8misWhJuA?si=x9BqkZPlvHen5SCl</v>
      </c>
      <c r="Z325" s="16" t="str">
        <f>HYPERLINK($X325&amp;SUBSTITUTE(マスタ!$C$3,"XXXXX",$W325))</f>
        <v>https://www.youtube.com/live/DX8misWhJuA?si=x9BqkZPlvHen5SCl&amp;t=1636s</v>
      </c>
      <c r="AA325" s="12" t="str">
        <f t="shared" si="15"/>
        <v>いきものがかりじょいふる</v>
      </c>
    </row>
    <row r="326" spans="1:27" x14ac:dyDescent="0.4">
      <c r="A326" s="14">
        <f t="shared" si="17"/>
        <v>325</v>
      </c>
      <c r="B326" s="14">
        <v>46</v>
      </c>
      <c r="C326" s="18" t="s">
        <v>857</v>
      </c>
      <c r="D326" s="14" t="s">
        <v>858</v>
      </c>
      <c r="E326" s="14" t="s">
        <v>854</v>
      </c>
      <c r="G326" s="1" t="str">
        <f>_xlfn.XLOOKUP(B326,M_YT_LIVE!A:A,M_YT_LIVE!F:F,"ERROR",0,1)</f>
        <v>音源</v>
      </c>
      <c r="W326" s="13">
        <f t="shared" si="16"/>
        <v>1895</v>
      </c>
      <c r="X326" s="12" t="str">
        <f>_xlfn.XLOOKUP($B326,M_YT_LIVE!$A:$A,M_YT_LIVE!$D:$D)</f>
        <v>https://www.youtube.com/live/DX8misWhJuA?si=x9BqkZPlvHen5SCl</v>
      </c>
      <c r="Z326" s="16" t="str">
        <f>HYPERLINK($X326&amp;SUBSTITUTE(マスタ!$C$3,"XXXXX",$W326))</f>
        <v>https://www.youtube.com/live/DX8misWhJuA?si=x9BqkZPlvHen5SCl&amp;t=1895s</v>
      </c>
      <c r="AA326" s="12" t="str">
        <f t="shared" si="15"/>
        <v>いきものがかりブルーバード</v>
      </c>
    </row>
    <row r="327" spans="1:27" x14ac:dyDescent="0.4">
      <c r="A327" s="14">
        <f t="shared" si="17"/>
        <v>326</v>
      </c>
      <c r="B327" s="14">
        <v>46</v>
      </c>
      <c r="C327" s="18" t="s">
        <v>859</v>
      </c>
      <c r="D327" s="14" t="s">
        <v>860</v>
      </c>
      <c r="E327" s="14" t="s">
        <v>861</v>
      </c>
      <c r="G327" s="1" t="str">
        <f>_xlfn.XLOOKUP(B327,M_YT_LIVE!A:A,M_YT_LIVE!F:F,"ERROR",0,1)</f>
        <v>音源</v>
      </c>
      <c r="W327" s="13">
        <f t="shared" si="16"/>
        <v>2259</v>
      </c>
      <c r="X327" s="12" t="str">
        <f>_xlfn.XLOOKUP($B327,M_YT_LIVE!$A:$A,M_YT_LIVE!$D:$D)</f>
        <v>https://www.youtube.com/live/DX8misWhJuA?si=x9BqkZPlvHen5SCl</v>
      </c>
      <c r="Z327" s="16" t="str">
        <f>HYPERLINK($X327&amp;SUBSTITUTE(マスタ!$C$3,"XXXXX",$W327))</f>
        <v>https://www.youtube.com/live/DX8misWhJuA?si=x9BqkZPlvHen5SCl&amp;t=2259s</v>
      </c>
      <c r="AA327" s="12" t="str">
        <f t="shared" si="15"/>
        <v>西野カナ会いたくて会いたくて(1chorus)</v>
      </c>
    </row>
    <row r="328" spans="1:27" x14ac:dyDescent="0.4">
      <c r="A328" s="14">
        <f t="shared" si="17"/>
        <v>327</v>
      </c>
      <c r="B328" s="14">
        <v>46</v>
      </c>
      <c r="C328" s="18" t="s">
        <v>862</v>
      </c>
      <c r="D328" s="14" t="s">
        <v>863</v>
      </c>
      <c r="E328" s="14" t="s">
        <v>864</v>
      </c>
      <c r="G328" s="1" t="str">
        <f>_xlfn.XLOOKUP(B328,M_YT_LIVE!A:A,M_YT_LIVE!F:F,"ERROR",0,1)</f>
        <v>音源</v>
      </c>
      <c r="W328" s="13">
        <f t="shared" si="16"/>
        <v>2503</v>
      </c>
      <c r="X328" s="12" t="str">
        <f>_xlfn.XLOOKUP($B328,M_YT_LIVE!$A:$A,M_YT_LIVE!$D:$D)</f>
        <v>https://www.youtube.com/live/DX8misWhJuA?si=x9BqkZPlvHen5SCl</v>
      </c>
      <c r="Z328" s="16" t="str">
        <f>HYPERLINK($X328&amp;SUBSTITUTE(マスタ!$C$3,"XXXXX",$W328))</f>
        <v>https://www.youtube.com/live/DX8misWhJuA?si=x9BqkZPlvHen5SCl&amp;t=2503s</v>
      </c>
      <c r="AA328" s="12" t="str">
        <f t="shared" si="15"/>
        <v>ゆず夏色</v>
      </c>
    </row>
    <row r="329" spans="1:27" x14ac:dyDescent="0.4">
      <c r="A329" s="14">
        <f t="shared" si="17"/>
        <v>328</v>
      </c>
      <c r="B329" s="14">
        <v>46</v>
      </c>
      <c r="C329" s="18" t="s">
        <v>865</v>
      </c>
      <c r="D329" s="14" t="s">
        <v>866</v>
      </c>
      <c r="E329" s="14" t="s">
        <v>867</v>
      </c>
      <c r="G329" s="1" t="str">
        <f>_xlfn.XLOOKUP(B329,M_YT_LIVE!A:A,M_YT_LIVE!F:F,"ERROR",0,1)</f>
        <v>音源</v>
      </c>
      <c r="W329" s="13">
        <f t="shared" si="16"/>
        <v>2745</v>
      </c>
      <c r="X329" s="12" t="str">
        <f>_xlfn.XLOOKUP($B329,M_YT_LIVE!$A:$A,M_YT_LIVE!$D:$D)</f>
        <v>https://www.youtube.com/live/DX8misWhJuA?si=x9BqkZPlvHen5SCl</v>
      </c>
      <c r="Z329" s="16" t="str">
        <f>HYPERLINK($X329&amp;SUBSTITUTE(マスタ!$C$3,"XXXXX",$W329))</f>
        <v>https://www.youtube.com/live/DX8misWhJuA?si=x9BqkZPlvHen5SCl&amp;t=2745s</v>
      </c>
      <c r="AA329" s="12" t="str">
        <f t="shared" si="15"/>
        <v>スピッツチェリー</v>
      </c>
    </row>
    <row r="330" spans="1:27" x14ac:dyDescent="0.4">
      <c r="A330" s="14">
        <f t="shared" si="17"/>
        <v>329</v>
      </c>
      <c r="B330" s="14">
        <v>46</v>
      </c>
      <c r="C330" s="18" t="s">
        <v>868</v>
      </c>
      <c r="D330" s="14" t="s">
        <v>869</v>
      </c>
      <c r="E330" s="14" t="s">
        <v>870</v>
      </c>
      <c r="G330" s="1" t="str">
        <f>_xlfn.XLOOKUP(B330,M_YT_LIVE!A:A,M_YT_LIVE!F:F,"ERROR",0,1)</f>
        <v>音源</v>
      </c>
      <c r="W330" s="13">
        <f t="shared" si="16"/>
        <v>3089</v>
      </c>
      <c r="X330" s="12" t="str">
        <f>_xlfn.XLOOKUP($B330,M_YT_LIVE!$A:$A,M_YT_LIVE!$D:$D)</f>
        <v>https://www.youtube.com/live/DX8misWhJuA?si=x9BqkZPlvHen5SCl</v>
      </c>
      <c r="Z330" s="16" t="str">
        <f>HYPERLINK($X330&amp;SUBSTITUTE(マスタ!$C$3,"XXXXX",$W330))</f>
        <v>https://www.youtube.com/live/DX8misWhJuA?si=x9BqkZPlvHen5SCl&amp;t=3089s</v>
      </c>
      <c r="AA330" s="12" t="str">
        <f t="shared" si="15"/>
        <v>一青窈ハナミズキ</v>
      </c>
    </row>
    <row r="331" spans="1:27" x14ac:dyDescent="0.4">
      <c r="A331" s="14">
        <f t="shared" si="17"/>
        <v>330</v>
      </c>
      <c r="B331" s="14">
        <v>46</v>
      </c>
      <c r="C331" s="18" t="s">
        <v>871</v>
      </c>
      <c r="D331" s="14" t="s">
        <v>872</v>
      </c>
      <c r="E331" s="14" t="s">
        <v>873</v>
      </c>
      <c r="G331" s="1" t="str">
        <f>_xlfn.XLOOKUP(B331,M_YT_LIVE!A:A,M_YT_LIVE!F:F,"ERROR",0,1)</f>
        <v>音源</v>
      </c>
      <c r="W331" s="13">
        <f t="shared" si="16"/>
        <v>3556</v>
      </c>
      <c r="X331" s="12" t="str">
        <f>_xlfn.XLOOKUP($B331,M_YT_LIVE!$A:$A,M_YT_LIVE!$D:$D)</f>
        <v>https://www.youtube.com/live/DX8misWhJuA?si=x9BqkZPlvHen5SCl</v>
      </c>
      <c r="Z331" s="16" t="str">
        <f>HYPERLINK($X331&amp;SUBSTITUTE(マスタ!$C$3,"XXXXX",$W331))</f>
        <v>https://www.youtube.com/live/DX8misWhJuA?si=x9BqkZPlvHen5SCl&amp;t=3556s</v>
      </c>
      <c r="AA331" s="12" t="str">
        <f t="shared" si="15"/>
        <v>松田聖子赤いスイートピー</v>
      </c>
    </row>
    <row r="332" spans="1:27" x14ac:dyDescent="0.4">
      <c r="A332" s="14">
        <f t="shared" si="17"/>
        <v>331</v>
      </c>
      <c r="B332" s="14">
        <v>46</v>
      </c>
      <c r="C332" s="18" t="s">
        <v>874</v>
      </c>
      <c r="D332" s="14" t="s">
        <v>875</v>
      </c>
      <c r="E332" s="14" t="s">
        <v>876</v>
      </c>
      <c r="G332" s="1" t="str">
        <f>_xlfn.XLOOKUP(B332,M_YT_LIVE!A:A,M_YT_LIVE!F:F,"ERROR",0,1)</f>
        <v>音源</v>
      </c>
      <c r="W332" s="13">
        <f t="shared" si="16"/>
        <v>3965</v>
      </c>
      <c r="X332" s="12" t="str">
        <f>_xlfn.XLOOKUP($B332,M_YT_LIVE!$A:$A,M_YT_LIVE!$D:$D)</f>
        <v>https://www.youtube.com/live/DX8misWhJuA?si=x9BqkZPlvHen5SCl</v>
      </c>
      <c r="Z332" s="16" t="str">
        <f>HYPERLINK($X332&amp;SUBSTITUTE(マスタ!$C$3,"XXXXX",$W332))</f>
        <v>https://www.youtube.com/live/DX8misWhJuA?si=x9BqkZPlvHen5SCl&amp;t=3965s</v>
      </c>
      <c r="AA332" s="12" t="str">
        <f t="shared" si="15"/>
        <v>平井堅POP STAR</v>
      </c>
    </row>
    <row r="333" spans="1:27" x14ac:dyDescent="0.4">
      <c r="A333" s="14">
        <f t="shared" si="17"/>
        <v>332</v>
      </c>
      <c r="B333" s="14">
        <v>46</v>
      </c>
      <c r="C333" s="18" t="s">
        <v>877</v>
      </c>
      <c r="D333" s="14" t="s">
        <v>878</v>
      </c>
      <c r="E333" s="14" t="s">
        <v>864</v>
      </c>
      <c r="G333" s="1" t="str">
        <f>_xlfn.XLOOKUP(B333,M_YT_LIVE!A:A,M_YT_LIVE!F:F,"ERROR",0,1)</f>
        <v>音源</v>
      </c>
      <c r="W333" s="13">
        <f t="shared" si="16"/>
        <v>4348</v>
      </c>
      <c r="X333" s="12" t="str">
        <f>_xlfn.XLOOKUP($B333,M_YT_LIVE!$A:$A,M_YT_LIVE!$D:$D)</f>
        <v>https://www.youtube.com/live/DX8misWhJuA?si=x9BqkZPlvHen5SCl</v>
      </c>
      <c r="Z333" s="16" t="str">
        <f>HYPERLINK($X333&amp;SUBSTITUTE(マスタ!$C$3,"XXXXX",$W333))</f>
        <v>https://www.youtube.com/live/DX8misWhJuA?si=x9BqkZPlvHen5SCl&amp;t=4348s</v>
      </c>
      <c r="AA333" s="12" t="str">
        <f t="shared" si="15"/>
        <v>ゆず栄光の架け橋</v>
      </c>
    </row>
    <row r="334" spans="1:27" x14ac:dyDescent="0.4">
      <c r="A334" s="14">
        <f t="shared" si="17"/>
        <v>333</v>
      </c>
      <c r="B334" s="14">
        <v>46</v>
      </c>
      <c r="C334" s="18" t="s">
        <v>879</v>
      </c>
      <c r="D334" s="14" t="s">
        <v>880</v>
      </c>
      <c r="E334" s="14" t="s">
        <v>881</v>
      </c>
      <c r="G334" s="1" t="str">
        <f>_xlfn.XLOOKUP(B334,M_YT_LIVE!A:A,M_YT_LIVE!F:F,"ERROR",0,1)</f>
        <v>音源</v>
      </c>
      <c r="W334" s="13">
        <f t="shared" si="16"/>
        <v>4812</v>
      </c>
      <c r="X334" s="12" t="str">
        <f>_xlfn.XLOOKUP($B334,M_YT_LIVE!$A:$A,M_YT_LIVE!$D:$D)</f>
        <v>https://www.youtube.com/live/DX8misWhJuA?si=x9BqkZPlvHen5SCl</v>
      </c>
      <c r="Z334" s="16" t="str">
        <f>HYPERLINK($X334&amp;SUBSTITUTE(マスタ!$C$3,"XXXXX",$W334))</f>
        <v>https://www.youtube.com/live/DX8misWhJuA?si=x9BqkZPlvHen5SCl&amp;t=4812s</v>
      </c>
      <c r="AA334" s="12" t="str">
        <f t="shared" si="15"/>
        <v>コブクロ蕾</v>
      </c>
    </row>
    <row r="335" spans="1:27" x14ac:dyDescent="0.4">
      <c r="A335" s="14">
        <f t="shared" si="17"/>
        <v>334</v>
      </c>
      <c r="B335" s="14">
        <v>46</v>
      </c>
      <c r="C335" s="18" t="s">
        <v>882</v>
      </c>
      <c r="D335" s="14" t="s">
        <v>883</v>
      </c>
      <c r="E335" s="14" t="s">
        <v>884</v>
      </c>
      <c r="G335" s="1" t="str">
        <f>_xlfn.XLOOKUP(B335,M_YT_LIVE!A:A,M_YT_LIVE!F:F,"ERROR",0,1)</f>
        <v>音源</v>
      </c>
      <c r="W335" s="13">
        <f t="shared" si="16"/>
        <v>5247</v>
      </c>
      <c r="X335" s="12" t="str">
        <f>_xlfn.XLOOKUP($B335,M_YT_LIVE!$A:$A,M_YT_LIVE!$D:$D)</f>
        <v>https://www.youtube.com/live/DX8misWhJuA?si=x9BqkZPlvHen5SCl</v>
      </c>
      <c r="Z335" s="16" t="str">
        <f>HYPERLINK($X335&amp;SUBSTITUTE(マスタ!$C$3,"XXXXX",$W335))</f>
        <v>https://www.youtube.com/live/DX8misWhJuA?si=x9BqkZPlvHen5SCl&amp;t=5247s</v>
      </c>
      <c r="AA335" s="12" t="str">
        <f t="shared" si="15"/>
        <v>SMAP世界に一つだけの花</v>
      </c>
    </row>
    <row r="336" spans="1:27" x14ac:dyDescent="0.4">
      <c r="A336" s="14">
        <f t="shared" si="17"/>
        <v>335</v>
      </c>
      <c r="B336" s="14">
        <v>46</v>
      </c>
      <c r="C336" s="18" t="s">
        <v>885</v>
      </c>
      <c r="D336" s="14" t="s">
        <v>886</v>
      </c>
      <c r="E336" s="14" t="s">
        <v>887</v>
      </c>
      <c r="G336" s="1" t="str">
        <f>_xlfn.XLOOKUP(B336,M_YT_LIVE!A:A,M_YT_LIVE!F:F,"ERROR",0,1)</f>
        <v>音源</v>
      </c>
      <c r="W336" s="13">
        <f t="shared" si="16"/>
        <v>5654</v>
      </c>
      <c r="X336" s="12" t="str">
        <f>_xlfn.XLOOKUP($B336,M_YT_LIVE!$A:$A,M_YT_LIVE!$D:$D)</f>
        <v>https://www.youtube.com/live/DX8misWhJuA?si=x9BqkZPlvHen5SCl</v>
      </c>
      <c r="Z336" s="16" t="str">
        <f>HYPERLINK($X336&amp;SUBSTITUTE(マスタ!$C$3,"XXXXX",$W336))</f>
        <v>https://www.youtube.com/live/DX8misWhJuA?si=x9BqkZPlvHen5SCl&amp;t=5654s</v>
      </c>
      <c r="AA336" s="12" t="str">
        <f t="shared" si="15"/>
        <v>DREAMS COME TRUE何度でも</v>
      </c>
    </row>
    <row r="337" spans="1:27" x14ac:dyDescent="0.4">
      <c r="A337" s="14">
        <f t="shared" si="17"/>
        <v>336</v>
      </c>
      <c r="B337" s="14">
        <v>46</v>
      </c>
      <c r="C337" s="18" t="s">
        <v>783</v>
      </c>
      <c r="D337" s="14" t="s">
        <v>888</v>
      </c>
      <c r="E337" s="14" t="s">
        <v>889</v>
      </c>
      <c r="G337" s="1" t="str">
        <f>_xlfn.XLOOKUP(B337,M_YT_LIVE!A:A,M_YT_LIVE!F:F,"ERROR",0,1)</f>
        <v>音源</v>
      </c>
      <c r="W337" s="13">
        <f t="shared" si="16"/>
        <v>6075</v>
      </c>
      <c r="X337" s="12" t="str">
        <f>_xlfn.XLOOKUP($B337,M_YT_LIVE!$A:$A,M_YT_LIVE!$D:$D)</f>
        <v>https://www.youtube.com/live/DX8misWhJuA?si=x9BqkZPlvHen5SCl</v>
      </c>
      <c r="Z337" s="16" t="str">
        <f>HYPERLINK($X337&amp;SUBSTITUTE(マスタ!$C$3,"XXXXX",$W337))</f>
        <v>https://www.youtube.com/live/DX8misWhJuA?si=x9BqkZPlvHen5SCl&amp;t=6075s</v>
      </c>
      <c r="AA337" s="12" t="str">
        <f t="shared" si="15"/>
        <v>Superfly愛をこめて花束を</v>
      </c>
    </row>
    <row r="338" spans="1:27" x14ac:dyDescent="0.4">
      <c r="A338" s="14">
        <f t="shared" si="17"/>
        <v>337</v>
      </c>
      <c r="B338" s="14">
        <v>46</v>
      </c>
      <c r="C338" s="18" t="s">
        <v>890</v>
      </c>
      <c r="D338" s="14" t="s">
        <v>891</v>
      </c>
      <c r="E338" s="14" t="s">
        <v>892</v>
      </c>
      <c r="G338" s="1" t="str">
        <f>_xlfn.XLOOKUP(B338,M_YT_LIVE!A:A,M_YT_LIVE!F:F,"ERROR",0,1)</f>
        <v>音源</v>
      </c>
      <c r="W338" s="13">
        <f t="shared" si="16"/>
        <v>6485</v>
      </c>
      <c r="X338" s="12" t="str">
        <f>_xlfn.XLOOKUP($B338,M_YT_LIVE!$A:$A,M_YT_LIVE!$D:$D)</f>
        <v>https://www.youtube.com/live/DX8misWhJuA?si=x9BqkZPlvHen5SCl</v>
      </c>
      <c r="Z338" s="16" t="str">
        <f>HYPERLINK($X338&amp;SUBSTITUTE(マスタ!$C$3,"XXXXX",$W338))</f>
        <v>https://www.youtube.com/live/DX8misWhJuA?si=x9BqkZPlvHen5SCl&amp;t=6485s</v>
      </c>
      <c r="AA338" s="12" t="str">
        <f t="shared" si="15"/>
        <v>ポルノグラフィティサウダージ</v>
      </c>
    </row>
    <row r="339" spans="1:27" x14ac:dyDescent="0.4">
      <c r="A339" s="14">
        <f t="shared" si="17"/>
        <v>338</v>
      </c>
      <c r="B339" s="14">
        <v>46</v>
      </c>
      <c r="C339" s="18" t="s">
        <v>893</v>
      </c>
      <c r="D339" s="14" t="s">
        <v>894</v>
      </c>
      <c r="E339" s="14" t="s">
        <v>324</v>
      </c>
      <c r="G339" s="1" t="str">
        <f>_xlfn.XLOOKUP(B339,M_YT_LIVE!A:A,M_YT_LIVE!F:F,"ERROR",0,1)</f>
        <v>音源</v>
      </c>
      <c r="W339" s="13">
        <f t="shared" si="16"/>
        <v>6817</v>
      </c>
      <c r="X339" s="12" t="str">
        <f>_xlfn.XLOOKUP($B339,M_YT_LIVE!$A:$A,M_YT_LIVE!$D:$D)</f>
        <v>https://www.youtube.com/live/DX8misWhJuA?si=x9BqkZPlvHen5SCl</v>
      </c>
      <c r="Z339" s="16" t="str">
        <f>HYPERLINK($X339&amp;SUBSTITUTE(マスタ!$C$3,"XXXXX",$W339))</f>
        <v>https://www.youtube.com/live/DX8misWhJuA?si=x9BqkZPlvHen5SCl&amp;t=6817s</v>
      </c>
      <c r="AA339" s="12" t="str">
        <f t="shared" si="15"/>
        <v>ASIAN KUNG-FU GENERATIONリライト</v>
      </c>
    </row>
    <row r="340" spans="1:27" x14ac:dyDescent="0.4">
      <c r="A340" s="14">
        <f t="shared" si="17"/>
        <v>339</v>
      </c>
      <c r="B340" s="14">
        <v>49</v>
      </c>
      <c r="C340" s="18" t="s">
        <v>901</v>
      </c>
      <c r="D340" s="14" t="s">
        <v>53</v>
      </c>
      <c r="E340" s="14" t="s">
        <v>54</v>
      </c>
      <c r="G340" s="1" t="str">
        <f>_xlfn.XLOOKUP(B340,M_YT_LIVE!A:A,M_YT_LIVE!F:F,"ERROR",0,1)</f>
        <v>弾き語り</v>
      </c>
      <c r="W340" s="13">
        <f t="shared" si="16"/>
        <v>492</v>
      </c>
      <c r="X340" s="12" t="str">
        <f>_xlfn.XLOOKUP($B340,M_YT_LIVE!$A:$A,M_YT_LIVE!$D:$D)</f>
        <v>https://www.youtube.com/live/N0Tp3auhZ54?si=TUAMJQ8TqFkAVZ1r</v>
      </c>
      <c r="Z340" s="16" t="str">
        <f>HYPERLINK($X340&amp;SUBSTITUTE(マスタ!$C$3,"XXXXX",$W340))</f>
        <v>https://www.youtube.com/live/N0Tp3auhZ54?si=TUAMJQ8TqFkAVZ1r&amp;t=492s</v>
      </c>
      <c r="AA340" s="12" t="str">
        <f t="shared" si="15"/>
        <v>miwaヒカリヘ</v>
      </c>
    </row>
    <row r="341" spans="1:27" x14ac:dyDescent="0.4">
      <c r="A341" s="14">
        <f t="shared" si="17"/>
        <v>340</v>
      </c>
      <c r="B341" s="14">
        <v>49</v>
      </c>
      <c r="C341" s="18" t="s">
        <v>902</v>
      </c>
      <c r="D341" s="14" t="s">
        <v>903</v>
      </c>
      <c r="E341" s="14" t="s">
        <v>904</v>
      </c>
      <c r="G341" s="1" t="str">
        <f>_xlfn.XLOOKUP(B341,M_YT_LIVE!A:A,M_YT_LIVE!F:F,"ERROR",0,1)</f>
        <v>弾き語り</v>
      </c>
      <c r="W341" s="13">
        <f t="shared" si="16"/>
        <v>961</v>
      </c>
      <c r="X341" s="12" t="str">
        <f>_xlfn.XLOOKUP($B341,M_YT_LIVE!$A:$A,M_YT_LIVE!$D:$D)</f>
        <v>https://www.youtube.com/live/N0Tp3auhZ54?si=TUAMJQ8TqFkAVZ1r</v>
      </c>
      <c r="Z341" s="16" t="str">
        <f>HYPERLINK($X341&amp;SUBSTITUTE(マスタ!$C$3,"XXXXX",$W341))</f>
        <v>https://www.youtube.com/live/N0Tp3auhZ54?si=TUAMJQ8TqFkAVZ1r&amp;t=961s</v>
      </c>
      <c r="AA341" s="12" t="str">
        <f t="shared" si="15"/>
        <v>ねごとカロン</v>
      </c>
    </row>
    <row r="342" spans="1:27" x14ac:dyDescent="0.4">
      <c r="A342" s="14">
        <f t="shared" si="17"/>
        <v>341</v>
      </c>
      <c r="B342" s="14">
        <v>49</v>
      </c>
      <c r="C342" s="18" t="s">
        <v>905</v>
      </c>
      <c r="D342" s="14" t="s">
        <v>906</v>
      </c>
      <c r="E342" s="14" t="s">
        <v>150</v>
      </c>
      <c r="G342" s="1" t="str">
        <f>_xlfn.XLOOKUP(B342,M_YT_LIVE!A:A,M_YT_LIVE!F:F,"ERROR",0,1)</f>
        <v>弾き語り</v>
      </c>
      <c r="W342" s="13">
        <f t="shared" si="16"/>
        <v>1347</v>
      </c>
      <c r="X342" s="12" t="str">
        <f>_xlfn.XLOOKUP($B342,M_YT_LIVE!$A:$A,M_YT_LIVE!$D:$D)</f>
        <v>https://www.youtube.com/live/N0Tp3auhZ54?si=TUAMJQ8TqFkAVZ1r</v>
      </c>
      <c r="Z342" s="16" t="str">
        <f>HYPERLINK($X342&amp;SUBSTITUTE(マスタ!$C$3,"XXXXX",$W342))</f>
        <v>https://www.youtube.com/live/N0Tp3auhZ54?si=TUAMJQ8TqFkAVZ1r&amp;t=1347s</v>
      </c>
      <c r="AA342" s="12" t="str">
        <f t="shared" si="15"/>
        <v>みきとP feat.初音ミク小夜子</v>
      </c>
    </row>
    <row r="343" spans="1:27" x14ac:dyDescent="0.4">
      <c r="A343" s="14">
        <f t="shared" si="17"/>
        <v>342</v>
      </c>
      <c r="B343" s="14">
        <v>49</v>
      </c>
      <c r="C343" s="18" t="s">
        <v>907</v>
      </c>
      <c r="D343" s="14" t="s">
        <v>908</v>
      </c>
      <c r="E343" s="14" t="s">
        <v>150</v>
      </c>
      <c r="G343" s="1" t="str">
        <f>_xlfn.XLOOKUP(B343,M_YT_LIVE!A:A,M_YT_LIVE!F:F,"ERROR",0,1)</f>
        <v>弾き語り</v>
      </c>
      <c r="W343" s="13">
        <f t="shared" si="16"/>
        <v>1800</v>
      </c>
      <c r="X343" s="12" t="str">
        <f>_xlfn.XLOOKUP($B343,M_YT_LIVE!$A:$A,M_YT_LIVE!$D:$D)</f>
        <v>https://www.youtube.com/live/N0Tp3auhZ54?si=TUAMJQ8TqFkAVZ1r</v>
      </c>
      <c r="Z343" s="16" t="str">
        <f>HYPERLINK($X343&amp;SUBSTITUTE(マスタ!$C$3,"XXXXX",$W343))</f>
        <v>https://www.youtube.com/live/N0Tp3auhZ54?si=TUAMJQ8TqFkAVZ1r&amp;t=1800s</v>
      </c>
      <c r="AA343" s="12" t="str">
        <f t="shared" si="15"/>
        <v>みきとP feat.初音ミクサリシノハラ</v>
      </c>
    </row>
    <row r="344" spans="1:27" x14ac:dyDescent="0.4">
      <c r="A344" s="14">
        <f t="shared" si="17"/>
        <v>343</v>
      </c>
      <c r="B344" s="14">
        <v>49</v>
      </c>
      <c r="C344" s="18" t="s">
        <v>909</v>
      </c>
      <c r="D344" s="14" t="s">
        <v>910</v>
      </c>
      <c r="E344" s="14" t="s">
        <v>703</v>
      </c>
      <c r="G344" s="1" t="str">
        <f>_xlfn.XLOOKUP(B344,M_YT_LIVE!A:A,M_YT_LIVE!F:F,"ERROR",0,1)</f>
        <v>弾き語り</v>
      </c>
      <c r="W344" s="13">
        <f t="shared" si="16"/>
        <v>2589</v>
      </c>
      <c r="X344" s="12" t="str">
        <f>_xlfn.XLOOKUP($B344,M_YT_LIVE!$A:$A,M_YT_LIVE!$D:$D)</f>
        <v>https://www.youtube.com/live/N0Tp3auhZ54?si=TUAMJQ8TqFkAVZ1r</v>
      </c>
      <c r="Z344" s="16" t="str">
        <f>HYPERLINK($X344&amp;SUBSTITUTE(マスタ!$C$3,"XXXXX",$W344))</f>
        <v>https://www.youtube.com/live/N0Tp3auhZ54?si=TUAMJQ8TqFkAVZ1r&amp;t=2589s</v>
      </c>
      <c r="AA344" s="12" t="str">
        <f t="shared" si="15"/>
        <v>aikoカブトムシ</v>
      </c>
    </row>
    <row r="345" spans="1:27" x14ac:dyDescent="0.4">
      <c r="A345" s="14">
        <f t="shared" si="17"/>
        <v>344</v>
      </c>
      <c r="B345" s="14">
        <v>49</v>
      </c>
      <c r="C345" s="18" t="s">
        <v>911</v>
      </c>
      <c r="D345" s="14" t="s">
        <v>165</v>
      </c>
      <c r="E345" s="14" t="s">
        <v>118</v>
      </c>
      <c r="G345" s="1" t="str">
        <f>_xlfn.XLOOKUP(B345,M_YT_LIVE!A:A,M_YT_LIVE!F:F,"ERROR",0,1)</f>
        <v>弾き語り</v>
      </c>
      <c r="W345" s="13">
        <f t="shared" si="16"/>
        <v>3097</v>
      </c>
      <c r="X345" s="12" t="str">
        <f>_xlfn.XLOOKUP($B345,M_YT_LIVE!$A:$A,M_YT_LIVE!$D:$D)</f>
        <v>https://www.youtube.com/live/N0Tp3auhZ54?si=TUAMJQ8TqFkAVZ1r</v>
      </c>
      <c r="Z345" s="16" t="str">
        <f>HYPERLINK($X345&amp;SUBSTITUTE(マスタ!$C$3,"XXXXX",$W345))</f>
        <v>https://www.youtube.com/live/N0Tp3auhZ54?si=TUAMJQ8TqFkAVZ1r&amp;t=3097s</v>
      </c>
      <c r="AA345" s="12" t="str">
        <f t="shared" si="15"/>
        <v>Orangestar feat.初音ミク回る空うさぎ</v>
      </c>
    </row>
    <row r="346" spans="1:27" x14ac:dyDescent="0.4">
      <c r="A346" s="14">
        <f t="shared" si="17"/>
        <v>345</v>
      </c>
      <c r="B346" s="14">
        <v>49</v>
      </c>
      <c r="C346" s="18" t="s">
        <v>912</v>
      </c>
      <c r="D346" s="14" t="s">
        <v>913</v>
      </c>
      <c r="E346" s="14" t="s">
        <v>914</v>
      </c>
      <c r="G346" s="1" t="str">
        <f>_xlfn.XLOOKUP(B346,M_YT_LIVE!A:A,M_YT_LIVE!F:F,"ERROR",0,1)</f>
        <v>弾き語り</v>
      </c>
      <c r="W346" s="13">
        <f t="shared" si="16"/>
        <v>3537</v>
      </c>
      <c r="X346" s="12" t="str">
        <f>_xlfn.XLOOKUP($B346,M_YT_LIVE!$A:$A,M_YT_LIVE!$D:$D)</f>
        <v>https://www.youtube.com/live/N0Tp3auhZ54?si=TUAMJQ8TqFkAVZ1r</v>
      </c>
      <c r="Z346" s="16" t="str">
        <f>HYPERLINK($X346&amp;SUBSTITUTE(マスタ!$C$3,"XXXXX",$W346))</f>
        <v>https://www.youtube.com/live/N0Tp3auhZ54?si=TUAMJQ8TqFkAVZ1r&amp;t=3537s</v>
      </c>
      <c r="AA346" s="12" t="str">
        <f t="shared" si="15"/>
        <v>赤い公園サイダー</v>
      </c>
    </row>
    <row r="347" spans="1:27" x14ac:dyDescent="0.4">
      <c r="A347" s="14">
        <f t="shared" si="17"/>
        <v>346</v>
      </c>
      <c r="B347" s="14">
        <v>49</v>
      </c>
      <c r="C347" s="18" t="s">
        <v>915</v>
      </c>
      <c r="D347" s="14" t="s">
        <v>916</v>
      </c>
      <c r="E347" s="14" t="s">
        <v>917</v>
      </c>
      <c r="G347" s="1" t="str">
        <f>_xlfn.XLOOKUP(B347,M_YT_LIVE!A:A,M_YT_LIVE!F:F,"ERROR",0,1)</f>
        <v>弾き語り</v>
      </c>
      <c r="W347" s="13">
        <f t="shared" si="16"/>
        <v>4020</v>
      </c>
      <c r="X347" s="12" t="str">
        <f>_xlfn.XLOOKUP($B347,M_YT_LIVE!$A:$A,M_YT_LIVE!$D:$D)</f>
        <v>https://www.youtube.com/live/N0Tp3auhZ54?si=TUAMJQ8TqFkAVZ1r</v>
      </c>
      <c r="Z347" s="16" t="str">
        <f>HYPERLINK($X347&amp;SUBSTITUTE(マスタ!$C$3,"XXXXX",$W347))</f>
        <v>https://www.youtube.com/live/N0Tp3auhZ54?si=TUAMJQ8TqFkAVZ1r&amp;t=4020s</v>
      </c>
      <c r="AA347" s="12" t="str">
        <f t="shared" si="15"/>
        <v>DAOKO×米津玄師打上花火</v>
      </c>
    </row>
    <row r="348" spans="1:27" x14ac:dyDescent="0.4">
      <c r="A348" s="14">
        <f t="shared" si="17"/>
        <v>347</v>
      </c>
      <c r="B348" s="14">
        <v>49</v>
      </c>
      <c r="C348" s="18" t="s">
        <v>918</v>
      </c>
      <c r="D348" s="14" t="s">
        <v>472</v>
      </c>
      <c r="E348" s="14" t="s">
        <v>78</v>
      </c>
      <c r="G348" s="1" t="str">
        <f>_xlfn.XLOOKUP(B348,M_YT_LIVE!A:A,M_YT_LIVE!F:F,"ERROR",0,1)</f>
        <v>弾き語り</v>
      </c>
      <c r="W348" s="13">
        <f t="shared" si="16"/>
        <v>4605</v>
      </c>
      <c r="X348" s="12" t="str">
        <f>_xlfn.XLOOKUP($B348,M_YT_LIVE!$A:$A,M_YT_LIVE!$D:$D)</f>
        <v>https://www.youtube.com/live/N0Tp3auhZ54?si=TUAMJQ8TqFkAVZ1r</v>
      </c>
      <c r="Z348" s="16" t="str">
        <f>HYPERLINK($X348&amp;SUBSTITUTE(マスタ!$C$3,"XXXXX",$W348))</f>
        <v>https://www.youtube.com/live/N0Tp3auhZ54?si=TUAMJQ8TqFkAVZ1r&amp;t=4605s</v>
      </c>
      <c r="AA348" s="12" t="str">
        <f t="shared" si="15"/>
        <v>チャットモンチー染まるよ</v>
      </c>
    </row>
    <row r="349" spans="1:27" x14ac:dyDescent="0.4">
      <c r="A349" s="14">
        <f t="shared" si="17"/>
        <v>348</v>
      </c>
      <c r="B349" s="14">
        <v>49</v>
      </c>
      <c r="C349" s="18" t="s">
        <v>919</v>
      </c>
      <c r="D349" s="14" t="s">
        <v>64</v>
      </c>
      <c r="E349" s="14" t="s">
        <v>65</v>
      </c>
      <c r="G349" s="1" t="str">
        <f>_xlfn.XLOOKUP(B349,M_YT_LIVE!A:A,M_YT_LIVE!F:F,"ERROR",0,1)</f>
        <v>弾き語り</v>
      </c>
      <c r="W349" s="13">
        <f t="shared" si="16"/>
        <v>5083</v>
      </c>
      <c r="X349" s="12" t="str">
        <f>_xlfn.XLOOKUP($B349,M_YT_LIVE!$A:$A,M_YT_LIVE!$D:$D)</f>
        <v>https://www.youtube.com/live/N0Tp3auhZ54?si=TUAMJQ8TqFkAVZ1r</v>
      </c>
      <c r="Z349" s="16" t="str">
        <f>HYPERLINK($X349&amp;SUBSTITUTE(マスタ!$C$3,"XXXXX",$W349))</f>
        <v>https://www.youtube.com/live/N0Tp3auhZ54?si=TUAMJQ8TqFkAVZ1r&amp;t=5083s</v>
      </c>
      <c r="AA349" s="12" t="str">
        <f t="shared" si="15"/>
        <v>R Sound Design feat.初音ミクflos</v>
      </c>
    </row>
    <row r="350" spans="1:27" x14ac:dyDescent="0.4">
      <c r="A350" s="14">
        <f t="shared" si="17"/>
        <v>349</v>
      </c>
      <c r="B350" s="14">
        <v>49</v>
      </c>
      <c r="C350" s="18" t="s">
        <v>920</v>
      </c>
      <c r="D350" s="14" t="s">
        <v>477</v>
      </c>
      <c r="E350" s="14" t="s">
        <v>478</v>
      </c>
      <c r="G350" s="1" t="str">
        <f>_xlfn.XLOOKUP(B350,M_YT_LIVE!A:A,M_YT_LIVE!F:F,"ERROR",0,1)</f>
        <v>弾き語り</v>
      </c>
      <c r="W350" s="13">
        <f t="shared" si="16"/>
        <v>5567.0000000000009</v>
      </c>
      <c r="X350" s="12" t="str">
        <f>_xlfn.XLOOKUP($B350,M_YT_LIVE!$A:$A,M_YT_LIVE!$D:$D)</f>
        <v>https://www.youtube.com/live/N0Tp3auhZ54?si=TUAMJQ8TqFkAVZ1r</v>
      </c>
      <c r="Z350" s="16" t="str">
        <f>HYPERLINK($X350&amp;SUBSTITUTE(マスタ!$C$3,"XXXXX",$W350))</f>
        <v>https://www.youtube.com/live/N0Tp3auhZ54?si=TUAMJQ8TqFkAVZ1r&amp;t=5567s</v>
      </c>
      <c r="AA350" s="12" t="str">
        <f t="shared" si="15"/>
        <v>煮ル果実 feat.可不ナイトルール</v>
      </c>
    </row>
    <row r="351" spans="1:27" x14ac:dyDescent="0.4">
      <c r="A351" s="14">
        <f t="shared" si="17"/>
        <v>350</v>
      </c>
      <c r="B351" s="14">
        <v>49</v>
      </c>
      <c r="C351" s="18" t="s">
        <v>921</v>
      </c>
      <c r="D351" s="14" t="s">
        <v>83</v>
      </c>
      <c r="E351" s="14" t="s">
        <v>84</v>
      </c>
      <c r="G351" s="1" t="str">
        <f>_xlfn.XLOOKUP(B351,M_YT_LIVE!A:A,M_YT_LIVE!F:F,"ERROR",0,1)</f>
        <v>弾き語り</v>
      </c>
      <c r="W351" s="13">
        <f t="shared" si="16"/>
        <v>6096</v>
      </c>
      <c r="X351" s="12" t="str">
        <f>_xlfn.XLOOKUP($B351,M_YT_LIVE!$A:$A,M_YT_LIVE!$D:$D)</f>
        <v>https://www.youtube.com/live/N0Tp3auhZ54?si=TUAMJQ8TqFkAVZ1r</v>
      </c>
      <c r="Z351" s="16" t="str">
        <f>HYPERLINK($X351&amp;SUBSTITUTE(マスタ!$C$3,"XXXXX",$W351))</f>
        <v>https://www.youtube.com/live/N0Tp3auhZ54?si=TUAMJQ8TqFkAVZ1r&amp;t=6096s</v>
      </c>
      <c r="AA351" s="12" t="str">
        <f t="shared" si="15"/>
        <v>木村弓いのちの名前</v>
      </c>
    </row>
    <row r="352" spans="1:27" x14ac:dyDescent="0.4">
      <c r="A352" s="14">
        <f t="shared" si="17"/>
        <v>351</v>
      </c>
      <c r="B352" s="14">
        <v>49</v>
      </c>
      <c r="C352" s="18" t="s">
        <v>922</v>
      </c>
      <c r="D352" s="14" t="s">
        <v>923</v>
      </c>
      <c r="E352" s="14" t="s">
        <v>925</v>
      </c>
      <c r="G352" s="1" t="str">
        <f>_xlfn.XLOOKUP(B352,M_YT_LIVE!A:A,M_YT_LIVE!F:F,"ERROR",0,1)</f>
        <v>弾き語り</v>
      </c>
      <c r="W352" s="13">
        <f t="shared" si="16"/>
        <v>6748.9999999999991</v>
      </c>
      <c r="X352" s="12" t="str">
        <f>_xlfn.XLOOKUP($B352,M_YT_LIVE!$A:$A,M_YT_LIVE!$D:$D)</f>
        <v>https://www.youtube.com/live/N0Tp3auhZ54?si=TUAMJQ8TqFkAVZ1r</v>
      </c>
      <c r="Z352" s="16" t="str">
        <f>HYPERLINK($X352&amp;SUBSTITUTE(マスタ!$C$3,"XXXXX",$W352))</f>
        <v>https://www.youtube.com/live/N0Tp3auhZ54?si=TUAMJQ8TqFkAVZ1r&amp;t=6749s</v>
      </c>
      <c r="AA352" s="12" t="str">
        <f t="shared" si="15"/>
        <v>幽音しの(即興)しのぴ即興ソング</v>
      </c>
    </row>
    <row r="353" spans="1:27" x14ac:dyDescent="0.4">
      <c r="A353" s="14">
        <f t="shared" si="17"/>
        <v>352</v>
      </c>
      <c r="B353" s="14">
        <v>50</v>
      </c>
      <c r="C353" s="18" t="s">
        <v>928</v>
      </c>
      <c r="D353" s="14" t="s">
        <v>945</v>
      </c>
      <c r="E353" s="14" t="s">
        <v>924</v>
      </c>
      <c r="G353" s="1" t="str">
        <f>_xlfn.XLOOKUP(B353,M_YT_LIVE!A:A,M_YT_LIVE!F:F,"ERROR",0,1)</f>
        <v>音源</v>
      </c>
      <c r="W353" s="13">
        <f t="shared" si="16"/>
        <v>609</v>
      </c>
      <c r="X353" s="12" t="str">
        <f>_xlfn.XLOOKUP($B353,M_YT_LIVE!$A:$A,M_YT_LIVE!$D:$D)</f>
        <v>https://www.youtube.com/live/zHPmNlzplRQ?si=hKbKp_wLxXmd13Kq</v>
      </c>
      <c r="Z353" s="16" t="str">
        <f>HYPERLINK($X353&amp;SUBSTITUTE(マスタ!$C$3,"XXXXX",$W353))</f>
        <v>https://www.youtube.com/live/zHPmNlzplRQ?si=hKbKp_wLxXmd13Kq&amp;t=609s</v>
      </c>
      <c r="AA353" s="12" t="str">
        <f t="shared" si="15"/>
        <v>幽音しのかすかなおと</v>
      </c>
    </row>
    <row r="354" spans="1:27" x14ac:dyDescent="0.4">
      <c r="A354" s="14">
        <f t="shared" si="17"/>
        <v>353</v>
      </c>
      <c r="B354" s="14">
        <v>50</v>
      </c>
      <c r="C354" s="18" t="s">
        <v>929</v>
      </c>
      <c r="D354" s="14" t="s">
        <v>930</v>
      </c>
      <c r="E354" s="14" t="s">
        <v>931</v>
      </c>
      <c r="G354" s="1" t="str">
        <f>_xlfn.XLOOKUP(B354,M_YT_LIVE!A:A,M_YT_LIVE!F:F,"ERROR",0,1)</f>
        <v>音源</v>
      </c>
      <c r="W354" s="13">
        <f t="shared" si="16"/>
        <v>1277</v>
      </c>
      <c r="X354" s="12" t="str">
        <f>_xlfn.XLOOKUP($B354,M_YT_LIVE!$A:$A,M_YT_LIVE!$D:$D)</f>
        <v>https://www.youtube.com/live/zHPmNlzplRQ?si=hKbKp_wLxXmd13Kq</v>
      </c>
      <c r="Z354" s="16" t="str">
        <f>HYPERLINK($X354&amp;SUBSTITUTE(マスタ!$C$3,"XXXXX",$W354))</f>
        <v>https://www.youtube.com/live/zHPmNlzplRQ?si=hKbKp_wLxXmd13Kq&amp;t=1277s</v>
      </c>
      <c r="AA354" s="12" t="str">
        <f t="shared" si="15"/>
        <v>涼海ネモ心の話</v>
      </c>
    </row>
    <row r="355" spans="1:27" x14ac:dyDescent="0.4">
      <c r="A355" s="14">
        <f t="shared" si="17"/>
        <v>354</v>
      </c>
      <c r="B355" s="14">
        <v>50</v>
      </c>
      <c r="C355" s="18" t="s">
        <v>932</v>
      </c>
      <c r="D355" s="14" t="s">
        <v>933</v>
      </c>
      <c r="E355" s="14" t="s">
        <v>934</v>
      </c>
      <c r="G355" s="1" t="str">
        <f>_xlfn.XLOOKUP(B355,M_YT_LIVE!A:A,M_YT_LIVE!F:F,"ERROR",0,1)</f>
        <v>音源</v>
      </c>
      <c r="W355" s="13">
        <f t="shared" si="16"/>
        <v>1949</v>
      </c>
      <c r="X355" s="12" t="str">
        <f>_xlfn.XLOOKUP($B355,M_YT_LIVE!$A:$A,M_YT_LIVE!$D:$D)</f>
        <v>https://www.youtube.com/live/zHPmNlzplRQ?si=hKbKp_wLxXmd13Kq</v>
      </c>
      <c r="Z355" s="16" t="str">
        <f>HYPERLINK($X355&amp;SUBSTITUTE(マスタ!$C$3,"XXXXX",$W355))</f>
        <v>https://www.youtube.com/live/zHPmNlzplRQ?si=hKbKp_wLxXmd13Kq&amp;t=1949s</v>
      </c>
      <c r="AA355" s="12" t="str">
        <f t="shared" si="15"/>
        <v>ひかるい(飛良ひかり＆瀬島るい)シスターピース</v>
      </c>
    </row>
    <row r="356" spans="1:27" x14ac:dyDescent="0.4">
      <c r="A356" s="14">
        <f t="shared" si="17"/>
        <v>355</v>
      </c>
      <c r="B356" s="14">
        <v>50</v>
      </c>
      <c r="C356" s="18" t="s">
        <v>909</v>
      </c>
      <c r="D356" s="14" t="s">
        <v>935</v>
      </c>
      <c r="E356" s="14" t="s">
        <v>936</v>
      </c>
      <c r="G356" s="1" t="str">
        <f>_xlfn.XLOOKUP(B356,M_YT_LIVE!A:A,M_YT_LIVE!F:F,"ERROR",0,1)</f>
        <v>音源</v>
      </c>
      <c r="W356" s="13">
        <f t="shared" si="16"/>
        <v>2589</v>
      </c>
      <c r="X356" s="12" t="str">
        <f>_xlfn.XLOOKUP($B356,M_YT_LIVE!$A:$A,M_YT_LIVE!$D:$D)</f>
        <v>https://www.youtube.com/live/zHPmNlzplRQ?si=hKbKp_wLxXmd13Kq</v>
      </c>
      <c r="Z356" s="16" t="str">
        <f>HYPERLINK($X356&amp;SUBSTITUTE(マスタ!$C$3,"XXXXX",$W356))</f>
        <v>https://www.youtube.com/live/zHPmNlzplRQ?si=hKbKp_wLxXmd13Kq&amp;t=2589s</v>
      </c>
      <c r="AA356" s="12" t="str">
        <f t="shared" si="15"/>
        <v>紫水キキパペットパーティ</v>
      </c>
    </row>
    <row r="357" spans="1:27" x14ac:dyDescent="0.4">
      <c r="A357" s="14">
        <f t="shared" si="17"/>
        <v>356</v>
      </c>
      <c r="B357" s="14">
        <v>50</v>
      </c>
      <c r="C357" s="18" t="s">
        <v>937</v>
      </c>
      <c r="D357" s="14" t="s">
        <v>938</v>
      </c>
      <c r="E357" s="14" t="s">
        <v>939</v>
      </c>
      <c r="G357" s="1" t="str">
        <f>_xlfn.XLOOKUP(B357,M_YT_LIVE!A:A,M_YT_LIVE!F:F,"ERROR",0,1)</f>
        <v>音源</v>
      </c>
      <c r="W357" s="13">
        <f t="shared" si="16"/>
        <v>3138</v>
      </c>
      <c r="X357" s="12" t="str">
        <f>_xlfn.XLOOKUP($B357,M_YT_LIVE!$A:$A,M_YT_LIVE!$D:$D)</f>
        <v>https://www.youtube.com/live/zHPmNlzplRQ?si=hKbKp_wLxXmd13Kq</v>
      </c>
      <c r="Z357" s="16" t="str">
        <f>HYPERLINK($X357&amp;SUBSTITUTE(マスタ!$C$3,"XXXXX",$W357))</f>
        <v>https://www.youtube.com/live/zHPmNlzplRQ?si=hKbKp_wLxXmd13Kq&amp;t=3138s</v>
      </c>
      <c r="AA357" s="12" t="str">
        <f t="shared" si="15"/>
        <v>宗谷いちか君と未来</v>
      </c>
    </row>
    <row r="358" spans="1:27" x14ac:dyDescent="0.4">
      <c r="A358" s="14">
        <f t="shared" si="17"/>
        <v>357</v>
      </c>
      <c r="B358" s="14">
        <v>50</v>
      </c>
      <c r="C358" s="18" t="s">
        <v>940</v>
      </c>
      <c r="D358" s="14" t="s">
        <v>941</v>
      </c>
      <c r="E358" s="14" t="s">
        <v>942</v>
      </c>
      <c r="G358" s="1" t="str">
        <f>_xlfn.XLOOKUP(B358,M_YT_LIVE!A:A,M_YT_LIVE!F:F,"ERROR",0,1)</f>
        <v>音源</v>
      </c>
      <c r="W358" s="13">
        <f t="shared" si="16"/>
        <v>3641</v>
      </c>
      <c r="X358" s="12" t="str">
        <f>_xlfn.XLOOKUP($B358,M_YT_LIVE!$A:$A,M_YT_LIVE!$D:$D)</f>
        <v>https://www.youtube.com/live/zHPmNlzplRQ?si=hKbKp_wLxXmd13Kq</v>
      </c>
      <c r="Z358" s="16" t="str">
        <f>HYPERLINK($X358&amp;SUBSTITUTE(マスタ!$C$3,"XXXXX",$W358))</f>
        <v>https://www.youtube.com/live/zHPmNlzplRQ?si=hKbKp_wLxXmd13Kq&amp;t=3641s</v>
      </c>
      <c r="AA358" s="12" t="str">
        <f t="shared" si="15"/>
        <v>ななしいんく星空のエチュード</v>
      </c>
    </row>
    <row r="359" spans="1:27" x14ac:dyDescent="0.4">
      <c r="A359" s="14">
        <f t="shared" si="17"/>
        <v>358</v>
      </c>
      <c r="B359" s="14">
        <v>50</v>
      </c>
      <c r="C359" s="18" t="s">
        <v>943</v>
      </c>
      <c r="D359" s="14" t="s">
        <v>944</v>
      </c>
      <c r="E359" s="14" t="s">
        <v>942</v>
      </c>
      <c r="G359" s="1" t="str">
        <f>_xlfn.XLOOKUP(B359,M_YT_LIVE!A:A,M_YT_LIVE!F:F,"ERROR",0,1)</f>
        <v>音源</v>
      </c>
      <c r="W359" s="13">
        <f t="shared" si="16"/>
        <v>4203</v>
      </c>
      <c r="X359" s="12" t="str">
        <f>_xlfn.XLOOKUP($B359,M_YT_LIVE!$A:$A,M_YT_LIVE!$D:$D)</f>
        <v>https://www.youtube.com/live/zHPmNlzplRQ?si=hKbKp_wLxXmd13Kq</v>
      </c>
      <c r="Z359" s="16" t="str">
        <f>HYPERLINK($X359&amp;SUBSTITUTE(マスタ!$C$3,"XXXXX",$W359))</f>
        <v>https://www.youtube.com/live/zHPmNlzplRQ?si=hKbKp_wLxXmd13Kq&amp;t=4203s</v>
      </c>
      <c r="AA359" s="12" t="str">
        <f t="shared" si="15"/>
        <v>ななしいんく瞬間イマジネーション</v>
      </c>
    </row>
    <row r="360" spans="1:27" x14ac:dyDescent="0.4">
      <c r="A360" s="14">
        <f t="shared" si="17"/>
        <v>359</v>
      </c>
      <c r="B360" s="14">
        <v>51</v>
      </c>
      <c r="C360" s="18" t="s">
        <v>955</v>
      </c>
      <c r="D360" s="14" t="s">
        <v>305</v>
      </c>
      <c r="E360" s="14" t="s">
        <v>141</v>
      </c>
      <c r="G360" s="1" t="str">
        <f>_xlfn.XLOOKUP(B360,M_YT_LIVE!A:A,M_YT_LIVE!F:F,"ERROR",0,1)</f>
        <v>弾き語り</v>
      </c>
      <c r="W360" s="13">
        <f t="shared" si="16"/>
        <v>451.99999999999994</v>
      </c>
      <c r="X360" s="12" t="str">
        <f>_xlfn.XLOOKUP($B360,M_YT_LIVE!$A:$A,M_YT_LIVE!$D:$D)</f>
        <v>https://www.youtube.com/live/lQQh4G5up3Y?si=U2BJIBIs-2OZdL6R</v>
      </c>
      <c r="Z360" s="16" t="str">
        <f>HYPERLINK($X360&amp;SUBSTITUTE(マスタ!$C$3,"XXXXX",$W360))</f>
        <v>https://www.youtube.com/live/lQQh4G5up3Y?si=U2BJIBIs-2OZdL6R&amp;t=452s</v>
      </c>
      <c r="AA360" s="12" t="str">
        <f t="shared" si="15"/>
        <v>ヨルシカ花に亡霊</v>
      </c>
    </row>
    <row r="361" spans="1:27" x14ac:dyDescent="0.4">
      <c r="A361" s="14">
        <f t="shared" si="17"/>
        <v>360</v>
      </c>
      <c r="B361" s="14">
        <v>51</v>
      </c>
      <c r="C361" s="18" t="s">
        <v>948</v>
      </c>
      <c r="D361" s="14" t="s">
        <v>202</v>
      </c>
      <c r="E361" s="14" t="s">
        <v>141</v>
      </c>
      <c r="G361" s="1" t="str">
        <f>_xlfn.XLOOKUP(B361,M_YT_LIVE!A:A,M_YT_LIVE!F:F,"ERROR",0,1)</f>
        <v>弾き語り</v>
      </c>
      <c r="W361" s="13">
        <f t="shared" si="16"/>
        <v>840</v>
      </c>
      <c r="X361" s="12" t="str">
        <f>_xlfn.XLOOKUP($B361,M_YT_LIVE!$A:$A,M_YT_LIVE!$D:$D)</f>
        <v>https://www.youtube.com/live/lQQh4G5up3Y?si=U2BJIBIs-2OZdL6R</v>
      </c>
      <c r="Z361" s="16" t="str">
        <f>HYPERLINK($X361&amp;SUBSTITUTE(マスタ!$C$3,"XXXXX",$W361))</f>
        <v>https://www.youtube.com/live/lQQh4G5up3Y?si=U2BJIBIs-2OZdL6R&amp;t=840s</v>
      </c>
      <c r="AA361" s="12" t="str">
        <f t="shared" si="15"/>
        <v>ヨルシカノーチラス</v>
      </c>
    </row>
    <row r="362" spans="1:27" x14ac:dyDescent="0.4">
      <c r="A362" s="14">
        <f t="shared" si="17"/>
        <v>361</v>
      </c>
      <c r="B362" s="14">
        <v>51</v>
      </c>
      <c r="C362" s="18" t="s">
        <v>949</v>
      </c>
      <c r="D362" s="14" t="s">
        <v>232</v>
      </c>
      <c r="E362" s="14" t="s">
        <v>141</v>
      </c>
      <c r="G362" s="1" t="str">
        <f>_xlfn.XLOOKUP(B362,M_YT_LIVE!A:A,M_YT_LIVE!F:F,"ERROR",0,1)</f>
        <v>弾き語り</v>
      </c>
      <c r="W362" s="13">
        <f t="shared" si="16"/>
        <v>1216</v>
      </c>
      <c r="X362" s="12" t="str">
        <f>_xlfn.XLOOKUP($B362,M_YT_LIVE!$A:$A,M_YT_LIVE!$D:$D)</f>
        <v>https://www.youtube.com/live/lQQh4G5up3Y?si=U2BJIBIs-2OZdL6R</v>
      </c>
      <c r="Z362" s="16" t="str">
        <f>HYPERLINK($X362&amp;SUBSTITUTE(マスタ!$C$3,"XXXXX",$W362))</f>
        <v>https://www.youtube.com/live/lQQh4G5up3Y?si=U2BJIBIs-2OZdL6R&amp;t=1216s</v>
      </c>
      <c r="AA362" s="12" t="str">
        <f t="shared" si="15"/>
        <v>ヨルシカチノカテ</v>
      </c>
    </row>
    <row r="363" spans="1:27" x14ac:dyDescent="0.4">
      <c r="A363" s="14">
        <f t="shared" si="17"/>
        <v>362</v>
      </c>
      <c r="B363" s="14">
        <v>51</v>
      </c>
      <c r="C363" s="18" t="s">
        <v>950</v>
      </c>
      <c r="D363" s="14" t="s">
        <v>297</v>
      </c>
      <c r="E363" s="14" t="s">
        <v>298</v>
      </c>
      <c r="G363" s="1" t="str">
        <f>_xlfn.XLOOKUP(B363,M_YT_LIVE!A:A,M_YT_LIVE!F:F,"ERROR",0,1)</f>
        <v>弾き語り</v>
      </c>
      <c r="W363" s="13">
        <f t="shared" si="16"/>
        <v>1674</v>
      </c>
      <c r="X363" s="12" t="str">
        <f>_xlfn.XLOOKUP($B363,M_YT_LIVE!$A:$A,M_YT_LIVE!$D:$D)</f>
        <v>https://www.youtube.com/live/lQQh4G5up3Y?si=U2BJIBIs-2OZdL6R</v>
      </c>
      <c r="Z363" s="16" t="str">
        <f>HYPERLINK($X363&amp;SUBSTITUTE(マスタ!$C$3,"XXXXX",$W363))</f>
        <v>https://www.youtube.com/live/lQQh4G5up3Y?si=U2BJIBIs-2OZdL6R&amp;t=1674s</v>
      </c>
      <c r="AA363" s="12" t="str">
        <f t="shared" si="15"/>
        <v>あいみょんマリーゴールド</v>
      </c>
    </row>
    <row r="364" spans="1:27" x14ac:dyDescent="0.4">
      <c r="A364" s="14">
        <f t="shared" si="17"/>
        <v>363</v>
      </c>
      <c r="B364" s="14">
        <v>51</v>
      </c>
      <c r="C364" s="18" t="s">
        <v>951</v>
      </c>
      <c r="D364" s="14" t="s">
        <v>59</v>
      </c>
      <c r="E364" s="14" t="s">
        <v>1223</v>
      </c>
      <c r="G364" s="1" t="str">
        <f>_xlfn.XLOOKUP(B364,M_YT_LIVE!A:A,M_YT_LIVE!F:F,"ERROR",0,1)</f>
        <v>弾き語り</v>
      </c>
      <c r="W364" s="13">
        <f t="shared" si="16"/>
        <v>2210</v>
      </c>
      <c r="X364" s="12" t="str">
        <f>_xlfn.XLOOKUP($B364,M_YT_LIVE!$A:$A,M_YT_LIVE!$D:$D)</f>
        <v>https://www.youtube.com/live/lQQh4G5up3Y?si=U2BJIBIs-2OZdL6R</v>
      </c>
      <c r="Z364" s="16" t="str">
        <f>HYPERLINK($X364&amp;SUBSTITUTE(マスタ!$C$3,"XXXXX",$W364))</f>
        <v>https://www.youtube.com/live/lQQh4G5up3Y?si=U2BJIBIs-2OZdL6R&amp;t=2210s</v>
      </c>
      <c r="AA364" s="12" t="str">
        <f t="shared" si="15"/>
        <v>Eve feat.初音ミクお気に召すまま</v>
      </c>
    </row>
    <row r="365" spans="1:27" x14ac:dyDescent="0.4">
      <c r="A365" s="14">
        <f t="shared" si="17"/>
        <v>364</v>
      </c>
      <c r="B365" s="14">
        <v>51</v>
      </c>
      <c r="C365" s="18" t="s">
        <v>952</v>
      </c>
      <c r="D365" s="14" t="s">
        <v>953</v>
      </c>
      <c r="E365" s="14" t="s">
        <v>507</v>
      </c>
      <c r="G365" s="1" t="str">
        <f>_xlfn.XLOOKUP(B365,M_YT_LIVE!A:A,M_YT_LIVE!F:F,"ERROR",0,1)</f>
        <v>弾き語り</v>
      </c>
      <c r="W365" s="13">
        <f t="shared" si="16"/>
        <v>2686</v>
      </c>
      <c r="X365" s="12" t="str">
        <f>_xlfn.XLOOKUP($B365,M_YT_LIVE!$A:$A,M_YT_LIVE!$D:$D)</f>
        <v>https://www.youtube.com/live/lQQh4G5up3Y?si=U2BJIBIs-2OZdL6R</v>
      </c>
      <c r="Z365" s="16" t="str">
        <f>HYPERLINK($X365&amp;SUBSTITUTE(マスタ!$C$3,"XXXXX",$W365))</f>
        <v>https://www.youtube.com/live/lQQh4G5up3Y?si=U2BJIBIs-2OZdL6R&amp;t=2686s</v>
      </c>
      <c r="AA365" s="12" t="str">
        <f t="shared" si="15"/>
        <v>YOASOBI群青</v>
      </c>
    </row>
    <row r="366" spans="1:27" x14ac:dyDescent="0.4">
      <c r="A366" s="14">
        <f t="shared" si="17"/>
        <v>365</v>
      </c>
      <c r="B366" s="14">
        <v>51</v>
      </c>
      <c r="C366" s="18" t="s">
        <v>954</v>
      </c>
      <c r="D366" s="14" t="s">
        <v>19</v>
      </c>
      <c r="E366" s="14" t="s">
        <v>20</v>
      </c>
      <c r="G366" s="1" t="str">
        <f>_xlfn.XLOOKUP(B366,M_YT_LIVE!A:A,M_YT_LIVE!F:F,"ERROR",0,1)</f>
        <v>弾き語り</v>
      </c>
      <c r="W366" s="13">
        <f t="shared" si="16"/>
        <v>3187</v>
      </c>
      <c r="X366" s="12" t="str">
        <f>_xlfn.XLOOKUP($B366,M_YT_LIVE!$A:$A,M_YT_LIVE!$D:$D)</f>
        <v>https://www.youtube.com/live/lQQh4G5up3Y?si=U2BJIBIs-2OZdL6R</v>
      </c>
      <c r="Z366" s="16" t="str">
        <f>HYPERLINK($X366&amp;SUBSTITUTE(マスタ!$C$3,"XXXXX",$W366))</f>
        <v>https://www.youtube.com/live/lQQh4G5up3Y?si=U2BJIBIs-2OZdL6R&amp;t=3187s</v>
      </c>
      <c r="AA366" s="12" t="str">
        <f t="shared" si="15"/>
        <v>Vaundy怪獣の花唄</v>
      </c>
    </row>
    <row r="367" spans="1:27" x14ac:dyDescent="0.4">
      <c r="A367" s="14">
        <f t="shared" si="17"/>
        <v>366</v>
      </c>
      <c r="B367" s="14">
        <v>52</v>
      </c>
      <c r="C367" s="18" t="s">
        <v>958</v>
      </c>
      <c r="D367" s="14" t="s">
        <v>959</v>
      </c>
      <c r="E367" s="14" t="s">
        <v>1536</v>
      </c>
      <c r="G367" s="1" t="str">
        <f>_xlfn.XLOOKUP(B367,M_YT_LIVE!A:A,M_YT_LIVE!F:F,"ERROR",0,1)</f>
        <v>音源</v>
      </c>
      <c r="W367" s="13">
        <f t="shared" si="16"/>
        <v>512</v>
      </c>
      <c r="X367" s="12" t="str">
        <f>_xlfn.XLOOKUP($B367,M_YT_LIVE!$A:$A,M_YT_LIVE!$D:$D)</f>
        <v>https://www.youtube.com/live/bXG5ottJZas?si=VsjzjU8RreUrJGd3</v>
      </c>
      <c r="Z367" s="16" t="str">
        <f>HYPERLINK($X367&amp;SUBSTITUTE(マスタ!$C$3,"XXXXX",$W367))</f>
        <v>https://www.youtube.com/live/bXG5ottJZas?si=VsjzjU8RreUrJGd3&amp;t=512s</v>
      </c>
      <c r="AA367" s="12" t="str">
        <f t="shared" si="15"/>
        <v>じん(自然の敵P) feat.IA夜咄ディセイブ</v>
      </c>
    </row>
    <row r="368" spans="1:27" x14ac:dyDescent="0.4">
      <c r="A368" s="14">
        <f t="shared" si="17"/>
        <v>367</v>
      </c>
      <c r="B368" s="14">
        <v>52</v>
      </c>
      <c r="C368" s="18" t="s">
        <v>961</v>
      </c>
      <c r="D368" s="14" t="s">
        <v>962</v>
      </c>
      <c r="E368" s="14" t="s">
        <v>742</v>
      </c>
      <c r="G368" s="1" t="str">
        <f>_xlfn.XLOOKUP(B368,M_YT_LIVE!A:A,M_YT_LIVE!F:F,"ERROR",0,1)</f>
        <v>音源</v>
      </c>
      <c r="W368" s="13">
        <f t="shared" si="16"/>
        <v>758.99999999999989</v>
      </c>
      <c r="X368" s="12" t="str">
        <f>_xlfn.XLOOKUP($B368,M_YT_LIVE!$A:$A,M_YT_LIVE!$D:$D)</f>
        <v>https://www.youtube.com/live/bXG5ottJZas?si=VsjzjU8RreUrJGd3</v>
      </c>
      <c r="Z368" s="16" t="str">
        <f>HYPERLINK($X368&amp;SUBSTITUTE(マスタ!$C$3,"XXXXX",$W368))</f>
        <v>https://www.youtube.com/live/bXG5ottJZas?si=VsjzjU8RreUrJGd3&amp;t=759s</v>
      </c>
      <c r="AA368" s="12" t="str">
        <f t="shared" si="15"/>
        <v>KANA-BOONフルドライブ</v>
      </c>
    </row>
    <row r="369" spans="1:27" x14ac:dyDescent="0.4">
      <c r="A369" s="14">
        <f t="shared" si="17"/>
        <v>368</v>
      </c>
      <c r="B369" s="14">
        <v>52</v>
      </c>
      <c r="C369" s="18" t="s">
        <v>963</v>
      </c>
      <c r="D369" s="14" t="s">
        <v>964</v>
      </c>
      <c r="E369" s="14" t="s">
        <v>200</v>
      </c>
      <c r="G369" s="1" t="str">
        <f>_xlfn.XLOOKUP(B369,M_YT_LIVE!A:A,M_YT_LIVE!F:F,"ERROR",0,1)</f>
        <v>音源</v>
      </c>
      <c r="W369" s="13">
        <f t="shared" si="16"/>
        <v>1275</v>
      </c>
      <c r="X369" s="12" t="str">
        <f>_xlfn.XLOOKUP($B369,M_YT_LIVE!$A:$A,M_YT_LIVE!$D:$D)</f>
        <v>https://www.youtube.com/live/bXG5ottJZas?si=VsjzjU8RreUrJGd3</v>
      </c>
      <c r="Z369" s="16" t="str">
        <f>HYPERLINK($X369&amp;SUBSTITUTE(マスタ!$C$3,"XXXXX",$W369))</f>
        <v>https://www.youtube.com/live/bXG5ottJZas?si=VsjzjU8RreUrJGd3&amp;t=1275s</v>
      </c>
      <c r="AA369" s="12" t="str">
        <f t="shared" si="15"/>
        <v>緑黄色社会Mela!</v>
      </c>
    </row>
    <row r="370" spans="1:27" x14ac:dyDescent="0.4">
      <c r="A370" s="14">
        <f t="shared" si="17"/>
        <v>369</v>
      </c>
      <c r="B370" s="14">
        <v>52</v>
      </c>
      <c r="C370" s="18" t="s">
        <v>965</v>
      </c>
      <c r="D370" s="14" t="s">
        <v>966</v>
      </c>
      <c r="E370" s="14" t="s">
        <v>967</v>
      </c>
      <c r="G370" s="1" t="str">
        <f>_xlfn.XLOOKUP(B370,M_YT_LIVE!A:A,M_YT_LIVE!F:F,"ERROR",0,1)</f>
        <v>音源</v>
      </c>
      <c r="W370" s="13">
        <f t="shared" si="16"/>
        <v>1600</v>
      </c>
      <c r="X370" s="12" t="str">
        <f>_xlfn.XLOOKUP($B370,M_YT_LIVE!$A:$A,M_YT_LIVE!$D:$D)</f>
        <v>https://www.youtube.com/live/bXG5ottJZas?si=VsjzjU8RreUrJGd3</v>
      </c>
      <c r="Z370" s="16" t="str">
        <f>HYPERLINK($X370&amp;SUBSTITUTE(マスタ!$C$3,"XXXXX",$W370))</f>
        <v>https://www.youtube.com/live/bXG5ottJZas?si=VsjzjU8RreUrJGd3&amp;t=1600s</v>
      </c>
      <c r="AA370" s="12" t="str">
        <f t="shared" si="15"/>
        <v>the peggies君のせい</v>
      </c>
    </row>
    <row r="371" spans="1:27" x14ac:dyDescent="0.4">
      <c r="A371" s="14">
        <f t="shared" si="17"/>
        <v>370</v>
      </c>
      <c r="B371" s="14">
        <v>52</v>
      </c>
      <c r="C371" s="18" t="s">
        <v>968</v>
      </c>
      <c r="D371" s="14" t="s">
        <v>969</v>
      </c>
      <c r="E371" s="14" t="s">
        <v>547</v>
      </c>
      <c r="G371" s="1" t="str">
        <f>_xlfn.XLOOKUP(B371,M_YT_LIVE!A:A,M_YT_LIVE!F:F,"ERROR",0,1)</f>
        <v>音源</v>
      </c>
      <c r="W371" s="13">
        <f t="shared" si="16"/>
        <v>2155</v>
      </c>
      <c r="X371" s="12" t="str">
        <f>_xlfn.XLOOKUP($B371,M_YT_LIVE!$A:$A,M_YT_LIVE!$D:$D)</f>
        <v>https://www.youtube.com/live/bXG5ottJZas?si=VsjzjU8RreUrJGd3</v>
      </c>
      <c r="Z371" s="16" t="str">
        <f>HYPERLINK($X371&amp;SUBSTITUTE(マスタ!$C$3,"XXXXX",$W371))</f>
        <v>https://www.youtube.com/live/bXG5ottJZas?si=VsjzjU8RreUrJGd3&amp;t=2155s</v>
      </c>
      <c r="AA371" s="12" t="str">
        <f t="shared" si="15"/>
        <v>米津玄師Lemon</v>
      </c>
    </row>
    <row r="372" spans="1:27" x14ac:dyDescent="0.4">
      <c r="A372" s="14">
        <f t="shared" si="17"/>
        <v>371</v>
      </c>
      <c r="B372" s="14">
        <v>52</v>
      </c>
      <c r="C372" s="18" t="s">
        <v>801</v>
      </c>
      <c r="D372" s="14" t="s">
        <v>970</v>
      </c>
      <c r="E372" s="14" t="s">
        <v>971</v>
      </c>
      <c r="G372" s="1" t="str">
        <f>_xlfn.XLOOKUP(B372,M_YT_LIVE!A:A,M_YT_LIVE!F:F,"ERROR",0,1)</f>
        <v>音源</v>
      </c>
      <c r="W372" s="13">
        <f t="shared" si="16"/>
        <v>2493</v>
      </c>
      <c r="X372" s="12" t="str">
        <f>_xlfn.XLOOKUP($B372,M_YT_LIVE!$A:$A,M_YT_LIVE!$D:$D)</f>
        <v>https://www.youtube.com/live/bXG5ottJZas?si=VsjzjU8RreUrJGd3</v>
      </c>
      <c r="Z372" s="16" t="str">
        <f>HYPERLINK($X372&amp;SUBSTITUTE(マスタ!$C$3,"XXXXX",$W372))</f>
        <v>https://www.youtube.com/live/bXG5ottJZas?si=VsjzjU8RreUrJGd3&amp;t=2493s</v>
      </c>
      <c r="AA372" s="12" t="str">
        <f t="shared" si="15"/>
        <v>ハチ(米津玄師) feat.初音ミク&amp;GUMIマトリョシカ</v>
      </c>
    </row>
    <row r="373" spans="1:27" x14ac:dyDescent="0.4">
      <c r="A373" s="14">
        <f t="shared" si="17"/>
        <v>372</v>
      </c>
      <c r="B373" s="14">
        <v>52</v>
      </c>
      <c r="C373" s="18" t="s">
        <v>972</v>
      </c>
      <c r="D373" s="14" t="s">
        <v>423</v>
      </c>
      <c r="E373" s="14" t="s">
        <v>424</v>
      </c>
      <c r="G373" s="1" t="str">
        <f>_xlfn.XLOOKUP(B373,M_YT_LIVE!A:A,M_YT_LIVE!F:F,"ERROR",0,1)</f>
        <v>音源</v>
      </c>
      <c r="W373" s="13">
        <f t="shared" si="16"/>
        <v>2878</v>
      </c>
      <c r="X373" s="12" t="str">
        <f>_xlfn.XLOOKUP($B373,M_YT_LIVE!$A:$A,M_YT_LIVE!$D:$D)</f>
        <v>https://www.youtube.com/live/bXG5ottJZas?si=VsjzjU8RreUrJGd3</v>
      </c>
      <c r="Z373" s="16" t="str">
        <f>HYPERLINK($X373&amp;SUBSTITUTE(マスタ!$C$3,"XXXXX",$W373))</f>
        <v>https://www.youtube.com/live/bXG5ottJZas?si=VsjzjU8RreUrJGd3&amp;t=2878s</v>
      </c>
      <c r="AA373" s="12" t="str">
        <f t="shared" si="15"/>
        <v>トーマ feat.初音ミクエンヴィーキャットウォーク</v>
      </c>
    </row>
    <row r="374" spans="1:27" x14ac:dyDescent="0.4">
      <c r="A374" s="14">
        <f t="shared" si="17"/>
        <v>373</v>
      </c>
      <c r="B374" s="14">
        <v>52</v>
      </c>
      <c r="C374" s="18" t="s">
        <v>973</v>
      </c>
      <c r="D374" s="14" t="s">
        <v>974</v>
      </c>
      <c r="E374" s="14" t="s">
        <v>975</v>
      </c>
      <c r="G374" s="1" t="str">
        <f>_xlfn.XLOOKUP(B374,M_YT_LIVE!A:A,M_YT_LIVE!F:F,"ERROR",0,1)</f>
        <v>音源</v>
      </c>
      <c r="W374" s="13">
        <f t="shared" si="16"/>
        <v>3241</v>
      </c>
      <c r="X374" s="12" t="str">
        <f>_xlfn.XLOOKUP($B374,M_YT_LIVE!$A:$A,M_YT_LIVE!$D:$D)</f>
        <v>https://www.youtube.com/live/bXG5ottJZas?si=VsjzjU8RreUrJGd3</v>
      </c>
      <c r="Z374" s="16" t="str">
        <f>HYPERLINK($X374&amp;SUBSTITUTE(マスタ!$C$3,"XXXXX",$W374))</f>
        <v>https://www.youtube.com/live/bXG5ottJZas?si=VsjzjU8RreUrJGd3&amp;t=3241s</v>
      </c>
      <c r="AA374" s="12" t="str">
        <f t="shared" si="15"/>
        <v>じーざすP（WONDERFUL★OPPORTUNITY!） feat.鏡音リン&amp;鏡音レンしんでしまうとはなさけない!</v>
      </c>
    </row>
    <row r="375" spans="1:27" x14ac:dyDescent="0.4">
      <c r="A375" s="14">
        <f t="shared" si="17"/>
        <v>374</v>
      </c>
      <c r="B375" s="14">
        <v>52</v>
      </c>
      <c r="C375" s="18" t="s">
        <v>976</v>
      </c>
      <c r="D375" s="14" t="s">
        <v>977</v>
      </c>
      <c r="E375" s="14" t="s">
        <v>978</v>
      </c>
      <c r="G375" s="1" t="str">
        <f>_xlfn.XLOOKUP(B375,M_YT_LIVE!A:A,M_YT_LIVE!F:F,"ERROR",0,1)</f>
        <v>音源</v>
      </c>
      <c r="W375" s="13">
        <f t="shared" si="16"/>
        <v>3639</v>
      </c>
      <c r="X375" s="12" t="str">
        <f>_xlfn.XLOOKUP($B375,M_YT_LIVE!$A:$A,M_YT_LIVE!$D:$D)</f>
        <v>https://www.youtube.com/live/bXG5ottJZas?si=VsjzjU8RreUrJGd3</v>
      </c>
      <c r="Z375" s="16" t="str">
        <f>HYPERLINK($X375&amp;SUBSTITUTE(マスタ!$C$3,"XXXXX",$W375))</f>
        <v>https://www.youtube.com/live/bXG5ottJZas?si=VsjzjU8RreUrJGd3&amp;t=3639s</v>
      </c>
      <c r="AA375" s="12" t="str">
        <f t="shared" si="15"/>
        <v>ジミーサムP feat.巡音ルカNo Logic</v>
      </c>
    </row>
    <row r="376" spans="1:27" x14ac:dyDescent="0.4">
      <c r="A376" s="14">
        <f t="shared" si="17"/>
        <v>375</v>
      </c>
      <c r="B376" s="14">
        <v>52</v>
      </c>
      <c r="C376" s="18" t="s">
        <v>979</v>
      </c>
      <c r="D376" s="14" t="s">
        <v>980</v>
      </c>
      <c r="E376" s="14" t="s">
        <v>981</v>
      </c>
      <c r="G376" s="1" t="str">
        <f>_xlfn.XLOOKUP(B376,M_YT_LIVE!A:A,M_YT_LIVE!F:F,"ERROR",0,1)</f>
        <v>音源</v>
      </c>
      <c r="W376" s="13">
        <f t="shared" si="16"/>
        <v>4034</v>
      </c>
      <c r="X376" s="12" t="str">
        <f>_xlfn.XLOOKUP($B376,M_YT_LIVE!$A:$A,M_YT_LIVE!$D:$D)</f>
        <v>https://www.youtube.com/live/bXG5ottJZas?si=VsjzjU8RreUrJGd3</v>
      </c>
      <c r="Z376" s="16" t="str">
        <f>HYPERLINK($X376&amp;SUBSTITUTE(マスタ!$C$3,"XXXXX",$W376))</f>
        <v>https://www.youtube.com/live/bXG5ottJZas?si=VsjzjU8RreUrJGd3&amp;t=4034s</v>
      </c>
      <c r="AA376" s="12" t="str">
        <f t="shared" si="15"/>
        <v>KEI feat.巡音ルカHello, Worker</v>
      </c>
    </row>
    <row r="377" spans="1:27" x14ac:dyDescent="0.4">
      <c r="A377" s="14">
        <f t="shared" si="17"/>
        <v>376</v>
      </c>
      <c r="B377" s="14">
        <v>52</v>
      </c>
      <c r="C377" s="18" t="s">
        <v>982</v>
      </c>
      <c r="D377" s="14" t="s">
        <v>983</v>
      </c>
      <c r="E377" s="14" t="s">
        <v>1222</v>
      </c>
      <c r="G377" s="1" t="str">
        <f>_xlfn.XLOOKUP(B377,M_YT_LIVE!A:A,M_YT_LIVE!F:F,"ERROR",0,1)</f>
        <v>音源</v>
      </c>
      <c r="W377" s="13">
        <f t="shared" si="16"/>
        <v>4397</v>
      </c>
      <c r="X377" s="12" t="str">
        <f>_xlfn.XLOOKUP($B377,M_YT_LIVE!$A:$A,M_YT_LIVE!$D:$D)</f>
        <v>https://www.youtube.com/live/bXG5ottJZas?si=VsjzjU8RreUrJGd3</v>
      </c>
      <c r="Z377" s="16" t="str">
        <f>HYPERLINK($X377&amp;SUBSTITUTE(マスタ!$C$3,"XXXXX",$W377))</f>
        <v>https://www.youtube.com/live/bXG5ottJZas?si=VsjzjU8RreUrJGd3&amp;t=4397s</v>
      </c>
      <c r="AA377" s="12" t="str">
        <f t="shared" si="15"/>
        <v>40mP feat.初音ミク純情スカート</v>
      </c>
    </row>
    <row r="378" spans="1:27" x14ac:dyDescent="0.4">
      <c r="A378" s="14">
        <f t="shared" si="17"/>
        <v>377</v>
      </c>
      <c r="B378" s="14">
        <v>52</v>
      </c>
      <c r="C378" s="18" t="s">
        <v>984</v>
      </c>
      <c r="D378" s="14" t="s">
        <v>985</v>
      </c>
      <c r="E378" s="14" t="s">
        <v>986</v>
      </c>
      <c r="G378" s="1" t="str">
        <f>_xlfn.XLOOKUP(B378,M_YT_LIVE!A:A,M_YT_LIVE!F:F,"ERROR",0,1)</f>
        <v>音源</v>
      </c>
      <c r="W378" s="13">
        <f t="shared" si="16"/>
        <v>4821</v>
      </c>
      <c r="X378" s="12" t="str">
        <f>_xlfn.XLOOKUP($B378,M_YT_LIVE!$A:$A,M_YT_LIVE!$D:$D)</f>
        <v>https://www.youtube.com/live/bXG5ottJZas?si=VsjzjU8RreUrJGd3</v>
      </c>
      <c r="Z378" s="16" t="str">
        <f>HYPERLINK($X378&amp;SUBSTITUTE(マスタ!$C$3,"XXXXX",$W378))</f>
        <v>https://www.youtube.com/live/bXG5ottJZas?si=VsjzjU8RreUrJGd3&amp;t=4821s</v>
      </c>
      <c r="AA378" s="12" t="str">
        <f t="shared" si="15"/>
        <v>スズム feat.GUMI世界寿命と最後の一日</v>
      </c>
    </row>
    <row r="379" spans="1:27" x14ac:dyDescent="0.4">
      <c r="A379" s="14">
        <f t="shared" si="17"/>
        <v>378</v>
      </c>
      <c r="B379" s="14">
        <v>52</v>
      </c>
      <c r="C379" s="18" t="s">
        <v>987</v>
      </c>
      <c r="D379" s="14" t="s">
        <v>988</v>
      </c>
      <c r="E379" s="14" t="s">
        <v>989</v>
      </c>
      <c r="G379" s="1" t="str">
        <f>_xlfn.XLOOKUP(B379,M_YT_LIVE!A:A,M_YT_LIVE!F:F,"ERROR",0,1)</f>
        <v>音源</v>
      </c>
      <c r="W379" s="13">
        <f t="shared" si="16"/>
        <v>5190</v>
      </c>
      <c r="X379" s="12" t="str">
        <f>_xlfn.XLOOKUP($B379,M_YT_LIVE!$A:$A,M_YT_LIVE!$D:$D)</f>
        <v>https://www.youtube.com/live/bXG5ottJZas?si=VsjzjU8RreUrJGd3</v>
      </c>
      <c r="Z379" s="16" t="str">
        <f>HYPERLINK($X379&amp;SUBSTITUTE(マスタ!$C$3,"XXXXX",$W379))</f>
        <v>https://www.youtube.com/live/bXG5ottJZas?si=VsjzjU8RreUrJGd3&amp;t=5190s</v>
      </c>
      <c r="AA379" s="12" t="str">
        <f t="shared" si="15"/>
        <v>梨本P feat.初音ミクペテン師が笑う頃に</v>
      </c>
    </row>
    <row r="380" spans="1:27" x14ac:dyDescent="0.4">
      <c r="A380" s="14">
        <f t="shared" si="17"/>
        <v>379</v>
      </c>
      <c r="B380" s="14">
        <v>52</v>
      </c>
      <c r="C380" s="18" t="s">
        <v>990</v>
      </c>
      <c r="D380" s="14" t="s">
        <v>991</v>
      </c>
      <c r="E380" s="14" t="s">
        <v>992</v>
      </c>
      <c r="G380" s="1" t="str">
        <f>_xlfn.XLOOKUP(B380,M_YT_LIVE!A:A,M_YT_LIVE!F:F,"ERROR",0,1)</f>
        <v>音源</v>
      </c>
      <c r="W380" s="13">
        <f t="shared" si="16"/>
        <v>5630</v>
      </c>
      <c r="X380" s="12" t="str">
        <f>_xlfn.XLOOKUP($B380,M_YT_LIVE!$A:$A,M_YT_LIVE!$D:$D)</f>
        <v>https://www.youtube.com/live/bXG5ottJZas?si=VsjzjU8RreUrJGd3</v>
      </c>
      <c r="Z380" s="16" t="str">
        <f>HYPERLINK($X380&amp;SUBSTITUTE(マスタ!$C$3,"XXXXX",$W380))</f>
        <v>https://www.youtube.com/live/bXG5ottJZas?si=VsjzjU8RreUrJGd3&amp;t=5630s</v>
      </c>
      <c r="AA380" s="12" t="str">
        <f t="shared" si="15"/>
        <v>Last Note. feat.GUMIセツナトリップ</v>
      </c>
    </row>
    <row r="381" spans="1:27" x14ac:dyDescent="0.4">
      <c r="A381" s="14">
        <f t="shared" si="17"/>
        <v>380</v>
      </c>
      <c r="B381" s="14">
        <v>52</v>
      </c>
      <c r="C381" s="18" t="s">
        <v>993</v>
      </c>
      <c r="D381" s="14" t="s">
        <v>426</v>
      </c>
      <c r="E381" s="14" t="s">
        <v>427</v>
      </c>
      <c r="G381" s="1" t="str">
        <f>_xlfn.XLOOKUP(B381,M_YT_LIVE!A:A,M_YT_LIVE!F:F,"ERROR",0,1)</f>
        <v>音源</v>
      </c>
      <c r="W381" s="13">
        <f t="shared" si="16"/>
        <v>6248</v>
      </c>
      <c r="X381" s="12" t="str">
        <f>_xlfn.XLOOKUP($B381,M_YT_LIVE!$A:$A,M_YT_LIVE!$D:$D)</f>
        <v>https://www.youtube.com/live/bXG5ottJZas?si=VsjzjU8RreUrJGd3</v>
      </c>
      <c r="Z381" s="16" t="str">
        <f>HYPERLINK($X381&amp;SUBSTITUTE(マスタ!$C$3,"XXXXX",$W381))</f>
        <v>https://www.youtube.com/live/bXG5ottJZas?si=VsjzjU8RreUrJGd3&amp;t=6248s</v>
      </c>
      <c r="AA381" s="12" t="str">
        <f t="shared" si="15"/>
        <v>cosMo(暴走P) feat.初音ミク初音ミクの消失 -DEAD END-</v>
      </c>
    </row>
    <row r="382" spans="1:27" x14ac:dyDescent="0.4">
      <c r="A382" s="14">
        <f t="shared" si="17"/>
        <v>381</v>
      </c>
      <c r="B382" s="14">
        <v>53</v>
      </c>
      <c r="C382" s="18" t="s">
        <v>996</v>
      </c>
      <c r="D382" s="14" t="s">
        <v>71</v>
      </c>
      <c r="E382" s="14" t="s">
        <v>72</v>
      </c>
      <c r="G382" s="1" t="str">
        <f>_xlfn.XLOOKUP(B382,M_YT_LIVE!A:A,M_YT_LIVE!F:F,"ERROR",0,1)</f>
        <v>弾き語り</v>
      </c>
      <c r="W382" s="13">
        <f t="shared" si="16"/>
        <v>274</v>
      </c>
      <c r="X382" s="12" t="str">
        <f>_xlfn.XLOOKUP($B382,M_YT_LIVE!$A:$A,M_YT_LIVE!$D:$D)</f>
        <v>https://www.youtube.com/live/BTi31luRntI?si=HKZA9dD6UF6pnPvq</v>
      </c>
      <c r="Z382" s="16" t="str">
        <f>HYPERLINK($X382&amp;SUBSTITUTE(マスタ!$C$3,"XXXXX",$W382))</f>
        <v>https://www.youtube.com/live/BTi31luRntI?si=HKZA9dD6UF6pnPvq&amp;t=274s</v>
      </c>
      <c r="AA382" s="12" t="str">
        <f t="shared" si="15"/>
        <v>優里ドライフラワー</v>
      </c>
    </row>
    <row r="383" spans="1:27" x14ac:dyDescent="0.4">
      <c r="A383" s="14">
        <f t="shared" si="17"/>
        <v>382</v>
      </c>
      <c r="B383" s="14">
        <v>53</v>
      </c>
      <c r="C383" s="18" t="s">
        <v>538</v>
      </c>
      <c r="D383" s="14" t="s">
        <v>275</v>
      </c>
      <c r="E383" s="14" t="s">
        <v>276</v>
      </c>
      <c r="G383" s="1" t="str">
        <f>_xlfn.XLOOKUP(B383,M_YT_LIVE!A:A,M_YT_LIVE!F:F,"ERROR",0,1)</f>
        <v>弾き語り</v>
      </c>
      <c r="W383" s="13">
        <f t="shared" si="16"/>
        <v>765</v>
      </c>
      <c r="X383" s="12" t="str">
        <f>_xlfn.XLOOKUP($B383,M_YT_LIVE!$A:$A,M_YT_LIVE!$D:$D)</f>
        <v>https://www.youtube.com/live/BTi31luRntI?si=HKZA9dD6UF6pnPvq</v>
      </c>
      <c r="Z383" s="16" t="str">
        <f>HYPERLINK($X383&amp;SUBSTITUTE(マスタ!$C$3,"XXXXX",$W383))</f>
        <v>https://www.youtube.com/live/BTi31luRntI?si=HKZA9dD6UF6pnPvq&amp;t=765s</v>
      </c>
      <c r="AA383" s="12" t="str">
        <f t="shared" si="15"/>
        <v>YUIHELLO〜Paradise Kiss〜</v>
      </c>
    </row>
    <row r="384" spans="1:27" x14ac:dyDescent="0.4">
      <c r="A384" s="14">
        <f t="shared" si="17"/>
        <v>383</v>
      </c>
      <c r="B384" s="14">
        <v>53</v>
      </c>
      <c r="C384" s="18" t="s">
        <v>997</v>
      </c>
      <c r="D384" s="14" t="s">
        <v>705</v>
      </c>
      <c r="E384" s="14" t="s">
        <v>276</v>
      </c>
      <c r="G384" s="1" t="str">
        <f>_xlfn.XLOOKUP(B384,M_YT_LIVE!A:A,M_YT_LIVE!F:F,"ERROR",0,1)</f>
        <v>弾き語り</v>
      </c>
      <c r="W384" s="13">
        <f t="shared" si="16"/>
        <v>1154</v>
      </c>
      <c r="X384" s="12" t="str">
        <f>_xlfn.XLOOKUP($B384,M_YT_LIVE!$A:$A,M_YT_LIVE!$D:$D)</f>
        <v>https://www.youtube.com/live/BTi31luRntI?si=HKZA9dD6UF6pnPvq</v>
      </c>
      <c r="Z384" s="16" t="str">
        <f>HYPERLINK($X384&amp;SUBSTITUTE(マスタ!$C$3,"XXXXX",$W384))</f>
        <v>https://www.youtube.com/live/BTi31luRntI?si=HKZA9dD6UF6pnPvq&amp;t=1154s</v>
      </c>
      <c r="AA384" s="12" t="str">
        <f t="shared" si="15"/>
        <v>YUIHow Crazy</v>
      </c>
    </row>
    <row r="385" spans="1:27" x14ac:dyDescent="0.4">
      <c r="A385" s="14">
        <f t="shared" si="17"/>
        <v>384</v>
      </c>
      <c r="B385" s="14">
        <v>53</v>
      </c>
      <c r="C385" s="18" t="s">
        <v>998</v>
      </c>
      <c r="D385" s="14" t="s">
        <v>61</v>
      </c>
      <c r="E385" s="14" t="s">
        <v>62</v>
      </c>
      <c r="G385" s="1" t="str">
        <f>_xlfn.XLOOKUP(B385,M_YT_LIVE!A:A,M_YT_LIVE!F:F,"ERROR",0,1)</f>
        <v>弾き語り</v>
      </c>
      <c r="W385" s="13">
        <f t="shared" si="16"/>
        <v>1542</v>
      </c>
      <c r="X385" s="12" t="str">
        <f>_xlfn.XLOOKUP($B385,M_YT_LIVE!$A:$A,M_YT_LIVE!$D:$D)</f>
        <v>https://www.youtube.com/live/BTi31luRntI?si=HKZA9dD6UF6pnPvq</v>
      </c>
      <c r="Z385" s="16" t="str">
        <f>HYPERLINK($X385&amp;SUBSTITUTE(マスタ!$C$3,"XXXXX",$W385))</f>
        <v>https://www.youtube.com/live/BTi31luRntI?si=HKZA9dD6UF6pnPvq&amp;t=1542s</v>
      </c>
      <c r="AA385" s="12" t="str">
        <f t="shared" si="15"/>
        <v>YuiLaugh away</v>
      </c>
    </row>
    <row r="386" spans="1:27" x14ac:dyDescent="0.4">
      <c r="A386" s="14">
        <f t="shared" si="17"/>
        <v>385</v>
      </c>
      <c r="B386" s="14">
        <v>53</v>
      </c>
      <c r="C386" s="18" t="s">
        <v>999</v>
      </c>
      <c r="D386" s="14" t="s">
        <v>562</v>
      </c>
      <c r="E386" s="14" t="s">
        <v>276</v>
      </c>
      <c r="G386" s="1" t="str">
        <f>_xlfn.XLOOKUP(B386,M_YT_LIVE!A:A,M_YT_LIVE!F:F,"ERROR",0,1)</f>
        <v>弾き語り</v>
      </c>
      <c r="W386" s="13">
        <f t="shared" si="16"/>
        <v>1953.0000000000002</v>
      </c>
      <c r="X386" s="12" t="str">
        <f>_xlfn.XLOOKUP($B386,M_YT_LIVE!$A:$A,M_YT_LIVE!$D:$D)</f>
        <v>https://www.youtube.com/live/BTi31luRntI?si=HKZA9dD6UF6pnPvq</v>
      </c>
      <c r="Z386" s="16" t="str">
        <f>HYPERLINK($X386&amp;SUBSTITUTE(マスタ!$C$3,"XXXXX",$W386))</f>
        <v>https://www.youtube.com/live/BTi31luRntI?si=HKZA9dD6UF6pnPvq&amp;t=1953s</v>
      </c>
      <c r="AA386" s="12" t="str">
        <f t="shared" si="15"/>
        <v>YUIagain</v>
      </c>
    </row>
    <row r="387" spans="1:27" x14ac:dyDescent="0.4">
      <c r="A387" s="14">
        <f t="shared" si="17"/>
        <v>386</v>
      </c>
      <c r="B387" s="14">
        <v>53</v>
      </c>
      <c r="C387" s="18" t="s">
        <v>1000</v>
      </c>
      <c r="D387" s="14" t="s">
        <v>1001</v>
      </c>
      <c r="E387" s="14" t="s">
        <v>276</v>
      </c>
      <c r="G387" s="1" t="str">
        <f>_xlfn.XLOOKUP(B387,M_YT_LIVE!A:A,M_YT_LIVE!F:F,"ERROR",0,1)</f>
        <v>弾き語り</v>
      </c>
      <c r="W387" s="13">
        <f t="shared" si="16"/>
        <v>2406</v>
      </c>
      <c r="X387" s="12" t="str">
        <f>_xlfn.XLOOKUP($B387,M_YT_LIVE!$A:$A,M_YT_LIVE!$D:$D)</f>
        <v>https://www.youtube.com/live/BTi31luRntI?si=HKZA9dD6UF6pnPvq</v>
      </c>
      <c r="Z387" s="16" t="str">
        <f>HYPERLINK($X387&amp;SUBSTITUTE(マスタ!$C$3,"XXXXX",$W387))</f>
        <v>https://www.youtube.com/live/BTi31luRntI?si=HKZA9dD6UF6pnPvq&amp;t=2406s</v>
      </c>
      <c r="AA387" s="12" t="str">
        <f t="shared" ref="AA387:AA450" si="18">TRIM(E387)&amp;TRIM(D387)</f>
        <v>YUIRolling star</v>
      </c>
    </row>
    <row r="388" spans="1:27" x14ac:dyDescent="0.4">
      <c r="A388" s="14">
        <f t="shared" si="17"/>
        <v>387</v>
      </c>
      <c r="B388" s="14">
        <v>53</v>
      </c>
      <c r="C388" s="18" t="s">
        <v>1002</v>
      </c>
      <c r="D388" s="14" t="s">
        <v>589</v>
      </c>
      <c r="E388" s="14" t="s">
        <v>1230</v>
      </c>
      <c r="G388" s="1" t="str">
        <f>_xlfn.XLOOKUP(B388,M_YT_LIVE!A:A,M_YT_LIVE!F:F,"ERROR",0,1)</f>
        <v>弾き語り</v>
      </c>
      <c r="W388" s="13">
        <f t="shared" ref="W388:W451" si="19">TIMEVALUE($C388)*86400</f>
        <v>2880</v>
      </c>
      <c r="X388" s="12" t="str">
        <f>_xlfn.XLOOKUP($B388,M_YT_LIVE!$A:$A,M_YT_LIVE!$D:$D)</f>
        <v>https://www.youtube.com/live/BTi31luRntI?si=HKZA9dD6UF6pnPvq</v>
      </c>
      <c r="Z388" s="16" t="str">
        <f>HYPERLINK($X388&amp;SUBSTITUTE(マスタ!$C$3,"XXXXX",$W388))</f>
        <v>https://www.youtube.com/live/BTi31luRntI?si=HKZA9dD6UF6pnPvq&amp;t=2880s</v>
      </c>
      <c r="AA388" s="12" t="str">
        <f t="shared" si="18"/>
        <v>さユりミカヅキ</v>
      </c>
    </row>
    <row r="389" spans="1:27" x14ac:dyDescent="0.4">
      <c r="A389" s="14">
        <f t="shared" ref="A389:A452" si="20">ROW()-1</f>
        <v>388</v>
      </c>
      <c r="B389" s="14">
        <v>53</v>
      </c>
      <c r="C389" s="18" t="s">
        <v>1003</v>
      </c>
      <c r="D389" s="14" t="s">
        <v>1004</v>
      </c>
      <c r="E389" s="14" t="s">
        <v>338</v>
      </c>
      <c r="G389" s="1" t="str">
        <f>_xlfn.XLOOKUP(B389,M_YT_LIVE!A:A,M_YT_LIVE!F:F,"ERROR",0,1)</f>
        <v>弾き語り</v>
      </c>
      <c r="W389" s="13">
        <f t="shared" si="19"/>
        <v>3349</v>
      </c>
      <c r="X389" s="12" t="str">
        <f>_xlfn.XLOOKUP($B389,M_YT_LIVE!$A:$A,M_YT_LIVE!$D:$D)</f>
        <v>https://www.youtube.com/live/BTi31luRntI?si=HKZA9dD6UF6pnPvq</v>
      </c>
      <c r="Z389" s="16" t="str">
        <f>HYPERLINK($X389&amp;SUBSTITUTE(マスタ!$C$3,"XXXXX",$W389))</f>
        <v>https://www.youtube.com/live/BTi31luRntI?si=HKZA9dD6UF6pnPvq&amp;t=3349s</v>
      </c>
      <c r="AA389" s="12" t="str">
        <f t="shared" si="18"/>
        <v>さユり平行線</v>
      </c>
    </row>
    <row r="390" spans="1:27" x14ac:dyDescent="0.4">
      <c r="A390" s="14">
        <f t="shared" si="20"/>
        <v>389</v>
      </c>
      <c r="B390" s="14">
        <v>53</v>
      </c>
      <c r="C390" s="18" t="s">
        <v>1005</v>
      </c>
      <c r="D390" s="14" t="s">
        <v>87</v>
      </c>
      <c r="E390" s="14" t="s">
        <v>88</v>
      </c>
      <c r="G390" s="1" t="str">
        <f>_xlfn.XLOOKUP(B390,M_YT_LIVE!A:A,M_YT_LIVE!F:F,"ERROR",0,1)</f>
        <v>弾き語り</v>
      </c>
      <c r="W390" s="13">
        <f t="shared" si="19"/>
        <v>3904.9999999999995</v>
      </c>
      <c r="X390" s="12" t="str">
        <f>_xlfn.XLOOKUP($B390,M_YT_LIVE!$A:$A,M_YT_LIVE!$D:$D)</f>
        <v>https://www.youtube.com/live/BTi31luRntI?si=HKZA9dD6UF6pnPvq</v>
      </c>
      <c r="Z390" s="16" t="str">
        <f>HYPERLINK($X390&amp;SUBSTITUTE(マスタ!$C$3,"XXXXX",$W390))</f>
        <v>https://www.youtube.com/live/BTi31luRntI?si=HKZA9dD6UF6pnPvq&amp;t=3905s</v>
      </c>
      <c r="AA390" s="12" t="str">
        <f t="shared" si="18"/>
        <v>美波カワキヲアメク</v>
      </c>
    </row>
    <row r="391" spans="1:27" x14ac:dyDescent="0.4">
      <c r="A391" s="14">
        <f t="shared" si="20"/>
        <v>390</v>
      </c>
      <c r="B391" s="14">
        <v>53</v>
      </c>
      <c r="C391" s="18" t="s">
        <v>1006</v>
      </c>
      <c r="D391" s="14" t="s">
        <v>191</v>
      </c>
      <c r="E391" s="14" t="s">
        <v>192</v>
      </c>
      <c r="G391" s="1" t="str">
        <f>_xlfn.XLOOKUP(B391,M_YT_LIVE!A:A,M_YT_LIVE!F:F,"ERROR",0,1)</f>
        <v>弾き語り</v>
      </c>
      <c r="W391" s="13">
        <f t="shared" si="19"/>
        <v>4357</v>
      </c>
      <c r="X391" s="12" t="str">
        <f>_xlfn.XLOOKUP($B391,M_YT_LIVE!$A:$A,M_YT_LIVE!$D:$D)</f>
        <v>https://www.youtube.com/live/BTi31luRntI?si=HKZA9dD6UF6pnPvq</v>
      </c>
      <c r="Z391" s="16" t="str">
        <f>HYPERLINK($X391&amp;SUBSTITUTE(マスタ!$C$3,"XXXXX",$W391))</f>
        <v>https://www.youtube.com/live/BTi31luRntI?si=HKZA9dD6UF6pnPvq&amp;t=4357s</v>
      </c>
      <c r="AA391" s="12" t="str">
        <f t="shared" si="18"/>
        <v>結束バンド星座になれたら</v>
      </c>
    </row>
    <row r="392" spans="1:27" x14ac:dyDescent="0.4">
      <c r="A392" s="14">
        <f t="shared" si="20"/>
        <v>391</v>
      </c>
      <c r="B392" s="14">
        <v>53</v>
      </c>
      <c r="C392" s="18" t="s">
        <v>1007</v>
      </c>
      <c r="D392" s="14" t="s">
        <v>351</v>
      </c>
      <c r="E392" s="14" t="s">
        <v>192</v>
      </c>
      <c r="G392" s="1" t="str">
        <f>_xlfn.XLOOKUP(B392,M_YT_LIVE!A:A,M_YT_LIVE!F:F,"ERROR",0,1)</f>
        <v>弾き語り</v>
      </c>
      <c r="W392" s="13">
        <f t="shared" si="19"/>
        <v>4740</v>
      </c>
      <c r="X392" s="12" t="str">
        <f>_xlfn.XLOOKUP($B392,M_YT_LIVE!$A:$A,M_YT_LIVE!$D:$D)</f>
        <v>https://www.youtube.com/live/BTi31luRntI?si=HKZA9dD6UF6pnPvq</v>
      </c>
      <c r="Z392" s="16" t="str">
        <f>HYPERLINK($X392&amp;SUBSTITUTE(マスタ!$C$3,"XXXXX",$W392))</f>
        <v>https://www.youtube.com/live/BTi31luRntI?si=HKZA9dD6UF6pnPvq&amp;t=4740s</v>
      </c>
      <c r="AA392" s="12" t="str">
        <f t="shared" si="18"/>
        <v>結束バンド忘れてやらない</v>
      </c>
    </row>
    <row r="393" spans="1:27" x14ac:dyDescent="0.4">
      <c r="A393" s="14">
        <f t="shared" si="20"/>
        <v>392</v>
      </c>
      <c r="B393" s="14">
        <v>53</v>
      </c>
      <c r="C393" s="18" t="s">
        <v>1008</v>
      </c>
      <c r="D393" s="14" t="s">
        <v>1009</v>
      </c>
      <c r="E393" s="14" t="s">
        <v>192</v>
      </c>
      <c r="G393" s="1" t="str">
        <f>_xlfn.XLOOKUP(B393,M_YT_LIVE!A:A,M_YT_LIVE!F:F,"ERROR",0,1)</f>
        <v>弾き語り</v>
      </c>
      <c r="W393" s="13">
        <f t="shared" si="19"/>
        <v>5127</v>
      </c>
      <c r="X393" s="12" t="str">
        <f>_xlfn.XLOOKUP($B393,M_YT_LIVE!$A:$A,M_YT_LIVE!$D:$D)</f>
        <v>https://www.youtube.com/live/BTi31luRntI?si=HKZA9dD6UF6pnPvq</v>
      </c>
      <c r="Z393" s="16" t="str">
        <f>HYPERLINK($X393&amp;SUBSTITUTE(マスタ!$C$3,"XXXXX",$W393))</f>
        <v>https://www.youtube.com/live/BTi31luRntI?si=HKZA9dD6UF6pnPvq&amp;t=5127s</v>
      </c>
      <c r="AA393" s="12" t="str">
        <f t="shared" si="18"/>
        <v>結束バンド青春コンプレックス</v>
      </c>
    </row>
    <row r="394" spans="1:27" x14ac:dyDescent="0.4">
      <c r="A394" s="14">
        <f t="shared" si="20"/>
        <v>393</v>
      </c>
      <c r="B394" s="14">
        <v>53</v>
      </c>
      <c r="C394" s="18" t="s">
        <v>1010</v>
      </c>
      <c r="D394" s="14" t="s">
        <v>220</v>
      </c>
      <c r="E394" s="14" t="s">
        <v>192</v>
      </c>
      <c r="G394" s="1" t="str">
        <f>_xlfn.XLOOKUP(B394,M_YT_LIVE!A:A,M_YT_LIVE!F:F,"ERROR",0,1)</f>
        <v>弾き語り</v>
      </c>
      <c r="W394" s="13">
        <f t="shared" si="19"/>
        <v>5521.9999999999991</v>
      </c>
      <c r="X394" s="12" t="str">
        <f>_xlfn.XLOOKUP($B394,M_YT_LIVE!$A:$A,M_YT_LIVE!$D:$D)</f>
        <v>https://www.youtube.com/live/BTi31luRntI?si=HKZA9dD6UF6pnPvq</v>
      </c>
      <c r="Z394" s="16" t="str">
        <f>HYPERLINK($X394&amp;SUBSTITUTE(マスタ!$C$3,"XXXXX",$W394))</f>
        <v>https://www.youtube.com/live/BTi31luRntI?si=HKZA9dD6UF6pnPvq&amp;t=5522s</v>
      </c>
      <c r="AA394" s="12" t="str">
        <f t="shared" si="18"/>
        <v>結束バンドギターと孤独と蒼い惑星</v>
      </c>
    </row>
    <row r="395" spans="1:27" x14ac:dyDescent="0.4">
      <c r="A395" s="14">
        <f t="shared" si="20"/>
        <v>394</v>
      </c>
      <c r="B395" s="14">
        <v>53</v>
      </c>
      <c r="C395" s="18" t="s">
        <v>1011</v>
      </c>
      <c r="D395" s="14" t="s">
        <v>67</v>
      </c>
      <c r="E395" s="14" t="s">
        <v>20</v>
      </c>
      <c r="G395" s="1" t="str">
        <f>_xlfn.XLOOKUP(B395,M_YT_LIVE!A:A,M_YT_LIVE!F:F,"ERROR",0,1)</f>
        <v>弾き語り</v>
      </c>
      <c r="W395" s="13">
        <f t="shared" si="19"/>
        <v>6026</v>
      </c>
      <c r="X395" s="12" t="str">
        <f>_xlfn.XLOOKUP($B395,M_YT_LIVE!$A:$A,M_YT_LIVE!$D:$D)</f>
        <v>https://www.youtube.com/live/BTi31luRntI?si=HKZA9dD6UF6pnPvq</v>
      </c>
      <c r="Z395" s="16" t="str">
        <f>HYPERLINK($X395&amp;SUBSTITUTE(マスタ!$C$3,"XXXXX",$W395))</f>
        <v>https://www.youtube.com/live/BTi31luRntI?si=HKZA9dD6UF6pnPvq&amp;t=6026s</v>
      </c>
      <c r="AA395" s="12" t="str">
        <f t="shared" si="18"/>
        <v>Vaundy灯火</v>
      </c>
    </row>
    <row r="396" spans="1:27" x14ac:dyDescent="0.4">
      <c r="A396" s="14">
        <f t="shared" si="20"/>
        <v>395</v>
      </c>
      <c r="B396" s="14">
        <v>53</v>
      </c>
      <c r="C396" s="18" t="s">
        <v>1012</v>
      </c>
      <c r="D396" s="14" t="s">
        <v>174</v>
      </c>
      <c r="E396" s="14" t="s">
        <v>1013</v>
      </c>
      <c r="G396" s="1" t="str">
        <f>_xlfn.XLOOKUP(B396,M_YT_LIVE!A:A,M_YT_LIVE!F:F,"ERROR",0,1)</f>
        <v>弾き語り</v>
      </c>
      <c r="W396" s="13">
        <f t="shared" si="19"/>
        <v>6518.0000000000009</v>
      </c>
      <c r="X396" s="12" t="str">
        <f>_xlfn.XLOOKUP($B396,M_YT_LIVE!$A:$A,M_YT_LIVE!$D:$D)</f>
        <v>https://www.youtube.com/live/BTi31luRntI?si=HKZA9dD6UF6pnPvq</v>
      </c>
      <c r="Z396" s="16" t="str">
        <f>HYPERLINK($X396&amp;SUBSTITUTE(マスタ!$C$3,"XXXXX",$W396))</f>
        <v>https://www.youtube.com/live/BTi31luRntI?si=HKZA9dD6UF6pnPvq&amp;t=6518s</v>
      </c>
      <c r="AA396" s="12" t="str">
        <f t="shared" si="18"/>
        <v>vaundy東京フラッシュ</v>
      </c>
    </row>
    <row r="397" spans="1:27" x14ac:dyDescent="0.4">
      <c r="A397" s="14">
        <f t="shared" si="20"/>
        <v>396</v>
      </c>
      <c r="B397" s="14">
        <v>53</v>
      </c>
      <c r="C397" s="18" t="s">
        <v>1014</v>
      </c>
      <c r="D397" s="14" t="s">
        <v>35</v>
      </c>
      <c r="E397" s="14" t="s">
        <v>20</v>
      </c>
      <c r="G397" s="1" t="str">
        <f>_xlfn.XLOOKUP(B397,M_YT_LIVE!A:A,M_YT_LIVE!F:F,"ERROR",0,1)</f>
        <v>弾き語り</v>
      </c>
      <c r="W397" s="13">
        <f t="shared" si="19"/>
        <v>7024</v>
      </c>
      <c r="X397" s="12" t="str">
        <f>_xlfn.XLOOKUP($B397,M_YT_LIVE!$A:$A,M_YT_LIVE!$D:$D)</f>
        <v>https://www.youtube.com/live/BTi31luRntI?si=HKZA9dD6UF6pnPvq</v>
      </c>
      <c r="Z397" s="16" t="str">
        <f>HYPERLINK($X397&amp;SUBSTITUTE(マスタ!$C$3,"XXXXX",$W397))</f>
        <v>https://www.youtube.com/live/BTi31luRntI?si=HKZA9dD6UF6pnPvq&amp;t=7024s</v>
      </c>
      <c r="AA397" s="12" t="str">
        <f t="shared" si="18"/>
        <v>Vaundy踊り子</v>
      </c>
    </row>
    <row r="398" spans="1:27" x14ac:dyDescent="0.4">
      <c r="A398" s="14">
        <f t="shared" si="20"/>
        <v>397</v>
      </c>
      <c r="B398" s="14">
        <v>53</v>
      </c>
      <c r="C398" s="18" t="s">
        <v>1015</v>
      </c>
      <c r="D398" s="14" t="s">
        <v>143</v>
      </c>
      <c r="E398" s="14" t="s">
        <v>144</v>
      </c>
      <c r="G398" s="1" t="str">
        <f>_xlfn.XLOOKUP(B398,M_YT_LIVE!A:A,M_YT_LIVE!F:F,"ERROR",0,1)</f>
        <v>弾き語り</v>
      </c>
      <c r="W398" s="13">
        <f t="shared" si="19"/>
        <v>7514</v>
      </c>
      <c r="X398" s="12" t="str">
        <f>_xlfn.XLOOKUP($B398,M_YT_LIVE!$A:$A,M_YT_LIVE!$D:$D)</f>
        <v>https://www.youtube.com/live/BTi31luRntI?si=HKZA9dD6UF6pnPvq</v>
      </c>
      <c r="Z398" s="16" t="str">
        <f>HYPERLINK($X398&amp;SUBSTITUTE(マスタ!$C$3,"XXXXX",$W398))</f>
        <v>https://www.youtube.com/live/BTi31luRntI?si=HKZA9dD6UF6pnPvq&amp;t=7514s</v>
      </c>
      <c r="AA398" s="12" t="str">
        <f t="shared" si="18"/>
        <v>マカロニえんぴつブルーベリー・ナイツ</v>
      </c>
    </row>
    <row r="399" spans="1:27" x14ac:dyDescent="0.4">
      <c r="A399" s="14">
        <f t="shared" si="20"/>
        <v>398</v>
      </c>
      <c r="B399" s="14">
        <v>53</v>
      </c>
      <c r="C399" s="18" t="s">
        <v>1016</v>
      </c>
      <c r="D399" s="14" t="s">
        <v>1017</v>
      </c>
      <c r="E399" s="14" t="s">
        <v>1018</v>
      </c>
      <c r="G399" s="1" t="str">
        <f>_xlfn.XLOOKUP(B399,M_YT_LIVE!A:A,M_YT_LIVE!F:F,"ERROR",0,1)</f>
        <v>弾き語り</v>
      </c>
      <c r="W399" s="13">
        <f t="shared" si="19"/>
        <v>8052</v>
      </c>
      <c r="X399" s="12" t="str">
        <f>_xlfn.XLOOKUP($B399,M_YT_LIVE!$A:$A,M_YT_LIVE!$D:$D)</f>
        <v>https://www.youtube.com/live/BTi31luRntI?si=HKZA9dD6UF6pnPvq</v>
      </c>
      <c r="Z399" s="16" t="str">
        <f>HYPERLINK($X399&amp;SUBSTITUTE(マスタ!$C$3,"XXXXX",$W399))</f>
        <v>https://www.youtube.com/live/BTi31luRntI?si=HKZA9dD6UF6pnPvq&amp;t=8052s</v>
      </c>
      <c r="AA399" s="12" t="str">
        <f t="shared" si="18"/>
        <v>家入レオサブリナ</v>
      </c>
    </row>
    <row r="400" spans="1:27" x14ac:dyDescent="0.4">
      <c r="A400" s="14">
        <f t="shared" si="20"/>
        <v>399</v>
      </c>
      <c r="B400" s="14">
        <v>53</v>
      </c>
      <c r="C400" s="18" t="s">
        <v>1019</v>
      </c>
      <c r="D400" s="14" t="s">
        <v>1020</v>
      </c>
      <c r="E400" s="14" t="s">
        <v>1021</v>
      </c>
      <c r="G400" s="1" t="str">
        <f>_xlfn.XLOOKUP(B400,M_YT_LIVE!A:A,M_YT_LIVE!F:F,"ERROR",0,1)</f>
        <v>弾き語り</v>
      </c>
      <c r="W400" s="13">
        <f t="shared" si="19"/>
        <v>8919</v>
      </c>
      <c r="X400" s="12" t="str">
        <f>_xlfn.XLOOKUP($B400,M_YT_LIVE!$A:$A,M_YT_LIVE!$D:$D)</f>
        <v>https://www.youtube.com/live/BTi31luRntI?si=HKZA9dD6UF6pnPvq</v>
      </c>
      <c r="Z400" s="16" t="str">
        <f>HYPERLINK($X400&amp;SUBSTITUTE(マスタ!$C$3,"XXXXX",$W400))</f>
        <v>https://www.youtube.com/live/BTi31luRntI?si=HKZA9dD6UF6pnPvq&amp;t=8919s</v>
      </c>
      <c r="AA400" s="12" t="str">
        <f t="shared" si="18"/>
        <v>JITTERIN'JINN夏祭り</v>
      </c>
    </row>
    <row r="401" spans="1:27" x14ac:dyDescent="0.4">
      <c r="A401" s="14">
        <f t="shared" si="20"/>
        <v>400</v>
      </c>
      <c r="B401" s="14">
        <v>53</v>
      </c>
      <c r="C401" s="18" t="s">
        <v>1022</v>
      </c>
      <c r="D401" s="14" t="s">
        <v>1023</v>
      </c>
      <c r="E401" s="14" t="s">
        <v>390</v>
      </c>
      <c r="G401" s="1" t="str">
        <f>_xlfn.XLOOKUP(B401,M_YT_LIVE!A:A,M_YT_LIVE!F:F,"ERROR",0,1)</f>
        <v>弾き語り</v>
      </c>
      <c r="W401" s="13">
        <f t="shared" si="19"/>
        <v>9413</v>
      </c>
      <c r="X401" s="12" t="str">
        <f>_xlfn.XLOOKUP($B401,M_YT_LIVE!$A:$A,M_YT_LIVE!$D:$D)</f>
        <v>https://www.youtube.com/live/BTi31luRntI?si=HKZA9dD6UF6pnPvq</v>
      </c>
      <c r="Z401" s="16" t="str">
        <f>HYPERLINK($X401&amp;SUBSTITUTE(マスタ!$C$3,"XXXXX",$W401))</f>
        <v>https://www.youtube.com/live/BTi31luRntI?si=HKZA9dD6UF6pnPvq&amp;t=9413s</v>
      </c>
      <c r="AA401" s="12" t="str">
        <f t="shared" si="18"/>
        <v>LiSARising Hope</v>
      </c>
    </row>
    <row r="402" spans="1:27" x14ac:dyDescent="0.4">
      <c r="A402" s="14">
        <f t="shared" si="20"/>
        <v>401</v>
      </c>
      <c r="B402" s="14">
        <v>53</v>
      </c>
      <c r="C402" s="18" t="s">
        <v>1024</v>
      </c>
      <c r="D402" s="14" t="s">
        <v>326</v>
      </c>
      <c r="E402" s="14" t="s">
        <v>327</v>
      </c>
      <c r="G402" s="1" t="str">
        <f>_xlfn.XLOOKUP(B402,M_YT_LIVE!A:A,M_YT_LIVE!F:F,"ERROR",0,1)</f>
        <v>弾き語り</v>
      </c>
      <c r="W402" s="13">
        <f t="shared" si="19"/>
        <v>9918</v>
      </c>
      <c r="X402" s="12" t="str">
        <f>_xlfn.XLOOKUP($B402,M_YT_LIVE!$A:$A,M_YT_LIVE!$D:$D)</f>
        <v>https://www.youtube.com/live/BTi31luRntI?si=HKZA9dD6UF6pnPvq</v>
      </c>
      <c r="Z402" s="16" t="str">
        <f>HYPERLINK($X402&amp;SUBSTITUTE(マスタ!$C$3,"XXXXX",$W402))</f>
        <v>https://www.youtube.com/live/BTi31luRntI?si=HKZA9dD6UF6pnPvq&amp;t=9918s</v>
      </c>
      <c r="AA402" s="12" t="str">
        <f t="shared" si="18"/>
        <v>レミオロメン粉雪</v>
      </c>
    </row>
    <row r="403" spans="1:27" x14ac:dyDescent="0.4">
      <c r="A403" s="14">
        <f t="shared" si="20"/>
        <v>402</v>
      </c>
      <c r="B403" s="14">
        <v>53</v>
      </c>
      <c r="C403" s="18" t="s">
        <v>1025</v>
      </c>
      <c r="D403" s="14" t="s">
        <v>1026</v>
      </c>
      <c r="E403" s="14" t="s">
        <v>1027</v>
      </c>
      <c r="G403" s="1" t="str">
        <f>_xlfn.XLOOKUP(B403,M_YT_LIVE!A:A,M_YT_LIVE!F:F,"ERROR",0,1)</f>
        <v>弾き語り</v>
      </c>
      <c r="W403" s="13">
        <f t="shared" si="19"/>
        <v>10353</v>
      </c>
      <c r="X403" s="12" t="str">
        <f>_xlfn.XLOOKUP($B403,M_YT_LIVE!$A:$A,M_YT_LIVE!$D:$D)</f>
        <v>https://www.youtube.com/live/BTi31luRntI?si=HKZA9dD6UF6pnPvq</v>
      </c>
      <c r="Z403" s="16" t="str">
        <f>HYPERLINK($X403&amp;SUBSTITUTE(マスタ!$C$3,"XXXXX",$W403))</f>
        <v>https://www.youtube.com/live/BTi31luRntI?si=HKZA9dD6UF6pnPvq&amp;t=10353s</v>
      </c>
      <c r="AA403" s="12" t="str">
        <f t="shared" si="18"/>
        <v>BUMP OF CHICKEN天体観測</v>
      </c>
    </row>
    <row r="404" spans="1:27" x14ac:dyDescent="0.4">
      <c r="A404" s="14">
        <f t="shared" si="20"/>
        <v>403</v>
      </c>
      <c r="B404" s="14">
        <v>53</v>
      </c>
      <c r="C404" s="18" t="s">
        <v>1028</v>
      </c>
      <c r="D404" s="14" t="s">
        <v>618</v>
      </c>
      <c r="E404" s="14" t="s">
        <v>619</v>
      </c>
      <c r="G404" s="1" t="str">
        <f>_xlfn.XLOOKUP(B404,M_YT_LIVE!A:A,M_YT_LIVE!F:F,"ERROR",0,1)</f>
        <v>弾き語り</v>
      </c>
      <c r="W404" s="13">
        <f t="shared" si="19"/>
        <v>10899.000000000002</v>
      </c>
      <c r="X404" s="12" t="str">
        <f>_xlfn.XLOOKUP($B404,M_YT_LIVE!$A:$A,M_YT_LIVE!$D:$D)</f>
        <v>https://www.youtube.com/live/BTi31luRntI?si=HKZA9dD6UF6pnPvq</v>
      </c>
      <c r="Z404" s="16" t="str">
        <f>HYPERLINK($X404&amp;SUBSTITUTE(マスタ!$C$3,"XXXXX",$W404))</f>
        <v>https://www.youtube.com/live/BTi31luRntI?si=HKZA9dD6UF6pnPvq&amp;t=10899s</v>
      </c>
      <c r="AA404" s="12" t="str">
        <f t="shared" si="18"/>
        <v>みきとP feat.鏡音リンロキ</v>
      </c>
    </row>
    <row r="405" spans="1:27" x14ac:dyDescent="0.4">
      <c r="A405" s="14">
        <f t="shared" si="20"/>
        <v>404</v>
      </c>
      <c r="B405" s="14">
        <v>56</v>
      </c>
      <c r="C405" s="18" t="s">
        <v>1035</v>
      </c>
      <c r="D405" s="14" t="s">
        <v>1036</v>
      </c>
      <c r="E405" s="14" t="s">
        <v>1037</v>
      </c>
      <c r="G405" s="1" t="str">
        <f>_xlfn.XLOOKUP(B405,M_YT_LIVE!A:A,M_YT_LIVE!F:F,"ERROR",0,1)</f>
        <v>弾き語り</v>
      </c>
      <c r="W405" s="13">
        <f t="shared" si="19"/>
        <v>628</v>
      </c>
      <c r="X405" s="12" t="str">
        <f>_xlfn.XLOOKUP($B405,M_YT_LIVE!$A:$A,M_YT_LIVE!$D:$D)</f>
        <v>https://www.youtube.com/live/rjOy6A4c68o?si=Q07K-470tlYbzNHk</v>
      </c>
      <c r="Z405" s="16" t="str">
        <f>HYPERLINK($X405&amp;SUBSTITUTE(マスタ!$C$3,"XXXXX",$W405))</f>
        <v>https://www.youtube.com/live/rjOy6A4c68o?si=Q07K-470tlYbzNHk&amp;t=628s</v>
      </c>
      <c r="AA405" s="12" t="str">
        <f t="shared" si="18"/>
        <v>Ayase feat.初音ミク幽霊東京</v>
      </c>
    </row>
    <row r="406" spans="1:27" x14ac:dyDescent="0.4">
      <c r="A406" s="14">
        <f t="shared" si="20"/>
        <v>405</v>
      </c>
      <c r="B406" s="14">
        <v>56</v>
      </c>
      <c r="C406" s="18" t="s">
        <v>1038</v>
      </c>
      <c r="D406" s="14" t="s">
        <v>80</v>
      </c>
      <c r="E406" s="14" t="s">
        <v>81</v>
      </c>
      <c r="G406" s="1" t="str">
        <f>_xlfn.XLOOKUP(B406,M_YT_LIVE!A:A,M_YT_LIVE!F:F,"ERROR",0,1)</f>
        <v>弾き語り</v>
      </c>
      <c r="W406" s="13">
        <f t="shared" si="19"/>
        <v>1022</v>
      </c>
      <c r="X406" s="12" t="str">
        <f>_xlfn.XLOOKUP($B406,M_YT_LIVE!$A:$A,M_YT_LIVE!$D:$D)</f>
        <v>https://www.youtube.com/live/rjOy6A4c68o?si=Q07K-470tlYbzNHk</v>
      </c>
      <c r="Z406" s="16" t="str">
        <f>HYPERLINK($X406&amp;SUBSTITUTE(マスタ!$C$3,"XXXXX",$W406))</f>
        <v>https://www.youtube.com/live/rjOy6A4c68o?si=Q07K-470tlYbzNHk&amp;t=1022s</v>
      </c>
      <c r="AA406" s="12" t="str">
        <f t="shared" si="18"/>
        <v>じん(自然の敵P) feat.IA想像フォレスト</v>
      </c>
    </row>
    <row r="407" spans="1:27" x14ac:dyDescent="0.4">
      <c r="A407" s="14">
        <f t="shared" si="20"/>
        <v>406</v>
      </c>
      <c r="B407" s="14">
        <v>56</v>
      </c>
      <c r="C407" s="18" t="s">
        <v>737</v>
      </c>
      <c r="D407" s="14" t="s">
        <v>131</v>
      </c>
      <c r="E407" s="14" t="s">
        <v>132</v>
      </c>
      <c r="G407" s="1" t="str">
        <f>_xlfn.XLOOKUP(B407,M_YT_LIVE!A:A,M_YT_LIVE!F:F,"ERROR",0,1)</f>
        <v>弾き語り</v>
      </c>
      <c r="W407" s="13">
        <f t="shared" si="19"/>
        <v>1483.9999999999998</v>
      </c>
      <c r="X407" s="12" t="str">
        <f>_xlfn.XLOOKUP($B407,M_YT_LIVE!$A:$A,M_YT_LIVE!$D:$D)</f>
        <v>https://www.youtube.com/live/rjOy6A4c68o?si=Q07K-470tlYbzNHk</v>
      </c>
      <c r="Z407" s="16" t="str">
        <f>HYPERLINK($X407&amp;SUBSTITUTE(マスタ!$C$3,"XXXXX",$W407))</f>
        <v>https://www.youtube.com/live/rjOy6A4c68o?si=Q07K-470tlYbzNHk&amp;t=1484s</v>
      </c>
      <c r="AA407" s="12" t="str">
        <f t="shared" si="18"/>
        <v>phatmans after schoolツキヨミ</v>
      </c>
    </row>
    <row r="408" spans="1:27" x14ac:dyDescent="0.4">
      <c r="A408" s="14">
        <f t="shared" si="20"/>
        <v>407</v>
      </c>
      <c r="B408" s="14">
        <v>56</v>
      </c>
      <c r="C408" s="18" t="s">
        <v>1039</v>
      </c>
      <c r="D408" s="14" t="s">
        <v>134</v>
      </c>
      <c r="E408" s="14" t="s">
        <v>135</v>
      </c>
      <c r="G408" s="1" t="str">
        <f>_xlfn.XLOOKUP(B408,M_YT_LIVE!A:A,M_YT_LIVE!F:F,"ERROR",0,1)</f>
        <v>弾き語り</v>
      </c>
      <c r="W408" s="13">
        <f t="shared" si="19"/>
        <v>2026</v>
      </c>
      <c r="X408" s="12" t="str">
        <f>_xlfn.XLOOKUP($B408,M_YT_LIVE!$A:$A,M_YT_LIVE!$D:$D)</f>
        <v>https://www.youtube.com/live/rjOy6A4c68o?si=Q07K-470tlYbzNHk</v>
      </c>
      <c r="Z408" s="16" t="str">
        <f>HYPERLINK($X408&amp;SUBSTITUTE(マスタ!$C$3,"XXXXX",$W408))</f>
        <v>https://www.youtube.com/live/rjOy6A4c68o?si=Q07K-470tlYbzNHk&amp;t=2026s</v>
      </c>
      <c r="AA408" s="12" t="str">
        <f t="shared" si="18"/>
        <v>EGOISTGhost of a smile</v>
      </c>
    </row>
    <row r="409" spans="1:27" x14ac:dyDescent="0.4">
      <c r="A409" s="14">
        <f t="shared" si="20"/>
        <v>408</v>
      </c>
      <c r="B409" s="14">
        <v>56</v>
      </c>
      <c r="C409" s="18" t="s">
        <v>1040</v>
      </c>
      <c r="D409" s="14" t="s">
        <v>289</v>
      </c>
      <c r="E409" s="14" t="s">
        <v>135</v>
      </c>
      <c r="G409" s="1" t="str">
        <f>_xlfn.XLOOKUP(B409,M_YT_LIVE!A:A,M_YT_LIVE!F:F,"ERROR",0,1)</f>
        <v>弾き語り</v>
      </c>
      <c r="W409" s="13">
        <f t="shared" si="19"/>
        <v>2637</v>
      </c>
      <c r="X409" s="12" t="str">
        <f>_xlfn.XLOOKUP($B409,M_YT_LIVE!$A:$A,M_YT_LIVE!$D:$D)</f>
        <v>https://www.youtube.com/live/rjOy6A4c68o?si=Q07K-470tlYbzNHk</v>
      </c>
      <c r="Z409" s="16" t="str">
        <f>HYPERLINK($X409&amp;SUBSTITUTE(マスタ!$C$3,"XXXXX",$W409))</f>
        <v>https://www.youtube.com/live/rjOy6A4c68o?si=Q07K-470tlYbzNHk&amp;t=2637s</v>
      </c>
      <c r="AA409" s="12" t="str">
        <f t="shared" si="18"/>
        <v>EGOIST雨、キミを連れて</v>
      </c>
    </row>
    <row r="410" spans="1:27" x14ac:dyDescent="0.4">
      <c r="A410" s="14">
        <f t="shared" si="20"/>
        <v>409</v>
      </c>
      <c r="B410" s="14">
        <v>56</v>
      </c>
      <c r="C410" s="18" t="s">
        <v>422</v>
      </c>
      <c r="D410" s="14" t="s">
        <v>374</v>
      </c>
      <c r="E410" s="14" t="s">
        <v>135</v>
      </c>
      <c r="G410" s="1" t="str">
        <f>_xlfn.XLOOKUP(B410,M_YT_LIVE!A:A,M_YT_LIVE!F:F,"ERROR",0,1)</f>
        <v>弾き語り</v>
      </c>
      <c r="W410" s="13">
        <f t="shared" si="19"/>
        <v>3083</v>
      </c>
      <c r="X410" s="12" t="str">
        <f>_xlfn.XLOOKUP($B410,M_YT_LIVE!$A:$A,M_YT_LIVE!$D:$D)</f>
        <v>https://www.youtube.com/live/rjOy6A4c68o?si=Q07K-470tlYbzNHk</v>
      </c>
      <c r="Z410" s="16" t="str">
        <f>HYPERLINK($X410&amp;SUBSTITUTE(マスタ!$C$3,"XXXXX",$W410))</f>
        <v>https://www.youtube.com/live/rjOy6A4c68o?si=Q07K-470tlYbzNHk&amp;t=3083s</v>
      </c>
      <c r="AA410" s="12" t="str">
        <f t="shared" si="18"/>
        <v>EGOISTDepartures 〜あなたにおくるアイの歌〜</v>
      </c>
    </row>
    <row r="411" spans="1:27" x14ac:dyDescent="0.4">
      <c r="A411" s="14">
        <f t="shared" si="20"/>
        <v>410</v>
      </c>
      <c r="B411" s="14">
        <v>56</v>
      </c>
      <c r="C411" s="18" t="s">
        <v>1064</v>
      </c>
      <c r="D411" s="14" t="s">
        <v>1041</v>
      </c>
      <c r="E411" s="14" t="s">
        <v>1062</v>
      </c>
      <c r="G411" s="1" t="str">
        <f>_xlfn.XLOOKUP(B411,M_YT_LIVE!A:A,M_YT_LIVE!F:F,"ERROR",0,1)</f>
        <v>弾き語り</v>
      </c>
      <c r="W411" s="13">
        <f t="shared" si="19"/>
        <v>3449.9999999999995</v>
      </c>
      <c r="X411" s="12" t="str">
        <f>_xlfn.XLOOKUP($B411,M_YT_LIVE!$A:$A,M_YT_LIVE!$D:$D)</f>
        <v>https://www.youtube.com/live/rjOy6A4c68o?si=Q07K-470tlYbzNHk</v>
      </c>
      <c r="Z411" s="16" t="str">
        <f>HYPERLINK($X411&amp;SUBSTITUTE(マスタ!$C$3,"XXXXX",$W411))</f>
        <v>https://www.youtube.com/live/rjOy6A4c68o?si=Q07K-470tlYbzNHk&amp;t=3450s</v>
      </c>
      <c r="AA411" s="12" t="str">
        <f t="shared" si="18"/>
        <v>幽音しの(即興)しのが寝る6時</v>
      </c>
    </row>
    <row r="412" spans="1:27" x14ac:dyDescent="0.4">
      <c r="A412" s="14">
        <f t="shared" si="20"/>
        <v>411</v>
      </c>
      <c r="B412" s="14">
        <v>56</v>
      </c>
      <c r="C412" s="18" t="s">
        <v>1042</v>
      </c>
      <c r="D412" s="14" t="s">
        <v>370</v>
      </c>
      <c r="E412" s="14" t="s">
        <v>208</v>
      </c>
      <c r="G412" s="1" t="str">
        <f>_xlfn.XLOOKUP(B412,M_YT_LIVE!A:A,M_YT_LIVE!F:F,"ERROR",0,1)</f>
        <v>弾き語り</v>
      </c>
      <c r="W412" s="13">
        <f t="shared" si="19"/>
        <v>3630.0000000000005</v>
      </c>
      <c r="X412" s="12" t="str">
        <f>_xlfn.XLOOKUP($B412,M_YT_LIVE!$A:$A,M_YT_LIVE!$D:$D)</f>
        <v>https://www.youtube.com/live/rjOy6A4c68o?si=Q07K-470tlYbzNHk</v>
      </c>
      <c r="Z412" s="16" t="str">
        <f>HYPERLINK($X412&amp;SUBSTITUTE(マスタ!$C$3,"XXXXX",$W412))</f>
        <v>https://www.youtube.com/live/rjOy6A4c68o?si=Q07K-470tlYbzNHk&amp;t=3630s</v>
      </c>
      <c r="AA412" s="12" t="str">
        <f t="shared" si="18"/>
        <v>supercellMy Dearest</v>
      </c>
    </row>
    <row r="413" spans="1:27" x14ac:dyDescent="0.4">
      <c r="A413" s="14">
        <f t="shared" si="20"/>
        <v>412</v>
      </c>
      <c r="B413" s="14">
        <v>56</v>
      </c>
      <c r="C413" s="18" t="s">
        <v>1043</v>
      </c>
      <c r="D413" s="14" t="s">
        <v>305</v>
      </c>
      <c r="E413" s="14" t="s">
        <v>141</v>
      </c>
      <c r="G413" s="1" t="str">
        <f>_xlfn.XLOOKUP(B413,M_YT_LIVE!A:A,M_YT_LIVE!F:F,"ERROR",0,1)</f>
        <v>弾き語り</v>
      </c>
      <c r="W413" s="13">
        <f t="shared" si="19"/>
        <v>4161</v>
      </c>
      <c r="X413" s="12" t="str">
        <f>_xlfn.XLOOKUP($B413,M_YT_LIVE!$A:$A,M_YT_LIVE!$D:$D)</f>
        <v>https://www.youtube.com/live/rjOy6A4c68o?si=Q07K-470tlYbzNHk</v>
      </c>
      <c r="Z413" s="16" t="str">
        <f>HYPERLINK($X413&amp;SUBSTITUTE(マスタ!$C$3,"XXXXX",$W413))</f>
        <v>https://www.youtube.com/live/rjOy6A4c68o?si=Q07K-470tlYbzNHk&amp;t=4161s</v>
      </c>
      <c r="AA413" s="12" t="str">
        <f t="shared" si="18"/>
        <v>ヨルシカ花に亡霊</v>
      </c>
    </row>
    <row r="414" spans="1:27" x14ac:dyDescent="0.4">
      <c r="A414" s="14">
        <f t="shared" si="20"/>
        <v>413</v>
      </c>
      <c r="B414" s="14">
        <v>56</v>
      </c>
      <c r="C414" s="18" t="s">
        <v>1044</v>
      </c>
      <c r="D414" s="14" t="s">
        <v>140</v>
      </c>
      <c r="E414" s="14" t="s">
        <v>141</v>
      </c>
      <c r="G414" s="1" t="str">
        <f>_xlfn.XLOOKUP(B414,M_YT_LIVE!A:A,M_YT_LIVE!F:F,"ERROR",0,1)</f>
        <v>弾き語り</v>
      </c>
      <c r="W414" s="13">
        <f t="shared" si="19"/>
        <v>4645</v>
      </c>
      <c r="X414" s="12" t="str">
        <f>_xlfn.XLOOKUP($B414,M_YT_LIVE!$A:$A,M_YT_LIVE!$D:$D)</f>
        <v>https://www.youtube.com/live/rjOy6A4c68o?si=Q07K-470tlYbzNHk</v>
      </c>
      <c r="Z414" s="16" t="str">
        <f>HYPERLINK($X414&amp;SUBSTITUTE(マスタ!$C$3,"XXXXX",$W414))</f>
        <v>https://www.youtube.com/live/rjOy6A4c68o?si=Q07K-470tlYbzNHk&amp;t=4645s</v>
      </c>
      <c r="AA414" s="12" t="str">
        <f t="shared" si="18"/>
        <v>ヨルシカ靴の花火</v>
      </c>
    </row>
    <row r="415" spans="1:27" x14ac:dyDescent="0.4">
      <c r="A415" s="14">
        <f t="shared" si="20"/>
        <v>414</v>
      </c>
      <c r="B415" s="14">
        <v>56</v>
      </c>
      <c r="C415" s="18" t="s">
        <v>239</v>
      </c>
      <c r="D415" s="14" t="s">
        <v>1045</v>
      </c>
      <c r="E415" s="14" t="s">
        <v>141</v>
      </c>
      <c r="G415" s="1" t="str">
        <f>_xlfn.XLOOKUP(B415,M_YT_LIVE!A:A,M_YT_LIVE!F:F,"ERROR",0,1)</f>
        <v>弾き語り</v>
      </c>
      <c r="W415" s="13">
        <f t="shared" si="19"/>
        <v>5150</v>
      </c>
      <c r="X415" s="12" t="str">
        <f>_xlfn.XLOOKUP($B415,M_YT_LIVE!$A:$A,M_YT_LIVE!$D:$D)</f>
        <v>https://www.youtube.com/live/rjOy6A4c68o?si=Q07K-470tlYbzNHk</v>
      </c>
      <c r="Z415" s="16" t="str">
        <f>HYPERLINK($X415&amp;SUBSTITUTE(マスタ!$C$3,"XXXXX",$W415))</f>
        <v>https://www.youtube.com/live/rjOy6A4c68o?si=Q07K-470tlYbzNHk&amp;t=5150s</v>
      </c>
      <c r="AA415" s="12" t="str">
        <f t="shared" si="18"/>
        <v>ヨルシカ雨とカプチーノ</v>
      </c>
    </row>
    <row r="416" spans="1:27" x14ac:dyDescent="0.4">
      <c r="A416" s="14">
        <f t="shared" si="20"/>
        <v>415</v>
      </c>
      <c r="B416" s="14">
        <v>56</v>
      </c>
      <c r="C416" s="18" t="s">
        <v>1046</v>
      </c>
      <c r="D416" s="14" t="s">
        <v>31</v>
      </c>
      <c r="E416" s="14" t="s">
        <v>1047</v>
      </c>
      <c r="G416" s="1" t="str">
        <f>_xlfn.XLOOKUP(B416,M_YT_LIVE!A:A,M_YT_LIVE!F:F,"ERROR",0,1)</f>
        <v>弾き語り</v>
      </c>
      <c r="W416" s="13">
        <f t="shared" si="19"/>
        <v>5623.0000000000009</v>
      </c>
      <c r="X416" s="12" t="str">
        <f>_xlfn.XLOOKUP($B416,M_YT_LIVE!$A:$A,M_YT_LIVE!$D:$D)</f>
        <v>https://www.youtube.com/live/rjOy6A4c68o?si=Q07K-470tlYbzNHk</v>
      </c>
      <c r="Z416" s="16" t="str">
        <f>HYPERLINK($X416&amp;SUBSTITUTE(マスタ!$C$3,"XXXXX",$W416))</f>
        <v>https://www.youtube.com/live/rjOy6A4c68o?si=Q07K-470tlYbzNHk&amp;t=5623s</v>
      </c>
      <c r="AA416" s="12" t="str">
        <f t="shared" si="18"/>
        <v>メル feat.IAプラトニック・ラヴ</v>
      </c>
    </row>
    <row r="417" spans="1:27" x14ac:dyDescent="0.4">
      <c r="A417" s="14">
        <f t="shared" si="20"/>
        <v>416</v>
      </c>
      <c r="B417" s="14">
        <v>56</v>
      </c>
      <c r="C417" s="18" t="s">
        <v>1048</v>
      </c>
      <c r="D417" s="14" t="s">
        <v>100</v>
      </c>
      <c r="E417" s="14" t="s">
        <v>101</v>
      </c>
      <c r="G417" s="1" t="str">
        <f>_xlfn.XLOOKUP(B417,M_YT_LIVE!A:A,M_YT_LIVE!F:F,"ERROR",0,1)</f>
        <v>弾き語り</v>
      </c>
      <c r="W417" s="13">
        <f t="shared" si="19"/>
        <v>5970</v>
      </c>
      <c r="X417" s="12" t="str">
        <f>_xlfn.XLOOKUP($B417,M_YT_LIVE!$A:$A,M_YT_LIVE!$D:$D)</f>
        <v>https://www.youtube.com/live/rjOy6A4c68o?si=Q07K-470tlYbzNHk</v>
      </c>
      <c r="Z417" s="16" t="str">
        <f>HYPERLINK($X417&amp;SUBSTITUTE(マスタ!$C$3,"XXXXX",$W417))</f>
        <v>https://www.youtube.com/live/rjOy6A4c68o?si=Q07K-470tlYbzNHk&amp;t=5970s</v>
      </c>
      <c r="AA417" s="12" t="str">
        <f t="shared" si="18"/>
        <v>n-buna(ヨルシカ) feat.初音ミク夜明けと蛍</v>
      </c>
    </row>
    <row r="418" spans="1:27" x14ac:dyDescent="0.4">
      <c r="A418" s="14">
        <f t="shared" si="20"/>
        <v>417</v>
      </c>
      <c r="B418" s="14">
        <v>56</v>
      </c>
      <c r="C418" s="18" t="s">
        <v>1049</v>
      </c>
      <c r="D418" s="14" t="s">
        <v>97</v>
      </c>
      <c r="E418" s="14" t="s">
        <v>98</v>
      </c>
      <c r="G418" s="1" t="str">
        <f>_xlfn.XLOOKUP(B418,M_YT_LIVE!A:A,M_YT_LIVE!F:F,"ERROR",0,1)</f>
        <v>弾き語り</v>
      </c>
      <c r="W418" s="13">
        <f t="shared" si="19"/>
        <v>6408.0000000000009</v>
      </c>
      <c r="X418" s="12" t="str">
        <f>_xlfn.XLOOKUP($B418,M_YT_LIVE!$A:$A,M_YT_LIVE!$D:$D)</f>
        <v>https://www.youtube.com/live/rjOy6A4c68o?si=Q07K-470tlYbzNHk</v>
      </c>
      <c r="Z418" s="16" t="str">
        <f>HYPERLINK($X418&amp;SUBSTITUTE(マスタ!$C$3,"XXXXX",$W418))</f>
        <v>https://www.youtube.com/live/rjOy6A4c68o?si=Q07K-470tlYbzNHk&amp;t=6408s</v>
      </c>
      <c r="AA418" s="12" t="str">
        <f t="shared" si="18"/>
        <v>Dixie Flatline feat.巡音ルカJust Be Friends</v>
      </c>
    </row>
    <row r="419" spans="1:27" x14ac:dyDescent="0.4">
      <c r="A419" s="14">
        <f t="shared" si="20"/>
        <v>418</v>
      </c>
      <c r="B419" s="14">
        <v>56</v>
      </c>
      <c r="C419" s="18" t="s">
        <v>1050</v>
      </c>
      <c r="D419" s="14" t="s">
        <v>179</v>
      </c>
      <c r="E419" s="14" t="s">
        <v>180</v>
      </c>
      <c r="G419" s="1" t="str">
        <f>_xlfn.XLOOKUP(B419,M_YT_LIVE!A:A,M_YT_LIVE!F:F,"ERROR",0,1)</f>
        <v>弾き語り</v>
      </c>
      <c r="W419" s="13">
        <f t="shared" si="19"/>
        <v>7030</v>
      </c>
      <c r="X419" s="12" t="str">
        <f>_xlfn.XLOOKUP($B419,M_YT_LIVE!$A:$A,M_YT_LIVE!$D:$D)</f>
        <v>https://www.youtube.com/live/rjOy6A4c68o?si=Q07K-470tlYbzNHk</v>
      </c>
      <c r="Z419" s="16" t="str">
        <f>HYPERLINK($X419&amp;SUBSTITUTE(マスタ!$C$3,"XXXXX",$W419))</f>
        <v>https://www.youtube.com/live/rjOy6A4c68o?si=Q07K-470tlYbzNHk&amp;t=7030s</v>
      </c>
      <c r="AA419" s="12" t="str">
        <f t="shared" si="18"/>
        <v>40mP feat.初音ミクからくりピエロ</v>
      </c>
    </row>
    <row r="420" spans="1:27" x14ac:dyDescent="0.4">
      <c r="A420" s="14">
        <f t="shared" si="20"/>
        <v>419</v>
      </c>
      <c r="B420" s="14">
        <v>56</v>
      </c>
      <c r="C420" s="18" t="s">
        <v>1051</v>
      </c>
      <c r="D420" s="14" t="s">
        <v>1052</v>
      </c>
      <c r="E420" s="14" t="s">
        <v>125</v>
      </c>
      <c r="G420" s="1" t="str">
        <f>_xlfn.XLOOKUP(B420,M_YT_LIVE!A:A,M_YT_LIVE!F:F,"ERROR",0,1)</f>
        <v>弾き語り</v>
      </c>
      <c r="W420" s="13">
        <f t="shared" si="19"/>
        <v>7530</v>
      </c>
      <c r="X420" s="12" t="str">
        <f>_xlfn.XLOOKUP($B420,M_YT_LIVE!$A:$A,M_YT_LIVE!$D:$D)</f>
        <v>https://www.youtube.com/live/rjOy6A4c68o?si=Q07K-470tlYbzNHk</v>
      </c>
      <c r="Z420" s="16" t="str">
        <f>HYPERLINK($X420&amp;SUBSTITUTE(マスタ!$C$3,"XXXXX",$W420))</f>
        <v>https://www.youtube.com/live/rjOy6A4c68o?si=Q07K-470tlYbzNHk&amp;t=7530s</v>
      </c>
      <c r="AA420" s="12" t="str">
        <f t="shared" si="18"/>
        <v>Orangestar feat.IAイヤホンと蝉時雨</v>
      </c>
    </row>
    <row r="421" spans="1:27" x14ac:dyDescent="0.4">
      <c r="A421" s="14">
        <f t="shared" si="20"/>
        <v>420</v>
      </c>
      <c r="B421" s="14">
        <v>56</v>
      </c>
      <c r="C421" s="18" t="s">
        <v>1053</v>
      </c>
      <c r="D421" s="14" t="s">
        <v>340</v>
      </c>
      <c r="E421" s="14" t="s">
        <v>341</v>
      </c>
      <c r="G421" s="1" t="str">
        <f>_xlfn.XLOOKUP(B421,M_YT_LIVE!A:A,M_YT_LIVE!F:F,"ERROR",0,1)</f>
        <v>弾き語り</v>
      </c>
      <c r="W421" s="13">
        <f t="shared" si="19"/>
        <v>8114.0000000000009</v>
      </c>
      <c r="X421" s="12" t="str">
        <f>_xlfn.XLOOKUP($B421,M_YT_LIVE!$A:$A,M_YT_LIVE!$D:$D)</f>
        <v>https://www.youtube.com/live/rjOy6A4c68o?si=Q07K-470tlYbzNHk</v>
      </c>
      <c r="Z421" s="16" t="str">
        <f>HYPERLINK($X421&amp;SUBSTITUTE(マスタ!$C$3,"XXXXX",$W421))</f>
        <v>https://www.youtube.com/live/rjOy6A4c68o?si=Q07K-470tlYbzNHk&amp;t=8114s</v>
      </c>
      <c r="AA421" s="12" t="str">
        <f t="shared" si="18"/>
        <v>TK from 凛unravel</v>
      </c>
    </row>
    <row r="422" spans="1:27" x14ac:dyDescent="0.4">
      <c r="A422" s="14">
        <f t="shared" si="20"/>
        <v>421</v>
      </c>
      <c r="B422" s="14">
        <v>56</v>
      </c>
      <c r="C422" s="18" t="s">
        <v>1054</v>
      </c>
      <c r="D422" s="14" t="s">
        <v>1055</v>
      </c>
      <c r="E422" s="14" t="s">
        <v>721</v>
      </c>
      <c r="G422" s="1" t="str">
        <f>_xlfn.XLOOKUP(B422,M_YT_LIVE!A:A,M_YT_LIVE!F:F,"ERROR",0,1)</f>
        <v>弾き語り</v>
      </c>
      <c r="W422" s="13">
        <f t="shared" si="19"/>
        <v>8703</v>
      </c>
      <c r="X422" s="12" t="str">
        <f>_xlfn.XLOOKUP($B422,M_YT_LIVE!$A:$A,M_YT_LIVE!$D:$D)</f>
        <v>https://www.youtube.com/live/rjOy6A4c68o?si=Q07K-470tlYbzNHk</v>
      </c>
      <c r="Z422" s="16" t="str">
        <f>HYPERLINK($X422&amp;SUBSTITUTE(マスタ!$C$3,"XXXXX",$W422))</f>
        <v>https://www.youtube.com/live/rjOy6A4c68o?si=Q07K-470tlYbzNHk&amp;t=8703s</v>
      </c>
      <c r="AA422" s="12" t="str">
        <f t="shared" si="18"/>
        <v>未来古代楽団 feat. 安次嶺希和子忘れじの言の葉</v>
      </c>
    </row>
    <row r="423" spans="1:27" x14ac:dyDescent="0.4">
      <c r="A423" s="14">
        <f t="shared" si="20"/>
        <v>422</v>
      </c>
      <c r="B423" s="14">
        <v>56</v>
      </c>
      <c r="C423" s="18" t="s">
        <v>1056</v>
      </c>
      <c r="D423" s="14" t="s">
        <v>165</v>
      </c>
      <c r="E423" s="14" t="s">
        <v>118</v>
      </c>
      <c r="G423" s="1" t="str">
        <f>_xlfn.XLOOKUP(B423,M_YT_LIVE!A:A,M_YT_LIVE!F:F,"ERROR",0,1)</f>
        <v>弾き語り</v>
      </c>
      <c r="W423" s="13">
        <f t="shared" si="19"/>
        <v>9212</v>
      </c>
      <c r="X423" s="12" t="str">
        <f>_xlfn.XLOOKUP($B423,M_YT_LIVE!$A:$A,M_YT_LIVE!$D:$D)</f>
        <v>https://www.youtube.com/live/rjOy6A4c68o?si=Q07K-470tlYbzNHk</v>
      </c>
      <c r="Z423" s="16" t="str">
        <f>HYPERLINK($X423&amp;SUBSTITUTE(マスタ!$C$3,"XXXXX",$W423))</f>
        <v>https://www.youtube.com/live/rjOy6A4c68o?si=Q07K-470tlYbzNHk&amp;t=9212s</v>
      </c>
      <c r="AA423" s="12" t="str">
        <f t="shared" si="18"/>
        <v>Orangestar feat.初音ミク回る空うさぎ</v>
      </c>
    </row>
    <row r="424" spans="1:27" x14ac:dyDescent="0.4">
      <c r="A424" s="14">
        <f t="shared" si="20"/>
        <v>423</v>
      </c>
      <c r="B424" s="14">
        <v>56</v>
      </c>
      <c r="C424" s="18" t="s">
        <v>1057</v>
      </c>
      <c r="D424" s="14" t="s">
        <v>300</v>
      </c>
      <c r="E424" s="14" t="s">
        <v>125</v>
      </c>
      <c r="G424" s="1" t="str">
        <f>_xlfn.XLOOKUP(B424,M_YT_LIVE!A:A,M_YT_LIVE!F:F,"ERROR",0,1)</f>
        <v>弾き語り</v>
      </c>
      <c r="W424" s="13">
        <f t="shared" si="19"/>
        <v>9460</v>
      </c>
      <c r="X424" s="12" t="str">
        <f>_xlfn.XLOOKUP($B424,M_YT_LIVE!$A:$A,M_YT_LIVE!$D:$D)</f>
        <v>https://www.youtube.com/live/rjOy6A4c68o?si=Q07K-470tlYbzNHk</v>
      </c>
      <c r="Z424" s="16" t="str">
        <f>HYPERLINK($X424&amp;SUBSTITUTE(マスタ!$C$3,"XXXXX",$W424))</f>
        <v>https://www.youtube.com/live/rjOy6A4c68o?si=Q07K-470tlYbzNHk&amp;t=9460s</v>
      </c>
      <c r="AA424" s="12" t="str">
        <f t="shared" si="18"/>
        <v>Orangestar feat.IAHenceforth</v>
      </c>
    </row>
    <row r="425" spans="1:27" x14ac:dyDescent="0.4">
      <c r="A425" s="14">
        <f t="shared" si="20"/>
        <v>424</v>
      </c>
      <c r="B425" s="14">
        <v>56</v>
      </c>
      <c r="C425" s="22" t="s">
        <v>1113</v>
      </c>
      <c r="D425" s="14" t="s">
        <v>197</v>
      </c>
      <c r="E425" s="14" t="s">
        <v>125</v>
      </c>
      <c r="G425" s="1" t="str">
        <f>_xlfn.XLOOKUP(B425,M_YT_LIVE!A:A,M_YT_LIVE!F:F,"ERROR",0,1)</f>
        <v>弾き語り</v>
      </c>
      <c r="W425" s="13">
        <f t="shared" si="19"/>
        <v>10052</v>
      </c>
      <c r="X425" s="12" t="str">
        <f>_xlfn.XLOOKUP($B425,M_YT_LIVE!$A:$A,M_YT_LIVE!$D:$D)</f>
        <v>https://www.youtube.com/live/rjOy6A4c68o?si=Q07K-470tlYbzNHk</v>
      </c>
      <c r="Z425" s="16" t="str">
        <f>HYPERLINK($X425&amp;SUBSTITUTE(マスタ!$C$3,"XXXXX",$W425))</f>
        <v>https://www.youtube.com/live/rjOy6A4c68o?si=Q07K-470tlYbzNHk&amp;t=10052s</v>
      </c>
      <c r="AA425" s="12" t="str">
        <f t="shared" si="18"/>
        <v>Orangestar feat.IADAYBREAK FRONTLINE</v>
      </c>
    </row>
    <row r="426" spans="1:27" x14ac:dyDescent="0.4">
      <c r="A426" s="14">
        <f t="shared" si="20"/>
        <v>425</v>
      </c>
      <c r="B426" s="14">
        <v>56</v>
      </c>
      <c r="C426" s="18" t="s">
        <v>1063</v>
      </c>
      <c r="D426" s="14" t="s">
        <v>120</v>
      </c>
      <c r="E426" s="14" t="s">
        <v>118</v>
      </c>
      <c r="G426" s="1" t="str">
        <f>_xlfn.XLOOKUP(B426,M_YT_LIVE!A:A,M_YT_LIVE!F:F,"ERROR",0,1)</f>
        <v>弾き語り</v>
      </c>
      <c r="W426" s="13">
        <f t="shared" si="19"/>
        <v>10410</v>
      </c>
      <c r="X426" s="12" t="str">
        <f>_xlfn.XLOOKUP($B426,M_YT_LIVE!$A:$A,M_YT_LIVE!$D:$D)</f>
        <v>https://www.youtube.com/live/rjOy6A4c68o?si=Q07K-470tlYbzNHk</v>
      </c>
      <c r="Z426" s="16" t="str">
        <f>HYPERLINK($X426&amp;SUBSTITUTE(マスタ!$C$3,"XXXXX",$W426))</f>
        <v>https://www.youtube.com/live/rjOy6A4c68o?si=Q07K-470tlYbzNHk&amp;t=10410s</v>
      </c>
      <c r="AA426" s="12" t="str">
        <f t="shared" si="18"/>
        <v>Orangestar feat.初音ミクアスノヨゾラ哨戒班</v>
      </c>
    </row>
    <row r="427" spans="1:27" x14ac:dyDescent="0.4">
      <c r="A427" s="14">
        <f t="shared" si="20"/>
        <v>426</v>
      </c>
      <c r="B427" s="20">
        <v>58</v>
      </c>
      <c r="C427" s="21" t="s">
        <v>1065</v>
      </c>
      <c r="D427" s="20" t="s">
        <v>1066</v>
      </c>
      <c r="E427" s="14" t="s">
        <v>1062</v>
      </c>
      <c r="G427" s="1" t="str">
        <f>_xlfn.XLOOKUP(B427,M_YT_LIVE!A:A,M_YT_LIVE!F:F,"ERROR",0,1)</f>
        <v>他</v>
      </c>
      <c r="W427" s="13">
        <f t="shared" si="19"/>
        <v>1191</v>
      </c>
      <c r="X427" s="12" t="str">
        <f>_xlfn.XLOOKUP($B427,M_YT_LIVE!$A:$A,M_YT_LIVE!$D:$D)</f>
        <v>https://www.youtube.com/live/JdIhEjDJiNU?si=deUnozJNoBNUwf--</v>
      </c>
      <c r="Z427" s="16" t="str">
        <f>HYPERLINK($X427&amp;SUBSTITUTE(マスタ!$C$3,"XXXXX",$W427))</f>
        <v>https://www.youtube.com/live/JdIhEjDJiNU?si=deUnozJNoBNUwf--&amp;t=1191s</v>
      </c>
      <c r="AA427" s="12" t="str">
        <f t="shared" si="18"/>
        <v>幽音しの(即興)キャベツとレタスのうた</v>
      </c>
    </row>
    <row r="428" spans="1:27" x14ac:dyDescent="0.4">
      <c r="A428" s="14">
        <f t="shared" si="20"/>
        <v>427</v>
      </c>
      <c r="B428" s="14">
        <v>60</v>
      </c>
      <c r="C428" s="18" t="s">
        <v>1071</v>
      </c>
      <c r="D428" s="14" t="s">
        <v>1072</v>
      </c>
      <c r="E428" s="14" t="s">
        <v>141</v>
      </c>
      <c r="G428" s="1" t="str">
        <f>_xlfn.XLOOKUP(B428,M_YT_LIVE!A:A,M_YT_LIVE!F:F,"ERROR",0,1)</f>
        <v>弾き語り</v>
      </c>
      <c r="W428" s="13">
        <f t="shared" si="19"/>
        <v>386</v>
      </c>
      <c r="X428" s="12" t="str">
        <f>_xlfn.XLOOKUP($B428,M_YT_LIVE!$A:$A,M_YT_LIVE!$D:$D)</f>
        <v>https://www.youtube.com/live/Dm-WC5w7K8Y?si=Pph-3uJ8wVrF5vc0</v>
      </c>
      <c r="Z428" s="16" t="str">
        <f>HYPERLINK($X428&amp;SUBSTITUTE(マスタ!$C$3,"XXXXX",$W428))</f>
        <v>https://www.youtube.com/live/Dm-WC5w7K8Y?si=Pph-3uJ8wVrF5vc0&amp;t=386s</v>
      </c>
      <c r="AA428" s="12" t="str">
        <f t="shared" si="18"/>
        <v>ヨルシカただ君に晴れ</v>
      </c>
    </row>
    <row r="429" spans="1:27" x14ac:dyDescent="0.4">
      <c r="A429" s="14">
        <f t="shared" si="20"/>
        <v>428</v>
      </c>
      <c r="B429" s="14">
        <v>60</v>
      </c>
      <c r="C429" s="18" t="s">
        <v>1073</v>
      </c>
      <c r="D429" s="14" t="s">
        <v>560</v>
      </c>
      <c r="E429" s="14" t="s">
        <v>141</v>
      </c>
      <c r="G429" s="1" t="str">
        <f>_xlfn.XLOOKUP(B429,M_YT_LIVE!A:A,M_YT_LIVE!F:F,"ERROR",0,1)</f>
        <v>弾き語り</v>
      </c>
      <c r="W429" s="13">
        <f t="shared" si="19"/>
        <v>827.99999999999989</v>
      </c>
      <c r="X429" s="12" t="str">
        <f>_xlfn.XLOOKUP($B429,M_YT_LIVE!$A:$A,M_YT_LIVE!$D:$D)</f>
        <v>https://www.youtube.com/live/Dm-WC5w7K8Y?si=Pph-3uJ8wVrF5vc0</v>
      </c>
      <c r="Z429" s="16" t="str">
        <f>HYPERLINK($X429&amp;SUBSTITUTE(マスタ!$C$3,"XXXXX",$W429))</f>
        <v>https://www.youtube.com/live/Dm-WC5w7K8Y?si=Pph-3uJ8wVrF5vc0&amp;t=828s</v>
      </c>
      <c r="AA429" s="12" t="str">
        <f t="shared" si="18"/>
        <v>ヨルシカ又三郎</v>
      </c>
    </row>
    <row r="430" spans="1:27" x14ac:dyDescent="0.4">
      <c r="A430" s="14">
        <f t="shared" si="20"/>
        <v>429</v>
      </c>
      <c r="B430" s="14">
        <v>60</v>
      </c>
      <c r="C430" s="18" t="s">
        <v>1074</v>
      </c>
      <c r="D430" s="14" t="s">
        <v>137</v>
      </c>
      <c r="E430" s="14" t="s">
        <v>138</v>
      </c>
      <c r="G430" s="1" t="str">
        <f>_xlfn.XLOOKUP(B430,M_YT_LIVE!A:A,M_YT_LIVE!F:F,"ERROR",0,1)</f>
        <v>弾き語り</v>
      </c>
      <c r="W430" s="13">
        <f t="shared" si="19"/>
        <v>1406</v>
      </c>
      <c r="X430" s="12" t="str">
        <f>_xlfn.XLOOKUP($B430,M_YT_LIVE!$A:$A,M_YT_LIVE!$D:$D)</f>
        <v>https://www.youtube.com/live/Dm-WC5w7K8Y?si=Pph-3uJ8wVrF5vc0</v>
      </c>
      <c r="Z430" s="16" t="str">
        <f>HYPERLINK($X430&amp;SUBSTITUTE(マスタ!$C$3,"XXXXX",$W430))</f>
        <v>https://www.youtube.com/live/Dm-WC5w7K8Y?si=Pph-3uJ8wVrF5vc0&amp;t=1406s</v>
      </c>
      <c r="AA430" s="12" t="str">
        <f t="shared" si="18"/>
        <v>ポルカドットスティングレイトゲめくスピカ</v>
      </c>
    </row>
    <row r="431" spans="1:27" x14ac:dyDescent="0.4">
      <c r="A431" s="14">
        <f t="shared" si="20"/>
        <v>430</v>
      </c>
      <c r="B431" s="14">
        <v>60</v>
      </c>
      <c r="C431" s="18" t="s">
        <v>1075</v>
      </c>
      <c r="D431" s="14" t="s">
        <v>707</v>
      </c>
      <c r="E431" s="14" t="s">
        <v>708</v>
      </c>
      <c r="G431" s="1" t="str">
        <f>_xlfn.XLOOKUP(B431,M_YT_LIVE!A:A,M_YT_LIVE!F:F,"ERROR",0,1)</f>
        <v>弾き語り</v>
      </c>
      <c r="W431" s="13">
        <f t="shared" si="19"/>
        <v>1969</v>
      </c>
      <c r="X431" s="12" t="str">
        <f>_xlfn.XLOOKUP($B431,M_YT_LIVE!$A:$A,M_YT_LIVE!$D:$D)</f>
        <v>https://www.youtube.com/live/Dm-WC5w7K8Y?si=Pph-3uJ8wVrF5vc0</v>
      </c>
      <c r="Z431" s="16" t="str">
        <f>HYPERLINK($X431&amp;SUBSTITUTE(マスタ!$C$3,"XXXXX",$W431))</f>
        <v>https://www.youtube.com/live/Dm-WC5w7K8Y?si=Pph-3uJ8wVrF5vc0&amp;t=1969s</v>
      </c>
      <c r="AA431" s="12" t="str">
        <f t="shared" si="18"/>
        <v>halyosy feat.鏡音レンFire◎Flower</v>
      </c>
    </row>
    <row r="432" spans="1:27" x14ac:dyDescent="0.4">
      <c r="A432" s="14">
        <f t="shared" si="20"/>
        <v>431</v>
      </c>
      <c r="B432" s="14">
        <v>60</v>
      </c>
      <c r="C432" s="18" t="s">
        <v>1076</v>
      </c>
      <c r="D432" s="14" t="s">
        <v>294</v>
      </c>
      <c r="E432" s="14" t="s">
        <v>295</v>
      </c>
      <c r="G432" s="1" t="str">
        <f>_xlfn.XLOOKUP(B432,M_YT_LIVE!A:A,M_YT_LIVE!F:F,"ERROR",0,1)</f>
        <v>弾き語り</v>
      </c>
      <c r="W432" s="13">
        <f t="shared" si="19"/>
        <v>2437</v>
      </c>
      <c r="X432" s="12" t="str">
        <f>_xlfn.XLOOKUP($B432,M_YT_LIVE!$A:$A,M_YT_LIVE!$D:$D)</f>
        <v>https://www.youtube.com/live/Dm-WC5w7K8Y?si=Pph-3uJ8wVrF5vc0</v>
      </c>
      <c r="Z432" s="16" t="str">
        <f>HYPERLINK($X432&amp;SUBSTITUTE(マスタ!$C$3,"XXXXX",$W432))</f>
        <v>https://www.youtube.com/live/Dm-WC5w7K8Y?si=Pph-3uJ8wVrF5vc0&amp;t=2437s</v>
      </c>
      <c r="AA432" s="12" t="str">
        <f t="shared" si="18"/>
        <v>羽生まゐご feat.flower阿吽のビーツ</v>
      </c>
    </row>
    <row r="433" spans="1:27" x14ac:dyDescent="0.4">
      <c r="A433" s="14">
        <f t="shared" si="20"/>
        <v>432</v>
      </c>
      <c r="B433" s="14">
        <v>60</v>
      </c>
      <c r="C433" s="18" t="s">
        <v>548</v>
      </c>
      <c r="D433" s="14" t="s">
        <v>1077</v>
      </c>
      <c r="E433" s="14" t="s">
        <v>321</v>
      </c>
      <c r="G433" s="1" t="str">
        <f>_xlfn.XLOOKUP(B433,M_YT_LIVE!A:A,M_YT_LIVE!F:F,"ERROR",0,1)</f>
        <v>弾き語り</v>
      </c>
      <c r="W433" s="13">
        <f t="shared" si="19"/>
        <v>2835</v>
      </c>
      <c r="X433" s="12" t="str">
        <f>_xlfn.XLOOKUP($B433,M_YT_LIVE!$A:$A,M_YT_LIVE!$D:$D)</f>
        <v>https://www.youtube.com/live/Dm-WC5w7K8Y?si=Pph-3uJ8wVrF5vc0</v>
      </c>
      <c r="Z433" s="16" t="str">
        <f>HYPERLINK($X433&amp;SUBSTITUTE(マスタ!$C$3,"XXXXX",$W433))</f>
        <v>https://www.youtube.com/live/Dm-WC5w7K8Y?si=Pph-3uJ8wVrF5vc0&amp;t=2835s</v>
      </c>
      <c r="AA433" s="12" t="str">
        <f t="shared" si="18"/>
        <v>じん(自然の敵P) feat.初音ミクカゲロウデイズ</v>
      </c>
    </row>
    <row r="434" spans="1:27" x14ac:dyDescent="0.4">
      <c r="A434" s="14">
        <f t="shared" si="20"/>
        <v>433</v>
      </c>
      <c r="B434" s="14">
        <v>60</v>
      </c>
      <c r="C434" s="22" t="s">
        <v>1145</v>
      </c>
      <c r="D434" s="14" t="s">
        <v>1078</v>
      </c>
      <c r="E434" s="14" t="s">
        <v>81</v>
      </c>
      <c r="G434" s="1" t="str">
        <f>_xlfn.XLOOKUP(B434,M_YT_LIVE!A:A,M_YT_LIVE!F:F,"ERROR",0,1)</f>
        <v>弾き語り</v>
      </c>
      <c r="W434" s="13">
        <f t="shared" si="19"/>
        <v>3256.9999999999995</v>
      </c>
      <c r="X434" s="12" t="str">
        <f>_xlfn.XLOOKUP($B434,M_YT_LIVE!$A:$A,M_YT_LIVE!$D:$D)</f>
        <v>https://www.youtube.com/live/Dm-WC5w7K8Y?si=Pph-3uJ8wVrF5vc0</v>
      </c>
      <c r="Z434" s="16" t="str">
        <f>HYPERLINK($X434&amp;SUBSTITUTE(マスタ!$C$3,"XXXXX",$W434))</f>
        <v>https://www.youtube.com/live/Dm-WC5w7K8Y?si=Pph-3uJ8wVrF5vc0&amp;t=3257s</v>
      </c>
      <c r="AA434" s="12" t="str">
        <f t="shared" si="18"/>
        <v>じん(自然の敵P) feat.IAアウターサイエンス</v>
      </c>
    </row>
    <row r="435" spans="1:27" x14ac:dyDescent="0.4">
      <c r="A435" s="14">
        <f t="shared" si="20"/>
        <v>434</v>
      </c>
      <c r="B435" s="14">
        <v>60</v>
      </c>
      <c r="C435" s="18" t="s">
        <v>40</v>
      </c>
      <c r="D435" s="14" t="s">
        <v>80</v>
      </c>
      <c r="E435" s="14" t="s">
        <v>81</v>
      </c>
      <c r="G435" s="1" t="str">
        <f>_xlfn.XLOOKUP(B435,M_YT_LIVE!A:A,M_YT_LIVE!F:F,"ERROR",0,1)</f>
        <v>弾き語り</v>
      </c>
      <c r="W435" s="13">
        <f t="shared" si="19"/>
        <v>3620</v>
      </c>
      <c r="X435" s="12" t="str">
        <f>_xlfn.XLOOKUP($B435,M_YT_LIVE!$A:$A,M_YT_LIVE!$D:$D)</f>
        <v>https://www.youtube.com/live/Dm-WC5w7K8Y?si=Pph-3uJ8wVrF5vc0</v>
      </c>
      <c r="Z435" s="16" t="str">
        <f>HYPERLINK($X435&amp;SUBSTITUTE(マスタ!$C$3,"XXXXX",$W435))</f>
        <v>https://www.youtube.com/live/Dm-WC5w7K8Y?si=Pph-3uJ8wVrF5vc0&amp;t=3620s</v>
      </c>
      <c r="AA435" s="12" t="str">
        <f t="shared" si="18"/>
        <v>じん(自然の敵P) feat.IA想像フォレスト</v>
      </c>
    </row>
    <row r="436" spans="1:27" x14ac:dyDescent="0.4">
      <c r="A436" s="14">
        <f t="shared" si="20"/>
        <v>435</v>
      </c>
      <c r="B436" s="14">
        <v>60</v>
      </c>
      <c r="C436" s="18" t="s">
        <v>1079</v>
      </c>
      <c r="D436" s="14" t="s">
        <v>1080</v>
      </c>
      <c r="E436" s="14" t="s">
        <v>276</v>
      </c>
      <c r="G436" s="1" t="str">
        <f>_xlfn.XLOOKUP(B436,M_YT_LIVE!A:A,M_YT_LIVE!F:F,"ERROR",0,1)</f>
        <v>弾き語り</v>
      </c>
      <c r="W436" s="13">
        <f t="shared" si="19"/>
        <v>4069.9999999999995</v>
      </c>
      <c r="X436" s="12" t="str">
        <f>_xlfn.XLOOKUP($B436,M_YT_LIVE!$A:$A,M_YT_LIVE!$D:$D)</f>
        <v>https://www.youtube.com/live/Dm-WC5w7K8Y?si=Pph-3uJ8wVrF5vc0</v>
      </c>
      <c r="Z436" s="16" t="str">
        <f>HYPERLINK($X436&amp;SUBSTITUTE(マスタ!$C$3,"XXXXX",$W436))</f>
        <v>https://www.youtube.com/live/Dm-WC5w7K8Y?si=Pph-3uJ8wVrF5vc0&amp;t=4070s</v>
      </c>
      <c r="AA436" s="12" t="str">
        <f t="shared" si="18"/>
        <v>YUISUMMER SONG</v>
      </c>
    </row>
    <row r="437" spans="1:27" x14ac:dyDescent="0.4">
      <c r="A437" s="14">
        <f t="shared" si="20"/>
        <v>436</v>
      </c>
      <c r="B437" s="14">
        <v>60</v>
      </c>
      <c r="C437" s="18" t="s">
        <v>1081</v>
      </c>
      <c r="D437" s="14" t="s">
        <v>1082</v>
      </c>
      <c r="E437" s="14" t="s">
        <v>1083</v>
      </c>
      <c r="G437" s="1" t="str">
        <f>_xlfn.XLOOKUP(B437,M_YT_LIVE!A:A,M_YT_LIVE!F:F,"ERROR",0,1)</f>
        <v>弾き語り</v>
      </c>
      <c r="W437" s="13">
        <f t="shared" si="19"/>
        <v>4512</v>
      </c>
      <c r="X437" s="12" t="str">
        <f>_xlfn.XLOOKUP($B437,M_YT_LIVE!$A:$A,M_YT_LIVE!$D:$D)</f>
        <v>https://www.youtube.com/live/Dm-WC5w7K8Y?si=Pph-3uJ8wVrF5vc0</v>
      </c>
      <c r="Z437" s="16" t="str">
        <f>HYPERLINK($X437&amp;SUBSTITUTE(マスタ!$C$3,"XXXXX",$W437))</f>
        <v>https://www.youtube.com/live/Dm-WC5w7K8Y?si=Pph-3uJ8wVrF5vc0&amp;t=4512s</v>
      </c>
      <c r="AA437" s="12" t="str">
        <f t="shared" si="18"/>
        <v>Beatsea feat.初音ミク可惜夜</v>
      </c>
    </row>
    <row r="438" spans="1:27" x14ac:dyDescent="0.4">
      <c r="A438" s="14">
        <f t="shared" si="20"/>
        <v>437</v>
      </c>
      <c r="B438" s="14">
        <v>60</v>
      </c>
      <c r="C438" s="18" t="s">
        <v>1084</v>
      </c>
      <c r="D438" s="14" t="s">
        <v>1085</v>
      </c>
      <c r="E438" s="14" t="s">
        <v>57</v>
      </c>
      <c r="G438" s="1" t="str">
        <f>_xlfn.XLOOKUP(B438,M_YT_LIVE!A:A,M_YT_LIVE!F:F,"ERROR",0,1)</f>
        <v>弾き語り</v>
      </c>
      <c r="W438" s="13">
        <f t="shared" si="19"/>
        <v>4956</v>
      </c>
      <c r="X438" s="12" t="str">
        <f>_xlfn.XLOOKUP($B438,M_YT_LIVE!$A:$A,M_YT_LIVE!$D:$D)</f>
        <v>https://www.youtube.com/live/Dm-WC5w7K8Y?si=Pph-3uJ8wVrF5vc0</v>
      </c>
      <c r="Z438" s="16" t="str">
        <f>HYPERLINK($X438&amp;SUBSTITUTE(マスタ!$C$3,"XXXXX",$W438))</f>
        <v>https://www.youtube.com/live/Dm-WC5w7K8Y?si=Pph-3uJ8wVrF5vc0&amp;t=4956s</v>
      </c>
      <c r="AA438" s="12" t="str">
        <f t="shared" si="18"/>
        <v>羊文学Feel(1chorus)</v>
      </c>
    </row>
    <row r="439" spans="1:27" x14ac:dyDescent="0.4">
      <c r="A439" s="14">
        <f t="shared" si="20"/>
        <v>438</v>
      </c>
      <c r="B439" s="14">
        <v>60</v>
      </c>
      <c r="C439" s="18" t="s">
        <v>1086</v>
      </c>
      <c r="D439" s="14" t="s">
        <v>163</v>
      </c>
      <c r="E439" s="14" t="s">
        <v>125</v>
      </c>
      <c r="G439" s="1" t="str">
        <f>_xlfn.XLOOKUP(B439,M_YT_LIVE!A:A,M_YT_LIVE!F:F,"ERROR",0,1)</f>
        <v>弾き語り</v>
      </c>
      <c r="W439" s="13">
        <f t="shared" si="19"/>
        <v>5406</v>
      </c>
      <c r="X439" s="12" t="str">
        <f>_xlfn.XLOOKUP($B439,M_YT_LIVE!$A:$A,M_YT_LIVE!$D:$D)</f>
        <v>https://www.youtube.com/live/Dm-WC5w7K8Y?si=Pph-3uJ8wVrF5vc0</v>
      </c>
      <c r="Z439" s="16" t="str">
        <f>HYPERLINK($X439&amp;SUBSTITUTE(マスタ!$C$3,"XXXXX",$W439))</f>
        <v>https://www.youtube.com/live/Dm-WC5w7K8Y?si=Pph-3uJ8wVrF5vc0&amp;t=5406s</v>
      </c>
      <c r="AA439" s="12" t="str">
        <f t="shared" si="18"/>
        <v>Orangestar feat.IAAlice in 冷凍庫</v>
      </c>
    </row>
    <row r="440" spans="1:27" x14ac:dyDescent="0.4">
      <c r="A440" s="14">
        <f t="shared" si="20"/>
        <v>439</v>
      </c>
      <c r="B440" s="14">
        <v>60</v>
      </c>
      <c r="C440" s="18" t="s">
        <v>1087</v>
      </c>
      <c r="D440" s="14" t="s">
        <v>161</v>
      </c>
      <c r="E440" s="14" t="s">
        <v>150</v>
      </c>
      <c r="G440" s="1" t="str">
        <f>_xlfn.XLOOKUP(B440,M_YT_LIVE!A:A,M_YT_LIVE!F:F,"ERROR",0,1)</f>
        <v>弾き語り</v>
      </c>
      <c r="W440" s="13">
        <f t="shared" si="19"/>
        <v>5815.0000000000009</v>
      </c>
      <c r="X440" s="12" t="str">
        <f>_xlfn.XLOOKUP($B440,M_YT_LIVE!$A:$A,M_YT_LIVE!$D:$D)</f>
        <v>https://www.youtube.com/live/Dm-WC5w7K8Y?si=Pph-3uJ8wVrF5vc0</v>
      </c>
      <c r="Z440" s="16" t="str">
        <f>HYPERLINK($X440&amp;SUBSTITUTE(マスタ!$C$3,"XXXXX",$W440))</f>
        <v>https://www.youtube.com/live/Dm-WC5w7K8Y?si=Pph-3uJ8wVrF5vc0&amp;t=5815s</v>
      </c>
      <c r="AA440" s="12" t="str">
        <f t="shared" si="18"/>
        <v>みきとP feat.初音ミク夏の半券</v>
      </c>
    </row>
    <row r="441" spans="1:27" x14ac:dyDescent="0.4">
      <c r="A441" s="14">
        <f t="shared" si="20"/>
        <v>440</v>
      </c>
      <c r="B441" s="14">
        <v>60</v>
      </c>
      <c r="C441" s="18" t="s">
        <v>1088</v>
      </c>
      <c r="D441" s="14" t="s">
        <v>624</v>
      </c>
      <c r="E441" s="14" t="s">
        <v>625</v>
      </c>
      <c r="G441" s="1" t="str">
        <f>_xlfn.XLOOKUP(B441,M_YT_LIVE!A:A,M_YT_LIVE!F:F,"ERROR",0,1)</f>
        <v>弾き語り</v>
      </c>
      <c r="W441" s="13">
        <f t="shared" si="19"/>
        <v>6610</v>
      </c>
      <c r="X441" s="12" t="str">
        <f>_xlfn.XLOOKUP($B441,M_YT_LIVE!$A:$A,M_YT_LIVE!$D:$D)</f>
        <v>https://www.youtube.com/live/Dm-WC5w7K8Y?si=Pph-3uJ8wVrF5vc0</v>
      </c>
      <c r="Z441" s="16" t="str">
        <f>HYPERLINK($X441&amp;SUBSTITUTE(マスタ!$C$3,"XXXXX",$W441))</f>
        <v>https://www.youtube.com/live/Dm-WC5w7K8Y?si=Pph-3uJ8wVrF5vc0&amp;t=6610s</v>
      </c>
      <c r="AA441" s="12" t="str">
        <f t="shared" si="18"/>
        <v>Rayebb and flow</v>
      </c>
    </row>
    <row r="442" spans="1:27" x14ac:dyDescent="0.4">
      <c r="A442" s="14">
        <f t="shared" si="20"/>
        <v>441</v>
      </c>
      <c r="B442" s="14">
        <v>61</v>
      </c>
      <c r="C442" s="18" t="s">
        <v>1091</v>
      </c>
      <c r="D442" s="14" t="s">
        <v>216</v>
      </c>
      <c r="E442" s="14" t="s">
        <v>20</v>
      </c>
      <c r="G442" s="1" t="str">
        <f>_xlfn.XLOOKUP(B442,M_YT_LIVE!A:A,M_YT_LIVE!F:F,"ERROR",0,1)</f>
        <v>弾き語り</v>
      </c>
      <c r="W442" s="13">
        <f t="shared" si="19"/>
        <v>394</v>
      </c>
      <c r="X442" s="12" t="str">
        <f>_xlfn.XLOOKUP($B442,M_YT_LIVE!$A:$A,M_YT_LIVE!$D:$D)</f>
        <v>https://www.youtube.com/live/7AO0pzyJtLE?si=5iKHGNjfGH8OxSY8</v>
      </c>
      <c r="Z442" s="16" t="str">
        <f>HYPERLINK($X442&amp;SUBSTITUTE(マスタ!$C$3,"XXXXX",$W442))</f>
        <v>https://www.youtube.com/live/7AO0pzyJtLE?si=5iKHGNjfGH8OxSY8&amp;t=394s</v>
      </c>
      <c r="AA442" s="12" t="str">
        <f t="shared" si="18"/>
        <v>Vaundynapori</v>
      </c>
    </row>
    <row r="443" spans="1:27" x14ac:dyDescent="0.4">
      <c r="A443" s="14">
        <f t="shared" si="20"/>
        <v>442</v>
      </c>
      <c r="B443" s="14">
        <v>61</v>
      </c>
      <c r="C443" s="18" t="s">
        <v>1092</v>
      </c>
      <c r="D443" s="14" t="s">
        <v>35</v>
      </c>
      <c r="E443" s="14" t="s">
        <v>20</v>
      </c>
      <c r="G443" s="1" t="str">
        <f>_xlfn.XLOOKUP(B443,M_YT_LIVE!A:A,M_YT_LIVE!F:F,"ERROR",0,1)</f>
        <v>弾き語り</v>
      </c>
      <c r="W443" s="13">
        <f t="shared" si="19"/>
        <v>723</v>
      </c>
      <c r="X443" s="12" t="str">
        <f>_xlfn.XLOOKUP($B443,M_YT_LIVE!$A:$A,M_YT_LIVE!$D:$D)</f>
        <v>https://www.youtube.com/live/7AO0pzyJtLE?si=5iKHGNjfGH8OxSY8</v>
      </c>
      <c r="Z443" s="16" t="str">
        <f>HYPERLINK($X443&amp;SUBSTITUTE(マスタ!$C$3,"XXXXX",$W443))</f>
        <v>https://www.youtube.com/live/7AO0pzyJtLE?si=5iKHGNjfGH8OxSY8&amp;t=723s</v>
      </c>
      <c r="AA443" s="12" t="str">
        <f t="shared" si="18"/>
        <v>Vaundy踊り子</v>
      </c>
    </row>
    <row r="444" spans="1:27" x14ac:dyDescent="0.4">
      <c r="A444" s="14">
        <f t="shared" si="20"/>
        <v>443</v>
      </c>
      <c r="B444" s="14">
        <v>61</v>
      </c>
      <c r="C444" s="18" t="s">
        <v>1093</v>
      </c>
      <c r="D444" s="14" t="s">
        <v>1094</v>
      </c>
      <c r="E444" s="14" t="s">
        <v>20</v>
      </c>
      <c r="G444" s="1" t="str">
        <f>_xlfn.XLOOKUP(B444,M_YT_LIVE!A:A,M_YT_LIVE!F:F,"ERROR",0,1)</f>
        <v>弾き語り</v>
      </c>
      <c r="W444" s="13">
        <f t="shared" si="19"/>
        <v>1062</v>
      </c>
      <c r="X444" s="12" t="str">
        <f>_xlfn.XLOOKUP($B444,M_YT_LIVE!$A:$A,M_YT_LIVE!$D:$D)</f>
        <v>https://www.youtube.com/live/7AO0pzyJtLE?si=5iKHGNjfGH8OxSY8</v>
      </c>
      <c r="Z444" s="16" t="str">
        <f>HYPERLINK($X444&amp;SUBSTITUTE(マスタ!$C$3,"XXXXX",$W444))</f>
        <v>https://www.youtube.com/live/7AO0pzyJtLE?si=5iKHGNjfGH8OxSY8&amp;t=1062s</v>
      </c>
      <c r="AA444" s="12" t="str">
        <f t="shared" si="18"/>
        <v>Vaundy不可幸力</v>
      </c>
    </row>
    <row r="445" spans="1:27" x14ac:dyDescent="0.4">
      <c r="A445" s="14">
        <f t="shared" si="20"/>
        <v>444</v>
      </c>
      <c r="B445" s="14">
        <v>61</v>
      </c>
      <c r="C445" s="18" t="s">
        <v>1095</v>
      </c>
      <c r="D445" s="14" t="s">
        <v>539</v>
      </c>
      <c r="E445" s="14" t="s">
        <v>20</v>
      </c>
      <c r="G445" s="1" t="str">
        <f>_xlfn.XLOOKUP(B445,M_YT_LIVE!A:A,M_YT_LIVE!F:F,"ERROR",0,1)</f>
        <v>弾き語り</v>
      </c>
      <c r="W445" s="13">
        <f t="shared" si="19"/>
        <v>1584</v>
      </c>
      <c r="X445" s="12" t="str">
        <f>_xlfn.XLOOKUP($B445,M_YT_LIVE!$A:$A,M_YT_LIVE!$D:$D)</f>
        <v>https://www.youtube.com/live/7AO0pzyJtLE?si=5iKHGNjfGH8OxSY8</v>
      </c>
      <c r="Z445" s="16" t="str">
        <f>HYPERLINK($X445&amp;SUBSTITUTE(マスタ!$C$3,"XXXXX",$W445))</f>
        <v>https://www.youtube.com/live/7AO0pzyJtLE?si=5iKHGNjfGH8OxSY8&amp;t=1584s</v>
      </c>
      <c r="AA445" s="12" t="str">
        <f t="shared" si="18"/>
        <v>Vaundy恋風邪に乗せて</v>
      </c>
    </row>
    <row r="446" spans="1:27" x14ac:dyDescent="0.4">
      <c r="A446" s="14">
        <f t="shared" si="20"/>
        <v>445</v>
      </c>
      <c r="B446" s="14">
        <v>61</v>
      </c>
      <c r="C446" s="18" t="s">
        <v>1096</v>
      </c>
      <c r="D446" s="14" t="s">
        <v>222</v>
      </c>
      <c r="E446" s="14" t="s">
        <v>57</v>
      </c>
      <c r="G446" s="1" t="str">
        <f>_xlfn.XLOOKUP(B446,M_YT_LIVE!A:A,M_YT_LIVE!F:F,"ERROR",0,1)</f>
        <v>弾き語り</v>
      </c>
      <c r="W446" s="13">
        <f t="shared" si="19"/>
        <v>1910</v>
      </c>
      <c r="X446" s="12" t="str">
        <f>_xlfn.XLOOKUP($B446,M_YT_LIVE!$A:$A,M_YT_LIVE!$D:$D)</f>
        <v>https://www.youtube.com/live/7AO0pzyJtLE?si=5iKHGNjfGH8OxSY8</v>
      </c>
      <c r="Z446" s="16" t="str">
        <f>HYPERLINK($X446&amp;SUBSTITUTE(マスタ!$C$3,"XXXXX",$W446))</f>
        <v>https://www.youtube.com/live/7AO0pzyJtLE?si=5iKHGNjfGH8OxSY8&amp;t=1910s</v>
      </c>
      <c r="AA446" s="12" t="str">
        <f t="shared" si="18"/>
        <v>羊文学光るとき</v>
      </c>
    </row>
    <row r="447" spans="1:27" x14ac:dyDescent="0.4">
      <c r="A447" s="14">
        <f t="shared" si="20"/>
        <v>446</v>
      </c>
      <c r="B447" s="14">
        <v>61</v>
      </c>
      <c r="C447" s="18" t="s">
        <v>296</v>
      </c>
      <c r="D447" s="14" t="s">
        <v>1097</v>
      </c>
      <c r="E447" s="14" t="s">
        <v>57</v>
      </c>
      <c r="G447" s="1" t="str">
        <f>_xlfn.XLOOKUP(B447,M_YT_LIVE!A:A,M_YT_LIVE!F:F,"ERROR",0,1)</f>
        <v>弾き語り</v>
      </c>
      <c r="W447" s="13">
        <f t="shared" si="19"/>
        <v>2363</v>
      </c>
      <c r="X447" s="12" t="str">
        <f>_xlfn.XLOOKUP($B447,M_YT_LIVE!$A:$A,M_YT_LIVE!$D:$D)</f>
        <v>https://www.youtube.com/live/7AO0pzyJtLE?si=5iKHGNjfGH8OxSY8</v>
      </c>
      <c r="Z447" s="16" t="str">
        <f>HYPERLINK($X447&amp;SUBSTITUTE(マスタ!$C$3,"XXXXX",$W447))</f>
        <v>https://www.youtube.com/live/7AO0pzyJtLE?si=5iKHGNjfGH8OxSY8&amp;t=2363s</v>
      </c>
      <c r="AA447" s="12" t="str">
        <f t="shared" si="18"/>
        <v>羊文学永遠のブルー</v>
      </c>
    </row>
    <row r="448" spans="1:27" x14ac:dyDescent="0.4">
      <c r="A448" s="14">
        <f t="shared" si="20"/>
        <v>447</v>
      </c>
      <c r="B448" s="14">
        <v>61</v>
      </c>
      <c r="C448" s="18" t="s">
        <v>1098</v>
      </c>
      <c r="D448" s="14" t="s">
        <v>56</v>
      </c>
      <c r="E448" s="14" t="s">
        <v>57</v>
      </c>
      <c r="G448" s="1" t="str">
        <f>_xlfn.XLOOKUP(B448,M_YT_LIVE!A:A,M_YT_LIVE!F:F,"ERROR",0,1)</f>
        <v>弾き語り</v>
      </c>
      <c r="W448" s="13">
        <f t="shared" si="19"/>
        <v>2737</v>
      </c>
      <c r="X448" s="12" t="str">
        <f>_xlfn.XLOOKUP($B448,M_YT_LIVE!$A:$A,M_YT_LIVE!$D:$D)</f>
        <v>https://www.youtube.com/live/7AO0pzyJtLE?si=5iKHGNjfGH8OxSY8</v>
      </c>
      <c r="Z448" s="16" t="str">
        <f>HYPERLINK($X448&amp;SUBSTITUTE(マスタ!$C$3,"XXXXX",$W448))</f>
        <v>https://www.youtube.com/live/7AO0pzyJtLE?si=5iKHGNjfGH8OxSY8&amp;t=2737s</v>
      </c>
      <c r="AA448" s="12" t="str">
        <f t="shared" si="18"/>
        <v>羊文学more than words</v>
      </c>
    </row>
    <row r="449" spans="1:27" x14ac:dyDescent="0.4">
      <c r="A449" s="14">
        <f t="shared" si="20"/>
        <v>448</v>
      </c>
      <c r="B449" s="14">
        <v>61</v>
      </c>
      <c r="C449" s="18" t="s">
        <v>1099</v>
      </c>
      <c r="D449" s="14" t="s">
        <v>1100</v>
      </c>
      <c r="E449" s="14" t="s">
        <v>1101</v>
      </c>
      <c r="G449" s="1" t="str">
        <f>_xlfn.XLOOKUP(B449,M_YT_LIVE!A:A,M_YT_LIVE!F:F,"ERROR",0,1)</f>
        <v>弾き語り</v>
      </c>
      <c r="W449" s="13">
        <f t="shared" si="19"/>
        <v>3166</v>
      </c>
      <c r="X449" s="12" t="str">
        <f>_xlfn.XLOOKUP($B449,M_YT_LIVE!$A:$A,M_YT_LIVE!$D:$D)</f>
        <v>https://www.youtube.com/live/7AO0pzyJtLE?si=5iKHGNjfGH8OxSY8</v>
      </c>
      <c r="Z449" s="16" t="str">
        <f>HYPERLINK($X449&amp;SUBSTITUTE(マスタ!$C$3,"XXXXX",$W449))</f>
        <v>https://www.youtube.com/live/7AO0pzyJtLE?si=5iKHGNjfGH8OxSY8&amp;t=3166s</v>
      </c>
      <c r="AA449" s="12" t="str">
        <f t="shared" si="18"/>
        <v>きのこ帝国東京</v>
      </c>
    </row>
    <row r="450" spans="1:27" x14ac:dyDescent="0.4">
      <c r="A450" s="14">
        <f t="shared" si="20"/>
        <v>449</v>
      </c>
      <c r="B450" s="14">
        <v>61</v>
      </c>
      <c r="C450" s="18" t="s">
        <v>1102</v>
      </c>
      <c r="D450" s="14" t="s">
        <v>1103</v>
      </c>
      <c r="E450" s="14" t="s">
        <v>1104</v>
      </c>
      <c r="G450" s="1" t="str">
        <f>_xlfn.XLOOKUP(B450,M_YT_LIVE!A:A,M_YT_LIVE!F:F,"ERROR",0,1)</f>
        <v>弾き語り</v>
      </c>
      <c r="W450" s="13">
        <f t="shared" si="19"/>
        <v>3611</v>
      </c>
      <c r="X450" s="12" t="str">
        <f>_xlfn.XLOOKUP($B450,M_YT_LIVE!$A:$A,M_YT_LIVE!$D:$D)</f>
        <v>https://www.youtube.com/live/7AO0pzyJtLE?si=5iKHGNjfGH8OxSY8</v>
      </c>
      <c r="Z450" s="16" t="str">
        <f>HYPERLINK($X450&amp;SUBSTITUTE(マスタ!$C$3,"XXXXX",$W450))</f>
        <v>https://www.youtube.com/live/7AO0pzyJtLE?si=5iKHGNjfGH8OxSY8&amp;t=3611s</v>
      </c>
      <c r="AA450" s="12" t="str">
        <f t="shared" si="18"/>
        <v>Galileo Galilei青い栞</v>
      </c>
    </row>
    <row r="451" spans="1:27" x14ac:dyDescent="0.4">
      <c r="A451" s="14">
        <f t="shared" si="20"/>
        <v>450</v>
      </c>
      <c r="B451" s="14">
        <v>61</v>
      </c>
      <c r="C451" s="18" t="s">
        <v>1105</v>
      </c>
      <c r="D451" s="14" t="s">
        <v>29</v>
      </c>
      <c r="E451" s="14" t="s">
        <v>183</v>
      </c>
      <c r="G451" s="1" t="str">
        <f>_xlfn.XLOOKUP(B451,M_YT_LIVE!A:A,M_YT_LIVE!F:F,"ERROR",0,1)</f>
        <v>弾き語り</v>
      </c>
      <c r="W451" s="13">
        <f t="shared" si="19"/>
        <v>4154</v>
      </c>
      <c r="X451" s="12" t="str">
        <f>_xlfn.XLOOKUP($B451,M_YT_LIVE!$A:$A,M_YT_LIVE!$D:$D)</f>
        <v>https://www.youtube.com/live/7AO0pzyJtLE?si=5iKHGNjfGH8OxSY8</v>
      </c>
      <c r="Z451" s="16" t="str">
        <f>HYPERLINK($X451&amp;SUBSTITUTE(マスタ!$C$3,"XXXXX",$W451))</f>
        <v>https://www.youtube.com/live/7AO0pzyJtLE?si=5iKHGNjfGH8OxSY8&amp;t=4154s</v>
      </c>
      <c r="AA451" s="12" t="str">
        <f t="shared" ref="AA451:AA514" si="21">TRIM(E451)&amp;TRIM(D451)</f>
        <v>クリープハイプ憂、燦々</v>
      </c>
    </row>
    <row r="452" spans="1:27" x14ac:dyDescent="0.4">
      <c r="A452" s="14">
        <f t="shared" si="20"/>
        <v>451</v>
      </c>
      <c r="B452" s="14">
        <v>61</v>
      </c>
      <c r="C452" s="18" t="s">
        <v>1106</v>
      </c>
      <c r="D452" s="14" t="s">
        <v>182</v>
      </c>
      <c r="E452" s="14" t="s">
        <v>183</v>
      </c>
      <c r="G452" s="1" t="str">
        <f>_xlfn.XLOOKUP(B452,M_YT_LIVE!A:A,M_YT_LIVE!F:F,"ERROR",0,1)</f>
        <v>弾き語り</v>
      </c>
      <c r="W452" s="13">
        <f t="shared" ref="W452:W515" si="22">TIMEVALUE($C452)*86400</f>
        <v>4648</v>
      </c>
      <c r="X452" s="12" t="str">
        <f>_xlfn.XLOOKUP($B452,M_YT_LIVE!$A:$A,M_YT_LIVE!$D:$D)</f>
        <v>https://www.youtube.com/live/7AO0pzyJtLE?si=5iKHGNjfGH8OxSY8</v>
      </c>
      <c r="Z452" s="16" t="str">
        <f>HYPERLINK($X452&amp;SUBSTITUTE(マスタ!$C$3,"XXXXX",$W452))</f>
        <v>https://www.youtube.com/live/7AO0pzyJtLE?si=5iKHGNjfGH8OxSY8&amp;t=4648s</v>
      </c>
      <c r="AA452" s="12" t="str">
        <f t="shared" si="21"/>
        <v>クリープハイプおやすみ、泣き声 さよなら歌姫</v>
      </c>
    </row>
    <row r="453" spans="1:27" x14ac:dyDescent="0.4">
      <c r="A453" s="14">
        <f t="shared" ref="A453:A516" si="23">ROW()-1</f>
        <v>452</v>
      </c>
      <c r="B453" s="14">
        <v>61</v>
      </c>
      <c r="C453" s="18" t="s">
        <v>1107</v>
      </c>
      <c r="D453" s="14" t="s">
        <v>262</v>
      </c>
      <c r="E453" s="14" t="s">
        <v>263</v>
      </c>
      <c r="G453" s="1" t="str">
        <f>_xlfn.XLOOKUP(B453,M_YT_LIVE!A:A,M_YT_LIVE!F:F,"ERROR",0,1)</f>
        <v>弾き語り</v>
      </c>
      <c r="W453" s="13">
        <f t="shared" si="22"/>
        <v>5173</v>
      </c>
      <c r="X453" s="12" t="str">
        <f>_xlfn.XLOOKUP($B453,M_YT_LIVE!$A:$A,M_YT_LIVE!$D:$D)</f>
        <v>https://www.youtube.com/live/7AO0pzyJtLE?si=5iKHGNjfGH8OxSY8</v>
      </c>
      <c r="Z453" s="16" t="str">
        <f>HYPERLINK($X453&amp;SUBSTITUTE(マスタ!$C$3,"XXXXX",$W453))</f>
        <v>https://www.youtube.com/live/7AO0pzyJtLE?si=5iKHGNjfGH8OxSY8&amp;t=5173s</v>
      </c>
      <c r="AA453" s="12" t="str">
        <f t="shared" si="21"/>
        <v>Hump Back拝啓、少年よ</v>
      </c>
    </row>
    <row r="454" spans="1:27" x14ac:dyDescent="0.4">
      <c r="A454" s="14">
        <f t="shared" si="23"/>
        <v>453</v>
      </c>
      <c r="B454" s="14">
        <v>61</v>
      </c>
      <c r="C454" s="18" t="s">
        <v>1108</v>
      </c>
      <c r="D454" s="14" t="s">
        <v>234</v>
      </c>
      <c r="E454" s="14" t="s">
        <v>135</v>
      </c>
      <c r="G454" s="1" t="str">
        <f>_xlfn.XLOOKUP(B454,M_YT_LIVE!A:A,M_YT_LIVE!F:F,"ERROR",0,1)</f>
        <v>弾き語り</v>
      </c>
      <c r="W454" s="13">
        <f t="shared" si="22"/>
        <v>5704</v>
      </c>
      <c r="X454" s="12" t="str">
        <f>_xlfn.XLOOKUP($B454,M_YT_LIVE!$A:$A,M_YT_LIVE!$D:$D)</f>
        <v>https://www.youtube.com/live/7AO0pzyJtLE?si=5iKHGNjfGH8OxSY8</v>
      </c>
      <c r="Z454" s="16" t="str">
        <f>HYPERLINK($X454&amp;SUBSTITUTE(マスタ!$C$3,"XXXXX",$W454))</f>
        <v>https://www.youtube.com/live/7AO0pzyJtLE?si=5iKHGNjfGH8OxSY8&amp;t=5704s</v>
      </c>
      <c r="AA454" s="12" t="str">
        <f t="shared" si="21"/>
        <v>EGOISTPlanetes</v>
      </c>
    </row>
    <row r="455" spans="1:27" x14ac:dyDescent="0.4">
      <c r="A455" s="14">
        <f t="shared" si="23"/>
        <v>454</v>
      </c>
      <c r="B455" s="14">
        <v>64</v>
      </c>
      <c r="C455" s="18" t="s">
        <v>1116</v>
      </c>
      <c r="D455" s="14" t="s">
        <v>247</v>
      </c>
      <c r="E455" s="14" t="s">
        <v>248</v>
      </c>
      <c r="G455" s="1" t="str">
        <f>_xlfn.XLOOKUP(B455,M_YT_LIVE!A:A,M_YT_LIVE!F:F,"ERROR",0,1)</f>
        <v>音源</v>
      </c>
      <c r="W455" s="13">
        <f t="shared" si="22"/>
        <v>339.99999999999994</v>
      </c>
      <c r="X455" s="12" t="str">
        <f>_xlfn.XLOOKUP($B455,M_YT_LIVE!$A:$A,M_YT_LIVE!$D:$D)</f>
        <v>https://www.youtube.com/live/JAK2m4FWxF0?si=Xy-B8lpcz7dX_b5n</v>
      </c>
      <c r="Z455" s="16" t="str">
        <f>HYPERLINK($X455&amp;SUBSTITUTE(マスタ!$C$3,"XXXXX",$W455))</f>
        <v>https://www.youtube.com/live/JAK2m4FWxF0?si=Xy-B8lpcz7dX_b5n&amp;t=340s</v>
      </c>
      <c r="AA455" s="12" t="str">
        <f t="shared" si="21"/>
        <v>柊マグネタイト feat.可不マーシャルマキシマイザ</v>
      </c>
    </row>
    <row r="456" spans="1:27" x14ac:dyDescent="0.4">
      <c r="A456" s="14">
        <f t="shared" si="23"/>
        <v>455</v>
      </c>
      <c r="B456" s="14">
        <v>64</v>
      </c>
      <c r="C456" s="18" t="s">
        <v>243</v>
      </c>
      <c r="D456" s="14" t="s">
        <v>675</v>
      </c>
      <c r="E456" s="14" t="s">
        <v>1117</v>
      </c>
      <c r="G456" s="1" t="str">
        <f>_xlfn.XLOOKUP(B456,M_YT_LIVE!A:A,M_YT_LIVE!F:F,"ERROR",0,1)</f>
        <v>音源</v>
      </c>
      <c r="W456" s="13">
        <f t="shared" si="22"/>
        <v>703.99999999999989</v>
      </c>
      <c r="X456" s="12" t="str">
        <f>_xlfn.XLOOKUP($B456,M_YT_LIVE!$A:$A,M_YT_LIVE!$D:$D)</f>
        <v>https://www.youtube.com/live/JAK2m4FWxF0?si=Xy-B8lpcz7dX_b5n</v>
      </c>
      <c r="Z456" s="16" t="str">
        <f>HYPERLINK($X456&amp;SUBSTITUTE(マスタ!$C$3,"XXXXX",$W456))</f>
        <v>https://www.youtube.com/live/JAK2m4FWxF0?si=Xy-B8lpcz7dX_b5n&amp;t=704s</v>
      </c>
      <c r="AA456" s="12" t="str">
        <f t="shared" si="21"/>
        <v>ランカー・リー(CV.中島愛)星間飛行</v>
      </c>
    </row>
    <row r="457" spans="1:27" x14ac:dyDescent="0.4">
      <c r="A457" s="14">
        <f t="shared" si="23"/>
        <v>456</v>
      </c>
      <c r="B457" s="14">
        <v>64</v>
      </c>
      <c r="C457" s="18" t="s">
        <v>1118</v>
      </c>
      <c r="D457" s="14" t="s">
        <v>677</v>
      </c>
      <c r="E457" s="14" t="s">
        <v>1224</v>
      </c>
      <c r="G457" s="1" t="str">
        <f>_xlfn.XLOOKUP(B457,M_YT_LIVE!A:A,M_YT_LIVE!F:F,"ERROR",0,1)</f>
        <v>音源</v>
      </c>
      <c r="W457" s="13">
        <f t="shared" si="22"/>
        <v>1113</v>
      </c>
      <c r="X457" s="12" t="str">
        <f>_xlfn.XLOOKUP($B457,M_YT_LIVE!$A:$A,M_YT_LIVE!$D:$D)</f>
        <v>https://www.youtube.com/live/JAK2m4FWxF0?si=Xy-B8lpcz7dX_b5n</v>
      </c>
      <c r="Z457" s="16" t="str">
        <f>HYPERLINK($X457&amp;SUBSTITUTE(マスタ!$C$3,"XXXXX",$W457))</f>
        <v>https://www.youtube.com/live/JAK2m4FWxF0?si=Xy-B8lpcz7dX_b5n&amp;t=1113s</v>
      </c>
      <c r="AA457" s="12" t="str">
        <f t="shared" si="21"/>
        <v>シェリル・ノーム starring May'n射手座☆午後九時Don't be late</v>
      </c>
    </row>
    <row r="458" spans="1:27" x14ac:dyDescent="0.4">
      <c r="A458" s="14">
        <f t="shared" si="23"/>
        <v>457</v>
      </c>
      <c r="B458" s="14">
        <v>64</v>
      </c>
      <c r="C458" s="18" t="s">
        <v>1119</v>
      </c>
      <c r="D458" s="14" t="s">
        <v>649</v>
      </c>
      <c r="E458" s="14" t="s">
        <v>650</v>
      </c>
      <c r="G458" s="1" t="str">
        <f>_xlfn.XLOOKUP(B458,M_YT_LIVE!A:A,M_YT_LIVE!F:F,"ERROR",0,1)</f>
        <v>音源</v>
      </c>
      <c r="W458" s="13">
        <f t="shared" si="22"/>
        <v>1567.0000000000002</v>
      </c>
      <c r="X458" s="12" t="str">
        <f>_xlfn.XLOOKUP($B458,M_YT_LIVE!$A:$A,M_YT_LIVE!$D:$D)</f>
        <v>https://www.youtube.com/live/JAK2m4FWxF0?si=Xy-B8lpcz7dX_b5n</v>
      </c>
      <c r="Z458" s="16" t="str">
        <f>HYPERLINK($X458&amp;SUBSTITUTE(マスタ!$C$3,"XXXXX",$W458))</f>
        <v>https://www.youtube.com/live/JAK2m4FWxF0?si=Xy-B8lpcz7dX_b5n&amp;t=1567s</v>
      </c>
      <c r="AA458" s="12" t="str">
        <f t="shared" si="21"/>
        <v>シェリル・ノーム starring May'n&amp;ランカ・リー(CV.中島愛)ライオン</v>
      </c>
    </row>
    <row r="459" spans="1:27" x14ac:dyDescent="0.4">
      <c r="A459" s="14">
        <f t="shared" si="23"/>
        <v>458</v>
      </c>
      <c r="B459" s="14">
        <v>64</v>
      </c>
      <c r="C459" s="18" t="s">
        <v>1120</v>
      </c>
      <c r="D459" s="14" t="s">
        <v>679</v>
      </c>
      <c r="E459" s="14" t="s">
        <v>1224</v>
      </c>
      <c r="G459" s="1" t="str">
        <f>_xlfn.XLOOKUP(B459,M_YT_LIVE!A:A,M_YT_LIVE!F:F,"ERROR",0,1)</f>
        <v>音源</v>
      </c>
      <c r="W459" s="13">
        <f t="shared" si="22"/>
        <v>2012</v>
      </c>
      <c r="X459" s="12" t="str">
        <f>_xlfn.XLOOKUP($B459,M_YT_LIVE!$A:$A,M_YT_LIVE!$D:$D)</f>
        <v>https://www.youtube.com/live/JAK2m4FWxF0?si=Xy-B8lpcz7dX_b5n</v>
      </c>
      <c r="Z459" s="16" t="str">
        <f>HYPERLINK($X459&amp;SUBSTITUTE(マスタ!$C$3,"XXXXX",$W459))</f>
        <v>https://www.youtube.com/live/JAK2m4FWxF0?si=Xy-B8lpcz7dX_b5n&amp;t=2012s</v>
      </c>
      <c r="AA459" s="12" t="str">
        <f t="shared" si="21"/>
        <v>シェリル・ノーム starring May'nノーザンクロス</v>
      </c>
    </row>
    <row r="460" spans="1:27" x14ac:dyDescent="0.4">
      <c r="A460" s="14">
        <f t="shared" si="23"/>
        <v>459</v>
      </c>
      <c r="B460" s="14">
        <v>64</v>
      </c>
      <c r="C460" s="18" t="s">
        <v>1121</v>
      </c>
      <c r="D460" s="14" t="s">
        <v>605</v>
      </c>
      <c r="E460" s="14" t="s">
        <v>606</v>
      </c>
      <c r="G460" s="1" t="str">
        <f>_xlfn.XLOOKUP(B460,M_YT_LIVE!A:A,M_YT_LIVE!F:F,"ERROR",0,1)</f>
        <v>音源</v>
      </c>
      <c r="W460" s="13">
        <f t="shared" si="22"/>
        <v>3153</v>
      </c>
      <c r="X460" s="12" t="str">
        <f>_xlfn.XLOOKUP($B460,M_YT_LIVE!$A:$A,M_YT_LIVE!$D:$D)</f>
        <v>https://www.youtube.com/live/JAK2m4FWxF0?si=Xy-B8lpcz7dX_b5n</v>
      </c>
      <c r="Z460" s="16" t="str">
        <f>HYPERLINK($X460&amp;SUBSTITUTE(マスタ!$C$3,"XXXXX",$W460))</f>
        <v>https://www.youtube.com/live/JAK2m4FWxF0?si=Xy-B8lpcz7dX_b5n&amp;t=3153s</v>
      </c>
      <c r="AA460" s="12" t="str">
        <f t="shared" si="21"/>
        <v>中川翔子空色デイズ</v>
      </c>
    </row>
    <row r="461" spans="1:27" x14ac:dyDescent="0.4">
      <c r="A461" s="14">
        <f t="shared" si="23"/>
        <v>460</v>
      </c>
      <c r="B461" s="14">
        <v>64</v>
      </c>
      <c r="C461" s="18" t="s">
        <v>752</v>
      </c>
      <c r="D461" s="14" t="s">
        <v>1122</v>
      </c>
      <c r="E461" s="14" t="s">
        <v>790</v>
      </c>
      <c r="G461" s="1" t="str">
        <f>_xlfn.XLOOKUP(B461,M_YT_LIVE!A:A,M_YT_LIVE!F:F,"ERROR",0,1)</f>
        <v>音源</v>
      </c>
      <c r="W461" s="13">
        <f t="shared" si="22"/>
        <v>3507.0000000000005</v>
      </c>
      <c r="X461" s="12" t="str">
        <f>_xlfn.XLOOKUP($B461,M_YT_LIVE!$A:$A,M_YT_LIVE!$D:$D)</f>
        <v>https://www.youtube.com/live/JAK2m4FWxF0?si=Xy-B8lpcz7dX_b5n</v>
      </c>
      <c r="Z461" s="16" t="str">
        <f>HYPERLINK($X461&amp;SUBSTITUTE(マスタ!$C$3,"XXXXX",$W461))</f>
        <v>https://www.youtube.com/live/JAK2m4FWxF0?si=Xy-B8lpcz7dX_b5n&amp;t=3507s</v>
      </c>
      <c r="AA461" s="12" t="str">
        <f t="shared" si="21"/>
        <v>CHiCO with HoneyWorksプライド革命</v>
      </c>
    </row>
    <row r="462" spans="1:27" x14ac:dyDescent="0.4">
      <c r="A462" s="14">
        <f t="shared" si="23"/>
        <v>461</v>
      </c>
      <c r="B462" s="14">
        <v>64</v>
      </c>
      <c r="C462" s="18" t="s">
        <v>1123</v>
      </c>
      <c r="D462" s="14" t="s">
        <v>332</v>
      </c>
      <c r="E462" s="14" t="s">
        <v>1124</v>
      </c>
      <c r="G462" s="1" t="str">
        <f>_xlfn.XLOOKUP(B462,M_YT_LIVE!A:A,M_YT_LIVE!F:F,"ERROR",0,1)</f>
        <v>音源</v>
      </c>
      <c r="W462" s="13">
        <f t="shared" si="22"/>
        <v>3916</v>
      </c>
      <c r="X462" s="12" t="str">
        <f>_xlfn.XLOOKUP($B462,M_YT_LIVE!$A:$A,M_YT_LIVE!$D:$D)</f>
        <v>https://www.youtube.com/live/JAK2m4FWxF0?si=Xy-B8lpcz7dX_b5n</v>
      </c>
      <c r="Z462" s="16" t="str">
        <f>HYPERLINK($X462&amp;SUBSTITUTE(マスタ!$C$3,"XXXXX",$W462))</f>
        <v>https://www.youtube.com/live/JAK2m4FWxF0?si=Xy-B8lpcz7dX_b5n&amp;t=3916s</v>
      </c>
      <c r="AA462" s="12" t="str">
        <f t="shared" si="21"/>
        <v>涼宮ハルヒ(CV.平野綾)God knows…</v>
      </c>
    </row>
    <row r="463" spans="1:27" x14ac:dyDescent="0.4">
      <c r="A463" s="14">
        <f t="shared" si="23"/>
        <v>462</v>
      </c>
      <c r="B463" s="14">
        <v>64</v>
      </c>
      <c r="C463" s="18" t="s">
        <v>1125</v>
      </c>
      <c r="D463" s="14" t="s">
        <v>1126</v>
      </c>
      <c r="E463" s="14" t="s">
        <v>1127</v>
      </c>
      <c r="G463" s="1" t="str">
        <f>_xlfn.XLOOKUP(B463,M_YT_LIVE!A:A,M_YT_LIVE!F:F,"ERROR",0,1)</f>
        <v>音源</v>
      </c>
      <c r="W463" s="13">
        <f t="shared" si="22"/>
        <v>4238</v>
      </c>
      <c r="X463" s="12" t="str">
        <f>_xlfn.XLOOKUP($B463,M_YT_LIVE!$A:$A,M_YT_LIVE!$D:$D)</f>
        <v>https://www.youtube.com/live/JAK2m4FWxF0?si=Xy-B8lpcz7dX_b5n</v>
      </c>
      <c r="Z463" s="16" t="str">
        <f>HYPERLINK($X463&amp;SUBSTITUTE(マスタ!$C$3,"XXXXX",$W463))</f>
        <v>https://www.youtube.com/live/JAK2m4FWxF0?si=Xy-B8lpcz7dX_b5n&amp;t=4238s</v>
      </c>
      <c r="AA463" s="12" t="str">
        <f t="shared" si="21"/>
        <v>ChouCho優しさの理由</v>
      </c>
    </row>
    <row r="464" spans="1:27" x14ac:dyDescent="0.4">
      <c r="A464" s="14">
        <f t="shared" si="23"/>
        <v>463</v>
      </c>
      <c r="B464" s="14">
        <v>64</v>
      </c>
      <c r="C464" s="18" t="s">
        <v>1128</v>
      </c>
      <c r="D464" s="14" t="s">
        <v>1129</v>
      </c>
      <c r="E464" s="14" t="s">
        <v>1127</v>
      </c>
      <c r="G464" s="1" t="str">
        <f>_xlfn.XLOOKUP(B464,M_YT_LIVE!A:A,M_YT_LIVE!F:F,"ERROR",0,1)</f>
        <v>音源</v>
      </c>
      <c r="W464" s="13">
        <f t="shared" si="22"/>
        <v>4556</v>
      </c>
      <c r="X464" s="12" t="str">
        <f>_xlfn.XLOOKUP($B464,M_YT_LIVE!$A:$A,M_YT_LIVE!$D:$D)</f>
        <v>https://www.youtube.com/live/JAK2m4FWxF0?si=Xy-B8lpcz7dX_b5n</v>
      </c>
      <c r="Z464" s="16" t="str">
        <f>HYPERLINK($X464&amp;SUBSTITUTE(マスタ!$C$3,"XXXXX",$W464))</f>
        <v>https://www.youtube.com/live/JAK2m4FWxF0?si=Xy-B8lpcz7dX_b5n&amp;t=4556s</v>
      </c>
      <c r="AA464" s="12" t="str">
        <f t="shared" si="21"/>
        <v>ChouChoカワルミライ</v>
      </c>
    </row>
    <row r="465" spans="1:27" x14ac:dyDescent="0.4">
      <c r="A465" s="14">
        <f t="shared" si="23"/>
        <v>464</v>
      </c>
      <c r="B465" s="14">
        <v>64</v>
      </c>
      <c r="C465" s="18" t="s">
        <v>1130</v>
      </c>
      <c r="D465" s="14" t="s">
        <v>1131</v>
      </c>
      <c r="E465" s="14" t="s">
        <v>1132</v>
      </c>
      <c r="G465" s="1" t="str">
        <f>_xlfn.XLOOKUP(B465,M_YT_LIVE!A:A,M_YT_LIVE!F:F,"ERROR",0,1)</f>
        <v>音源</v>
      </c>
      <c r="W465" s="13">
        <f t="shared" si="22"/>
        <v>4990</v>
      </c>
      <c r="X465" s="12" t="str">
        <f>_xlfn.XLOOKUP($B465,M_YT_LIVE!$A:$A,M_YT_LIVE!$D:$D)</f>
        <v>https://www.youtube.com/live/JAK2m4FWxF0?si=Xy-B8lpcz7dX_b5n</v>
      </c>
      <c r="Z465" s="16" t="str">
        <f>HYPERLINK($X465&amp;SUBSTITUTE(マスタ!$C$3,"XXXXX",$W465))</f>
        <v>https://www.youtube.com/live/JAK2m4FWxF0?si=Xy-B8lpcz7dX_b5n&amp;t=4990s</v>
      </c>
      <c r="AA465" s="12" t="str">
        <f t="shared" si="21"/>
        <v>TRUSTRICKinnocent promise</v>
      </c>
    </row>
    <row r="466" spans="1:27" x14ac:dyDescent="0.4">
      <c r="A466" s="14">
        <f t="shared" si="23"/>
        <v>465</v>
      </c>
      <c r="B466" s="14">
        <v>64</v>
      </c>
      <c r="C466" s="18" t="s">
        <v>1133</v>
      </c>
      <c r="D466" s="14" t="s">
        <v>1134</v>
      </c>
      <c r="E466" s="14" t="s">
        <v>1135</v>
      </c>
      <c r="G466" s="1" t="str">
        <f>_xlfn.XLOOKUP(B466,M_YT_LIVE!A:A,M_YT_LIVE!F:F,"ERROR",0,1)</f>
        <v>音源</v>
      </c>
      <c r="W466" s="13">
        <f t="shared" si="22"/>
        <v>5909</v>
      </c>
      <c r="X466" s="12" t="str">
        <f>_xlfn.XLOOKUP($B466,M_YT_LIVE!$A:$A,M_YT_LIVE!$D:$D)</f>
        <v>https://www.youtube.com/live/JAK2m4FWxF0?si=Xy-B8lpcz7dX_b5n</v>
      </c>
      <c r="Z466" s="16" t="str">
        <f>HYPERLINK($X466&amp;SUBSTITUTE(マスタ!$C$3,"XXXXX",$W466))</f>
        <v>https://www.youtube.com/live/JAK2m4FWxF0?si=Xy-B8lpcz7dX_b5n&amp;t=5909s</v>
      </c>
      <c r="AA466" s="12" t="str">
        <f t="shared" si="21"/>
        <v>ZAQカーストルーム</v>
      </c>
    </row>
    <row r="467" spans="1:27" x14ac:dyDescent="0.4">
      <c r="A467" s="14">
        <f t="shared" si="23"/>
        <v>466</v>
      </c>
      <c r="B467" s="14">
        <v>64</v>
      </c>
      <c r="C467" s="18" t="s">
        <v>1136</v>
      </c>
      <c r="D467" s="14" t="s">
        <v>1137</v>
      </c>
      <c r="E467" s="14" t="s">
        <v>1138</v>
      </c>
      <c r="G467" s="1" t="str">
        <f>_xlfn.XLOOKUP(B467,M_YT_LIVE!A:A,M_YT_LIVE!F:F,"ERROR",0,1)</f>
        <v>音源</v>
      </c>
      <c r="W467" s="13">
        <f t="shared" si="22"/>
        <v>6546.0000000000009</v>
      </c>
      <c r="X467" s="12" t="str">
        <f>_xlfn.XLOOKUP($B467,M_YT_LIVE!$A:$A,M_YT_LIVE!$D:$D)</f>
        <v>https://www.youtube.com/live/JAK2m4FWxF0?si=Xy-B8lpcz7dX_b5n</v>
      </c>
      <c r="Z467" s="16" t="str">
        <f>HYPERLINK($X467&amp;SUBSTITUTE(マスタ!$C$3,"XXXXX",$W467))</f>
        <v>https://www.youtube.com/live/JAK2m4FWxF0?si=Xy-B8lpcz7dX_b5n&amp;t=6546s</v>
      </c>
      <c r="AA467" s="12" t="str">
        <f t="shared" si="21"/>
        <v>藍井エイルラピスラズリ</v>
      </c>
    </row>
    <row r="468" spans="1:27" x14ac:dyDescent="0.4">
      <c r="A468" s="14">
        <f t="shared" si="23"/>
        <v>467</v>
      </c>
      <c r="B468" s="14">
        <v>64</v>
      </c>
      <c r="C468" s="18" t="s">
        <v>1139</v>
      </c>
      <c r="D468" s="14" t="s">
        <v>1140</v>
      </c>
      <c r="E468" s="14" t="s">
        <v>1141</v>
      </c>
      <c r="G468" s="1" t="str">
        <f>_xlfn.XLOOKUP(B468,M_YT_LIVE!A:A,M_YT_LIVE!F:F,"ERROR",0,1)</f>
        <v>音源</v>
      </c>
      <c r="W468" s="13">
        <f t="shared" si="22"/>
        <v>7043</v>
      </c>
      <c r="X468" s="12" t="str">
        <f>_xlfn.XLOOKUP($B468,M_YT_LIVE!$A:$A,M_YT_LIVE!$D:$D)</f>
        <v>https://www.youtube.com/live/JAK2m4FWxF0?si=Xy-B8lpcz7dX_b5n</v>
      </c>
      <c r="Z468" s="16" t="str">
        <f>HYPERLINK($X468&amp;SUBSTITUTE(マスタ!$C$3,"XXXXX",$W468))</f>
        <v>https://www.youtube.com/live/JAK2m4FWxF0?si=Xy-B8lpcz7dX_b5n&amp;t=7043s</v>
      </c>
      <c r="AA468" s="12" t="str">
        <f t="shared" si="21"/>
        <v>ハムちゃんずハム太郎とっとこうた</v>
      </c>
    </row>
    <row r="469" spans="1:27" x14ac:dyDescent="0.4">
      <c r="A469" s="14">
        <f t="shared" si="23"/>
        <v>468</v>
      </c>
      <c r="B469" s="14">
        <v>64</v>
      </c>
      <c r="C469" s="18" t="s">
        <v>1142</v>
      </c>
      <c r="D469" s="14" t="s">
        <v>1143</v>
      </c>
      <c r="E469" s="14" t="s">
        <v>1144</v>
      </c>
      <c r="G469" s="1" t="str">
        <f>_xlfn.XLOOKUP(B469,M_YT_LIVE!A:A,M_YT_LIVE!F:F,"ERROR",0,1)</f>
        <v>音源</v>
      </c>
      <c r="W469" s="13">
        <f t="shared" si="22"/>
        <v>7464</v>
      </c>
      <c r="X469" s="12" t="str">
        <f>_xlfn.XLOOKUP($B469,M_YT_LIVE!$A:$A,M_YT_LIVE!$D:$D)</f>
        <v>https://www.youtube.com/live/JAK2m4FWxF0?si=Xy-B8lpcz7dX_b5n</v>
      </c>
      <c r="Z469" s="16" t="str">
        <f>HYPERLINK($X469&amp;SUBSTITUTE(マスタ!$C$3,"XXXXX",$W469))</f>
        <v>https://www.youtube.com/live/JAK2m4FWxF0?si=Xy-B8lpcz7dX_b5n&amp;t=7464s</v>
      </c>
      <c r="AA469" s="12" t="str">
        <f t="shared" si="21"/>
        <v>Aqu3ra feat.flowerラムネ</v>
      </c>
    </row>
    <row r="470" spans="1:27" x14ac:dyDescent="0.4">
      <c r="A470" s="14">
        <f t="shared" si="23"/>
        <v>469</v>
      </c>
      <c r="B470" s="14">
        <v>65</v>
      </c>
      <c r="C470" s="18" t="s">
        <v>1148</v>
      </c>
      <c r="D470" s="14" t="s">
        <v>218</v>
      </c>
      <c r="E470" s="14" t="s">
        <v>208</v>
      </c>
      <c r="G470" s="1" t="str">
        <f>_xlfn.XLOOKUP(B470,M_YT_LIVE!A:A,M_YT_LIVE!F:F,"ERROR",0,1)</f>
        <v>弾き語り</v>
      </c>
      <c r="W470" s="13">
        <f t="shared" si="22"/>
        <v>212</v>
      </c>
      <c r="X470" s="12" t="str">
        <f>_xlfn.XLOOKUP($B470,M_YT_LIVE!$A:$A,M_YT_LIVE!$D:$D)</f>
        <v>https://www.youtube.com/live/Et9I5uqKaRQ?si=4uq-2UkGh47LMNTa</v>
      </c>
      <c r="Z470" s="16" t="str">
        <f>HYPERLINK($X470&amp;SUBSTITUTE(マスタ!$C$3,"XXXXX",$W470))</f>
        <v>https://www.youtube.com/live/Et9I5uqKaRQ?si=4uq-2UkGh47LMNTa&amp;t=212s</v>
      </c>
      <c r="AA470" s="12" t="str">
        <f t="shared" si="21"/>
        <v>supercell君の知らない物語</v>
      </c>
    </row>
    <row r="471" spans="1:27" x14ac:dyDescent="0.4">
      <c r="A471" s="14">
        <f t="shared" si="23"/>
        <v>470</v>
      </c>
      <c r="B471" s="14">
        <v>65</v>
      </c>
      <c r="C471" s="18" t="s">
        <v>1149</v>
      </c>
      <c r="D471" s="14" t="s">
        <v>207</v>
      </c>
      <c r="E471" s="14" t="s">
        <v>208</v>
      </c>
      <c r="G471" s="1" t="str">
        <f>_xlfn.XLOOKUP(B471,M_YT_LIVE!A:A,M_YT_LIVE!F:F,"ERROR",0,1)</f>
        <v>弾き語り</v>
      </c>
      <c r="W471" s="13">
        <f t="shared" si="22"/>
        <v>793</v>
      </c>
      <c r="X471" s="12" t="str">
        <f>_xlfn.XLOOKUP($B471,M_YT_LIVE!$A:$A,M_YT_LIVE!$D:$D)</f>
        <v>https://www.youtube.com/live/Et9I5uqKaRQ?si=4uq-2UkGh47LMNTa</v>
      </c>
      <c r="Z471" s="16" t="str">
        <f>HYPERLINK($X471&amp;SUBSTITUTE(マスタ!$C$3,"XXXXX",$W471))</f>
        <v>https://www.youtube.com/live/Et9I5uqKaRQ?si=4uq-2UkGh47LMNTa&amp;t=793s</v>
      </c>
      <c r="AA471" s="12" t="str">
        <f t="shared" si="21"/>
        <v>supercellPerfect Day</v>
      </c>
    </row>
    <row r="472" spans="1:27" x14ac:dyDescent="0.4">
      <c r="A472" s="14">
        <f t="shared" si="23"/>
        <v>471</v>
      </c>
      <c r="B472" s="14">
        <v>65</v>
      </c>
      <c r="C472" s="18" t="s">
        <v>1150</v>
      </c>
      <c r="D472" s="14" t="s">
        <v>312</v>
      </c>
      <c r="E472" s="14" t="s">
        <v>208</v>
      </c>
      <c r="G472" s="1" t="str">
        <f>_xlfn.XLOOKUP(B472,M_YT_LIVE!A:A,M_YT_LIVE!F:F,"ERROR",0,1)</f>
        <v>弾き語り</v>
      </c>
      <c r="W472" s="13">
        <f t="shared" si="22"/>
        <v>1240</v>
      </c>
      <c r="X472" s="12" t="str">
        <f>_xlfn.XLOOKUP($B472,M_YT_LIVE!$A:$A,M_YT_LIVE!$D:$D)</f>
        <v>https://www.youtube.com/live/Et9I5uqKaRQ?si=4uq-2UkGh47LMNTa</v>
      </c>
      <c r="Z472" s="16" t="str">
        <f>HYPERLINK($X472&amp;SUBSTITUTE(マスタ!$C$3,"XXXXX",$W472))</f>
        <v>https://www.youtube.com/live/Et9I5uqKaRQ?si=4uq-2UkGh47LMNTa&amp;t=1240s</v>
      </c>
      <c r="AA472" s="12" t="str">
        <f t="shared" si="21"/>
        <v>supercellリルモア</v>
      </c>
    </row>
    <row r="473" spans="1:27" x14ac:dyDescent="0.4">
      <c r="A473" s="14">
        <f t="shared" si="23"/>
        <v>472</v>
      </c>
      <c r="B473" s="14">
        <v>65</v>
      </c>
      <c r="C473" s="18" t="s">
        <v>1151</v>
      </c>
      <c r="D473" s="14" t="s">
        <v>134</v>
      </c>
      <c r="E473" s="14" t="s">
        <v>135</v>
      </c>
      <c r="G473" s="1" t="str">
        <f>_xlfn.XLOOKUP(B473,M_YT_LIVE!A:A,M_YT_LIVE!F:F,"ERROR",0,1)</f>
        <v>弾き語り</v>
      </c>
      <c r="W473" s="13">
        <f t="shared" si="22"/>
        <v>1702</v>
      </c>
      <c r="X473" s="12" t="str">
        <f>_xlfn.XLOOKUP($B473,M_YT_LIVE!$A:$A,M_YT_LIVE!$D:$D)</f>
        <v>https://www.youtube.com/live/Et9I5uqKaRQ?si=4uq-2UkGh47LMNTa</v>
      </c>
      <c r="Z473" s="16" t="str">
        <f>HYPERLINK($X473&amp;SUBSTITUTE(マスタ!$C$3,"XXXXX",$W473))</f>
        <v>https://www.youtube.com/live/Et9I5uqKaRQ?si=4uq-2UkGh47LMNTa&amp;t=1702s</v>
      </c>
      <c r="AA473" s="12" t="str">
        <f t="shared" si="21"/>
        <v>EGOISTGhost of a smile</v>
      </c>
    </row>
    <row r="474" spans="1:27" x14ac:dyDescent="0.4">
      <c r="A474" s="14">
        <f t="shared" si="23"/>
        <v>473</v>
      </c>
      <c r="B474" s="14">
        <v>65</v>
      </c>
      <c r="C474" s="18" t="s">
        <v>1152</v>
      </c>
      <c r="D474" s="14" t="s">
        <v>289</v>
      </c>
      <c r="E474" s="14" t="s">
        <v>135</v>
      </c>
      <c r="G474" s="1" t="str">
        <f>_xlfn.XLOOKUP(B474,M_YT_LIVE!A:A,M_YT_LIVE!F:F,"ERROR",0,1)</f>
        <v>弾き語り</v>
      </c>
      <c r="W474" s="13">
        <f t="shared" si="22"/>
        <v>2170</v>
      </c>
      <c r="X474" s="12" t="str">
        <f>_xlfn.XLOOKUP($B474,M_YT_LIVE!$A:$A,M_YT_LIVE!$D:$D)</f>
        <v>https://www.youtube.com/live/Et9I5uqKaRQ?si=4uq-2UkGh47LMNTa</v>
      </c>
      <c r="Z474" s="16" t="str">
        <f>HYPERLINK($X474&amp;SUBSTITUTE(マスタ!$C$3,"XXXXX",$W474))</f>
        <v>https://www.youtube.com/live/Et9I5uqKaRQ?si=4uq-2UkGh47LMNTa&amp;t=2170s</v>
      </c>
      <c r="AA474" s="12" t="str">
        <f t="shared" si="21"/>
        <v>EGOIST雨、キミを連れて</v>
      </c>
    </row>
    <row r="475" spans="1:27" x14ac:dyDescent="0.4">
      <c r="A475" s="14">
        <f t="shared" si="23"/>
        <v>474</v>
      </c>
      <c r="B475" s="14">
        <v>65</v>
      </c>
      <c r="C475" s="18" t="s">
        <v>1153</v>
      </c>
      <c r="D475" s="14" t="s">
        <v>1154</v>
      </c>
      <c r="E475" s="14" t="s">
        <v>57</v>
      </c>
      <c r="G475" s="1" t="str">
        <f>_xlfn.XLOOKUP(B475,M_YT_LIVE!A:A,M_YT_LIVE!F:F,"ERROR",0,1)</f>
        <v>弾き語り</v>
      </c>
      <c r="W475" s="13">
        <f t="shared" si="22"/>
        <v>2578</v>
      </c>
      <c r="X475" s="12" t="str">
        <f>_xlfn.XLOOKUP($B475,M_YT_LIVE!$A:$A,M_YT_LIVE!$D:$D)</f>
        <v>https://www.youtube.com/live/Et9I5uqKaRQ?si=4uq-2UkGh47LMNTa</v>
      </c>
      <c r="Z475" s="16" t="str">
        <f>HYPERLINK($X475&amp;SUBSTITUTE(マスタ!$C$3,"XXXXX",$W475))</f>
        <v>https://www.youtube.com/live/Et9I5uqKaRQ?si=4uq-2UkGh47LMNTa&amp;t=2578s</v>
      </c>
      <c r="AA475" s="12" t="str">
        <f t="shared" si="21"/>
        <v>羊文学恋なんて</v>
      </c>
    </row>
    <row r="476" spans="1:27" x14ac:dyDescent="0.4">
      <c r="A476" s="14">
        <f t="shared" si="23"/>
        <v>475</v>
      </c>
      <c r="B476" s="14">
        <v>65</v>
      </c>
      <c r="C476" s="18" t="s">
        <v>1155</v>
      </c>
      <c r="D476" s="14" t="s">
        <v>1156</v>
      </c>
      <c r="E476" s="14" t="s">
        <v>57</v>
      </c>
      <c r="G476" s="1" t="str">
        <f>_xlfn.XLOOKUP(B476,M_YT_LIVE!A:A,M_YT_LIVE!F:F,"ERROR",0,1)</f>
        <v>弾き語り</v>
      </c>
      <c r="W476" s="13">
        <f t="shared" si="22"/>
        <v>2951</v>
      </c>
      <c r="X476" s="12" t="str">
        <f>_xlfn.XLOOKUP($B476,M_YT_LIVE!$A:$A,M_YT_LIVE!$D:$D)</f>
        <v>https://www.youtube.com/live/Et9I5uqKaRQ?si=4uq-2UkGh47LMNTa</v>
      </c>
      <c r="Z476" s="16" t="str">
        <f>HYPERLINK($X476&amp;SUBSTITUTE(マスタ!$C$3,"XXXXX",$W476))</f>
        <v>https://www.youtube.com/live/Et9I5uqKaRQ?si=4uq-2UkGh47LMNTa&amp;t=2951s</v>
      </c>
      <c r="AA476" s="12" t="str">
        <f t="shared" si="21"/>
        <v>羊文学あいまいでいいよ</v>
      </c>
    </row>
    <row r="477" spans="1:27" x14ac:dyDescent="0.4">
      <c r="A477" s="14">
        <f t="shared" si="23"/>
        <v>476</v>
      </c>
      <c r="B477" s="14">
        <v>65</v>
      </c>
      <c r="C477" s="18" t="s">
        <v>1157</v>
      </c>
      <c r="D477" s="14" t="s">
        <v>1227</v>
      </c>
      <c r="E477" s="14" t="s">
        <v>57</v>
      </c>
      <c r="G477" s="1" t="str">
        <f>_xlfn.XLOOKUP(B477,M_YT_LIVE!A:A,M_YT_LIVE!F:F,"ERROR",0,1)</f>
        <v>弾き語り</v>
      </c>
      <c r="W477" s="13">
        <f t="shared" si="22"/>
        <v>3420</v>
      </c>
      <c r="X477" s="12" t="str">
        <f>_xlfn.XLOOKUP($B477,M_YT_LIVE!$A:$A,M_YT_LIVE!$D:$D)</f>
        <v>https://www.youtube.com/live/Et9I5uqKaRQ?si=4uq-2UkGh47LMNTa</v>
      </c>
      <c r="Z477" s="16" t="str">
        <f>HYPERLINK($X477&amp;SUBSTITUTE(マスタ!$C$3,"XXXXX",$W477))</f>
        <v>https://www.youtube.com/live/Et9I5uqKaRQ?si=4uq-2UkGh47LMNTa&amp;t=3420s</v>
      </c>
      <c r="AA477" s="12" t="str">
        <f t="shared" si="21"/>
        <v>羊文学more than words</v>
      </c>
    </row>
    <row r="478" spans="1:27" x14ac:dyDescent="0.4">
      <c r="A478" s="14">
        <f t="shared" si="23"/>
        <v>477</v>
      </c>
      <c r="B478" s="14">
        <v>65</v>
      </c>
      <c r="C478" s="18" t="s">
        <v>1158</v>
      </c>
      <c r="D478" s="14" t="s">
        <v>222</v>
      </c>
      <c r="E478" s="14" t="s">
        <v>57</v>
      </c>
      <c r="G478" s="1" t="str">
        <f>_xlfn.XLOOKUP(B478,M_YT_LIVE!A:A,M_YT_LIVE!F:F,"ERROR",0,1)</f>
        <v>弾き語り</v>
      </c>
      <c r="W478" s="13">
        <f t="shared" si="22"/>
        <v>3930</v>
      </c>
      <c r="X478" s="12" t="str">
        <f>_xlfn.XLOOKUP($B478,M_YT_LIVE!$A:$A,M_YT_LIVE!$D:$D)</f>
        <v>https://www.youtube.com/live/Et9I5uqKaRQ?si=4uq-2UkGh47LMNTa</v>
      </c>
      <c r="Z478" s="16" t="str">
        <f>HYPERLINK($X478&amp;SUBSTITUTE(マスタ!$C$3,"XXXXX",$W478))</f>
        <v>https://www.youtube.com/live/Et9I5uqKaRQ?si=4uq-2UkGh47LMNTa&amp;t=3930s</v>
      </c>
      <c r="AA478" s="12" t="str">
        <f t="shared" si="21"/>
        <v>羊文学光るとき</v>
      </c>
    </row>
    <row r="479" spans="1:27" x14ac:dyDescent="0.4">
      <c r="A479" s="14">
        <f t="shared" si="23"/>
        <v>478</v>
      </c>
      <c r="B479" s="14">
        <v>65</v>
      </c>
      <c r="C479" s="18" t="s">
        <v>1159</v>
      </c>
      <c r="D479" s="14" t="s">
        <v>1160</v>
      </c>
      <c r="E479" s="14" t="s">
        <v>1161</v>
      </c>
      <c r="G479" s="1" t="str">
        <f>_xlfn.XLOOKUP(B479,M_YT_LIVE!A:A,M_YT_LIVE!F:F,"ERROR",0,1)</f>
        <v>弾き語り</v>
      </c>
      <c r="W479" s="13">
        <f t="shared" si="22"/>
        <v>4467</v>
      </c>
      <c r="X479" s="12" t="str">
        <f>_xlfn.XLOOKUP($B479,M_YT_LIVE!$A:$A,M_YT_LIVE!$D:$D)</f>
        <v>https://www.youtube.com/live/Et9I5uqKaRQ?si=4uq-2UkGh47LMNTa</v>
      </c>
      <c r="Z479" s="16" t="str">
        <f>HYPERLINK($X479&amp;SUBSTITUTE(マスタ!$C$3,"XXXXX",$W479))</f>
        <v>https://www.youtube.com/live/Et9I5uqKaRQ?si=4uq-2UkGh47LMNTa&amp;t=4467s</v>
      </c>
      <c r="AA479" s="12" t="str">
        <f t="shared" si="21"/>
        <v>R Sound Design feat.可不レトロポリス</v>
      </c>
    </row>
    <row r="480" spans="1:27" x14ac:dyDescent="0.4">
      <c r="A480" s="14">
        <f t="shared" si="23"/>
        <v>479</v>
      </c>
      <c r="B480" s="14">
        <v>67</v>
      </c>
      <c r="C480" s="18" t="s">
        <v>1166</v>
      </c>
      <c r="D480" s="14" t="s">
        <v>1167</v>
      </c>
      <c r="E480" s="14" t="s">
        <v>141</v>
      </c>
      <c r="G480" s="1" t="str">
        <f>_xlfn.XLOOKUP(B480,M_YT_LIVE!A:A,M_YT_LIVE!F:F,"ERROR",0,1)</f>
        <v>弾き語り</v>
      </c>
      <c r="W480" s="13">
        <f t="shared" si="22"/>
        <v>174</v>
      </c>
      <c r="X480" s="12" t="str">
        <f>_xlfn.XLOOKUP($B480,M_YT_LIVE!$A:$A,M_YT_LIVE!$D:$D)</f>
        <v>https://www.youtube.com/live/yHiPuPE1ZpI?si=2EeKQkMqvxvThhyp</v>
      </c>
      <c r="Z480" s="16" t="str">
        <f>HYPERLINK($X480&amp;SUBSTITUTE(マスタ!$C$3,"XXXXX",$W480))</f>
        <v>https://www.youtube.com/live/yHiPuPE1ZpI?si=2EeKQkMqvxvThhyp&amp;t=174s</v>
      </c>
      <c r="AA480" s="12" t="str">
        <f t="shared" si="21"/>
        <v>ヨルシカ心に穴が空いた</v>
      </c>
    </row>
    <row r="481" spans="1:27" x14ac:dyDescent="0.4">
      <c r="A481" s="14">
        <f t="shared" si="23"/>
        <v>480</v>
      </c>
      <c r="B481" s="14">
        <v>67</v>
      </c>
      <c r="C481" s="18" t="s">
        <v>1214</v>
      </c>
      <c r="D481" s="14" t="s">
        <v>558</v>
      </c>
      <c r="E481" s="14" t="s">
        <v>141</v>
      </c>
      <c r="G481" s="1" t="str">
        <f>_xlfn.XLOOKUP(B481,M_YT_LIVE!A:A,M_YT_LIVE!F:F,"ERROR",0,1)</f>
        <v>弾き語り</v>
      </c>
      <c r="W481" s="13">
        <f t="shared" si="22"/>
        <v>654</v>
      </c>
      <c r="X481" s="12" t="str">
        <f>_xlfn.XLOOKUP($B481,M_YT_LIVE!$A:$A,M_YT_LIVE!$D:$D)</f>
        <v>https://www.youtube.com/live/yHiPuPE1ZpI?si=2EeKQkMqvxvThhyp</v>
      </c>
      <c r="Z481" s="16" t="str">
        <f>HYPERLINK($X481&amp;SUBSTITUTE(マスタ!$C$3,"XXXXX",$W481))</f>
        <v>https://www.youtube.com/live/yHiPuPE1ZpI?si=2EeKQkMqvxvThhyp&amp;t=654s</v>
      </c>
      <c r="AA481" s="12" t="str">
        <f t="shared" si="21"/>
        <v>ヨルシカだから僕は音楽を辞めた</v>
      </c>
    </row>
    <row r="482" spans="1:27" x14ac:dyDescent="0.4">
      <c r="A482" s="14">
        <f t="shared" si="23"/>
        <v>481</v>
      </c>
      <c r="B482" s="14">
        <v>67</v>
      </c>
      <c r="C482" s="18" t="s">
        <v>1168</v>
      </c>
      <c r="D482" s="14" t="s">
        <v>353</v>
      </c>
      <c r="E482" s="14" t="s">
        <v>141</v>
      </c>
      <c r="G482" s="1" t="str">
        <f>_xlfn.XLOOKUP(B482,M_YT_LIVE!A:A,M_YT_LIVE!F:F,"ERROR",0,1)</f>
        <v>弾き語り</v>
      </c>
      <c r="W482" s="13">
        <f t="shared" si="22"/>
        <v>1080</v>
      </c>
      <c r="X482" s="12" t="str">
        <f>_xlfn.XLOOKUP($B482,M_YT_LIVE!$A:$A,M_YT_LIVE!$D:$D)</f>
        <v>https://www.youtube.com/live/yHiPuPE1ZpI?si=2EeKQkMqvxvThhyp</v>
      </c>
      <c r="Z482" s="16" t="str">
        <f>HYPERLINK($X482&amp;SUBSTITUTE(マスタ!$C$3,"XXXXX",$W482))</f>
        <v>https://www.youtube.com/live/yHiPuPE1ZpI?si=2EeKQkMqvxvThhyp&amp;t=1080s</v>
      </c>
      <c r="AA482" s="12" t="str">
        <f t="shared" si="21"/>
        <v>ヨルシカヒッチコック</v>
      </c>
    </row>
    <row r="483" spans="1:27" x14ac:dyDescent="0.4">
      <c r="A483" s="14">
        <f t="shared" si="23"/>
        <v>482</v>
      </c>
      <c r="B483" s="14">
        <v>67</v>
      </c>
      <c r="C483" s="18" t="s">
        <v>1169</v>
      </c>
      <c r="D483" s="14" t="s">
        <v>210</v>
      </c>
      <c r="E483" s="14" t="s">
        <v>141</v>
      </c>
      <c r="G483" s="1" t="str">
        <f>_xlfn.XLOOKUP(B483,M_YT_LIVE!A:A,M_YT_LIVE!F:F,"ERROR",0,1)</f>
        <v>弾き語り</v>
      </c>
      <c r="W483" s="13">
        <f t="shared" si="22"/>
        <v>1548</v>
      </c>
      <c r="X483" s="12" t="str">
        <f>_xlfn.XLOOKUP($B483,M_YT_LIVE!$A:$A,M_YT_LIVE!$D:$D)</f>
        <v>https://www.youtube.com/live/yHiPuPE1ZpI?si=2EeKQkMqvxvThhyp</v>
      </c>
      <c r="Z483" s="16" t="str">
        <f>HYPERLINK($X483&amp;SUBSTITUTE(マスタ!$C$3,"XXXXX",$W483))</f>
        <v>https://www.youtube.com/live/yHiPuPE1ZpI?si=2EeKQkMqvxvThhyp&amp;t=1548s</v>
      </c>
      <c r="AA483" s="12" t="str">
        <f t="shared" si="21"/>
        <v>ヨルシカ藍二乗</v>
      </c>
    </row>
    <row r="484" spans="1:27" x14ac:dyDescent="0.4">
      <c r="A484" s="14">
        <f t="shared" si="23"/>
        <v>483</v>
      </c>
      <c r="B484" s="14">
        <v>67</v>
      </c>
      <c r="C484" s="18" t="s">
        <v>293</v>
      </c>
      <c r="D484" s="14" t="s">
        <v>1045</v>
      </c>
      <c r="E484" s="14" t="s">
        <v>141</v>
      </c>
      <c r="G484" s="1" t="str">
        <f>_xlfn.XLOOKUP(B484,M_YT_LIVE!A:A,M_YT_LIVE!F:F,"ERROR",0,1)</f>
        <v>弾き語り</v>
      </c>
      <c r="W484" s="13">
        <f t="shared" si="22"/>
        <v>1995</v>
      </c>
      <c r="X484" s="12" t="str">
        <f>_xlfn.XLOOKUP($B484,M_YT_LIVE!$A:$A,M_YT_LIVE!$D:$D)</f>
        <v>https://www.youtube.com/live/yHiPuPE1ZpI?si=2EeKQkMqvxvThhyp</v>
      </c>
      <c r="Z484" s="16" t="str">
        <f>HYPERLINK($X484&amp;SUBSTITUTE(マスタ!$C$3,"XXXXX",$W484))</f>
        <v>https://www.youtube.com/live/yHiPuPE1ZpI?si=2EeKQkMqvxvThhyp&amp;t=1995s</v>
      </c>
      <c r="AA484" s="12" t="str">
        <f t="shared" si="21"/>
        <v>ヨルシカ雨とカプチーノ</v>
      </c>
    </row>
    <row r="485" spans="1:27" x14ac:dyDescent="0.4">
      <c r="A485" s="14">
        <f t="shared" si="23"/>
        <v>484</v>
      </c>
      <c r="B485" s="14">
        <v>69</v>
      </c>
      <c r="C485" s="18" t="s">
        <v>928</v>
      </c>
      <c r="D485" s="14" t="s">
        <v>1174</v>
      </c>
      <c r="E485" s="14" t="s">
        <v>138</v>
      </c>
      <c r="G485" s="1" t="str">
        <f>_xlfn.XLOOKUP(B485,M_YT_LIVE!A:A,M_YT_LIVE!F:F,"ERROR",0,1)</f>
        <v>音源</v>
      </c>
      <c r="W485" s="13">
        <f t="shared" si="22"/>
        <v>609</v>
      </c>
      <c r="X485" s="12" t="str">
        <f>_xlfn.XLOOKUP($B485,M_YT_LIVE!$A:$A,M_YT_LIVE!$D:$D)</f>
        <v>https://www.youtube.com/live/rowkHJneOgY?si=dzvDO_qNHD4fLHMQ</v>
      </c>
      <c r="Z485" s="16" t="str">
        <f>HYPERLINK($X485&amp;SUBSTITUTE(マスタ!$C$3,"XXXXX",$W485))</f>
        <v>https://www.youtube.com/live/rowkHJneOgY?si=dzvDO_qNHD4fLHMQ&amp;t=609s</v>
      </c>
      <c r="AA485" s="12" t="str">
        <f t="shared" si="21"/>
        <v>ポルカドットスティングレイICHIDAIJI</v>
      </c>
    </row>
    <row r="486" spans="1:27" x14ac:dyDescent="0.4">
      <c r="A486" s="14">
        <f t="shared" si="23"/>
        <v>485</v>
      </c>
      <c r="B486" s="14">
        <v>69</v>
      </c>
      <c r="C486" s="18" t="s">
        <v>1196</v>
      </c>
      <c r="D486" s="14" t="s">
        <v>749</v>
      </c>
      <c r="E486" s="14" t="s">
        <v>138</v>
      </c>
      <c r="G486" s="1" t="str">
        <f>_xlfn.XLOOKUP(B486,M_YT_LIVE!A:A,M_YT_LIVE!F:F,"ERROR",0,1)</f>
        <v>音源</v>
      </c>
      <c r="W486" s="13">
        <f t="shared" si="22"/>
        <v>1015</v>
      </c>
      <c r="X486" s="12" t="str">
        <f>_xlfn.XLOOKUP($B486,M_YT_LIVE!$A:$A,M_YT_LIVE!$D:$D)</f>
        <v>https://www.youtube.com/live/rowkHJneOgY?si=dzvDO_qNHD4fLHMQ</v>
      </c>
      <c r="Z486" s="16" t="str">
        <f>HYPERLINK($X486&amp;SUBSTITUTE(マスタ!$C$3,"XXXXX",$W486))</f>
        <v>https://www.youtube.com/live/rowkHJneOgY?si=dzvDO_qNHD4fLHMQ&amp;t=1015s</v>
      </c>
      <c r="AA486" s="12" t="str">
        <f t="shared" si="21"/>
        <v>ポルカドットスティングレイテレキャスター・ストライプ</v>
      </c>
    </row>
    <row r="487" spans="1:27" x14ac:dyDescent="0.4">
      <c r="A487" s="14">
        <f t="shared" si="23"/>
        <v>486</v>
      </c>
      <c r="B487" s="14">
        <v>69</v>
      </c>
      <c r="C487" s="18" t="s">
        <v>1197</v>
      </c>
      <c r="D487" s="14" t="s">
        <v>1175</v>
      </c>
      <c r="E487" s="14" t="s">
        <v>1176</v>
      </c>
      <c r="G487" s="1" t="str">
        <f>_xlfn.XLOOKUP(B487,M_YT_LIVE!A:A,M_YT_LIVE!F:F,"ERROR",0,1)</f>
        <v>音源</v>
      </c>
      <c r="W487" s="13">
        <f t="shared" si="22"/>
        <v>1325</v>
      </c>
      <c r="X487" s="12" t="str">
        <f>_xlfn.XLOOKUP($B487,M_YT_LIVE!$A:$A,M_YT_LIVE!$D:$D)</f>
        <v>https://www.youtube.com/live/rowkHJneOgY?si=dzvDO_qNHD4fLHMQ</v>
      </c>
      <c r="Z487" s="16" t="str">
        <f>HYPERLINK($X487&amp;SUBSTITUTE(マスタ!$C$3,"XXXXX",$W487))</f>
        <v>https://www.youtube.com/live/rowkHJneOgY?si=dzvDO_qNHD4fLHMQ&amp;t=1325s</v>
      </c>
      <c r="AA487" s="12" t="str">
        <f t="shared" si="21"/>
        <v>ネクライトーキーオシャレ大作戦</v>
      </c>
    </row>
    <row r="488" spans="1:27" x14ac:dyDescent="0.4">
      <c r="A488" s="14">
        <f t="shared" si="23"/>
        <v>487</v>
      </c>
      <c r="B488" s="14">
        <v>69</v>
      </c>
      <c r="C488" s="18" t="s">
        <v>1198</v>
      </c>
      <c r="D488" s="14" t="s">
        <v>1177</v>
      </c>
      <c r="E488" s="14" t="s">
        <v>1178</v>
      </c>
      <c r="G488" s="1" t="str">
        <f>_xlfn.XLOOKUP(B488,M_YT_LIVE!A:A,M_YT_LIVE!F:F,"ERROR",0,1)</f>
        <v>音源</v>
      </c>
      <c r="W488" s="13">
        <f t="shared" si="22"/>
        <v>1931</v>
      </c>
      <c r="X488" s="12" t="str">
        <f>_xlfn.XLOOKUP($B488,M_YT_LIVE!$A:$A,M_YT_LIVE!$D:$D)</f>
        <v>https://www.youtube.com/live/rowkHJneOgY?si=dzvDO_qNHD4fLHMQ</v>
      </c>
      <c r="Z488" s="16" t="str">
        <f>HYPERLINK($X488&amp;SUBSTITUTE(マスタ!$C$3,"XXXXX",$W488))</f>
        <v>https://www.youtube.com/live/rowkHJneOgY?si=dzvDO_qNHD4fLHMQ&amp;t=1931s</v>
      </c>
      <c r="AA488" s="12" t="str">
        <f t="shared" si="21"/>
        <v>フレデリックオドループ</v>
      </c>
    </row>
    <row r="489" spans="1:27" x14ac:dyDescent="0.4">
      <c r="A489" s="14">
        <f t="shared" si="23"/>
        <v>488</v>
      </c>
      <c r="B489" s="14">
        <v>69</v>
      </c>
      <c r="C489" s="18" t="s">
        <v>1199</v>
      </c>
      <c r="D489" s="14" t="s">
        <v>1179</v>
      </c>
      <c r="E489" s="14" t="s">
        <v>1180</v>
      </c>
      <c r="G489" s="1" t="str">
        <f>_xlfn.XLOOKUP(B489,M_YT_LIVE!A:A,M_YT_LIVE!F:F,"ERROR",0,1)</f>
        <v>音源</v>
      </c>
      <c r="W489" s="13">
        <f t="shared" si="22"/>
        <v>2240</v>
      </c>
      <c r="X489" s="12" t="str">
        <f>_xlfn.XLOOKUP($B489,M_YT_LIVE!$A:$A,M_YT_LIVE!$D:$D)</f>
        <v>https://www.youtube.com/live/rowkHJneOgY?si=dzvDO_qNHD4fLHMQ</v>
      </c>
      <c r="Z489" s="16" t="str">
        <f>HYPERLINK($X489&amp;SUBSTITUTE(マスタ!$C$3,"XXXXX",$W489))</f>
        <v>https://www.youtube.com/live/rowkHJneOgY?si=dzvDO_qNHD4fLHMQ&amp;t=2240s</v>
      </c>
      <c r="AA489" s="12" t="str">
        <f t="shared" si="21"/>
        <v>チャットモンチー(レキシ)SHIKIBU feat. 阿波の踊り子</v>
      </c>
    </row>
    <row r="490" spans="1:27" x14ac:dyDescent="0.4">
      <c r="A490" s="14">
        <f t="shared" si="23"/>
        <v>489</v>
      </c>
      <c r="B490" s="14">
        <v>69</v>
      </c>
      <c r="C490" s="18" t="s">
        <v>1200</v>
      </c>
      <c r="D490" s="14" t="s">
        <v>1181</v>
      </c>
      <c r="E490" s="14" t="s">
        <v>1182</v>
      </c>
      <c r="G490" s="1" t="str">
        <f>_xlfn.XLOOKUP(B490,M_YT_LIVE!A:A,M_YT_LIVE!F:F,"ERROR",0,1)</f>
        <v>音源</v>
      </c>
      <c r="W490" s="13">
        <f t="shared" si="22"/>
        <v>2590</v>
      </c>
      <c r="X490" s="12" t="str">
        <f>_xlfn.XLOOKUP($B490,M_YT_LIVE!$A:$A,M_YT_LIVE!$D:$D)</f>
        <v>https://www.youtube.com/live/rowkHJneOgY?si=dzvDO_qNHD4fLHMQ</v>
      </c>
      <c r="Z490" s="16" t="str">
        <f>HYPERLINK($X490&amp;SUBSTITUTE(マスタ!$C$3,"XXXXX",$W490))</f>
        <v>https://www.youtube.com/live/rowkHJneOgY?si=dzvDO_qNHD4fLHMQ&amp;t=2590s</v>
      </c>
      <c r="AA490" s="12" t="str">
        <f t="shared" si="21"/>
        <v>フジファブリック若者のすべて</v>
      </c>
    </row>
    <row r="491" spans="1:27" x14ac:dyDescent="0.4">
      <c r="A491" s="14">
        <f t="shared" si="23"/>
        <v>490</v>
      </c>
      <c r="B491" s="14">
        <v>69</v>
      </c>
      <c r="C491" s="18" t="s">
        <v>1201</v>
      </c>
      <c r="D491" s="14" t="s">
        <v>1183</v>
      </c>
      <c r="E491" s="14" t="s">
        <v>298</v>
      </c>
      <c r="G491" s="1" t="str">
        <f>_xlfn.XLOOKUP(B491,M_YT_LIVE!A:A,M_YT_LIVE!F:F,"ERROR",0,1)</f>
        <v>音源</v>
      </c>
      <c r="W491" s="13">
        <f t="shared" si="22"/>
        <v>3087</v>
      </c>
      <c r="X491" s="12" t="str">
        <f>_xlfn.XLOOKUP($B491,M_YT_LIVE!$A:$A,M_YT_LIVE!$D:$D)</f>
        <v>https://www.youtube.com/live/rowkHJneOgY?si=dzvDO_qNHD4fLHMQ</v>
      </c>
      <c r="Z491" s="16" t="str">
        <f>HYPERLINK($X491&amp;SUBSTITUTE(マスタ!$C$3,"XXXXX",$W491))</f>
        <v>https://www.youtube.com/live/rowkHJneOgY?si=dzvDO_qNHD4fLHMQ&amp;t=3087s</v>
      </c>
      <c r="AA491" s="12" t="str">
        <f t="shared" si="21"/>
        <v>あいみょん今夜このまま</v>
      </c>
    </row>
    <row r="492" spans="1:27" x14ac:dyDescent="0.4">
      <c r="A492" s="14">
        <f t="shared" si="23"/>
        <v>491</v>
      </c>
      <c r="B492" s="14">
        <v>69</v>
      </c>
      <c r="C492" s="18" t="s">
        <v>1202</v>
      </c>
      <c r="D492" s="14" t="s">
        <v>1184</v>
      </c>
      <c r="E492" s="14" t="s">
        <v>1185</v>
      </c>
      <c r="G492" s="1" t="str">
        <f>_xlfn.XLOOKUP(B492,M_YT_LIVE!A:A,M_YT_LIVE!F:F,"ERROR",0,1)</f>
        <v>音源</v>
      </c>
      <c r="W492" s="13">
        <f t="shared" si="22"/>
        <v>3394.9999999999995</v>
      </c>
      <c r="X492" s="12" t="str">
        <f>_xlfn.XLOOKUP($B492,M_YT_LIVE!$A:$A,M_YT_LIVE!$D:$D)</f>
        <v>https://www.youtube.com/live/rowkHJneOgY?si=dzvDO_qNHD4fLHMQ</v>
      </c>
      <c r="Z492" s="16" t="str">
        <f>HYPERLINK($X492&amp;SUBSTITUTE(マスタ!$C$3,"XXXXX",$W492))</f>
        <v>https://www.youtube.com/live/rowkHJneOgY?si=dzvDO_qNHD4fLHMQ&amp;t=3395s</v>
      </c>
      <c r="AA492" s="12" t="str">
        <f t="shared" si="21"/>
        <v>andropYeah! Yeah! Yeah!</v>
      </c>
    </row>
    <row r="493" spans="1:27" x14ac:dyDescent="0.4">
      <c r="A493" s="14">
        <f t="shared" si="23"/>
        <v>492</v>
      </c>
      <c r="B493" s="14">
        <v>69</v>
      </c>
      <c r="C493" s="18" t="s">
        <v>1203</v>
      </c>
      <c r="D493" s="14" t="s">
        <v>1186</v>
      </c>
      <c r="E493" s="14" t="s">
        <v>742</v>
      </c>
      <c r="G493" s="1" t="str">
        <f>_xlfn.XLOOKUP(B493,M_YT_LIVE!A:A,M_YT_LIVE!F:F,"ERROR",0,1)</f>
        <v>音源</v>
      </c>
      <c r="W493" s="13">
        <f t="shared" si="22"/>
        <v>3701</v>
      </c>
      <c r="X493" s="12" t="str">
        <f>_xlfn.XLOOKUP($B493,M_YT_LIVE!$A:$A,M_YT_LIVE!$D:$D)</f>
        <v>https://www.youtube.com/live/rowkHJneOgY?si=dzvDO_qNHD4fLHMQ</v>
      </c>
      <c r="Z493" s="16" t="str">
        <f>HYPERLINK($X493&amp;SUBSTITUTE(マスタ!$C$3,"XXXXX",$W493))</f>
        <v>https://www.youtube.com/live/rowkHJneOgY?si=dzvDO_qNHD4fLHMQ&amp;t=3701s</v>
      </c>
      <c r="AA493" s="12" t="str">
        <f t="shared" si="21"/>
        <v>KANA-BOONシルエット</v>
      </c>
    </row>
    <row r="494" spans="1:27" x14ac:dyDescent="0.4">
      <c r="A494" s="14">
        <f t="shared" si="23"/>
        <v>493</v>
      </c>
      <c r="B494" s="14">
        <v>69</v>
      </c>
      <c r="C494" s="18" t="s">
        <v>1204</v>
      </c>
      <c r="D494" s="14" t="s">
        <v>666</v>
      </c>
      <c r="E494" s="14" t="s">
        <v>667</v>
      </c>
      <c r="G494" s="1" t="str">
        <f>_xlfn.XLOOKUP(B494,M_YT_LIVE!A:A,M_YT_LIVE!F:F,"ERROR",0,1)</f>
        <v>音源</v>
      </c>
      <c r="W494" s="13">
        <f t="shared" si="22"/>
        <v>4011</v>
      </c>
      <c r="X494" s="12" t="str">
        <f>_xlfn.XLOOKUP($B494,M_YT_LIVE!$A:$A,M_YT_LIVE!$D:$D)</f>
        <v>https://www.youtube.com/live/rowkHJneOgY?si=dzvDO_qNHD4fLHMQ</v>
      </c>
      <c r="Z494" s="16" t="str">
        <f>HYPERLINK($X494&amp;SUBSTITUTE(マスタ!$C$3,"XXXXX",$W494))</f>
        <v>https://www.youtube.com/live/rowkHJneOgY?si=dzvDO_qNHD4fLHMQ&amp;t=4011s</v>
      </c>
      <c r="AA494" s="12" t="str">
        <f t="shared" si="21"/>
        <v>UNISON SQUARE GARDENシュガーソングとビターステップ</v>
      </c>
    </row>
    <row r="495" spans="1:27" x14ac:dyDescent="0.4">
      <c r="A495" s="14">
        <f t="shared" si="23"/>
        <v>494</v>
      </c>
      <c r="B495" s="14">
        <v>69</v>
      </c>
      <c r="C495" s="18" t="s">
        <v>1205</v>
      </c>
      <c r="D495" s="14" t="s">
        <v>1187</v>
      </c>
      <c r="E495" s="14" t="s">
        <v>1104</v>
      </c>
      <c r="G495" s="1" t="str">
        <f>_xlfn.XLOOKUP(B495,M_YT_LIVE!A:A,M_YT_LIVE!F:F,"ERROR",0,1)</f>
        <v>音源</v>
      </c>
      <c r="W495" s="13">
        <f t="shared" si="22"/>
        <v>4339</v>
      </c>
      <c r="X495" s="12" t="str">
        <f>_xlfn.XLOOKUP($B495,M_YT_LIVE!$A:$A,M_YT_LIVE!$D:$D)</f>
        <v>https://www.youtube.com/live/rowkHJneOgY?si=dzvDO_qNHD4fLHMQ</v>
      </c>
      <c r="Z495" s="16" t="str">
        <f>HYPERLINK($X495&amp;SUBSTITUTE(マスタ!$C$3,"XXXXX",$W495))</f>
        <v>https://www.youtube.com/live/rowkHJneOgY?si=dzvDO_qNHD4fLHMQ&amp;t=4339s</v>
      </c>
      <c r="AA495" s="12" t="str">
        <f t="shared" si="21"/>
        <v>Galileo Galilei恋の寿命</v>
      </c>
    </row>
    <row r="496" spans="1:27" x14ac:dyDescent="0.4">
      <c r="A496" s="14">
        <f t="shared" si="23"/>
        <v>495</v>
      </c>
      <c r="B496" s="14">
        <v>69</v>
      </c>
      <c r="C496" s="18" t="s">
        <v>1206</v>
      </c>
      <c r="D496" s="23" t="s">
        <v>1215</v>
      </c>
      <c r="E496" s="14" t="s">
        <v>57</v>
      </c>
      <c r="G496" s="1" t="str">
        <f>_xlfn.XLOOKUP(B496,M_YT_LIVE!A:A,M_YT_LIVE!F:F,"ERROR",0,1)</f>
        <v>音源</v>
      </c>
      <c r="W496" s="13">
        <f t="shared" si="22"/>
        <v>4791</v>
      </c>
      <c r="X496" s="12" t="str">
        <f>_xlfn.XLOOKUP($B496,M_YT_LIVE!$A:$A,M_YT_LIVE!$D:$D)</f>
        <v>https://www.youtube.com/live/rowkHJneOgY?si=dzvDO_qNHD4fLHMQ</v>
      </c>
      <c r="Z496" s="16" t="str">
        <f>HYPERLINK($X496&amp;SUBSTITUTE(マスタ!$C$3,"XXXXX",$W496))</f>
        <v>https://www.youtube.com/live/rowkHJneOgY?si=dzvDO_qNHD4fLHMQ&amp;t=4791s</v>
      </c>
      <c r="AA496" s="12" t="str">
        <f t="shared" si="21"/>
        <v>羊文学1999</v>
      </c>
    </row>
    <row r="497" spans="1:27" x14ac:dyDescent="0.4">
      <c r="A497" s="14">
        <f t="shared" si="23"/>
        <v>496</v>
      </c>
      <c r="B497" s="14">
        <v>69</v>
      </c>
      <c r="C497" s="18" t="s">
        <v>1207</v>
      </c>
      <c r="D497" s="14" t="s">
        <v>1188</v>
      </c>
      <c r="E497" s="14" t="s">
        <v>1423</v>
      </c>
      <c r="G497" s="1" t="str">
        <f>_xlfn.XLOOKUP(B497,M_YT_LIVE!A:A,M_YT_LIVE!F:F,"ERROR",0,1)</f>
        <v>音源</v>
      </c>
      <c r="W497" s="13">
        <f t="shared" si="22"/>
        <v>5138</v>
      </c>
      <c r="X497" s="12" t="str">
        <f>_xlfn.XLOOKUP($B497,M_YT_LIVE!$A:$A,M_YT_LIVE!$D:$D)</f>
        <v>https://www.youtube.com/live/rowkHJneOgY?si=dzvDO_qNHD4fLHMQ</v>
      </c>
      <c r="Z497" s="16" t="str">
        <f>HYPERLINK($X497&amp;SUBSTITUTE(マスタ!$C$3,"XXXXX",$W497))</f>
        <v>https://www.youtube.com/live/rowkHJneOgY?si=dzvDO_qNHD4fLHMQ&amp;t=5138s</v>
      </c>
      <c r="AA497" s="12" t="str">
        <f t="shared" si="21"/>
        <v>[Alexandros]ワタリドリ</v>
      </c>
    </row>
    <row r="498" spans="1:27" x14ac:dyDescent="0.4">
      <c r="A498" s="14">
        <f t="shared" si="23"/>
        <v>497</v>
      </c>
      <c r="B498" s="14">
        <v>69</v>
      </c>
      <c r="C498" s="18" t="s">
        <v>1208</v>
      </c>
      <c r="D498" s="14" t="s">
        <v>1190</v>
      </c>
      <c r="E498" s="14" t="s">
        <v>1191</v>
      </c>
      <c r="G498" s="1" t="str">
        <f>_xlfn.XLOOKUP(B498,M_YT_LIVE!A:A,M_YT_LIVE!F:F,"ERROR",0,1)</f>
        <v>音源</v>
      </c>
      <c r="W498" s="13">
        <f t="shared" si="22"/>
        <v>5470.0000000000009</v>
      </c>
      <c r="X498" s="12" t="str">
        <f>_xlfn.XLOOKUP($B498,M_YT_LIVE!$A:$A,M_YT_LIVE!$D:$D)</f>
        <v>https://www.youtube.com/live/rowkHJneOgY?si=dzvDO_qNHD4fLHMQ</v>
      </c>
      <c r="Z498" s="16" t="str">
        <f>HYPERLINK($X498&amp;SUBSTITUTE(マスタ!$C$3,"XXXXX",$W498))</f>
        <v>https://www.youtube.com/live/rowkHJneOgY?si=dzvDO_qNHD4fLHMQ&amp;t=5470s</v>
      </c>
      <c r="AA498" s="12" t="str">
        <f t="shared" si="21"/>
        <v>BiSHプロミスザスター</v>
      </c>
    </row>
    <row r="499" spans="1:27" x14ac:dyDescent="0.4">
      <c r="A499" s="14">
        <f t="shared" si="23"/>
        <v>498</v>
      </c>
      <c r="B499" s="14">
        <v>69</v>
      </c>
      <c r="C499" s="18" t="s">
        <v>1209</v>
      </c>
      <c r="D499" s="14" t="s">
        <v>1192</v>
      </c>
      <c r="E499" s="14" t="s">
        <v>183</v>
      </c>
      <c r="G499" s="1" t="str">
        <f>_xlfn.XLOOKUP(B499,M_YT_LIVE!A:A,M_YT_LIVE!F:F,"ERROR",0,1)</f>
        <v>音源</v>
      </c>
      <c r="W499" s="13">
        <f t="shared" si="22"/>
        <v>5831</v>
      </c>
      <c r="X499" s="12" t="str">
        <f>_xlfn.XLOOKUP($B499,M_YT_LIVE!$A:$A,M_YT_LIVE!$D:$D)</f>
        <v>https://www.youtube.com/live/rowkHJneOgY?si=dzvDO_qNHD4fLHMQ</v>
      </c>
      <c r="Z499" s="16" t="str">
        <f>HYPERLINK($X499&amp;SUBSTITUTE(マスタ!$C$3,"XXXXX",$W499))</f>
        <v>https://www.youtube.com/live/rowkHJneOgY?si=dzvDO_qNHD4fLHMQ&amp;t=5831s</v>
      </c>
      <c r="AA499" s="12" t="str">
        <f t="shared" si="21"/>
        <v>クリープハイプ栞</v>
      </c>
    </row>
    <row r="500" spans="1:27" x14ac:dyDescent="0.4">
      <c r="A500" s="14">
        <f t="shared" si="23"/>
        <v>499</v>
      </c>
      <c r="B500" s="14">
        <v>69</v>
      </c>
      <c r="C500" s="18" t="s">
        <v>1210</v>
      </c>
      <c r="D500" s="14" t="s">
        <v>1193</v>
      </c>
      <c r="E500" s="14" t="s">
        <v>1194</v>
      </c>
      <c r="G500" s="1" t="str">
        <f>_xlfn.XLOOKUP(B500,M_YT_LIVE!A:A,M_YT_LIVE!F:F,"ERROR",0,1)</f>
        <v>音源</v>
      </c>
      <c r="W500" s="13">
        <f t="shared" si="22"/>
        <v>6155.9999999999991</v>
      </c>
      <c r="X500" s="12" t="str">
        <f>_xlfn.XLOOKUP($B500,M_YT_LIVE!$A:$A,M_YT_LIVE!$D:$D)</f>
        <v>https://www.youtube.com/live/rowkHJneOgY?si=dzvDO_qNHD4fLHMQ</v>
      </c>
      <c r="Z500" s="16" t="str">
        <f>HYPERLINK($X500&amp;SUBSTITUTE(マスタ!$C$3,"XXXXX",$W500))</f>
        <v>https://www.youtube.com/live/rowkHJneOgY?si=dzvDO_qNHD4fLHMQ&amp;t=6156s</v>
      </c>
      <c r="AA500" s="12" t="str">
        <f t="shared" si="21"/>
        <v>サカナクション新宝島</v>
      </c>
    </row>
    <row r="501" spans="1:27" x14ac:dyDescent="0.4">
      <c r="A501" s="14">
        <f t="shared" si="23"/>
        <v>500</v>
      </c>
      <c r="B501" s="14">
        <v>69</v>
      </c>
      <c r="C501" s="18" t="s">
        <v>1211</v>
      </c>
      <c r="D501" s="14" t="s">
        <v>19</v>
      </c>
      <c r="E501" s="14" t="s">
        <v>20</v>
      </c>
      <c r="G501" s="1" t="str">
        <f>_xlfn.XLOOKUP(B501,M_YT_LIVE!A:A,M_YT_LIVE!F:F,"ERROR",0,1)</f>
        <v>音源</v>
      </c>
      <c r="W501" s="13">
        <f t="shared" si="22"/>
        <v>6462.0000000000009</v>
      </c>
      <c r="X501" s="12" t="str">
        <f>_xlfn.XLOOKUP($B501,M_YT_LIVE!$A:$A,M_YT_LIVE!$D:$D)</f>
        <v>https://www.youtube.com/live/rowkHJneOgY?si=dzvDO_qNHD4fLHMQ</v>
      </c>
      <c r="Z501" s="16" t="str">
        <f>HYPERLINK($X501&amp;SUBSTITUTE(マスタ!$C$3,"XXXXX",$W501))</f>
        <v>https://www.youtube.com/live/rowkHJneOgY?si=dzvDO_qNHD4fLHMQ&amp;t=6462s</v>
      </c>
      <c r="AA501" s="12" t="str">
        <f t="shared" si="21"/>
        <v>Vaundy怪獣の花唄</v>
      </c>
    </row>
    <row r="502" spans="1:27" x14ac:dyDescent="0.4">
      <c r="A502" s="14">
        <f t="shared" si="23"/>
        <v>501</v>
      </c>
      <c r="B502" s="14">
        <v>69</v>
      </c>
      <c r="C502" s="18" t="s">
        <v>1212</v>
      </c>
      <c r="D502" s="14" t="s">
        <v>681</v>
      </c>
      <c r="E502" s="14" t="s">
        <v>682</v>
      </c>
      <c r="G502" s="1" t="str">
        <f>_xlfn.XLOOKUP(B502,M_YT_LIVE!A:A,M_YT_LIVE!F:F,"ERROR",0,1)</f>
        <v>音源</v>
      </c>
      <c r="W502" s="13">
        <f t="shared" si="22"/>
        <v>6740</v>
      </c>
      <c r="X502" s="12" t="str">
        <f>_xlfn.XLOOKUP($B502,M_YT_LIVE!$A:$A,M_YT_LIVE!$D:$D)</f>
        <v>https://www.youtube.com/live/rowkHJneOgY?si=dzvDO_qNHD4fLHMQ</v>
      </c>
      <c r="Z502" s="16" t="str">
        <f>HYPERLINK($X502&amp;SUBSTITUTE(マスタ!$C$3,"XXXXX",$W502))</f>
        <v>https://www.youtube.com/live/rowkHJneOgY?si=dzvDO_qNHD4fLHMQ&amp;t=6740s</v>
      </c>
      <c r="AA502" s="12" t="str">
        <f t="shared" si="21"/>
        <v>THE ORAL CIGARETTES狂乱 Hey Kids!!</v>
      </c>
    </row>
    <row r="503" spans="1:27" x14ac:dyDescent="0.4">
      <c r="A503" s="14">
        <f t="shared" si="23"/>
        <v>502</v>
      </c>
      <c r="B503" s="14">
        <v>69</v>
      </c>
      <c r="C503" s="18" t="s">
        <v>1213</v>
      </c>
      <c r="D503" s="14" t="s">
        <v>1195</v>
      </c>
      <c r="E503" s="14" t="s">
        <v>716</v>
      </c>
      <c r="G503" s="1" t="str">
        <f>_xlfn.XLOOKUP(B503,M_YT_LIVE!A:A,M_YT_LIVE!F:F,"ERROR",0,1)</f>
        <v>音源</v>
      </c>
      <c r="W503" s="13">
        <f t="shared" si="22"/>
        <v>7091</v>
      </c>
      <c r="X503" s="12" t="str">
        <f>_xlfn.XLOOKUP($B503,M_YT_LIVE!$A:$A,M_YT_LIVE!$D:$D)</f>
        <v>https://www.youtube.com/live/rowkHJneOgY?si=dzvDO_qNHD4fLHMQ</v>
      </c>
      <c r="Z503" s="16" t="str">
        <f>HYPERLINK($X503&amp;SUBSTITUTE(マスタ!$C$3,"XXXXX",$W503))</f>
        <v>https://www.youtube.com/live/rowkHJneOgY?si=dzvDO_qNHD4fLHMQ&amp;t=7091s</v>
      </c>
      <c r="AA503" s="12" t="str">
        <f t="shared" si="21"/>
        <v>RADWIMPS前前前世</v>
      </c>
    </row>
    <row r="504" spans="1:27" x14ac:dyDescent="0.4">
      <c r="A504" s="14">
        <f t="shared" si="23"/>
        <v>503</v>
      </c>
      <c r="B504" s="14">
        <v>70</v>
      </c>
      <c r="C504" s="18" t="s">
        <v>52</v>
      </c>
      <c r="D504" s="14" t="s">
        <v>71</v>
      </c>
      <c r="E504" s="14" t="s">
        <v>72</v>
      </c>
      <c r="G504" s="1" t="str">
        <f>_xlfn.XLOOKUP(B504,M_YT_LIVE!A:A,M_YT_LIVE!F:F,"ERROR",0,1)</f>
        <v>弾き語り</v>
      </c>
      <c r="W504" s="13">
        <f t="shared" si="22"/>
        <v>355</v>
      </c>
      <c r="X504" s="12" t="str">
        <f>_xlfn.XLOOKUP($B504,M_YT_LIVE!$A:$A,M_YT_LIVE!$D:$D)</f>
        <v>https://www.youtube.com/live/BjWSIm9kSZs?si=1oMuQyZMLWArIABK</v>
      </c>
      <c r="Z504" s="16" t="str">
        <f>HYPERLINK($X504&amp;SUBSTITUTE(マスタ!$C$3,"XXXXX",$W504))</f>
        <v>https://www.youtube.com/live/BjWSIm9kSZs?si=1oMuQyZMLWArIABK&amp;t=355s</v>
      </c>
      <c r="AA504" s="12" t="str">
        <f t="shared" si="21"/>
        <v>優里ドライフラワー</v>
      </c>
    </row>
    <row r="505" spans="1:27" x14ac:dyDescent="0.4">
      <c r="A505" s="14">
        <f t="shared" si="23"/>
        <v>504</v>
      </c>
      <c r="B505" s="14">
        <v>70</v>
      </c>
      <c r="C505" s="18" t="s">
        <v>1376</v>
      </c>
      <c r="D505" s="14" t="s">
        <v>176</v>
      </c>
      <c r="E505" s="14" t="s">
        <v>177</v>
      </c>
      <c r="G505" s="1" t="str">
        <f>_xlfn.XLOOKUP(B505,M_YT_LIVE!A:A,M_YT_LIVE!F:F,"ERROR",0,1)</f>
        <v>弾き語り</v>
      </c>
      <c r="W505" s="13">
        <f t="shared" si="22"/>
        <v>847</v>
      </c>
      <c r="X505" s="12" t="str">
        <f>_xlfn.XLOOKUP($B505,M_YT_LIVE!$A:$A,M_YT_LIVE!$D:$D)</f>
        <v>https://www.youtube.com/live/BjWSIm9kSZs?si=1oMuQyZMLWArIABK</v>
      </c>
      <c r="Z505" s="16" t="str">
        <f>HYPERLINK($X505&amp;SUBSTITUTE(マスタ!$C$3,"XXXXX",$W505))</f>
        <v>https://www.youtube.com/live/BjWSIm9kSZs?si=1oMuQyZMLWArIABK&amp;t=847s</v>
      </c>
      <c r="AA505" s="12" t="str">
        <f t="shared" si="21"/>
        <v>Saucy Dogシンデレラボーイ</v>
      </c>
    </row>
    <row r="506" spans="1:27" x14ac:dyDescent="0.4">
      <c r="A506" s="14">
        <f t="shared" si="23"/>
        <v>505</v>
      </c>
      <c r="B506" s="14">
        <v>70</v>
      </c>
      <c r="C506" s="18" t="s">
        <v>1377</v>
      </c>
      <c r="D506" s="14" t="s">
        <v>541</v>
      </c>
      <c r="E506" s="14" t="s">
        <v>1390</v>
      </c>
      <c r="G506" s="1" t="str">
        <f>_xlfn.XLOOKUP(B506,M_YT_LIVE!A:A,M_YT_LIVE!F:F,"ERROR",0,1)</f>
        <v>弾き語り</v>
      </c>
      <c r="W506" s="13">
        <f t="shared" si="22"/>
        <v>1290</v>
      </c>
      <c r="X506" s="12" t="str">
        <f>_xlfn.XLOOKUP($B506,M_YT_LIVE!$A:$A,M_YT_LIVE!$D:$D)</f>
        <v>https://www.youtube.com/live/BjWSIm9kSZs?si=1oMuQyZMLWArIABK</v>
      </c>
      <c r="Z506" s="16" t="str">
        <f>HYPERLINK($X506&amp;SUBSTITUTE(マスタ!$C$3,"XXXXX",$W506))</f>
        <v>https://www.youtube.com/live/BjWSIm9kSZs?si=1oMuQyZMLWArIABK&amp;t=1290s</v>
      </c>
      <c r="AA506" s="12" t="str">
        <f t="shared" si="21"/>
        <v>Vaundy置き手紙</v>
      </c>
    </row>
    <row r="507" spans="1:27" x14ac:dyDescent="0.4">
      <c r="A507" s="14">
        <f t="shared" si="23"/>
        <v>506</v>
      </c>
      <c r="B507" s="14">
        <v>70</v>
      </c>
      <c r="C507" s="18" t="s">
        <v>1378</v>
      </c>
      <c r="D507" s="14" t="s">
        <v>1187</v>
      </c>
      <c r="E507" s="14" t="s">
        <v>1104</v>
      </c>
      <c r="G507" s="1" t="str">
        <f>_xlfn.XLOOKUP(B507,M_YT_LIVE!A:A,M_YT_LIVE!F:F,"ERROR",0,1)</f>
        <v>弾き語り</v>
      </c>
      <c r="W507" s="13">
        <f t="shared" si="22"/>
        <v>1686</v>
      </c>
      <c r="X507" s="12" t="str">
        <f>_xlfn.XLOOKUP($B507,M_YT_LIVE!$A:$A,M_YT_LIVE!$D:$D)</f>
        <v>https://www.youtube.com/live/BjWSIm9kSZs?si=1oMuQyZMLWArIABK</v>
      </c>
      <c r="Z507" s="16" t="str">
        <f>HYPERLINK($X507&amp;SUBSTITUTE(マスタ!$C$3,"XXXXX",$W507))</f>
        <v>https://www.youtube.com/live/BjWSIm9kSZs?si=1oMuQyZMLWArIABK&amp;t=1686s</v>
      </c>
      <c r="AA507" s="12" t="str">
        <f t="shared" si="21"/>
        <v>Galileo Galilei恋の寿命</v>
      </c>
    </row>
    <row r="508" spans="1:27" x14ac:dyDescent="0.4">
      <c r="A508" s="14">
        <f t="shared" si="23"/>
        <v>507</v>
      </c>
      <c r="B508" s="14">
        <v>70</v>
      </c>
      <c r="C508" s="18" t="s">
        <v>1379</v>
      </c>
      <c r="D508" s="14" t="s">
        <v>174</v>
      </c>
      <c r="E508" s="14" t="s">
        <v>1390</v>
      </c>
      <c r="G508" s="1" t="str">
        <f>_xlfn.XLOOKUP(B508,M_YT_LIVE!A:A,M_YT_LIVE!F:F,"ERROR",0,1)</f>
        <v>弾き語り</v>
      </c>
      <c r="W508" s="13">
        <f t="shared" si="22"/>
        <v>2117</v>
      </c>
      <c r="X508" s="12" t="str">
        <f>_xlfn.XLOOKUP($B508,M_YT_LIVE!$A:$A,M_YT_LIVE!$D:$D)</f>
        <v>https://www.youtube.com/live/BjWSIm9kSZs?si=1oMuQyZMLWArIABK</v>
      </c>
      <c r="Z508" s="16" t="str">
        <f>HYPERLINK($X508&amp;SUBSTITUTE(マスタ!$C$3,"XXXXX",$W508))</f>
        <v>https://www.youtube.com/live/BjWSIm9kSZs?si=1oMuQyZMLWArIABK&amp;t=2117s</v>
      </c>
      <c r="AA508" s="12" t="str">
        <f t="shared" si="21"/>
        <v>Vaundy東京フラッシュ</v>
      </c>
    </row>
    <row r="509" spans="1:27" x14ac:dyDescent="0.4">
      <c r="A509" s="14">
        <f t="shared" si="23"/>
        <v>508</v>
      </c>
      <c r="B509" s="14">
        <v>70</v>
      </c>
      <c r="C509" s="18" t="s">
        <v>1380</v>
      </c>
      <c r="D509" s="14" t="s">
        <v>53</v>
      </c>
      <c r="E509" s="14" t="s">
        <v>54</v>
      </c>
      <c r="G509" s="1" t="str">
        <f>_xlfn.XLOOKUP(B509,M_YT_LIVE!A:A,M_YT_LIVE!F:F,"ERROR",0,1)</f>
        <v>弾き語り</v>
      </c>
      <c r="W509" s="13">
        <f t="shared" si="22"/>
        <v>2513</v>
      </c>
      <c r="X509" s="12" t="str">
        <f>_xlfn.XLOOKUP($B509,M_YT_LIVE!$A:$A,M_YT_LIVE!$D:$D)</f>
        <v>https://www.youtube.com/live/BjWSIm9kSZs?si=1oMuQyZMLWArIABK</v>
      </c>
      <c r="Z509" s="16" t="str">
        <f>HYPERLINK($X509&amp;SUBSTITUTE(マスタ!$C$3,"XXXXX",$W509))</f>
        <v>https://www.youtube.com/live/BjWSIm9kSZs?si=1oMuQyZMLWArIABK&amp;t=2513s</v>
      </c>
      <c r="AA509" s="12" t="str">
        <f t="shared" si="21"/>
        <v>miwaヒカリヘ</v>
      </c>
    </row>
    <row r="510" spans="1:27" x14ac:dyDescent="0.4">
      <c r="A510" s="14">
        <f t="shared" si="23"/>
        <v>509</v>
      </c>
      <c r="B510" s="14">
        <v>70</v>
      </c>
      <c r="C510" s="18" t="s">
        <v>1381</v>
      </c>
      <c r="D510" s="14" t="s">
        <v>546</v>
      </c>
      <c r="E510" s="14" t="s">
        <v>547</v>
      </c>
      <c r="G510" s="1" t="str">
        <f>_xlfn.XLOOKUP(B510,M_YT_LIVE!A:A,M_YT_LIVE!F:F,"ERROR",0,1)</f>
        <v>弾き語り</v>
      </c>
      <c r="W510" s="13">
        <f t="shared" si="22"/>
        <v>3250</v>
      </c>
      <c r="X510" s="12" t="str">
        <f>_xlfn.XLOOKUP($B510,M_YT_LIVE!$A:$A,M_YT_LIVE!$D:$D)</f>
        <v>https://www.youtube.com/live/BjWSIm9kSZs?si=1oMuQyZMLWArIABK</v>
      </c>
      <c r="Z510" s="16" t="str">
        <f>HYPERLINK($X510&amp;SUBSTITUTE(マスタ!$C$3,"XXXXX",$W510))</f>
        <v>https://www.youtube.com/live/BjWSIm9kSZs?si=1oMuQyZMLWArIABK&amp;t=3250s</v>
      </c>
      <c r="AA510" s="12" t="str">
        <f t="shared" si="21"/>
        <v>米津玄師アイネクライネ</v>
      </c>
    </row>
    <row r="511" spans="1:27" x14ac:dyDescent="0.4">
      <c r="A511" s="14">
        <f t="shared" si="23"/>
        <v>510</v>
      </c>
      <c r="B511" s="14">
        <v>70</v>
      </c>
      <c r="C511" s="18" t="s">
        <v>1382</v>
      </c>
      <c r="D511" s="14" t="s">
        <v>702</v>
      </c>
      <c r="E511" s="14" t="s">
        <v>703</v>
      </c>
      <c r="G511" s="1" t="str">
        <f>_xlfn.XLOOKUP(B511,M_YT_LIVE!A:A,M_YT_LIVE!F:F,"ERROR",0,1)</f>
        <v>弾き語り</v>
      </c>
      <c r="W511" s="13">
        <f t="shared" si="22"/>
        <v>3679</v>
      </c>
      <c r="X511" s="12" t="str">
        <f>_xlfn.XLOOKUP($B511,M_YT_LIVE!$A:$A,M_YT_LIVE!$D:$D)</f>
        <v>https://www.youtube.com/live/BjWSIm9kSZs?si=1oMuQyZMLWArIABK</v>
      </c>
      <c r="Z511" s="16" t="str">
        <f>HYPERLINK($X511&amp;SUBSTITUTE(マスタ!$C$3,"XXXXX",$W511))</f>
        <v>https://www.youtube.com/live/BjWSIm9kSZs?si=1oMuQyZMLWArIABK&amp;t=3679s</v>
      </c>
      <c r="AA511" s="12" t="str">
        <f t="shared" si="21"/>
        <v>aikomilk</v>
      </c>
    </row>
    <row r="512" spans="1:27" x14ac:dyDescent="0.4">
      <c r="A512" s="14">
        <f t="shared" si="23"/>
        <v>511</v>
      </c>
      <c r="B512" s="14">
        <v>70</v>
      </c>
      <c r="C512" s="18" t="s">
        <v>1383</v>
      </c>
      <c r="D512" s="14" t="s">
        <v>137</v>
      </c>
      <c r="E512" s="14" t="s">
        <v>138</v>
      </c>
      <c r="G512" s="1" t="str">
        <f>_xlfn.XLOOKUP(B512,M_YT_LIVE!A:A,M_YT_LIVE!F:F,"ERROR",0,1)</f>
        <v>弾き語り</v>
      </c>
      <c r="W512" s="13">
        <f t="shared" si="22"/>
        <v>4110</v>
      </c>
      <c r="X512" s="12" t="str">
        <f>_xlfn.XLOOKUP($B512,M_YT_LIVE!$A:$A,M_YT_LIVE!$D:$D)</f>
        <v>https://www.youtube.com/live/BjWSIm9kSZs?si=1oMuQyZMLWArIABK</v>
      </c>
      <c r="Z512" s="16" t="str">
        <f>HYPERLINK($X512&amp;SUBSTITUTE(マスタ!$C$3,"XXXXX",$W512))</f>
        <v>https://www.youtube.com/live/BjWSIm9kSZs?si=1oMuQyZMLWArIABK&amp;t=4110s</v>
      </c>
      <c r="AA512" s="12" t="str">
        <f t="shared" si="21"/>
        <v>ポルカドットスティングレイトゲめくスピカ</v>
      </c>
    </row>
    <row r="513" spans="1:27" x14ac:dyDescent="0.4">
      <c r="A513" s="14">
        <f t="shared" si="23"/>
        <v>512</v>
      </c>
      <c r="B513" s="14">
        <v>70</v>
      </c>
      <c r="C513" s="18" t="s">
        <v>1384</v>
      </c>
      <c r="D513" s="14" t="s">
        <v>224</v>
      </c>
      <c r="E513" s="14" t="s">
        <v>225</v>
      </c>
      <c r="G513" s="1" t="str">
        <f>_xlfn.XLOOKUP(B513,M_YT_LIVE!A:A,M_YT_LIVE!F:F,"ERROR",0,1)</f>
        <v>弾き語り</v>
      </c>
      <c r="W513" s="13">
        <f t="shared" si="22"/>
        <v>4604</v>
      </c>
      <c r="X513" s="12" t="str">
        <f>_xlfn.XLOOKUP($B513,M_YT_LIVE!$A:$A,M_YT_LIVE!$D:$D)</f>
        <v>https://www.youtube.com/live/BjWSIm9kSZs?si=1oMuQyZMLWArIABK</v>
      </c>
      <c r="Z513" s="16" t="str">
        <f>HYPERLINK($X513&amp;SUBSTITUTE(マスタ!$C$3,"XXXXX",$W513))</f>
        <v>https://www.youtube.com/live/BjWSIm9kSZs?si=1oMuQyZMLWArIABK&amp;t=4604s</v>
      </c>
      <c r="AA513" s="12" t="str">
        <f t="shared" si="21"/>
        <v>ryo(supercell) feat.初音ミクメルト</v>
      </c>
    </row>
    <row r="514" spans="1:27" x14ac:dyDescent="0.4">
      <c r="A514" s="14">
        <f t="shared" si="23"/>
        <v>513</v>
      </c>
      <c r="B514" s="14">
        <v>70</v>
      </c>
      <c r="C514" s="18" t="s">
        <v>1385</v>
      </c>
      <c r="D514" s="14" t="s">
        <v>114</v>
      </c>
      <c r="E514" s="14" t="s">
        <v>115</v>
      </c>
      <c r="G514" s="1" t="str">
        <f>_xlfn.XLOOKUP(B514,M_YT_LIVE!A:A,M_YT_LIVE!F:F,"ERROR",0,1)</f>
        <v>弾き語り</v>
      </c>
      <c r="W514" s="13">
        <f t="shared" si="22"/>
        <v>5072</v>
      </c>
      <c r="X514" s="12" t="str">
        <f>_xlfn.XLOOKUP($B514,M_YT_LIVE!$A:$A,M_YT_LIVE!$D:$D)</f>
        <v>https://www.youtube.com/live/BjWSIm9kSZs?si=1oMuQyZMLWArIABK</v>
      </c>
      <c r="Z514" s="16" t="str">
        <f>HYPERLINK($X514&amp;SUBSTITUTE(マスタ!$C$3,"XXXXX",$W514))</f>
        <v>https://www.youtube.com/live/BjWSIm9kSZs?si=1oMuQyZMLWArIABK&amp;t=5072s</v>
      </c>
      <c r="AA514" s="12" t="str">
        <f t="shared" si="21"/>
        <v>ジミーサムP feat.初音ミクCalc.</v>
      </c>
    </row>
    <row r="515" spans="1:27" x14ac:dyDescent="0.4">
      <c r="A515" s="14">
        <f t="shared" si="23"/>
        <v>514</v>
      </c>
      <c r="B515" s="14">
        <v>70</v>
      </c>
      <c r="C515" s="18" t="s">
        <v>1386</v>
      </c>
      <c r="D515" s="14" t="s">
        <v>146</v>
      </c>
      <c r="E515" s="14" t="s">
        <v>147</v>
      </c>
      <c r="G515" s="1" t="str">
        <f>_xlfn.XLOOKUP(B515,M_YT_LIVE!A:A,M_YT_LIVE!F:F,"ERROR",0,1)</f>
        <v>弾き語り</v>
      </c>
      <c r="W515" s="13">
        <f t="shared" si="22"/>
        <v>5437</v>
      </c>
      <c r="X515" s="12" t="str">
        <f>_xlfn.XLOOKUP($B515,M_YT_LIVE!$A:$A,M_YT_LIVE!$D:$D)</f>
        <v>https://www.youtube.com/live/BjWSIm9kSZs?si=1oMuQyZMLWArIABK</v>
      </c>
      <c r="Z515" s="16" t="str">
        <f>HYPERLINK($X515&amp;SUBSTITUTE(マスタ!$C$3,"XXXXX",$W515))</f>
        <v>https://www.youtube.com/live/BjWSIm9kSZs?si=1oMuQyZMLWArIABK&amp;t=5437s</v>
      </c>
      <c r="AA515" s="12" t="str">
        <f t="shared" ref="AA515:AA550" si="24">TRIM(E515)&amp;TRIM(D515)</f>
        <v>ジミーサムP feat.初音ミク＆巡音ルカ(コーラス)from Y to Y</v>
      </c>
    </row>
    <row r="516" spans="1:27" x14ac:dyDescent="0.4">
      <c r="A516" s="14">
        <f t="shared" si="23"/>
        <v>515</v>
      </c>
      <c r="B516" s="14">
        <v>70</v>
      </c>
      <c r="C516" s="18" t="s">
        <v>1387</v>
      </c>
      <c r="D516" s="14" t="s">
        <v>31</v>
      </c>
      <c r="E516" s="14" t="s">
        <v>1047</v>
      </c>
      <c r="G516" s="1" t="str">
        <f>_xlfn.XLOOKUP(B516,M_YT_LIVE!A:A,M_YT_LIVE!F:F,"ERROR",0,1)</f>
        <v>弾き語り</v>
      </c>
      <c r="W516" s="13">
        <f t="shared" ref="W516:W579" si="25">TIMEVALUE($C516)*86400</f>
        <v>5984</v>
      </c>
      <c r="X516" s="12" t="str">
        <f>_xlfn.XLOOKUP($B516,M_YT_LIVE!$A:$A,M_YT_LIVE!$D:$D)</f>
        <v>https://www.youtube.com/live/BjWSIm9kSZs?si=1oMuQyZMLWArIABK</v>
      </c>
      <c r="Z516" s="16" t="str">
        <f>HYPERLINK($X516&amp;SUBSTITUTE(マスタ!$C$3,"XXXXX",$W516))</f>
        <v>https://www.youtube.com/live/BjWSIm9kSZs?si=1oMuQyZMLWArIABK&amp;t=5984s</v>
      </c>
      <c r="AA516" s="12" t="str">
        <f t="shared" si="24"/>
        <v>メル feat.IAプラトニック・ラヴ</v>
      </c>
    </row>
    <row r="517" spans="1:27" x14ac:dyDescent="0.4">
      <c r="A517" s="14">
        <f t="shared" ref="A517:A580" si="26">ROW()-1</f>
        <v>516</v>
      </c>
      <c r="B517" s="14">
        <v>70</v>
      </c>
      <c r="C517" s="18" t="s">
        <v>1388</v>
      </c>
      <c r="D517" s="14" t="s">
        <v>551</v>
      </c>
      <c r="E517" s="14" t="s">
        <v>168</v>
      </c>
      <c r="G517" s="1" t="str">
        <f>_xlfn.XLOOKUP(B517,M_YT_LIVE!A:A,M_YT_LIVE!F:F,"ERROR",0,1)</f>
        <v>弾き語り</v>
      </c>
      <c r="W517" s="13">
        <f t="shared" si="25"/>
        <v>6487.9999999999991</v>
      </c>
      <c r="X517" s="12" t="str">
        <f>_xlfn.XLOOKUP($B517,M_YT_LIVE!$A:$A,M_YT_LIVE!$D:$D)</f>
        <v>https://www.youtube.com/live/BjWSIm9kSZs?si=1oMuQyZMLWArIABK</v>
      </c>
      <c r="Z517" s="16" t="str">
        <f>HYPERLINK($X517&amp;SUBSTITUTE(マスタ!$C$3,"XXXXX",$W517))</f>
        <v>https://www.youtube.com/live/BjWSIm9kSZs?si=1oMuQyZMLWArIABK&amp;t=6488s</v>
      </c>
      <c r="AA517" s="12" t="str">
        <f t="shared" si="24"/>
        <v>Aimer星が消えた夜に</v>
      </c>
    </row>
    <row r="518" spans="1:27" x14ac:dyDescent="0.4">
      <c r="A518" s="14">
        <f t="shared" si="26"/>
        <v>517</v>
      </c>
      <c r="B518" s="14">
        <v>70</v>
      </c>
      <c r="C518" s="18" t="s">
        <v>1389</v>
      </c>
      <c r="D518" s="14" t="s">
        <v>1055</v>
      </c>
      <c r="E518" s="14" t="s">
        <v>721</v>
      </c>
      <c r="G518" s="1" t="str">
        <f>_xlfn.XLOOKUP(B518,M_YT_LIVE!A:A,M_YT_LIVE!F:F,"ERROR",0,1)</f>
        <v>弾き語り</v>
      </c>
      <c r="W518" s="13">
        <f t="shared" si="25"/>
        <v>6974</v>
      </c>
      <c r="X518" s="12" t="str">
        <f>_xlfn.XLOOKUP($B518,M_YT_LIVE!$A:$A,M_YT_LIVE!$D:$D)</f>
        <v>https://www.youtube.com/live/BjWSIm9kSZs?si=1oMuQyZMLWArIABK</v>
      </c>
      <c r="Z518" s="16" t="str">
        <f>HYPERLINK($X518&amp;SUBSTITUTE(マスタ!$C$3,"XXXXX",$W518))</f>
        <v>https://www.youtube.com/live/BjWSIm9kSZs?si=1oMuQyZMLWArIABK&amp;t=6974s</v>
      </c>
      <c r="AA518" s="12" t="str">
        <f t="shared" si="24"/>
        <v>未来古代楽団 feat. 安次嶺希和子忘れじの言の葉</v>
      </c>
    </row>
    <row r="519" spans="1:27" x14ac:dyDescent="0.4">
      <c r="A519" s="14">
        <f t="shared" si="26"/>
        <v>518</v>
      </c>
      <c r="B519" s="14">
        <v>73</v>
      </c>
      <c r="C519" s="18" t="s">
        <v>1404</v>
      </c>
      <c r="D519" s="14" t="s">
        <v>100</v>
      </c>
      <c r="E519" s="14" t="s">
        <v>101</v>
      </c>
      <c r="G519" s="1" t="str">
        <f>_xlfn.XLOOKUP(B519,M_YT_LIVE!A:A,M_YT_LIVE!F:F,"ERROR",0,1)</f>
        <v>弾き語り</v>
      </c>
      <c r="W519" s="13">
        <f t="shared" si="25"/>
        <v>283</v>
      </c>
      <c r="X519" s="12" t="str">
        <f>_xlfn.XLOOKUP($B519,M_YT_LIVE!$A:$A,M_YT_LIVE!$D:$D)</f>
        <v>https://www.youtube.com/live/w3oM0fDmwz4?si=VVO-ga6uipBLMrpR</v>
      </c>
      <c r="Z519" s="16" t="str">
        <f>HYPERLINK($X519&amp;SUBSTITUTE(マスタ!$C$3,"XXXXX",$W519))</f>
        <v>https://www.youtube.com/live/w3oM0fDmwz4?si=VVO-ga6uipBLMrpR&amp;t=283s</v>
      </c>
      <c r="AA519" s="12" t="str">
        <f t="shared" si="24"/>
        <v>n-buna(ヨルシカ) feat.初音ミク夜明けと蛍</v>
      </c>
    </row>
    <row r="520" spans="1:27" x14ac:dyDescent="0.4">
      <c r="A520" s="14">
        <f t="shared" si="26"/>
        <v>519</v>
      </c>
      <c r="B520" s="14">
        <v>73</v>
      </c>
      <c r="C520" s="18" t="s">
        <v>1405</v>
      </c>
      <c r="D520" s="14" t="s">
        <v>35</v>
      </c>
      <c r="E520" s="14" t="s">
        <v>20</v>
      </c>
      <c r="G520" s="1" t="str">
        <f>_xlfn.XLOOKUP(B520,M_YT_LIVE!A:A,M_YT_LIVE!F:F,"ERROR",0,1)</f>
        <v>弾き語り</v>
      </c>
      <c r="W520" s="13">
        <f t="shared" si="25"/>
        <v>851</v>
      </c>
      <c r="X520" s="12" t="str">
        <f>_xlfn.XLOOKUP($B520,M_YT_LIVE!$A:$A,M_YT_LIVE!$D:$D)</f>
        <v>https://www.youtube.com/live/w3oM0fDmwz4?si=VVO-ga6uipBLMrpR</v>
      </c>
      <c r="Z520" s="16" t="str">
        <f>HYPERLINK($X520&amp;SUBSTITUTE(マスタ!$C$3,"XXXXX",$W520))</f>
        <v>https://www.youtube.com/live/w3oM0fDmwz4?si=VVO-ga6uipBLMrpR&amp;t=851s</v>
      </c>
      <c r="AA520" s="12" t="str">
        <f t="shared" si="24"/>
        <v>Vaundy踊り子</v>
      </c>
    </row>
    <row r="521" spans="1:27" x14ac:dyDescent="0.4">
      <c r="A521" s="14">
        <f t="shared" si="26"/>
        <v>520</v>
      </c>
      <c r="B521" s="14">
        <v>73</v>
      </c>
      <c r="C521" s="18" t="s">
        <v>1406</v>
      </c>
      <c r="D521" s="14" t="s">
        <v>242</v>
      </c>
      <c r="E521" s="14" t="s">
        <v>1390</v>
      </c>
      <c r="G521" s="1" t="str">
        <f>_xlfn.XLOOKUP(B521,M_YT_LIVE!A:A,M_YT_LIVE!F:F,"ERROR",0,1)</f>
        <v>弾き語り</v>
      </c>
      <c r="W521" s="13">
        <f t="shared" si="25"/>
        <v>1220</v>
      </c>
      <c r="X521" s="12" t="str">
        <f>_xlfn.XLOOKUP($B521,M_YT_LIVE!$A:$A,M_YT_LIVE!$D:$D)</f>
        <v>https://www.youtube.com/live/w3oM0fDmwz4?si=VVO-ga6uipBLMrpR</v>
      </c>
      <c r="Z521" s="16" t="str">
        <f>HYPERLINK($X521&amp;SUBSTITUTE(マスタ!$C$3,"XXXXX",$W521))</f>
        <v>https://www.youtube.com/live/w3oM0fDmwz4?si=VVO-ga6uipBLMrpR&amp;t=1220s</v>
      </c>
      <c r="AA521" s="12" t="str">
        <f t="shared" si="24"/>
        <v>Vaundy花占い</v>
      </c>
    </row>
    <row r="522" spans="1:27" x14ac:dyDescent="0.4">
      <c r="A522" s="14">
        <f t="shared" si="26"/>
        <v>521</v>
      </c>
      <c r="B522" s="14">
        <v>73</v>
      </c>
      <c r="C522" s="18" t="s">
        <v>1407</v>
      </c>
      <c r="D522" s="14" t="s">
        <v>384</v>
      </c>
      <c r="E522" s="14" t="s">
        <v>385</v>
      </c>
      <c r="G522" s="1" t="str">
        <f>_xlfn.XLOOKUP(B522,M_YT_LIVE!A:A,M_YT_LIVE!F:F,"ERROR",0,1)</f>
        <v>弾き語り</v>
      </c>
      <c r="W522" s="13">
        <f t="shared" si="25"/>
        <v>1624</v>
      </c>
      <c r="X522" s="12" t="str">
        <f>_xlfn.XLOOKUP($B522,M_YT_LIVE!$A:$A,M_YT_LIVE!$D:$D)</f>
        <v>https://www.youtube.com/live/w3oM0fDmwz4?si=VVO-ga6uipBLMrpR</v>
      </c>
      <c r="Z522" s="16" t="str">
        <f>HYPERLINK($X522&amp;SUBSTITUTE(マスタ!$C$3,"XXXXX",$W522))</f>
        <v>https://www.youtube.com/live/w3oM0fDmwz4?si=VVO-ga6uipBLMrpR&amp;t=1624s</v>
      </c>
      <c r="AA522" s="12" t="str">
        <f t="shared" si="24"/>
        <v>ナノウ(ほえほえP) feat. 初音ミクハロ/ハワユ</v>
      </c>
    </row>
    <row r="523" spans="1:27" x14ac:dyDescent="0.4">
      <c r="A523" s="14">
        <f t="shared" si="26"/>
        <v>522</v>
      </c>
      <c r="B523" s="14">
        <v>73</v>
      </c>
      <c r="C523" s="18" t="s">
        <v>1408</v>
      </c>
      <c r="D523" s="14" t="s">
        <v>80</v>
      </c>
      <c r="E523" s="14" t="s">
        <v>81</v>
      </c>
      <c r="G523" s="1" t="str">
        <f>_xlfn.XLOOKUP(B523,M_YT_LIVE!A:A,M_YT_LIVE!F:F,"ERROR",0,1)</f>
        <v>弾き語り</v>
      </c>
      <c r="W523" s="13">
        <f t="shared" si="25"/>
        <v>2126</v>
      </c>
      <c r="X523" s="12" t="str">
        <f>_xlfn.XLOOKUP($B523,M_YT_LIVE!$A:$A,M_YT_LIVE!$D:$D)</f>
        <v>https://www.youtube.com/live/w3oM0fDmwz4?si=VVO-ga6uipBLMrpR</v>
      </c>
      <c r="Z523" s="16" t="str">
        <f>HYPERLINK($X523&amp;SUBSTITUTE(マスタ!$C$3,"XXXXX",$W523))</f>
        <v>https://www.youtube.com/live/w3oM0fDmwz4?si=VVO-ga6uipBLMrpR&amp;t=2126s</v>
      </c>
      <c r="AA523" s="12" t="str">
        <f t="shared" si="24"/>
        <v>じん(自然の敵P) feat.IA想像フォレスト</v>
      </c>
    </row>
    <row r="524" spans="1:27" x14ac:dyDescent="0.4">
      <c r="A524" s="14">
        <f t="shared" si="26"/>
        <v>523</v>
      </c>
      <c r="B524" s="14">
        <v>73</v>
      </c>
      <c r="C524" s="18" t="s">
        <v>1409</v>
      </c>
      <c r="D524" s="14" t="s">
        <v>109</v>
      </c>
      <c r="E524" s="14" t="s">
        <v>44</v>
      </c>
      <c r="G524" s="1" t="str">
        <f>_xlfn.XLOOKUP(B524,M_YT_LIVE!A:A,M_YT_LIVE!F:F,"ERROR",0,1)</f>
        <v>弾き語り</v>
      </c>
      <c r="W524" s="13">
        <f t="shared" si="25"/>
        <v>2536</v>
      </c>
      <c r="X524" s="12" t="str">
        <f>_xlfn.XLOOKUP($B524,M_YT_LIVE!$A:$A,M_YT_LIVE!$D:$D)</f>
        <v>https://www.youtube.com/live/w3oM0fDmwz4?si=VVO-ga6uipBLMrpR</v>
      </c>
      <c r="Z524" s="16" t="str">
        <f>HYPERLINK($X524&amp;SUBSTITUTE(マスタ!$C$3,"XXXXX",$W524))</f>
        <v>https://www.youtube.com/live/w3oM0fDmwz4?si=VVO-ga6uipBLMrpR&amp;t=2536s</v>
      </c>
      <c r="AA524" s="12" t="str">
        <f t="shared" si="24"/>
        <v>メル feat.初音ミク翡翠のまち</v>
      </c>
    </row>
    <row r="525" spans="1:27" x14ac:dyDescent="0.4">
      <c r="A525" s="14">
        <f t="shared" si="26"/>
        <v>524</v>
      </c>
      <c r="B525" s="14">
        <v>73</v>
      </c>
      <c r="C525" s="18" t="s">
        <v>1410</v>
      </c>
      <c r="D525" s="14" t="s">
        <v>302</v>
      </c>
      <c r="E525" s="14" t="s">
        <v>303</v>
      </c>
      <c r="G525" s="1" t="str">
        <f>_xlfn.XLOOKUP(B525,M_YT_LIVE!A:A,M_YT_LIVE!F:F,"ERROR",0,1)</f>
        <v>弾き語り</v>
      </c>
      <c r="W525" s="13">
        <f t="shared" si="25"/>
        <v>2986</v>
      </c>
      <c r="X525" s="12" t="str">
        <f>_xlfn.XLOOKUP($B525,M_YT_LIVE!$A:$A,M_YT_LIVE!$D:$D)</f>
        <v>https://www.youtube.com/live/w3oM0fDmwz4?si=VVO-ga6uipBLMrpR</v>
      </c>
      <c r="Z525" s="16" t="str">
        <f>HYPERLINK($X525&amp;SUBSTITUTE(マスタ!$C$3,"XXXXX",$W525))</f>
        <v>https://www.youtube.com/live/w3oM0fDmwz4?si=VVO-ga6uipBLMrpR&amp;t=2986s</v>
      </c>
      <c r="AA525" s="12" t="str">
        <f t="shared" si="24"/>
        <v>Kemu feat.Gumi地球最後の告白を</v>
      </c>
    </row>
    <row r="526" spans="1:27" x14ac:dyDescent="0.4">
      <c r="A526" s="14">
        <f t="shared" si="26"/>
        <v>525</v>
      </c>
      <c r="B526" s="14">
        <v>73</v>
      </c>
      <c r="C526" s="18" t="s">
        <v>203</v>
      </c>
      <c r="D526" s="14" t="s">
        <v>1397</v>
      </c>
      <c r="E526" s="14" t="s">
        <v>180</v>
      </c>
      <c r="G526" s="1" t="str">
        <f>_xlfn.XLOOKUP(B526,M_YT_LIVE!A:A,M_YT_LIVE!F:F,"ERROR",0,1)</f>
        <v>弾き語り</v>
      </c>
      <c r="W526" s="13">
        <f t="shared" si="25"/>
        <v>3567</v>
      </c>
      <c r="X526" s="12" t="str">
        <f>_xlfn.XLOOKUP($B526,M_YT_LIVE!$A:$A,M_YT_LIVE!$D:$D)</f>
        <v>https://www.youtube.com/live/w3oM0fDmwz4?si=VVO-ga6uipBLMrpR</v>
      </c>
      <c r="Z526" s="16" t="str">
        <f>HYPERLINK($X526&amp;SUBSTITUTE(マスタ!$C$3,"XXXXX",$W526))</f>
        <v>https://www.youtube.com/live/w3oM0fDmwz4?si=VVO-ga6uipBLMrpR&amp;t=3567s</v>
      </c>
      <c r="AA526" s="12" t="str">
        <f t="shared" si="24"/>
        <v>40mP feat.初音ミクトリノコシティ</v>
      </c>
    </row>
    <row r="527" spans="1:27" x14ac:dyDescent="0.4">
      <c r="A527" s="14">
        <f t="shared" si="26"/>
        <v>526</v>
      </c>
      <c r="B527" s="14">
        <v>73</v>
      </c>
      <c r="C527" s="18" t="s">
        <v>1411</v>
      </c>
      <c r="D527" s="14" t="s">
        <v>451</v>
      </c>
      <c r="E527" s="14" t="s">
        <v>452</v>
      </c>
      <c r="G527" s="1" t="str">
        <f>_xlfn.XLOOKUP(B527,M_YT_LIVE!A:A,M_YT_LIVE!F:F,"ERROR",0,1)</f>
        <v>弾き語り</v>
      </c>
      <c r="W527" s="13">
        <f t="shared" si="25"/>
        <v>3917</v>
      </c>
      <c r="X527" s="12" t="str">
        <f>_xlfn.XLOOKUP($B527,M_YT_LIVE!$A:$A,M_YT_LIVE!$D:$D)</f>
        <v>https://www.youtube.com/live/w3oM0fDmwz4?si=VVO-ga6uipBLMrpR</v>
      </c>
      <c r="Z527" s="16" t="str">
        <f>HYPERLINK($X527&amp;SUBSTITUTE(マスタ!$C$3,"XXXXX",$W527))</f>
        <v>https://www.youtube.com/live/w3oM0fDmwz4?si=VVO-ga6uipBLMrpR&amp;t=3917s</v>
      </c>
      <c r="AA527" s="12" t="str">
        <f t="shared" si="24"/>
        <v>koyori(電ポルP) feat.初音ミク独りんぼエンヴィー</v>
      </c>
    </row>
    <row r="528" spans="1:27" x14ac:dyDescent="0.4">
      <c r="A528" s="14">
        <f t="shared" si="26"/>
        <v>527</v>
      </c>
      <c r="B528" s="14">
        <v>73</v>
      </c>
      <c r="C528" s="18" t="s">
        <v>1412</v>
      </c>
      <c r="D528" s="14" t="s">
        <v>459</v>
      </c>
      <c r="E528" s="14" t="s">
        <v>460</v>
      </c>
      <c r="G528" s="1" t="str">
        <f>_xlfn.XLOOKUP(B528,M_YT_LIVE!A:A,M_YT_LIVE!F:F,"ERROR",0,1)</f>
        <v>弾き語り</v>
      </c>
      <c r="W528" s="13">
        <f t="shared" si="25"/>
        <v>4294</v>
      </c>
      <c r="X528" s="12" t="str">
        <f>_xlfn.XLOOKUP($B528,M_YT_LIVE!$A:$A,M_YT_LIVE!$D:$D)</f>
        <v>https://www.youtube.com/live/w3oM0fDmwz4?si=VVO-ga6uipBLMrpR</v>
      </c>
      <c r="Z528" s="16" t="str">
        <f>HYPERLINK($X528&amp;SUBSTITUTE(マスタ!$C$3,"XXXXX",$W528))</f>
        <v>https://www.youtube.com/live/w3oM0fDmwz4?si=VVO-ga6uipBLMrpR&amp;t=4294s</v>
      </c>
      <c r="AA528" s="12" t="str">
        <f t="shared" si="24"/>
        <v>バルーン(須田景凪) feat.flower花瓶に触れた</v>
      </c>
    </row>
    <row r="529" spans="1:27" x14ac:dyDescent="0.4">
      <c r="A529" s="14">
        <f t="shared" si="26"/>
        <v>528</v>
      </c>
      <c r="B529" s="14">
        <v>73</v>
      </c>
      <c r="C529" s="18" t="s">
        <v>1413</v>
      </c>
      <c r="D529" s="14" t="s">
        <v>106</v>
      </c>
      <c r="E529" s="14" t="s">
        <v>107</v>
      </c>
      <c r="G529" s="1" t="str">
        <f>_xlfn.XLOOKUP(B529,M_YT_LIVE!A:A,M_YT_LIVE!F:F,"ERROR",0,1)</f>
        <v>弾き語り</v>
      </c>
      <c r="W529" s="13">
        <f t="shared" si="25"/>
        <v>4675</v>
      </c>
      <c r="X529" s="12" t="str">
        <f>_xlfn.XLOOKUP($B529,M_YT_LIVE!$A:$A,M_YT_LIVE!$D:$D)</f>
        <v>https://www.youtube.com/live/w3oM0fDmwz4?si=VVO-ga6uipBLMrpR</v>
      </c>
      <c r="Z529" s="16" t="str">
        <f>HYPERLINK($X529&amp;SUBSTITUTE(マスタ!$C$3,"XXXXX",$W529))</f>
        <v>https://www.youtube.com/live/w3oM0fDmwz4?si=VVO-ga6uipBLMrpR&amp;t=4675s</v>
      </c>
      <c r="AA529" s="12" t="str">
        <f t="shared" si="24"/>
        <v>バルーン feat.flowerレディーレ</v>
      </c>
    </row>
    <row r="530" spans="1:27" x14ac:dyDescent="0.4">
      <c r="A530" s="14">
        <f t="shared" si="26"/>
        <v>529</v>
      </c>
      <c r="B530" s="14">
        <v>73</v>
      </c>
      <c r="C530" s="18" t="s">
        <v>1414</v>
      </c>
      <c r="D530" s="14" t="s">
        <v>1398</v>
      </c>
      <c r="E530" s="14" t="s">
        <v>1399</v>
      </c>
      <c r="G530" s="1" t="str">
        <f>_xlfn.XLOOKUP(B530,M_YT_LIVE!A:A,M_YT_LIVE!F:F,"ERROR",0,1)</f>
        <v>弾き語り</v>
      </c>
      <c r="W530" s="13">
        <f t="shared" si="25"/>
        <v>5048</v>
      </c>
      <c r="X530" s="12" t="str">
        <f>_xlfn.XLOOKUP($B530,M_YT_LIVE!$A:$A,M_YT_LIVE!$D:$D)</f>
        <v>https://www.youtube.com/live/w3oM0fDmwz4?si=VVO-ga6uipBLMrpR</v>
      </c>
      <c r="Z530" s="16" t="str">
        <f>HYPERLINK($X530&amp;SUBSTITUTE(マスタ!$C$3,"XXXXX",$W530))</f>
        <v>https://www.youtube.com/live/w3oM0fDmwz4?si=VVO-ga6uipBLMrpR&amp;t=5048s</v>
      </c>
      <c r="AA530" s="12" t="str">
        <f t="shared" si="24"/>
        <v>King Gnu白日</v>
      </c>
    </row>
    <row r="531" spans="1:27" x14ac:dyDescent="0.4">
      <c r="A531" s="14">
        <f t="shared" si="26"/>
        <v>530</v>
      </c>
      <c r="B531" s="14">
        <v>73</v>
      </c>
      <c r="C531" s="18" t="s">
        <v>1415</v>
      </c>
      <c r="D531" s="14" t="s">
        <v>103</v>
      </c>
      <c r="E531" s="14" t="s">
        <v>104</v>
      </c>
      <c r="G531" s="1" t="str">
        <f>_xlfn.XLOOKUP(B531,M_YT_LIVE!A:A,M_YT_LIVE!F:F,"ERROR",0,1)</f>
        <v>弾き語り</v>
      </c>
      <c r="W531" s="13">
        <f t="shared" si="25"/>
        <v>5543</v>
      </c>
      <c r="X531" s="12" t="str">
        <f>_xlfn.XLOOKUP($B531,M_YT_LIVE!$A:$A,M_YT_LIVE!$D:$D)</f>
        <v>https://www.youtube.com/live/w3oM0fDmwz4?si=VVO-ga6uipBLMrpR</v>
      </c>
      <c r="Z531" s="16" t="str">
        <f>HYPERLINK($X531&amp;SUBSTITUTE(マスタ!$C$3,"XXXXX",$W531))</f>
        <v>https://www.youtube.com/live/w3oM0fDmwz4?si=VVO-ga6uipBLMrpR&amp;t=5543s</v>
      </c>
      <c r="AA531" s="12" t="str">
        <f t="shared" si="24"/>
        <v>獅子志司 feat.初音ミク絶え間なく藍色</v>
      </c>
    </row>
    <row r="532" spans="1:27" x14ac:dyDescent="0.4">
      <c r="A532" s="14">
        <f t="shared" si="26"/>
        <v>531</v>
      </c>
      <c r="B532" s="14">
        <v>73</v>
      </c>
      <c r="C532" s="18" t="s">
        <v>1048</v>
      </c>
      <c r="D532" s="14" t="s">
        <v>1400</v>
      </c>
      <c r="E532" s="14" t="s">
        <v>1401</v>
      </c>
      <c r="G532" s="1" t="str">
        <f>_xlfn.XLOOKUP(B532,M_YT_LIVE!A:A,M_YT_LIVE!F:F,"ERROR",0,1)</f>
        <v>弾き語り</v>
      </c>
      <c r="W532" s="13">
        <f t="shared" si="25"/>
        <v>5970</v>
      </c>
      <c r="X532" s="12" t="str">
        <f>_xlfn.XLOOKUP($B532,M_YT_LIVE!$A:$A,M_YT_LIVE!$D:$D)</f>
        <v>https://www.youtube.com/live/w3oM0fDmwz4?si=VVO-ga6uipBLMrpR</v>
      </c>
      <c r="Z532" s="16" t="str">
        <f>HYPERLINK($X532&amp;SUBSTITUTE(マスタ!$C$3,"XXXXX",$W532))</f>
        <v>https://www.youtube.com/live/w3oM0fDmwz4?si=VVO-ga6uipBLMrpR&amp;t=5970s</v>
      </c>
      <c r="AA532" s="12" t="str">
        <f t="shared" si="24"/>
        <v>三月のパンタシアピンクレモネード</v>
      </c>
    </row>
    <row r="533" spans="1:27" x14ac:dyDescent="0.4">
      <c r="A533" s="14">
        <f t="shared" si="26"/>
        <v>532</v>
      </c>
      <c r="B533" s="14">
        <v>73</v>
      </c>
      <c r="C533" s="18" t="s">
        <v>1416</v>
      </c>
      <c r="D533" s="14" t="s">
        <v>1402</v>
      </c>
      <c r="E533" s="14" t="s">
        <v>1423</v>
      </c>
      <c r="G533" s="1" t="str">
        <f>_xlfn.XLOOKUP(B533,M_YT_LIVE!A:A,M_YT_LIVE!F:F,"ERROR",0,1)</f>
        <v>弾き語り</v>
      </c>
      <c r="W533" s="13">
        <f t="shared" si="25"/>
        <v>6550</v>
      </c>
      <c r="X533" s="12" t="str">
        <f>_xlfn.XLOOKUP($B533,M_YT_LIVE!$A:$A,M_YT_LIVE!$D:$D)</f>
        <v>https://www.youtube.com/live/w3oM0fDmwz4?si=VVO-ga6uipBLMrpR</v>
      </c>
      <c r="Z533" s="16" t="str">
        <f>HYPERLINK($X533&amp;SUBSTITUTE(マスタ!$C$3,"XXXXX",$W533))</f>
        <v>https://www.youtube.com/live/w3oM0fDmwz4?si=VVO-ga6uipBLMrpR&amp;t=6550s</v>
      </c>
      <c r="AA533" s="12" t="str">
        <f t="shared" si="24"/>
        <v>[Alexandros]SNOW SOUND</v>
      </c>
    </row>
    <row r="534" spans="1:27" x14ac:dyDescent="0.4">
      <c r="A534" s="14">
        <f t="shared" si="26"/>
        <v>533</v>
      </c>
      <c r="B534" s="14">
        <v>73</v>
      </c>
      <c r="C534" s="18" t="s">
        <v>1417</v>
      </c>
      <c r="D534" s="14" t="s">
        <v>1403</v>
      </c>
      <c r="E534" s="14" t="s">
        <v>1101</v>
      </c>
      <c r="G534" s="1" t="str">
        <f>_xlfn.XLOOKUP(B534,M_YT_LIVE!A:A,M_YT_LIVE!F:F,"ERROR",0,1)</f>
        <v>弾き語り</v>
      </c>
      <c r="W534" s="13">
        <f t="shared" si="25"/>
        <v>6970</v>
      </c>
      <c r="X534" s="12" t="str">
        <f>_xlfn.XLOOKUP($B534,M_YT_LIVE!$A:$A,M_YT_LIVE!$D:$D)</f>
        <v>https://www.youtube.com/live/w3oM0fDmwz4?si=VVO-ga6uipBLMrpR</v>
      </c>
      <c r="Z534" s="16" t="str">
        <f>HYPERLINK($X534&amp;SUBSTITUTE(マスタ!$C$3,"XXXXX",$W534))</f>
        <v>https://www.youtube.com/live/w3oM0fDmwz4?si=VVO-ga6uipBLMrpR&amp;t=6970s</v>
      </c>
      <c r="AA534" s="12" t="str">
        <f t="shared" si="24"/>
        <v>きのこ帝国金木犀の夜</v>
      </c>
    </row>
    <row r="535" spans="1:27" x14ac:dyDescent="0.4">
      <c r="A535" s="14">
        <f t="shared" si="26"/>
        <v>534</v>
      </c>
      <c r="B535" s="14">
        <v>73</v>
      </c>
      <c r="C535" s="18" t="s">
        <v>1418</v>
      </c>
      <c r="D535" s="14" t="s">
        <v>374</v>
      </c>
      <c r="E535" s="14" t="s">
        <v>135</v>
      </c>
      <c r="G535" s="1" t="str">
        <f>_xlfn.XLOOKUP(B535,M_YT_LIVE!A:A,M_YT_LIVE!F:F,"ERROR",0,1)</f>
        <v>弾き語り</v>
      </c>
      <c r="W535" s="13">
        <f t="shared" si="25"/>
        <v>7781</v>
      </c>
      <c r="X535" s="12" t="str">
        <f>_xlfn.XLOOKUP($B535,M_YT_LIVE!$A:$A,M_YT_LIVE!$D:$D)</f>
        <v>https://www.youtube.com/live/w3oM0fDmwz4?si=VVO-ga6uipBLMrpR</v>
      </c>
      <c r="Z535" s="16" t="str">
        <f>HYPERLINK($X535&amp;SUBSTITUTE(マスタ!$C$3,"XXXXX",$W535))</f>
        <v>https://www.youtube.com/live/w3oM0fDmwz4?si=VVO-ga6uipBLMrpR&amp;t=7781s</v>
      </c>
      <c r="AA535" s="12" t="str">
        <f t="shared" si="24"/>
        <v>EGOISTDepartures 〜あなたにおくるアイの歌〜</v>
      </c>
    </row>
    <row r="536" spans="1:27" x14ac:dyDescent="0.4">
      <c r="A536" s="14">
        <f t="shared" si="26"/>
        <v>535</v>
      </c>
      <c r="B536" s="14">
        <v>75</v>
      </c>
      <c r="C536" s="18" t="s">
        <v>1428</v>
      </c>
      <c r="D536" s="14" t="s">
        <v>74</v>
      </c>
      <c r="E536" s="14" t="s">
        <v>228</v>
      </c>
      <c r="G536" s="1" t="str">
        <f>_xlfn.XLOOKUP(B536,M_YT_LIVE!A:A,M_YT_LIVE!F:F,"ERROR",0,1)</f>
        <v>弾き語り</v>
      </c>
      <c r="W536" s="13">
        <f t="shared" si="25"/>
        <v>374</v>
      </c>
      <c r="X536" s="12" t="str">
        <f>_xlfn.XLOOKUP($B536,M_YT_LIVE!$A:$A,M_YT_LIVE!$D:$D)</f>
        <v>https://www.youtube.com/live/ac4RYGdoGfw?si=XYuojmcqpJZOLb9x</v>
      </c>
      <c r="Z536" s="16" t="str">
        <f>HYPERLINK($X536&amp;SUBSTITUTE(マスタ!$C$3,"XXXXX",$W536))</f>
        <v>https://www.youtube.com/live/ac4RYGdoGfw?si=XYuojmcqpJZOLb9x&amp;t=374s</v>
      </c>
      <c r="AA536" s="12" t="str">
        <f t="shared" si="24"/>
        <v>ずっと真夜中でいいのに。秒針を噛む</v>
      </c>
    </row>
    <row r="537" spans="1:27" x14ac:dyDescent="0.4">
      <c r="A537" s="14">
        <f t="shared" si="26"/>
        <v>536</v>
      </c>
      <c r="B537" s="14">
        <v>75</v>
      </c>
      <c r="C537" s="18" t="s">
        <v>1429</v>
      </c>
      <c r="D537" s="14" t="s">
        <v>1430</v>
      </c>
      <c r="E537" s="14" t="s">
        <v>228</v>
      </c>
      <c r="G537" s="1" t="str">
        <f>_xlfn.XLOOKUP(B537,M_YT_LIVE!A:A,M_YT_LIVE!F:F,"ERROR",0,1)</f>
        <v>弾き語り</v>
      </c>
      <c r="W537" s="13">
        <f t="shared" si="25"/>
        <v>761</v>
      </c>
      <c r="X537" s="12" t="str">
        <f>_xlfn.XLOOKUP($B537,M_YT_LIVE!$A:$A,M_YT_LIVE!$D:$D)</f>
        <v>https://www.youtube.com/live/ac4RYGdoGfw?si=XYuojmcqpJZOLb9x</v>
      </c>
      <c r="Z537" s="16" t="str">
        <f>HYPERLINK($X537&amp;SUBSTITUTE(マスタ!$C$3,"XXXXX",$W537))</f>
        <v>https://www.youtube.com/live/ac4RYGdoGfw?si=XYuojmcqpJZOLb9x&amp;t=761s</v>
      </c>
      <c r="AA537" s="12" t="str">
        <f t="shared" si="24"/>
        <v>ずっと真夜中でいいのに。サターン</v>
      </c>
    </row>
    <row r="538" spans="1:27" x14ac:dyDescent="0.4">
      <c r="A538" s="14">
        <f t="shared" si="26"/>
        <v>537</v>
      </c>
      <c r="B538" s="14">
        <v>75</v>
      </c>
      <c r="C538" s="18" t="s">
        <v>1431</v>
      </c>
      <c r="D538" s="14" t="s">
        <v>1432</v>
      </c>
      <c r="E538" s="14" t="s">
        <v>228</v>
      </c>
      <c r="G538" s="1" t="str">
        <f>_xlfn.XLOOKUP(B538,M_YT_LIVE!A:A,M_YT_LIVE!F:F,"ERROR",0,1)</f>
        <v>弾き語り</v>
      </c>
      <c r="W538" s="13">
        <f t="shared" si="25"/>
        <v>1199</v>
      </c>
      <c r="X538" s="12" t="str">
        <f>_xlfn.XLOOKUP($B538,M_YT_LIVE!$A:$A,M_YT_LIVE!$D:$D)</f>
        <v>https://www.youtube.com/live/ac4RYGdoGfw?si=XYuojmcqpJZOLb9x</v>
      </c>
      <c r="Z538" s="16" t="str">
        <f>HYPERLINK($X538&amp;SUBSTITUTE(マスタ!$C$3,"XXXXX",$W538))</f>
        <v>https://www.youtube.com/live/ac4RYGdoGfw?si=XYuojmcqpJZOLb9x&amp;t=1199s</v>
      </c>
      <c r="AA538" s="12" t="str">
        <f t="shared" si="24"/>
        <v>ずっと真夜中でいいのに。Ham</v>
      </c>
    </row>
    <row r="539" spans="1:27" x14ac:dyDescent="0.4">
      <c r="A539" s="14">
        <f t="shared" si="26"/>
        <v>538</v>
      </c>
      <c r="B539" s="14">
        <v>75</v>
      </c>
      <c r="C539" s="18" t="s">
        <v>1433</v>
      </c>
      <c r="D539" s="14" t="s">
        <v>694</v>
      </c>
      <c r="E539" s="14" t="s">
        <v>228</v>
      </c>
      <c r="G539" s="1" t="str">
        <f>_xlfn.XLOOKUP(B539,M_YT_LIVE!A:A,M_YT_LIVE!F:F,"ERROR",0,1)</f>
        <v>弾き語り</v>
      </c>
      <c r="W539" s="13">
        <f t="shared" si="25"/>
        <v>1612</v>
      </c>
      <c r="X539" s="12" t="str">
        <f>_xlfn.XLOOKUP($B539,M_YT_LIVE!$A:$A,M_YT_LIVE!$D:$D)</f>
        <v>https://www.youtube.com/live/ac4RYGdoGfw?si=XYuojmcqpJZOLb9x</v>
      </c>
      <c r="Z539" s="16" t="str">
        <f>HYPERLINK($X539&amp;SUBSTITUTE(マスタ!$C$3,"XXXXX",$W539))</f>
        <v>https://www.youtube.com/live/ac4RYGdoGfw?si=XYuojmcqpJZOLb9x&amp;t=1612s</v>
      </c>
      <c r="AA539" s="12" t="str">
        <f t="shared" si="24"/>
        <v>ずっと真夜中でいいのに。ヒューマノイド</v>
      </c>
    </row>
    <row r="540" spans="1:27" x14ac:dyDescent="0.4">
      <c r="A540" s="14">
        <f t="shared" si="26"/>
        <v>539</v>
      </c>
      <c r="B540" s="14">
        <v>75</v>
      </c>
      <c r="C540" s="18" t="s">
        <v>1434</v>
      </c>
      <c r="D540" s="14" t="s">
        <v>1435</v>
      </c>
      <c r="E540" s="14" t="s">
        <v>1436</v>
      </c>
      <c r="G540" s="1" t="str">
        <f>_xlfn.XLOOKUP(B540,M_YT_LIVE!A:A,M_YT_LIVE!F:F,"ERROR",0,1)</f>
        <v>弾き語り</v>
      </c>
      <c r="W540" s="13">
        <f t="shared" si="25"/>
        <v>2057</v>
      </c>
      <c r="X540" s="12" t="str">
        <f>_xlfn.XLOOKUP($B540,M_YT_LIVE!$A:$A,M_YT_LIVE!$D:$D)</f>
        <v>https://www.youtube.com/live/ac4RYGdoGfw?si=XYuojmcqpJZOLb9x</v>
      </c>
      <c r="Z540" s="16" t="str">
        <f>HYPERLINK($X540&amp;SUBSTITUTE(マスタ!$C$3,"XXXXX",$W540))</f>
        <v>https://www.youtube.com/live/ac4RYGdoGfw?si=XYuojmcqpJZOLb9x&amp;t=2057s</v>
      </c>
      <c r="AA540" s="12" t="str">
        <f t="shared" si="24"/>
        <v>電ポルP feat.初音ミクサイノウサンプラー</v>
      </c>
    </row>
    <row r="541" spans="1:27" x14ac:dyDescent="0.4">
      <c r="A541" s="14">
        <f t="shared" si="26"/>
        <v>540</v>
      </c>
      <c r="B541" s="14">
        <v>75</v>
      </c>
      <c r="C541" s="18" t="s">
        <v>1437</v>
      </c>
      <c r="D541" s="14" t="s">
        <v>312</v>
      </c>
      <c r="E541" s="14" t="s">
        <v>208</v>
      </c>
      <c r="G541" s="1" t="str">
        <f>_xlfn.XLOOKUP(B541,M_YT_LIVE!A:A,M_YT_LIVE!F:F,"ERROR",0,1)</f>
        <v>弾き語り</v>
      </c>
      <c r="W541" s="13">
        <f t="shared" si="25"/>
        <v>2412</v>
      </c>
      <c r="X541" s="12" t="str">
        <f>_xlfn.XLOOKUP($B541,M_YT_LIVE!$A:$A,M_YT_LIVE!$D:$D)</f>
        <v>https://www.youtube.com/live/ac4RYGdoGfw?si=XYuojmcqpJZOLb9x</v>
      </c>
      <c r="Z541" s="16" t="str">
        <f>HYPERLINK($X541&amp;SUBSTITUTE(マスタ!$C$3,"XXXXX",$W541))</f>
        <v>https://www.youtube.com/live/ac4RYGdoGfw?si=XYuojmcqpJZOLb9x&amp;t=2412s</v>
      </c>
      <c r="AA541" s="12" t="str">
        <f t="shared" si="24"/>
        <v>supercellリルモア</v>
      </c>
    </row>
    <row r="542" spans="1:27" x14ac:dyDescent="0.4">
      <c r="A542" s="14">
        <f t="shared" si="26"/>
        <v>541</v>
      </c>
      <c r="B542" s="14">
        <v>75</v>
      </c>
      <c r="C542" s="18" t="s">
        <v>1438</v>
      </c>
      <c r="D542" s="14" t="s">
        <v>712</v>
      </c>
      <c r="E542" s="14" t="s">
        <v>713</v>
      </c>
      <c r="G542" s="1" t="str">
        <f>_xlfn.XLOOKUP(B542,M_YT_LIVE!A:A,M_YT_LIVE!F:F,"ERROR",0,1)</f>
        <v>弾き語り</v>
      </c>
      <c r="W542" s="13">
        <f t="shared" si="25"/>
        <v>2920</v>
      </c>
      <c r="X542" s="12" t="str">
        <f>_xlfn.XLOOKUP($B542,M_YT_LIVE!$A:$A,M_YT_LIVE!$D:$D)</f>
        <v>https://www.youtube.com/live/ac4RYGdoGfw?si=XYuojmcqpJZOLb9x</v>
      </c>
      <c r="Z542" s="16" t="str">
        <f>HYPERLINK($X542&amp;SUBSTITUTE(マスタ!$C$3,"XXXXX",$W542))</f>
        <v>https://www.youtube.com/live/ac4RYGdoGfw?si=XYuojmcqpJZOLb9x&amp;t=2920s</v>
      </c>
      <c r="AA542" s="12" t="str">
        <f t="shared" si="24"/>
        <v>ロクデナシリインカーネーション</v>
      </c>
    </row>
    <row r="543" spans="1:27" x14ac:dyDescent="0.4">
      <c r="A543" s="14">
        <f t="shared" si="26"/>
        <v>542</v>
      </c>
      <c r="B543" s="14">
        <v>75</v>
      </c>
      <c r="C543" s="18" t="s">
        <v>1439</v>
      </c>
      <c r="D543" s="14" t="s">
        <v>643</v>
      </c>
      <c r="E543" s="14" t="s">
        <v>168</v>
      </c>
      <c r="G543" s="1" t="str">
        <f>_xlfn.XLOOKUP(B543,M_YT_LIVE!A:A,M_YT_LIVE!F:F,"ERROR",0,1)</f>
        <v>弾き語り</v>
      </c>
      <c r="W543" s="13">
        <f t="shared" si="25"/>
        <v>3258.0000000000005</v>
      </c>
      <c r="X543" s="12" t="str">
        <f>_xlfn.XLOOKUP($B543,M_YT_LIVE!$A:$A,M_YT_LIVE!$D:$D)</f>
        <v>https://www.youtube.com/live/ac4RYGdoGfw?si=XYuojmcqpJZOLb9x</v>
      </c>
      <c r="Z543" s="16" t="str">
        <f>HYPERLINK($X543&amp;SUBSTITUTE(マスタ!$C$3,"XXXXX",$W543))</f>
        <v>https://www.youtube.com/live/ac4RYGdoGfw?si=XYuojmcqpJZOLb9x&amp;t=3258s</v>
      </c>
      <c r="AA543" s="12" t="str">
        <f t="shared" si="24"/>
        <v>AimerRef:rain</v>
      </c>
    </row>
    <row r="544" spans="1:27" x14ac:dyDescent="0.4">
      <c r="A544" s="14">
        <f t="shared" si="26"/>
        <v>543</v>
      </c>
      <c r="B544" s="14">
        <v>75</v>
      </c>
      <c r="C544" s="18" t="s">
        <v>1440</v>
      </c>
      <c r="D544" s="14" t="s">
        <v>185</v>
      </c>
      <c r="E544" s="14" t="s">
        <v>186</v>
      </c>
      <c r="G544" s="1" t="str">
        <f>_xlfn.XLOOKUP(B544,M_YT_LIVE!A:A,M_YT_LIVE!F:F,"ERROR",0,1)</f>
        <v>弾き語り</v>
      </c>
      <c r="W544" s="13">
        <f t="shared" si="25"/>
        <v>3689</v>
      </c>
      <c r="X544" s="12" t="str">
        <f>_xlfn.XLOOKUP($B544,M_YT_LIVE!$A:$A,M_YT_LIVE!$D:$D)</f>
        <v>https://www.youtube.com/live/ac4RYGdoGfw?si=XYuojmcqpJZOLb9x</v>
      </c>
      <c r="Z544" s="16" t="str">
        <f>HYPERLINK($X544&amp;SUBSTITUTE(マスタ!$C$3,"XXXXX",$W544))</f>
        <v>https://www.youtube.com/live/ac4RYGdoGfw?si=XYuojmcqpJZOLb9x&amp;t=3689s</v>
      </c>
      <c r="AA544" s="12" t="str">
        <f t="shared" si="24"/>
        <v>YUI for 雨音薫Good-bye days</v>
      </c>
    </row>
    <row r="545" spans="1:27" x14ac:dyDescent="0.4">
      <c r="A545" s="14">
        <f t="shared" si="26"/>
        <v>544</v>
      </c>
      <c r="B545" s="14">
        <v>77</v>
      </c>
      <c r="C545" s="18" t="s">
        <v>1445</v>
      </c>
      <c r="D545" s="14" t="s">
        <v>111</v>
      </c>
      <c r="E545" s="14" t="s">
        <v>112</v>
      </c>
      <c r="G545" s="1" t="str">
        <f>_xlfn.XLOOKUP(B545,M_YT_LIVE!A:A,M_YT_LIVE!F:F,"ERROR",0,1)</f>
        <v>弾き語り</v>
      </c>
      <c r="W545" s="13">
        <f t="shared" si="25"/>
        <v>265</v>
      </c>
      <c r="X545" s="12" t="str">
        <f>_xlfn.XLOOKUP($B545,M_YT_LIVE!$A:$A,M_YT_LIVE!$D:$D)</f>
        <v>https://www.youtube.com/live/Cs48limSzrE?si=n8CFockH4OVXGSvE</v>
      </c>
      <c r="Z545" s="16" t="str">
        <f>HYPERLINK($X545&amp;SUBSTITUTE(マスタ!$C$3,"XXXXX",$W545))</f>
        <v>https://www.youtube.com/live/Cs48limSzrE?si=n8CFockH4OVXGSvE&amp;t=265s</v>
      </c>
      <c r="AA545" s="12" t="str">
        <f t="shared" si="24"/>
        <v>DECO*27 feat.初音ミク妄想感傷代償連盟</v>
      </c>
    </row>
    <row r="546" spans="1:27" x14ac:dyDescent="0.4">
      <c r="A546" s="14">
        <f t="shared" si="26"/>
        <v>545</v>
      </c>
      <c r="B546" s="14">
        <v>77</v>
      </c>
      <c r="C546" s="18" t="s">
        <v>1446</v>
      </c>
      <c r="D546" s="14" t="s">
        <v>593</v>
      </c>
      <c r="E546" s="14" t="s">
        <v>65</v>
      </c>
      <c r="G546" s="1" t="str">
        <f>_xlfn.XLOOKUP(B546,M_YT_LIVE!A:A,M_YT_LIVE!F:F,"ERROR",0,1)</f>
        <v>弾き語り</v>
      </c>
      <c r="W546" s="13">
        <f t="shared" si="25"/>
        <v>772</v>
      </c>
      <c r="X546" s="12" t="str">
        <f>_xlfn.XLOOKUP($B546,M_YT_LIVE!$A:$A,M_YT_LIVE!$D:$D)</f>
        <v>https://www.youtube.com/live/Cs48limSzrE?si=n8CFockH4OVXGSvE</v>
      </c>
      <c r="Z546" s="16" t="str">
        <f>HYPERLINK($X546&amp;SUBSTITUTE(マスタ!$C$3,"XXXXX",$W546))</f>
        <v>https://www.youtube.com/live/Cs48limSzrE?si=n8CFockH4OVXGSvE&amp;t=772s</v>
      </c>
      <c r="AA546" s="12" t="str">
        <f t="shared" si="24"/>
        <v>R Sound Design feat.初音ミク帝国少女</v>
      </c>
    </row>
    <row r="547" spans="1:27" x14ac:dyDescent="0.4">
      <c r="A547" s="14">
        <f t="shared" si="26"/>
        <v>546</v>
      </c>
      <c r="B547" s="14">
        <v>77</v>
      </c>
      <c r="C547" s="18" t="s">
        <v>1447</v>
      </c>
      <c r="D547" s="14" t="s">
        <v>64</v>
      </c>
      <c r="E547" s="14" t="s">
        <v>65</v>
      </c>
      <c r="G547" s="1" t="str">
        <f>_xlfn.XLOOKUP(B547,M_YT_LIVE!A:A,M_YT_LIVE!F:F,"ERROR",0,1)</f>
        <v>弾き語り</v>
      </c>
      <c r="W547" s="13">
        <f t="shared" si="25"/>
        <v>1212</v>
      </c>
      <c r="X547" s="12" t="str">
        <f>_xlfn.XLOOKUP($B547,M_YT_LIVE!$A:$A,M_YT_LIVE!$D:$D)</f>
        <v>https://www.youtube.com/live/Cs48limSzrE?si=n8CFockH4OVXGSvE</v>
      </c>
      <c r="Z547" s="16" t="str">
        <f>HYPERLINK($X547&amp;SUBSTITUTE(マスタ!$C$3,"XXXXX",$W547))</f>
        <v>https://www.youtube.com/live/Cs48limSzrE?si=n8CFockH4OVXGSvE&amp;t=1212s</v>
      </c>
      <c r="AA547" s="12" t="str">
        <f t="shared" si="24"/>
        <v>R Sound Design feat.初音ミクflos</v>
      </c>
    </row>
    <row r="548" spans="1:27" x14ac:dyDescent="0.4">
      <c r="A548" s="14">
        <f t="shared" si="26"/>
        <v>547</v>
      </c>
      <c r="B548" s="14">
        <v>77</v>
      </c>
      <c r="C548" s="18" t="s">
        <v>1448</v>
      </c>
      <c r="D548" s="14" t="s">
        <v>97</v>
      </c>
      <c r="E548" s="14" t="s">
        <v>98</v>
      </c>
      <c r="G548" s="1" t="str">
        <f>_xlfn.XLOOKUP(B548,M_YT_LIVE!A:A,M_YT_LIVE!F:F,"ERROR",0,1)</f>
        <v>弾き語り</v>
      </c>
      <c r="W548" s="13">
        <f t="shared" si="25"/>
        <v>1645</v>
      </c>
      <c r="X548" s="12" t="str">
        <f>_xlfn.XLOOKUP($B548,M_YT_LIVE!$A:$A,M_YT_LIVE!$D:$D)</f>
        <v>https://www.youtube.com/live/Cs48limSzrE?si=n8CFockH4OVXGSvE</v>
      </c>
      <c r="Z548" s="16" t="str">
        <f>HYPERLINK($X548&amp;SUBSTITUTE(マスタ!$C$3,"XXXXX",$W548))</f>
        <v>https://www.youtube.com/live/Cs48limSzrE?si=n8CFockH4OVXGSvE&amp;t=1645s</v>
      </c>
      <c r="AA548" s="12" t="str">
        <f t="shared" si="24"/>
        <v>Dixie Flatline feat.巡音ルカJust Be Friends</v>
      </c>
    </row>
    <row r="549" spans="1:27" x14ac:dyDescent="0.4">
      <c r="A549" s="14">
        <f t="shared" si="26"/>
        <v>548</v>
      </c>
      <c r="B549" s="14">
        <v>77</v>
      </c>
      <c r="C549" s="18" t="s">
        <v>1449</v>
      </c>
      <c r="D549" s="14" t="s">
        <v>1450</v>
      </c>
      <c r="E549" s="14" t="s">
        <v>1451</v>
      </c>
      <c r="G549" s="1" t="str">
        <f>_xlfn.XLOOKUP(B549,M_YT_LIVE!A:A,M_YT_LIVE!F:F,"ERROR",0,1)</f>
        <v>弾き語り</v>
      </c>
      <c r="W549" s="13">
        <f t="shared" si="25"/>
        <v>2266</v>
      </c>
      <c r="X549" s="12" t="str">
        <f>_xlfn.XLOOKUP($B549,M_YT_LIVE!$A:$A,M_YT_LIVE!$D:$D)</f>
        <v>https://www.youtube.com/live/Cs48limSzrE?si=n8CFockH4OVXGSvE</v>
      </c>
      <c r="Z549" s="16" t="str">
        <f>HYPERLINK($X549&amp;SUBSTITUTE(マスタ!$C$3,"XXXXX",$W549))</f>
        <v>https://www.youtube.com/live/Cs48limSzrE?si=n8CFockH4OVXGSvE&amp;t=2266s</v>
      </c>
      <c r="AA549" s="12" t="str">
        <f t="shared" si="24"/>
        <v>蝶々P feat.GUMI心做し</v>
      </c>
    </row>
    <row r="550" spans="1:27" x14ac:dyDescent="0.4">
      <c r="A550" s="14">
        <f t="shared" si="26"/>
        <v>549</v>
      </c>
      <c r="B550" s="14">
        <v>77</v>
      </c>
      <c r="C550" s="18" t="s">
        <v>1452</v>
      </c>
      <c r="D550" s="14" t="s">
        <v>161</v>
      </c>
      <c r="E550" s="14" t="s">
        <v>150</v>
      </c>
      <c r="G550" s="1" t="str">
        <f>_xlfn.XLOOKUP(B550,M_YT_LIVE!A:A,M_YT_LIVE!F:F,"ERROR",0,1)</f>
        <v>弾き語り</v>
      </c>
      <c r="W550" s="13">
        <f t="shared" si="25"/>
        <v>2810</v>
      </c>
      <c r="X550" s="12" t="str">
        <f>_xlfn.XLOOKUP($B550,M_YT_LIVE!$A:$A,M_YT_LIVE!$D:$D)</f>
        <v>https://www.youtube.com/live/Cs48limSzrE?si=n8CFockH4OVXGSvE</v>
      </c>
      <c r="Z550" s="16" t="str">
        <f>HYPERLINK($X550&amp;SUBSTITUTE(マスタ!$C$3,"XXXXX",$W550))</f>
        <v>https://www.youtube.com/live/Cs48limSzrE?si=n8CFockH4OVXGSvE&amp;t=2810s</v>
      </c>
      <c r="AA550" s="12" t="str">
        <f t="shared" si="24"/>
        <v>みきとP feat.初音ミク夏の半券</v>
      </c>
    </row>
    <row r="551" spans="1:27" x14ac:dyDescent="0.4">
      <c r="A551" s="14">
        <f t="shared" si="26"/>
        <v>550</v>
      </c>
      <c r="B551" s="14">
        <v>77</v>
      </c>
      <c r="C551" s="18" t="s">
        <v>1453</v>
      </c>
      <c r="D551" s="14" t="s">
        <v>1454</v>
      </c>
      <c r="E551" s="14" t="s">
        <v>1455</v>
      </c>
      <c r="G551" s="1" t="str">
        <f>_xlfn.XLOOKUP(B551,M_YT_LIVE!A:A,M_YT_LIVE!F:F,"ERROR",0,1)</f>
        <v>弾き語り</v>
      </c>
      <c r="W551" s="13">
        <f t="shared" si="25"/>
        <v>3346</v>
      </c>
      <c r="X551" s="12" t="str">
        <f>_xlfn.XLOOKUP($B551,M_YT_LIVE!$A:$A,M_YT_LIVE!$D:$D)</f>
        <v>https://www.youtube.com/live/Cs48limSzrE?si=n8CFockH4OVXGSvE</v>
      </c>
      <c r="Z551" s="16" t="str">
        <f>HYPERLINK($X551&amp;SUBSTITUTE(マスタ!$C$3,"XXXXX",$W551))</f>
        <v>https://www.youtube.com/live/Cs48limSzrE?si=n8CFockH4OVXGSvE&amp;t=3346s</v>
      </c>
      <c r="AA551" s="12" t="str">
        <f t="shared" ref="AA551:AA592" si="27">TRIM(E551)&amp;TRIM(D551)</f>
        <v>とあ feat.初音ミクミュージックミュージック</v>
      </c>
    </row>
    <row r="552" spans="1:27" x14ac:dyDescent="0.4">
      <c r="A552" s="14">
        <f t="shared" si="26"/>
        <v>551</v>
      </c>
      <c r="B552" s="14">
        <v>77</v>
      </c>
      <c r="C552" s="18" t="s">
        <v>1456</v>
      </c>
      <c r="D552" s="14" t="s">
        <v>1457</v>
      </c>
      <c r="E552" s="14" t="s">
        <v>57</v>
      </c>
      <c r="G552" s="1" t="str">
        <f>_xlfn.XLOOKUP(B552,M_YT_LIVE!A:A,M_YT_LIVE!F:F,"ERROR",0,1)</f>
        <v>弾き語り</v>
      </c>
      <c r="W552" s="13">
        <f t="shared" si="25"/>
        <v>3731</v>
      </c>
      <c r="X552" s="12" t="str">
        <f>_xlfn.XLOOKUP($B552,M_YT_LIVE!$A:$A,M_YT_LIVE!$D:$D)</f>
        <v>https://www.youtube.com/live/Cs48limSzrE?si=n8CFockH4OVXGSvE</v>
      </c>
      <c r="Z552" s="16" t="str">
        <f>HYPERLINK($X552&amp;SUBSTITUTE(マスタ!$C$3,"XXXXX",$W552))</f>
        <v>https://www.youtube.com/live/Cs48limSzrE?si=n8CFockH4OVXGSvE&amp;t=3731s</v>
      </c>
      <c r="AA552" s="12" t="str">
        <f t="shared" si="27"/>
        <v>羊文学Feel</v>
      </c>
    </row>
    <row r="553" spans="1:27" x14ac:dyDescent="0.4">
      <c r="A553" s="14">
        <f t="shared" si="26"/>
        <v>552</v>
      </c>
      <c r="B553" s="14">
        <v>77</v>
      </c>
      <c r="C553" s="18" t="s">
        <v>1458</v>
      </c>
      <c r="D553" s="14" t="s">
        <v>1459</v>
      </c>
      <c r="E553" s="14" t="s">
        <v>716</v>
      </c>
      <c r="G553" s="1" t="str">
        <f>_xlfn.XLOOKUP(B553,M_YT_LIVE!A:A,M_YT_LIVE!F:F,"ERROR",0,1)</f>
        <v>弾き語り</v>
      </c>
      <c r="W553" s="13">
        <f t="shared" si="25"/>
        <v>4546</v>
      </c>
      <c r="X553" s="12" t="str">
        <f>_xlfn.XLOOKUP($B553,M_YT_LIVE!$A:$A,M_YT_LIVE!$D:$D)</f>
        <v>https://www.youtube.com/live/Cs48limSzrE?si=n8CFockH4OVXGSvE</v>
      </c>
      <c r="Z553" s="16" t="str">
        <f>HYPERLINK($X553&amp;SUBSTITUTE(マスタ!$C$3,"XXXXX",$W553))</f>
        <v>https://www.youtube.com/live/Cs48limSzrE?si=n8CFockH4OVXGSvE&amp;t=4546s</v>
      </c>
      <c r="AA553" s="12" t="str">
        <f t="shared" si="27"/>
        <v>RADWIMPS夢灯篭</v>
      </c>
    </row>
    <row r="554" spans="1:27" x14ac:dyDescent="0.4">
      <c r="A554" s="14">
        <f t="shared" si="26"/>
        <v>553</v>
      </c>
      <c r="B554" s="14">
        <v>77</v>
      </c>
      <c r="C554" s="18" t="s">
        <v>1460</v>
      </c>
      <c r="D554" s="14" t="s">
        <v>182</v>
      </c>
      <c r="E554" s="14" t="s">
        <v>183</v>
      </c>
      <c r="G554" s="1" t="str">
        <f>_xlfn.XLOOKUP(B554,M_YT_LIVE!A:A,M_YT_LIVE!F:F,"ERROR",0,1)</f>
        <v>弾き語り</v>
      </c>
      <c r="W554" s="13">
        <f t="shared" si="25"/>
        <v>4957</v>
      </c>
      <c r="X554" s="12" t="str">
        <f>_xlfn.XLOOKUP($B554,M_YT_LIVE!$A:$A,M_YT_LIVE!$D:$D)</f>
        <v>https://www.youtube.com/live/Cs48limSzrE?si=n8CFockH4OVXGSvE</v>
      </c>
      <c r="Z554" s="16" t="str">
        <f>HYPERLINK($X554&amp;SUBSTITUTE(マスタ!$C$3,"XXXXX",$W554))</f>
        <v>https://www.youtube.com/live/Cs48limSzrE?si=n8CFockH4OVXGSvE&amp;t=4957s</v>
      </c>
      <c r="AA554" s="12" t="str">
        <f t="shared" si="27"/>
        <v>クリープハイプおやすみ、泣き声 さよなら歌姫</v>
      </c>
    </row>
    <row r="555" spans="1:27" x14ac:dyDescent="0.4">
      <c r="A555" s="14">
        <f t="shared" si="26"/>
        <v>554</v>
      </c>
      <c r="B555" s="14">
        <v>77</v>
      </c>
      <c r="C555" s="18" t="s">
        <v>1461</v>
      </c>
      <c r="D555" s="14" t="s">
        <v>1462</v>
      </c>
      <c r="E555" s="14" t="s">
        <v>1194</v>
      </c>
      <c r="G555" s="1" t="str">
        <f>_xlfn.XLOOKUP(B555,M_YT_LIVE!A:A,M_YT_LIVE!F:F,"ERROR",0,1)</f>
        <v>弾き語り</v>
      </c>
      <c r="W555" s="13">
        <f t="shared" si="25"/>
        <v>5540</v>
      </c>
      <c r="X555" s="12" t="str">
        <f>_xlfn.XLOOKUP($B555,M_YT_LIVE!$A:$A,M_YT_LIVE!$D:$D)</f>
        <v>https://www.youtube.com/live/Cs48limSzrE?si=n8CFockH4OVXGSvE</v>
      </c>
      <c r="Z555" s="16" t="str">
        <f>HYPERLINK($X555&amp;SUBSTITUTE(マスタ!$C$3,"XXXXX",$W555))</f>
        <v>https://www.youtube.com/live/Cs48limSzrE?si=n8CFockH4OVXGSvE&amp;t=5540s</v>
      </c>
      <c r="AA555" s="12" t="str">
        <f t="shared" si="27"/>
        <v>サカナクションミュージック</v>
      </c>
    </row>
    <row r="556" spans="1:27" x14ac:dyDescent="0.4">
      <c r="A556" s="14">
        <f t="shared" si="26"/>
        <v>555</v>
      </c>
      <c r="B556" s="14">
        <v>78</v>
      </c>
      <c r="C556" s="18" t="s">
        <v>1465</v>
      </c>
      <c r="D556" s="14" t="s">
        <v>1466</v>
      </c>
      <c r="E556" s="14" t="s">
        <v>347</v>
      </c>
      <c r="G556" s="1" t="str">
        <f>_xlfn.XLOOKUP(B556,M_YT_LIVE!A:A,M_YT_LIVE!F:F,"ERROR",0,1)</f>
        <v>他</v>
      </c>
      <c r="W556" s="13">
        <f t="shared" si="25"/>
        <v>4383</v>
      </c>
      <c r="X556" s="12" t="str">
        <f>_xlfn.XLOOKUP($B556,M_YT_LIVE!$A:$A,M_YT_LIVE!$D:$D)</f>
        <v>https://www.youtube.com/live/qTRoniWqYUs?si=tZabM9W3dUpT3w7w</v>
      </c>
      <c r="Z556" s="16" t="str">
        <f>HYPERLINK($X556&amp;SUBSTITUTE(マスタ!$C$3,"XXXXX",$W556))</f>
        <v>https://www.youtube.com/live/qTRoniWqYUs?si=tZabM9W3dUpT3w7w&amp;t=4383s</v>
      </c>
      <c r="AA556" s="12" t="str">
        <f t="shared" si="27"/>
        <v>幽音しの(即興)カウントダウン前にバースデーソング作る</v>
      </c>
    </row>
    <row r="557" spans="1:27" x14ac:dyDescent="0.4">
      <c r="A557" s="14">
        <f t="shared" si="26"/>
        <v>556</v>
      </c>
      <c r="B557" s="14">
        <v>79</v>
      </c>
      <c r="C557" s="18" t="s">
        <v>1470</v>
      </c>
      <c r="D557" s="14" t="s">
        <v>1471</v>
      </c>
      <c r="E557" s="14" t="s">
        <v>1490</v>
      </c>
      <c r="G557" s="1" t="str">
        <f>_xlfn.XLOOKUP(B557,M_YT_LIVE!A:A,M_YT_LIVE!F:F,"ERROR",0,1)</f>
        <v>弾き語り&amp;音源</v>
      </c>
      <c r="W557" s="13">
        <f t="shared" si="25"/>
        <v>397.00000000000006</v>
      </c>
      <c r="X557" s="12" t="str">
        <f>_xlfn.XLOOKUP($B557,M_YT_LIVE!$A:$A,M_YT_LIVE!$D:$D)</f>
        <v>https://www.youtube.com/live/w8cj1TZhgIM?si=jSw7OZzFwM2n4KKP</v>
      </c>
      <c r="Z557" s="16" t="str">
        <f>HYPERLINK($X557&amp;SUBSTITUTE(マスタ!$C$3,"XXXXX",$W557))</f>
        <v>https://www.youtube.com/live/w8cj1TZhgIM?si=jSw7OZzFwM2n4KKP&amp;t=397s</v>
      </c>
      <c r="AA557" s="12" t="str">
        <f t="shared" si="27"/>
        <v>Ayase feat.初音ミクシニカルナイトプラン</v>
      </c>
    </row>
    <row r="558" spans="1:27" x14ac:dyDescent="0.4">
      <c r="A558" s="14">
        <f t="shared" si="26"/>
        <v>557</v>
      </c>
      <c r="B558" s="14">
        <v>79</v>
      </c>
      <c r="C558" s="18" t="s">
        <v>1472</v>
      </c>
      <c r="D558" s="14" t="s">
        <v>1473</v>
      </c>
      <c r="E558" s="14" t="s">
        <v>1474</v>
      </c>
      <c r="G558" s="1" t="str">
        <f>_xlfn.XLOOKUP(B558,M_YT_LIVE!A:A,M_YT_LIVE!F:F,"ERROR",0,1)</f>
        <v>弾き語り&amp;音源</v>
      </c>
      <c r="W558" s="13">
        <f t="shared" si="25"/>
        <v>755</v>
      </c>
      <c r="X558" s="12" t="str">
        <f>_xlfn.XLOOKUP($B558,M_YT_LIVE!$A:$A,M_YT_LIVE!$D:$D)</f>
        <v>https://www.youtube.com/live/w8cj1TZhgIM?si=jSw7OZzFwM2n4KKP</v>
      </c>
      <c r="Z558" s="16" t="str">
        <f>HYPERLINK($X558&amp;SUBSTITUTE(マスタ!$C$3,"XXXXX",$W558))</f>
        <v>https://www.youtube.com/live/w8cj1TZhgIM?si=jSw7OZzFwM2n4KKP&amp;t=755s</v>
      </c>
      <c r="AA558" s="12" t="str">
        <f t="shared" si="27"/>
        <v>TOKOTOKO feat.GUMI夜もすがら君想ふ</v>
      </c>
    </row>
    <row r="559" spans="1:27" x14ac:dyDescent="0.4">
      <c r="A559" s="14">
        <f t="shared" si="26"/>
        <v>558</v>
      </c>
      <c r="B559" s="14">
        <v>79</v>
      </c>
      <c r="C559" s="18" t="s">
        <v>1475</v>
      </c>
      <c r="D559" s="14" t="s">
        <v>1476</v>
      </c>
      <c r="E559" s="14" t="s">
        <v>1477</v>
      </c>
      <c r="G559" s="1" t="str">
        <f>_xlfn.XLOOKUP(B559,M_YT_LIVE!A:A,M_YT_LIVE!F:F,"ERROR",0,1)</f>
        <v>弾き語り&amp;音源</v>
      </c>
      <c r="W559" s="13">
        <f t="shared" si="25"/>
        <v>1214</v>
      </c>
      <c r="X559" s="12" t="str">
        <f>_xlfn.XLOOKUP($B559,M_YT_LIVE!$A:$A,M_YT_LIVE!$D:$D)</f>
        <v>https://www.youtube.com/live/w8cj1TZhgIM?si=jSw7OZzFwM2n4KKP</v>
      </c>
      <c r="Z559" s="16" t="str">
        <f>HYPERLINK($X559&amp;SUBSTITUTE(マスタ!$C$3,"XXXXX",$W559))</f>
        <v>https://www.youtube.com/live/w8cj1TZhgIM?si=jSw7OZzFwM2n4KKP&amp;t=1214s</v>
      </c>
      <c r="AA559" s="12" t="str">
        <f t="shared" si="27"/>
        <v>*Luna feat.マクネナナHeal Me</v>
      </c>
    </row>
    <row r="560" spans="1:27" x14ac:dyDescent="0.4">
      <c r="A560" s="14">
        <f t="shared" si="26"/>
        <v>559</v>
      </c>
      <c r="B560" s="14">
        <v>79</v>
      </c>
      <c r="C560" s="18" t="s">
        <v>1478</v>
      </c>
      <c r="D560" s="14" t="s">
        <v>1479</v>
      </c>
      <c r="E560" s="14" t="s">
        <v>141</v>
      </c>
      <c r="G560" s="1" t="str">
        <f>_xlfn.XLOOKUP(B560,M_YT_LIVE!A:A,M_YT_LIVE!F:F,"ERROR",0,1)</f>
        <v>弾き語り&amp;音源</v>
      </c>
      <c r="W560" s="13">
        <f t="shared" si="25"/>
        <v>1790</v>
      </c>
      <c r="X560" s="12" t="str">
        <f>_xlfn.XLOOKUP($B560,M_YT_LIVE!$A:$A,M_YT_LIVE!$D:$D)</f>
        <v>https://www.youtube.com/live/w8cj1TZhgIM?si=jSw7OZzFwM2n4KKP</v>
      </c>
      <c r="Z560" s="16" t="str">
        <f>HYPERLINK($X560&amp;SUBSTITUTE(マスタ!$C$3,"XXXXX",$W560))</f>
        <v>https://www.youtube.com/live/w8cj1TZhgIM?si=jSw7OZzFwM2n4KKP&amp;t=1790s</v>
      </c>
      <c r="AA560" s="12" t="str">
        <f t="shared" si="27"/>
        <v>ヨルシカアポリア</v>
      </c>
    </row>
    <row r="561" spans="1:27" x14ac:dyDescent="0.4">
      <c r="A561" s="14">
        <f t="shared" si="26"/>
        <v>560</v>
      </c>
      <c r="B561" s="14">
        <v>79</v>
      </c>
      <c r="C561" s="18" t="s">
        <v>1480</v>
      </c>
      <c r="D561" s="14" t="s">
        <v>1481</v>
      </c>
      <c r="E561" s="14" t="s">
        <v>1482</v>
      </c>
      <c r="G561" s="1" t="str">
        <f>_xlfn.XLOOKUP(B561,M_YT_LIVE!A:A,M_YT_LIVE!F:F,"ERROR",0,1)</f>
        <v>弾き語り&amp;音源</v>
      </c>
      <c r="W561" s="13">
        <f t="shared" si="25"/>
        <v>2251</v>
      </c>
      <c r="X561" s="12" t="str">
        <f>_xlfn.XLOOKUP($B561,M_YT_LIVE!$A:$A,M_YT_LIVE!$D:$D)</f>
        <v>https://www.youtube.com/live/w8cj1TZhgIM?si=jSw7OZzFwM2n4KKP</v>
      </c>
      <c r="Z561" s="16" t="str">
        <f>HYPERLINK($X561&amp;SUBSTITUTE(マスタ!$C$3,"XXXXX",$W561))</f>
        <v>https://www.youtube.com/live/w8cj1TZhgIM?si=jSw7OZzFwM2n4KKP&amp;t=2251s</v>
      </c>
      <c r="AA561" s="12" t="str">
        <f t="shared" si="27"/>
        <v>Mrs. GREEN APPLE feat.井上苑子点描の唄</v>
      </c>
    </row>
    <row r="562" spans="1:27" x14ac:dyDescent="0.4">
      <c r="A562" s="14">
        <f t="shared" si="26"/>
        <v>561</v>
      </c>
      <c r="B562" s="14">
        <v>79</v>
      </c>
      <c r="C562" s="18" t="s">
        <v>1483</v>
      </c>
      <c r="D562" s="14" t="s">
        <v>1484</v>
      </c>
      <c r="E562" s="14" t="s">
        <v>1485</v>
      </c>
      <c r="G562" s="1" t="str">
        <f>_xlfn.XLOOKUP(B562,M_YT_LIVE!A:A,M_YT_LIVE!F:F,"ERROR",0,1)</f>
        <v>弾き語り&amp;音源</v>
      </c>
      <c r="W562" s="13">
        <f t="shared" si="25"/>
        <v>2910</v>
      </c>
      <c r="X562" s="12" t="str">
        <f>_xlfn.XLOOKUP($B562,M_YT_LIVE!$A:$A,M_YT_LIVE!$D:$D)</f>
        <v>https://www.youtube.com/live/w8cj1TZhgIM?si=jSw7OZzFwM2n4KKP</v>
      </c>
      <c r="Z562" s="16" t="str">
        <f>HYPERLINK($X562&amp;SUBSTITUTE(マスタ!$C$3,"XXXXX",$W562))</f>
        <v>https://www.youtube.com/live/w8cj1TZhgIM?si=jSw7OZzFwM2n4KKP&amp;t=2910s</v>
      </c>
      <c r="AA562" s="12" t="str">
        <f t="shared" si="27"/>
        <v>はるまきごはん feat.初音ミクメルティランドナイトメア</v>
      </c>
    </row>
    <row r="563" spans="1:27" x14ac:dyDescent="0.4">
      <c r="A563" s="14">
        <f t="shared" si="26"/>
        <v>562</v>
      </c>
      <c r="B563" s="14">
        <v>79</v>
      </c>
      <c r="C563" s="18" t="s">
        <v>1486</v>
      </c>
      <c r="D563" s="14" t="s">
        <v>1489</v>
      </c>
      <c r="E563" s="14" t="s">
        <v>125</v>
      </c>
      <c r="G563" s="1" t="str">
        <f>_xlfn.XLOOKUP(B563,M_YT_LIVE!A:A,M_YT_LIVE!F:F,"ERROR",0,1)</f>
        <v>弾き語り&amp;音源</v>
      </c>
      <c r="W563" s="13">
        <f t="shared" si="25"/>
        <v>3388</v>
      </c>
      <c r="X563" s="12" t="str">
        <f>_xlfn.XLOOKUP($B563,M_YT_LIVE!$A:$A,M_YT_LIVE!$D:$D)</f>
        <v>https://www.youtube.com/live/w8cj1TZhgIM?si=jSw7OZzFwM2n4KKP</v>
      </c>
      <c r="Z563" s="16" t="str">
        <f>HYPERLINK($X563&amp;SUBSTITUTE(マスタ!$C$3,"XXXXX",$W563))</f>
        <v>https://www.youtube.com/live/w8cj1TZhgIM?si=jSw7OZzFwM2n4KKP&amp;t=3388s</v>
      </c>
      <c r="AA563" s="12" t="str">
        <f t="shared" si="27"/>
        <v>Orangestar feat.IAノクティルーカ</v>
      </c>
    </row>
    <row r="564" spans="1:27" x14ac:dyDescent="0.4">
      <c r="A564" s="14">
        <f t="shared" si="26"/>
        <v>563</v>
      </c>
      <c r="B564" s="14">
        <v>79</v>
      </c>
      <c r="C564" s="18" t="s">
        <v>1487</v>
      </c>
      <c r="D564" s="14" t="s">
        <v>1488</v>
      </c>
      <c r="E564" s="14" t="s">
        <v>924</v>
      </c>
      <c r="G564" s="1" t="str">
        <f>_xlfn.XLOOKUP(B564,M_YT_LIVE!A:A,M_YT_LIVE!F:F,"ERROR",0,1)</f>
        <v>弾き語り&amp;音源</v>
      </c>
      <c r="W564" s="13">
        <f t="shared" si="25"/>
        <v>3841</v>
      </c>
      <c r="X564" s="12" t="str">
        <f>_xlfn.XLOOKUP($B564,M_YT_LIVE!$A:$A,M_YT_LIVE!$D:$D)</f>
        <v>https://www.youtube.com/live/w8cj1TZhgIM?si=jSw7OZzFwM2n4KKP</v>
      </c>
      <c r="Z564" s="16" t="str">
        <f>HYPERLINK($X564&amp;SUBSTITUTE(マスタ!$C$3,"XXXXX",$W564))</f>
        <v>https://www.youtube.com/live/w8cj1TZhgIM?si=jSw7OZzFwM2n4KKP&amp;t=3841s</v>
      </c>
      <c r="AA564" s="12" t="str">
        <f t="shared" si="27"/>
        <v>幽音しのFrom now on</v>
      </c>
    </row>
    <row r="565" spans="1:27" x14ac:dyDescent="0.4">
      <c r="A565" s="14">
        <f t="shared" si="26"/>
        <v>564</v>
      </c>
      <c r="B565" s="14">
        <v>80</v>
      </c>
      <c r="C565" s="18" t="s">
        <v>1498</v>
      </c>
      <c r="D565" s="14" t="s">
        <v>1080</v>
      </c>
      <c r="E565" s="14" t="s">
        <v>276</v>
      </c>
      <c r="G565" s="1" t="str">
        <f>_xlfn.XLOOKUP(B565,M_YT_LIVE!A:A,M_YT_LIVE!F:F,"ERROR",0,1)</f>
        <v>弾き語り</v>
      </c>
      <c r="W565" s="13">
        <f t="shared" si="25"/>
        <v>503</v>
      </c>
      <c r="X565" s="12" t="str">
        <f>_xlfn.XLOOKUP($B565,M_YT_LIVE!$A:$A,M_YT_LIVE!$D:$D)</f>
        <v>https://www.youtube.com/live/8eShd7lbOHQ?si=tMBt33Wr9js5gLMn</v>
      </c>
      <c r="Z565" s="16" t="str">
        <f>HYPERLINK($X565&amp;SUBSTITUTE(マスタ!$C$3,"XXXXX",$W565))</f>
        <v>https://www.youtube.com/live/8eShd7lbOHQ?si=tMBt33Wr9js5gLMn&amp;t=503s</v>
      </c>
      <c r="AA565" s="12" t="str">
        <f t="shared" si="27"/>
        <v>YUISUMMER SONG</v>
      </c>
    </row>
    <row r="566" spans="1:27" x14ac:dyDescent="0.4">
      <c r="A566" s="14">
        <f t="shared" si="26"/>
        <v>565</v>
      </c>
      <c r="B566" s="14">
        <v>80</v>
      </c>
      <c r="C566" s="18" t="s">
        <v>1499</v>
      </c>
      <c r="D566" s="14" t="s">
        <v>39</v>
      </c>
      <c r="E566" s="14" t="s">
        <v>276</v>
      </c>
      <c r="G566" s="1" t="str">
        <f>_xlfn.XLOOKUP(B566,M_YT_LIVE!A:A,M_YT_LIVE!F:F,"ERROR",0,1)</f>
        <v>弾き語り</v>
      </c>
      <c r="W566" s="13">
        <f t="shared" si="25"/>
        <v>1070</v>
      </c>
      <c r="X566" s="12" t="str">
        <f>_xlfn.XLOOKUP($B566,M_YT_LIVE!$A:$A,M_YT_LIVE!$D:$D)</f>
        <v>https://www.youtube.com/live/8eShd7lbOHQ?si=tMBt33Wr9js5gLMn</v>
      </c>
      <c r="Z566" s="16" t="str">
        <f>HYPERLINK($X566&amp;SUBSTITUTE(マスタ!$C$3,"XXXXX",$W566))</f>
        <v>https://www.youtube.com/live/8eShd7lbOHQ?si=tMBt33Wr9js5gLMn&amp;t=1070s</v>
      </c>
      <c r="AA566" s="12" t="str">
        <f t="shared" si="27"/>
        <v>YUICHE.R.RY</v>
      </c>
    </row>
    <row r="567" spans="1:27" x14ac:dyDescent="0.4">
      <c r="A567" s="14">
        <f t="shared" si="26"/>
        <v>566</v>
      </c>
      <c r="B567" s="14">
        <v>80</v>
      </c>
      <c r="C567" s="18" t="s">
        <v>1500</v>
      </c>
      <c r="D567" s="14" t="s">
        <v>61</v>
      </c>
      <c r="E567" s="14" t="s">
        <v>276</v>
      </c>
      <c r="G567" s="1" t="str">
        <f>_xlfn.XLOOKUP(B567,M_YT_LIVE!A:A,M_YT_LIVE!F:F,"ERROR",0,1)</f>
        <v>弾き語り</v>
      </c>
      <c r="W567" s="13">
        <f t="shared" si="25"/>
        <v>1468</v>
      </c>
      <c r="X567" s="12" t="str">
        <f>_xlfn.XLOOKUP($B567,M_YT_LIVE!$A:$A,M_YT_LIVE!$D:$D)</f>
        <v>https://www.youtube.com/live/8eShd7lbOHQ?si=tMBt33Wr9js5gLMn</v>
      </c>
      <c r="Z567" s="16" t="str">
        <f>HYPERLINK($X567&amp;SUBSTITUTE(マスタ!$C$3,"XXXXX",$W567))</f>
        <v>https://www.youtube.com/live/8eShd7lbOHQ?si=tMBt33Wr9js5gLMn&amp;t=1468s</v>
      </c>
      <c r="AA567" s="12" t="str">
        <f t="shared" si="27"/>
        <v>YUILaugh away</v>
      </c>
    </row>
    <row r="568" spans="1:27" x14ac:dyDescent="0.4">
      <c r="A568" s="14">
        <f t="shared" si="26"/>
        <v>567</v>
      </c>
      <c r="B568" s="14">
        <v>80</v>
      </c>
      <c r="C568" s="22" t="s">
        <v>1788</v>
      </c>
      <c r="D568" s="14" t="s">
        <v>275</v>
      </c>
      <c r="E568" s="14" t="s">
        <v>276</v>
      </c>
      <c r="G568" s="1" t="str">
        <f>_xlfn.XLOOKUP(B568,M_YT_LIVE!A:A,M_YT_LIVE!F:F,"ERROR",0,1)</f>
        <v>弾き語り</v>
      </c>
      <c r="W568" s="13">
        <f t="shared" si="25"/>
        <v>1964</v>
      </c>
      <c r="X568" s="12" t="str">
        <f>_xlfn.XLOOKUP($B568,M_YT_LIVE!$A:$A,M_YT_LIVE!$D:$D)</f>
        <v>https://www.youtube.com/live/8eShd7lbOHQ?si=tMBt33Wr9js5gLMn</v>
      </c>
      <c r="Z568" s="16" t="str">
        <f>HYPERLINK($X568&amp;SUBSTITUTE(マスタ!$C$3,"XXXXX",$W568))</f>
        <v>https://www.youtube.com/live/8eShd7lbOHQ?si=tMBt33Wr9js5gLMn&amp;t=1964s</v>
      </c>
      <c r="AA568" s="12" t="str">
        <f t="shared" si="27"/>
        <v>YUIHELLO〜Paradise Kiss〜</v>
      </c>
    </row>
    <row r="569" spans="1:27" x14ac:dyDescent="0.4">
      <c r="A569" s="14">
        <f t="shared" si="26"/>
        <v>568</v>
      </c>
      <c r="B569" s="14">
        <v>80</v>
      </c>
      <c r="C569" s="18" t="s">
        <v>1501</v>
      </c>
      <c r="D569" s="14" t="s">
        <v>562</v>
      </c>
      <c r="E569" s="14" t="s">
        <v>276</v>
      </c>
      <c r="G569" s="1" t="str">
        <f>_xlfn.XLOOKUP(B569,M_YT_LIVE!A:A,M_YT_LIVE!F:F,"ERROR",0,1)</f>
        <v>弾き語り</v>
      </c>
      <c r="W569" s="13">
        <f t="shared" si="25"/>
        <v>2457</v>
      </c>
      <c r="X569" s="12" t="str">
        <f>_xlfn.XLOOKUP($B569,M_YT_LIVE!$A:$A,M_YT_LIVE!$D:$D)</f>
        <v>https://www.youtube.com/live/8eShd7lbOHQ?si=tMBt33Wr9js5gLMn</v>
      </c>
      <c r="Z569" s="16" t="str">
        <f>HYPERLINK($X569&amp;SUBSTITUTE(マスタ!$C$3,"XXXXX",$W569))</f>
        <v>https://www.youtube.com/live/8eShd7lbOHQ?si=tMBt33Wr9js5gLMn&amp;t=2457s</v>
      </c>
      <c r="AA569" s="12" t="str">
        <f t="shared" si="27"/>
        <v>YUIagain</v>
      </c>
    </row>
    <row r="570" spans="1:27" x14ac:dyDescent="0.4">
      <c r="A570" s="14">
        <f t="shared" si="26"/>
        <v>569</v>
      </c>
      <c r="B570" s="14">
        <v>80</v>
      </c>
      <c r="C570" s="18" t="s">
        <v>1502</v>
      </c>
      <c r="D570" s="14" t="s">
        <v>705</v>
      </c>
      <c r="E570" s="14" t="s">
        <v>276</v>
      </c>
      <c r="G570" s="1" t="str">
        <f>_xlfn.XLOOKUP(B570,M_YT_LIVE!A:A,M_YT_LIVE!F:F,"ERROR",0,1)</f>
        <v>弾き語り</v>
      </c>
      <c r="W570" s="13">
        <f t="shared" si="25"/>
        <v>2957</v>
      </c>
      <c r="X570" s="12" t="str">
        <f>_xlfn.XLOOKUP($B570,M_YT_LIVE!$A:$A,M_YT_LIVE!$D:$D)</f>
        <v>https://www.youtube.com/live/8eShd7lbOHQ?si=tMBt33Wr9js5gLMn</v>
      </c>
      <c r="Z570" s="16" t="str">
        <f>HYPERLINK($X570&amp;SUBSTITUTE(マスタ!$C$3,"XXXXX",$W570))</f>
        <v>https://www.youtube.com/live/8eShd7lbOHQ?si=tMBt33Wr9js5gLMn&amp;t=2957s</v>
      </c>
      <c r="AA570" s="12" t="str">
        <f t="shared" si="27"/>
        <v>YUIHow Crazy</v>
      </c>
    </row>
    <row r="571" spans="1:27" x14ac:dyDescent="0.4">
      <c r="A571" s="14">
        <f t="shared" si="26"/>
        <v>570</v>
      </c>
      <c r="B571" s="14">
        <v>80</v>
      </c>
      <c r="C571" s="22" t="s">
        <v>1789</v>
      </c>
      <c r="D571" s="14" t="s">
        <v>1001</v>
      </c>
      <c r="E571" s="14" t="s">
        <v>276</v>
      </c>
      <c r="G571" s="1" t="str">
        <f>_xlfn.XLOOKUP(B571,M_YT_LIVE!A:A,M_YT_LIVE!F:F,"ERROR",0,1)</f>
        <v>弾き語り</v>
      </c>
      <c r="W571" s="13">
        <f t="shared" si="25"/>
        <v>3546.9999999999995</v>
      </c>
      <c r="X571" s="12" t="str">
        <f>_xlfn.XLOOKUP($B571,M_YT_LIVE!$A:$A,M_YT_LIVE!$D:$D)</f>
        <v>https://www.youtube.com/live/8eShd7lbOHQ?si=tMBt33Wr9js5gLMn</v>
      </c>
      <c r="Z571" s="16" t="str">
        <f>HYPERLINK($X571&amp;SUBSTITUTE(マスタ!$C$3,"XXXXX",$W571))</f>
        <v>https://www.youtube.com/live/8eShd7lbOHQ?si=tMBt33Wr9js5gLMn&amp;t=3547s</v>
      </c>
      <c r="AA571" s="12" t="str">
        <f t="shared" si="27"/>
        <v>YUIRolling star</v>
      </c>
    </row>
    <row r="572" spans="1:27" x14ac:dyDescent="0.4">
      <c r="A572" s="14">
        <f t="shared" si="26"/>
        <v>571</v>
      </c>
      <c r="B572" s="14">
        <v>80</v>
      </c>
      <c r="C572" s="18" t="s">
        <v>1503</v>
      </c>
      <c r="D572" s="14" t="s">
        <v>1504</v>
      </c>
      <c r="E572" s="14" t="s">
        <v>276</v>
      </c>
      <c r="G572" s="1" t="str">
        <f>_xlfn.XLOOKUP(B572,M_YT_LIVE!A:A,M_YT_LIVE!F:F,"ERROR",0,1)</f>
        <v>弾き語り</v>
      </c>
      <c r="W572" s="13">
        <f t="shared" si="25"/>
        <v>4033</v>
      </c>
      <c r="X572" s="12" t="str">
        <f>_xlfn.XLOOKUP($B572,M_YT_LIVE!$A:$A,M_YT_LIVE!$D:$D)</f>
        <v>https://www.youtube.com/live/8eShd7lbOHQ?si=tMBt33Wr9js5gLMn</v>
      </c>
      <c r="Z572" s="16" t="str">
        <f>HYPERLINK($X572&amp;SUBSTITUTE(マスタ!$C$3,"XXXXX",$W572))</f>
        <v>https://www.youtube.com/live/8eShd7lbOHQ?si=tMBt33Wr9js5gLMn&amp;t=4033s</v>
      </c>
      <c r="AA572" s="12" t="str">
        <f t="shared" si="27"/>
        <v>YUIGLORIA</v>
      </c>
    </row>
    <row r="573" spans="1:27" x14ac:dyDescent="0.4">
      <c r="A573" s="14">
        <f t="shared" si="26"/>
        <v>572</v>
      </c>
      <c r="B573" s="14">
        <v>80</v>
      </c>
      <c r="C573" s="18" t="s">
        <v>1505</v>
      </c>
      <c r="D573" s="14" t="s">
        <v>185</v>
      </c>
      <c r="E573" s="14" t="s">
        <v>186</v>
      </c>
      <c r="G573" s="1" t="str">
        <f>_xlfn.XLOOKUP(B573,M_YT_LIVE!A:A,M_YT_LIVE!F:F,"ERROR",0,1)</f>
        <v>弾き語り</v>
      </c>
      <c r="W573" s="13">
        <f t="shared" si="25"/>
        <v>4486</v>
      </c>
      <c r="X573" s="12" t="str">
        <f>_xlfn.XLOOKUP($B573,M_YT_LIVE!$A:$A,M_YT_LIVE!$D:$D)</f>
        <v>https://www.youtube.com/live/8eShd7lbOHQ?si=tMBt33Wr9js5gLMn</v>
      </c>
      <c r="Z573" s="16" t="str">
        <f>HYPERLINK($X573&amp;SUBSTITUTE(マスタ!$C$3,"XXXXX",$W573))</f>
        <v>https://www.youtube.com/live/8eShd7lbOHQ?si=tMBt33Wr9js5gLMn&amp;t=4486s</v>
      </c>
      <c r="AA573" s="12" t="str">
        <f t="shared" si="27"/>
        <v>YUI for 雨音薫Good-bye days</v>
      </c>
    </row>
    <row r="574" spans="1:27" x14ac:dyDescent="0.4">
      <c r="A574" s="14">
        <f t="shared" si="26"/>
        <v>573</v>
      </c>
      <c r="B574" s="14">
        <v>83</v>
      </c>
      <c r="C574" s="18" t="s">
        <v>1512</v>
      </c>
      <c r="D574" s="14" t="s">
        <v>1513</v>
      </c>
      <c r="E574" s="14" t="s">
        <v>112</v>
      </c>
      <c r="G574" s="1" t="str">
        <f>_xlfn.XLOOKUP(B574,M_YT_LIVE!A:A,M_YT_LIVE!F:F,"ERROR",0,1)</f>
        <v>弾き語り</v>
      </c>
      <c r="W574" s="13">
        <f t="shared" si="25"/>
        <v>343</v>
      </c>
      <c r="X574" s="12" t="str">
        <f>_xlfn.XLOOKUP($B574,M_YT_LIVE!$A:$A,M_YT_LIVE!$D:$D)</f>
        <v>https://www.youtube.com/live/AHfCHGope8I?si=qrXuqYy-tTqldtt4</v>
      </c>
      <c r="Z574" s="16" t="str">
        <f>HYPERLINK($X574&amp;SUBSTITUTE(マスタ!$C$3,"XXXXX",$W574))</f>
        <v>https://www.youtube.com/live/AHfCHGope8I?si=qrXuqYy-tTqldtt4&amp;t=343s</v>
      </c>
      <c r="AA574" s="12" t="str">
        <f t="shared" si="27"/>
        <v>DECO*27 feat.初音ミクリバーシブル・キャンペーン</v>
      </c>
    </row>
    <row r="575" spans="1:27" x14ac:dyDescent="0.4">
      <c r="A575" s="14">
        <f t="shared" si="26"/>
        <v>574</v>
      </c>
      <c r="B575" s="14">
        <v>83</v>
      </c>
      <c r="C575" s="18" t="s">
        <v>797</v>
      </c>
      <c r="D575" s="14" t="s">
        <v>1514</v>
      </c>
      <c r="E575" s="14" t="s">
        <v>112</v>
      </c>
      <c r="G575" s="1" t="str">
        <f>_xlfn.XLOOKUP(B575,M_YT_LIVE!A:A,M_YT_LIVE!F:F,"ERROR",0,1)</f>
        <v>弾き語り</v>
      </c>
      <c r="W575" s="13">
        <f t="shared" si="25"/>
        <v>676</v>
      </c>
      <c r="X575" s="12" t="str">
        <f>_xlfn.XLOOKUP($B575,M_YT_LIVE!$A:$A,M_YT_LIVE!$D:$D)</f>
        <v>https://www.youtube.com/live/AHfCHGope8I?si=qrXuqYy-tTqldtt4</v>
      </c>
      <c r="Z575" s="16" t="str">
        <f>HYPERLINK($X575&amp;SUBSTITUTE(マスタ!$C$3,"XXXXX",$W575))</f>
        <v>https://www.youtube.com/live/AHfCHGope8I?si=qrXuqYy-tTqldtt4&amp;t=676s</v>
      </c>
      <c r="AA575" s="12" t="str">
        <f t="shared" si="27"/>
        <v>DECO*27 feat.初音ミクライアーダンス</v>
      </c>
    </row>
    <row r="576" spans="1:27" x14ac:dyDescent="0.4">
      <c r="A576" s="14">
        <f t="shared" si="26"/>
        <v>575</v>
      </c>
      <c r="B576" s="14">
        <v>83</v>
      </c>
      <c r="C576" s="18" t="s">
        <v>1515</v>
      </c>
      <c r="D576" s="14" t="s">
        <v>1516</v>
      </c>
      <c r="E576" s="14" t="s">
        <v>1517</v>
      </c>
      <c r="G576" s="1" t="str">
        <f>_xlfn.XLOOKUP(B576,M_YT_LIVE!A:A,M_YT_LIVE!F:F,"ERROR",0,1)</f>
        <v>弾き語り</v>
      </c>
      <c r="W576" s="13">
        <f t="shared" si="25"/>
        <v>1046</v>
      </c>
      <c r="X576" s="12" t="str">
        <f>_xlfn.XLOOKUP($B576,M_YT_LIVE!$A:$A,M_YT_LIVE!$D:$D)</f>
        <v>https://www.youtube.com/live/AHfCHGope8I?si=qrXuqYy-tTqldtt4</v>
      </c>
      <c r="Z576" s="16" t="str">
        <f>HYPERLINK($X576&amp;SUBSTITUTE(マスタ!$C$3,"XXXXX",$W576))</f>
        <v>https://www.youtube.com/live/AHfCHGope8I?si=qrXuqYy-tTqldtt4&amp;t=1046s</v>
      </c>
      <c r="AA576" s="12" t="str">
        <f t="shared" si="27"/>
        <v>ぬゆりfeat.GUMIフラジール</v>
      </c>
    </row>
    <row r="577" spans="1:27" x14ac:dyDescent="0.4">
      <c r="A577" s="14">
        <f t="shared" si="26"/>
        <v>576</v>
      </c>
      <c r="B577" s="14">
        <v>83</v>
      </c>
      <c r="C577" s="18" t="s">
        <v>1518</v>
      </c>
      <c r="D577" s="14" t="s">
        <v>247</v>
      </c>
      <c r="E577" s="14" t="s">
        <v>248</v>
      </c>
      <c r="G577" s="1" t="str">
        <f>_xlfn.XLOOKUP(B577,M_YT_LIVE!A:A,M_YT_LIVE!F:F,"ERROR",0,1)</f>
        <v>弾き語り</v>
      </c>
      <c r="W577" s="13">
        <f t="shared" si="25"/>
        <v>1419</v>
      </c>
      <c r="X577" s="12" t="str">
        <f>_xlfn.XLOOKUP($B577,M_YT_LIVE!$A:$A,M_YT_LIVE!$D:$D)</f>
        <v>https://www.youtube.com/live/AHfCHGope8I?si=qrXuqYy-tTqldtt4</v>
      </c>
      <c r="Z577" s="16" t="str">
        <f>HYPERLINK($X577&amp;SUBSTITUTE(マスタ!$C$3,"XXXXX",$W577))</f>
        <v>https://www.youtube.com/live/AHfCHGope8I?si=qrXuqYy-tTqldtt4&amp;t=1419s</v>
      </c>
      <c r="AA577" s="12" t="str">
        <f t="shared" si="27"/>
        <v>柊マグネタイト feat.可不マーシャルマキシマイザ</v>
      </c>
    </row>
    <row r="578" spans="1:27" x14ac:dyDescent="0.4">
      <c r="A578" s="14">
        <f t="shared" si="26"/>
        <v>577</v>
      </c>
      <c r="B578" s="14">
        <v>83</v>
      </c>
      <c r="C578" s="18" t="s">
        <v>1519</v>
      </c>
      <c r="D578" s="14" t="s">
        <v>1520</v>
      </c>
      <c r="E578" s="14" t="s">
        <v>1521</v>
      </c>
      <c r="G578" s="1" t="str">
        <f>_xlfn.XLOOKUP(B578,M_YT_LIVE!A:A,M_YT_LIVE!F:F,"ERROR",0,1)</f>
        <v>弾き語り</v>
      </c>
      <c r="W578" s="13">
        <f t="shared" si="25"/>
        <v>1758.9999999999998</v>
      </c>
      <c r="X578" s="12" t="str">
        <f>_xlfn.XLOOKUP($B578,M_YT_LIVE!$A:$A,M_YT_LIVE!$D:$D)</f>
        <v>https://www.youtube.com/live/AHfCHGope8I?si=qrXuqYy-tTqldtt4</v>
      </c>
      <c r="Z578" s="16" t="str">
        <f>HYPERLINK($X578&amp;SUBSTITUTE(マスタ!$C$3,"XXXXX",$W578))</f>
        <v>https://www.youtube.com/live/AHfCHGope8I?si=qrXuqYy-tTqldtt4&amp;t=1759s</v>
      </c>
      <c r="AA578" s="12" t="str">
        <f t="shared" si="27"/>
        <v>ツミキ feat.可不フォニイ</v>
      </c>
    </row>
    <row r="579" spans="1:27" x14ac:dyDescent="0.4">
      <c r="A579" s="14">
        <f t="shared" si="26"/>
        <v>578</v>
      </c>
      <c r="B579" s="14">
        <v>83</v>
      </c>
      <c r="C579" s="18" t="s">
        <v>1522</v>
      </c>
      <c r="D579" s="14" t="s">
        <v>1523</v>
      </c>
      <c r="E579" s="14" t="s">
        <v>1524</v>
      </c>
      <c r="G579" s="1" t="str">
        <f>_xlfn.XLOOKUP(B579,M_YT_LIVE!A:A,M_YT_LIVE!F:F,"ERROR",0,1)</f>
        <v>弾き語り</v>
      </c>
      <c r="W579" s="13">
        <f t="shared" si="25"/>
        <v>2187</v>
      </c>
      <c r="X579" s="12" t="str">
        <f>_xlfn.XLOOKUP($B579,M_YT_LIVE!$A:$A,M_YT_LIVE!$D:$D)</f>
        <v>https://www.youtube.com/live/AHfCHGope8I?si=qrXuqYy-tTqldtt4</v>
      </c>
      <c r="Z579" s="16" t="str">
        <f>HYPERLINK($X579&amp;SUBSTITUTE(マスタ!$C$3,"XXXXX",$W579))</f>
        <v>https://www.youtube.com/live/AHfCHGope8I?si=qrXuqYy-tTqldtt4&amp;t=2187s</v>
      </c>
      <c r="AA579" s="12" t="str">
        <f t="shared" si="27"/>
        <v>kanaria.GUMI酔いどれ知らず</v>
      </c>
    </row>
    <row r="580" spans="1:27" x14ac:dyDescent="0.4">
      <c r="A580" s="14">
        <f t="shared" si="26"/>
        <v>579</v>
      </c>
      <c r="B580" s="14">
        <v>83</v>
      </c>
      <c r="C580" s="18" t="s">
        <v>1525</v>
      </c>
      <c r="D580" s="14" t="s">
        <v>1526</v>
      </c>
      <c r="E580" s="14" t="s">
        <v>1527</v>
      </c>
      <c r="G580" s="1" t="str">
        <f>_xlfn.XLOOKUP(B580,M_YT_LIVE!A:A,M_YT_LIVE!F:F,"ERROR",0,1)</f>
        <v>弾き語り</v>
      </c>
      <c r="W580" s="13">
        <f t="shared" ref="W580:W643" si="28">TIMEVALUE($C580)*86400</f>
        <v>2479</v>
      </c>
      <c r="X580" s="12" t="str">
        <f>_xlfn.XLOOKUP($B580,M_YT_LIVE!$A:$A,M_YT_LIVE!$D:$D)</f>
        <v>https://www.youtube.com/live/AHfCHGope8I?si=qrXuqYy-tTqldtt4</v>
      </c>
      <c r="Z580" s="16" t="str">
        <f>HYPERLINK($X580&amp;SUBSTITUTE(マスタ!$C$3,"XXXXX",$W580))</f>
        <v>https://www.youtube.com/live/AHfCHGope8I?si=qrXuqYy-tTqldtt4&amp;t=2479s</v>
      </c>
      <c r="AA580" s="12" t="str">
        <f t="shared" si="27"/>
        <v>ピコン feat.初音ミクガランド</v>
      </c>
    </row>
    <row r="581" spans="1:27" x14ac:dyDescent="0.4">
      <c r="A581" s="14">
        <f t="shared" ref="A581:A644" si="29">ROW()-1</f>
        <v>580</v>
      </c>
      <c r="B581" s="14">
        <v>83</v>
      </c>
      <c r="C581" s="18" t="s">
        <v>1528</v>
      </c>
      <c r="D581" s="14" t="s">
        <v>1529</v>
      </c>
      <c r="E581" s="14" t="s">
        <v>273</v>
      </c>
      <c r="G581" s="1" t="str">
        <f>_xlfn.XLOOKUP(B581,M_YT_LIVE!A:A,M_YT_LIVE!F:F,"ERROR",0,1)</f>
        <v>弾き語り</v>
      </c>
      <c r="W581" s="13">
        <f t="shared" si="28"/>
        <v>2826</v>
      </c>
      <c r="X581" s="12" t="str">
        <f>_xlfn.XLOOKUP($B581,M_YT_LIVE!$A:$A,M_YT_LIVE!$D:$D)</f>
        <v>https://www.youtube.com/live/AHfCHGope8I?si=qrXuqYy-tTqldtt4</v>
      </c>
      <c r="Z581" s="16" t="str">
        <f>HYPERLINK($X581&amp;SUBSTITUTE(マスタ!$C$3,"XXXXX",$W581))</f>
        <v>https://www.youtube.com/live/AHfCHGope8I?si=qrXuqYy-tTqldtt4&amp;t=2826s</v>
      </c>
      <c r="AA581" s="12" t="str">
        <f t="shared" si="27"/>
        <v>Adoギラギラ</v>
      </c>
    </row>
    <row r="582" spans="1:27" x14ac:dyDescent="0.4">
      <c r="A582" s="14">
        <f t="shared" si="29"/>
        <v>581</v>
      </c>
      <c r="B582" s="14">
        <v>83</v>
      </c>
      <c r="C582" s="18" t="s">
        <v>1530</v>
      </c>
      <c r="D582" s="14" t="s">
        <v>1531</v>
      </c>
      <c r="E582" s="14" t="s">
        <v>1536</v>
      </c>
      <c r="G582" s="1" t="str">
        <f>_xlfn.XLOOKUP(B582,M_YT_LIVE!A:A,M_YT_LIVE!F:F,"ERROR",0,1)</f>
        <v>弾き語り</v>
      </c>
      <c r="W582" s="13">
        <f t="shared" si="28"/>
        <v>3309</v>
      </c>
      <c r="X582" s="12" t="str">
        <f>_xlfn.XLOOKUP($B582,M_YT_LIVE!$A:$A,M_YT_LIVE!$D:$D)</f>
        <v>https://www.youtube.com/live/AHfCHGope8I?si=qrXuqYy-tTqldtt4</v>
      </c>
      <c r="Z582" s="16" t="str">
        <f>HYPERLINK($X582&amp;SUBSTITUTE(マスタ!$C$3,"XXXXX",$W582))</f>
        <v>https://www.youtube.com/live/AHfCHGope8I?si=qrXuqYy-tTqldtt4&amp;t=3309s</v>
      </c>
      <c r="AA582" s="12" t="str">
        <f t="shared" si="27"/>
        <v>じん(自然の敵P) feat.IAワールド・コーリング</v>
      </c>
    </row>
    <row r="583" spans="1:27" x14ac:dyDescent="0.4">
      <c r="A583" s="14">
        <f t="shared" si="29"/>
        <v>582</v>
      </c>
      <c r="B583" s="14">
        <v>83</v>
      </c>
      <c r="C583" s="18" t="s">
        <v>1532</v>
      </c>
      <c r="D583" s="14" t="s">
        <v>959</v>
      </c>
      <c r="E583" s="14" t="s">
        <v>81</v>
      </c>
      <c r="G583" s="1" t="str">
        <f>_xlfn.XLOOKUP(B583,M_YT_LIVE!A:A,M_YT_LIVE!F:F,"ERROR",0,1)</f>
        <v>弾き語り</v>
      </c>
      <c r="W583" s="13">
        <f t="shared" si="28"/>
        <v>3734</v>
      </c>
      <c r="X583" s="12" t="str">
        <f>_xlfn.XLOOKUP($B583,M_YT_LIVE!$A:$A,M_YT_LIVE!$D:$D)</f>
        <v>https://www.youtube.com/live/AHfCHGope8I?si=qrXuqYy-tTqldtt4</v>
      </c>
      <c r="Z583" s="16" t="str">
        <f>HYPERLINK($X583&amp;SUBSTITUTE(マスタ!$C$3,"XXXXX",$W583))</f>
        <v>https://www.youtube.com/live/AHfCHGope8I?si=qrXuqYy-tTqldtt4&amp;t=3734s</v>
      </c>
      <c r="AA583" s="12" t="str">
        <f t="shared" si="27"/>
        <v>じん(自然の敵P) feat.IA夜咄ディセイブ</v>
      </c>
    </row>
    <row r="584" spans="1:27" x14ac:dyDescent="0.4">
      <c r="A584" s="14">
        <f t="shared" si="29"/>
        <v>583</v>
      </c>
      <c r="B584" s="14">
        <v>83</v>
      </c>
      <c r="C584" s="18" t="s">
        <v>1533</v>
      </c>
      <c r="D584" s="14" t="s">
        <v>426</v>
      </c>
      <c r="E584" s="14" t="s">
        <v>427</v>
      </c>
      <c r="G584" s="1" t="str">
        <f>_xlfn.XLOOKUP(B584,M_YT_LIVE!A:A,M_YT_LIVE!F:F,"ERROR",0,1)</f>
        <v>弾き語り</v>
      </c>
      <c r="W584" s="13">
        <f t="shared" si="28"/>
        <v>4039</v>
      </c>
      <c r="X584" s="12" t="str">
        <f>_xlfn.XLOOKUP($B584,M_YT_LIVE!$A:$A,M_YT_LIVE!$D:$D)</f>
        <v>https://www.youtube.com/live/AHfCHGope8I?si=qrXuqYy-tTqldtt4</v>
      </c>
      <c r="Z584" s="16" t="str">
        <f>HYPERLINK($X584&amp;SUBSTITUTE(マスタ!$C$3,"XXXXX",$W584))</f>
        <v>https://www.youtube.com/live/AHfCHGope8I?si=qrXuqYy-tTqldtt4&amp;t=4039s</v>
      </c>
      <c r="AA584" s="12" t="str">
        <f t="shared" si="27"/>
        <v>cosMo(暴走P) feat.初音ミク初音ミクの消失 -DEAD END-</v>
      </c>
    </row>
    <row r="585" spans="1:27" x14ac:dyDescent="0.4">
      <c r="A585" s="14">
        <f t="shared" si="29"/>
        <v>584</v>
      </c>
      <c r="B585" s="14">
        <v>83</v>
      </c>
      <c r="C585" s="18" t="s">
        <v>1534</v>
      </c>
      <c r="D585" s="14" t="s">
        <v>1471</v>
      </c>
      <c r="E585" s="14" t="s">
        <v>1535</v>
      </c>
      <c r="G585" s="1" t="str">
        <f>_xlfn.XLOOKUP(B585,M_YT_LIVE!A:A,M_YT_LIVE!F:F,"ERROR",0,1)</f>
        <v>弾き語り</v>
      </c>
      <c r="W585" s="13">
        <f t="shared" si="28"/>
        <v>4874</v>
      </c>
      <c r="X585" s="12" t="str">
        <f>_xlfn.XLOOKUP($B585,M_YT_LIVE!$A:$A,M_YT_LIVE!$D:$D)</f>
        <v>https://www.youtube.com/live/AHfCHGope8I?si=qrXuqYy-tTqldtt4</v>
      </c>
      <c r="Z585" s="16" t="str">
        <f>HYPERLINK($X585&amp;SUBSTITUTE(マスタ!$C$3,"XXXXX",$W585))</f>
        <v>https://www.youtube.com/live/AHfCHGope8I?si=qrXuqYy-tTqldtt4&amp;t=4874s</v>
      </c>
      <c r="AA585" s="12" t="str">
        <f t="shared" si="27"/>
        <v>Ayase feat.初音ミクシニカルナイトプラン</v>
      </c>
    </row>
    <row r="586" spans="1:27" x14ac:dyDescent="0.4">
      <c r="A586" s="14">
        <f t="shared" si="29"/>
        <v>585</v>
      </c>
      <c r="B586" s="14">
        <v>84</v>
      </c>
      <c r="C586" s="18" t="s">
        <v>1542</v>
      </c>
      <c r="D586" s="14" t="s">
        <v>202</v>
      </c>
      <c r="E586" s="14" t="s">
        <v>141</v>
      </c>
      <c r="G586" s="1" t="str">
        <f>_xlfn.XLOOKUP(B586,M_YT_LIVE!A:A,M_YT_LIVE!F:F,"ERROR",0,1)</f>
        <v>弾き語り</v>
      </c>
      <c r="W586" s="13">
        <f t="shared" si="28"/>
        <v>298</v>
      </c>
      <c r="X586" s="12" t="str">
        <f>_xlfn.XLOOKUP($B586,M_YT_LIVE!$A:$A,M_YT_LIVE!$D:$D)</f>
        <v>https://www.youtube.com/live/r7Bwk1jHwnc?si=YSwS6uQI_0X3Y91g</v>
      </c>
      <c r="Z586" s="16" t="str">
        <f>HYPERLINK($X586&amp;SUBSTITUTE(マスタ!$C$3,"XXXXX",$W586))</f>
        <v>https://www.youtube.com/live/r7Bwk1jHwnc?si=YSwS6uQI_0X3Y91g&amp;t=298s</v>
      </c>
      <c r="AA586" s="12" t="str">
        <f t="shared" si="27"/>
        <v>ヨルシカノーチラス</v>
      </c>
    </row>
    <row r="587" spans="1:27" x14ac:dyDescent="0.4">
      <c r="A587" s="14">
        <f t="shared" si="29"/>
        <v>586</v>
      </c>
      <c r="B587" s="14">
        <v>84</v>
      </c>
      <c r="C587" s="18" t="s">
        <v>1543</v>
      </c>
      <c r="D587" s="14" t="s">
        <v>140</v>
      </c>
      <c r="E587" s="14" t="s">
        <v>141</v>
      </c>
      <c r="G587" s="1" t="str">
        <f>_xlfn.XLOOKUP(B587,M_YT_LIVE!A:A,M_YT_LIVE!F:F,"ERROR",0,1)</f>
        <v>弾き語り</v>
      </c>
      <c r="W587" s="13">
        <f t="shared" si="28"/>
        <v>667</v>
      </c>
      <c r="X587" s="12" t="str">
        <f>_xlfn.XLOOKUP($B587,M_YT_LIVE!$A:$A,M_YT_LIVE!$D:$D)</f>
        <v>https://www.youtube.com/live/r7Bwk1jHwnc?si=YSwS6uQI_0X3Y91g</v>
      </c>
      <c r="Z587" s="16" t="str">
        <f>HYPERLINK($X587&amp;SUBSTITUTE(マスタ!$C$3,"XXXXX",$W587))</f>
        <v>https://www.youtube.com/live/r7Bwk1jHwnc?si=YSwS6uQI_0X3Y91g&amp;t=667s</v>
      </c>
      <c r="AA587" s="12" t="str">
        <f t="shared" si="27"/>
        <v>ヨルシカ靴の花火</v>
      </c>
    </row>
    <row r="588" spans="1:27" x14ac:dyDescent="0.4">
      <c r="A588" s="14">
        <f t="shared" si="29"/>
        <v>587</v>
      </c>
      <c r="B588" s="14">
        <v>84</v>
      </c>
      <c r="C588" s="18" t="s">
        <v>824</v>
      </c>
      <c r="D588" s="14" t="s">
        <v>307</v>
      </c>
      <c r="E588" s="14" t="s">
        <v>208</v>
      </c>
      <c r="G588" s="1" t="str">
        <f>_xlfn.XLOOKUP(B588,M_YT_LIVE!A:A,M_YT_LIVE!F:F,"ERROR",0,1)</f>
        <v>弾き語り</v>
      </c>
      <c r="W588" s="13">
        <f t="shared" si="28"/>
        <v>1134</v>
      </c>
      <c r="X588" s="12" t="str">
        <f>_xlfn.XLOOKUP($B588,M_YT_LIVE!$A:$A,M_YT_LIVE!$D:$D)</f>
        <v>https://www.youtube.com/live/r7Bwk1jHwnc?si=YSwS6uQI_0X3Y91g</v>
      </c>
      <c r="Z588" s="16" t="str">
        <f>HYPERLINK($X588&amp;SUBSTITUTE(マスタ!$C$3,"XXXXX",$W588))</f>
        <v>https://www.youtube.com/live/r7Bwk1jHwnc?si=YSwS6uQI_0X3Y91g&amp;t=1134s</v>
      </c>
      <c r="AA588" s="12" t="str">
        <f t="shared" si="27"/>
        <v>supercellうたかた花火</v>
      </c>
    </row>
    <row r="589" spans="1:27" x14ac:dyDescent="0.4">
      <c r="A589" s="14">
        <f t="shared" si="29"/>
        <v>588</v>
      </c>
      <c r="B589" s="14">
        <v>84</v>
      </c>
      <c r="C589" s="18" t="s">
        <v>1544</v>
      </c>
      <c r="D589" s="14" t="s">
        <v>218</v>
      </c>
      <c r="E589" s="14" t="s">
        <v>208</v>
      </c>
      <c r="G589" s="1" t="str">
        <f>_xlfn.XLOOKUP(B589,M_YT_LIVE!A:A,M_YT_LIVE!F:F,"ERROR",0,1)</f>
        <v>弾き語り</v>
      </c>
      <c r="W589" s="13">
        <f t="shared" si="28"/>
        <v>1861</v>
      </c>
      <c r="X589" s="12" t="str">
        <f>_xlfn.XLOOKUP($B589,M_YT_LIVE!$A:$A,M_YT_LIVE!$D:$D)</f>
        <v>https://www.youtube.com/live/r7Bwk1jHwnc?si=YSwS6uQI_0X3Y91g</v>
      </c>
      <c r="Z589" s="16" t="str">
        <f>HYPERLINK($X589&amp;SUBSTITUTE(マスタ!$C$3,"XXXXX",$W589))</f>
        <v>https://www.youtube.com/live/r7Bwk1jHwnc?si=YSwS6uQI_0X3Y91g&amp;t=1861s</v>
      </c>
      <c r="AA589" s="12" t="str">
        <f t="shared" si="27"/>
        <v>supercell君の知らない物語</v>
      </c>
    </row>
    <row r="590" spans="1:27" x14ac:dyDescent="0.4">
      <c r="A590" s="14">
        <f t="shared" si="29"/>
        <v>589</v>
      </c>
      <c r="B590" s="14">
        <v>84</v>
      </c>
      <c r="C590" s="18" t="s">
        <v>1545</v>
      </c>
      <c r="D590" s="14" t="s">
        <v>838</v>
      </c>
      <c r="E590" s="14" t="s">
        <v>208</v>
      </c>
      <c r="G590" s="1" t="str">
        <f>_xlfn.XLOOKUP(B590,M_YT_LIVE!A:A,M_YT_LIVE!F:F,"ERROR",0,1)</f>
        <v>弾き語り</v>
      </c>
      <c r="W590" s="13">
        <f t="shared" si="28"/>
        <v>2367</v>
      </c>
      <c r="X590" s="12" t="str">
        <f>_xlfn.XLOOKUP($B590,M_YT_LIVE!$A:$A,M_YT_LIVE!$D:$D)</f>
        <v>https://www.youtube.com/live/r7Bwk1jHwnc?si=YSwS6uQI_0X3Y91g</v>
      </c>
      <c r="Z590" s="16" t="str">
        <f>HYPERLINK($X590&amp;SUBSTITUTE(マスタ!$C$3,"XXXXX",$W590))</f>
        <v>https://www.youtube.com/live/r7Bwk1jHwnc?si=YSwS6uQI_0X3Y91g&amp;t=2367s</v>
      </c>
      <c r="AA590" s="12" t="str">
        <f t="shared" si="27"/>
        <v>supercell銀色飛行船</v>
      </c>
    </row>
    <row r="591" spans="1:27" x14ac:dyDescent="0.4">
      <c r="A591" s="14">
        <f t="shared" si="29"/>
        <v>590</v>
      </c>
      <c r="B591" s="14">
        <v>84</v>
      </c>
      <c r="C591" s="18" t="s">
        <v>1546</v>
      </c>
      <c r="D591" s="14" t="s">
        <v>312</v>
      </c>
      <c r="E591" s="14" t="s">
        <v>208</v>
      </c>
      <c r="G591" s="1" t="str">
        <f>_xlfn.XLOOKUP(B591,M_YT_LIVE!A:A,M_YT_LIVE!F:F,"ERROR",0,1)</f>
        <v>弾き語り</v>
      </c>
      <c r="W591" s="13">
        <f t="shared" si="28"/>
        <v>2831.0000000000005</v>
      </c>
      <c r="X591" s="12" t="str">
        <f>_xlfn.XLOOKUP($B591,M_YT_LIVE!$A:$A,M_YT_LIVE!$D:$D)</f>
        <v>https://www.youtube.com/live/r7Bwk1jHwnc?si=YSwS6uQI_0X3Y91g</v>
      </c>
      <c r="Z591" s="16" t="str">
        <f>HYPERLINK($X591&amp;SUBSTITUTE(マスタ!$C$3,"XXXXX",$W591))</f>
        <v>https://www.youtube.com/live/r7Bwk1jHwnc?si=YSwS6uQI_0X3Y91g&amp;t=2831s</v>
      </c>
      <c r="AA591" s="12" t="str">
        <f t="shared" si="27"/>
        <v>supercellリルモア</v>
      </c>
    </row>
    <row r="592" spans="1:27" x14ac:dyDescent="0.4">
      <c r="A592" s="14">
        <f t="shared" si="29"/>
        <v>591</v>
      </c>
      <c r="B592" s="14">
        <v>84</v>
      </c>
      <c r="C592" s="18" t="s">
        <v>1547</v>
      </c>
      <c r="D592" s="14" t="s">
        <v>477</v>
      </c>
      <c r="E592" s="14" t="s">
        <v>478</v>
      </c>
      <c r="G592" s="1" t="str">
        <f>_xlfn.XLOOKUP(B592,M_YT_LIVE!A:A,M_YT_LIVE!F:F,"ERROR",0,1)</f>
        <v>弾き語り</v>
      </c>
      <c r="W592" s="13">
        <f t="shared" si="28"/>
        <v>3278</v>
      </c>
      <c r="X592" s="12" t="str">
        <f>_xlfn.XLOOKUP($B592,M_YT_LIVE!$A:$A,M_YT_LIVE!$D:$D)</f>
        <v>https://www.youtube.com/live/r7Bwk1jHwnc?si=YSwS6uQI_0X3Y91g</v>
      </c>
      <c r="Z592" s="16" t="str">
        <f>HYPERLINK($X592&amp;SUBSTITUTE(マスタ!$C$3,"XXXXX",$W592))</f>
        <v>https://www.youtube.com/live/r7Bwk1jHwnc?si=YSwS6uQI_0X3Y91g&amp;t=3278s</v>
      </c>
      <c r="AA592" s="12" t="str">
        <f t="shared" si="27"/>
        <v>煮ル果実 feat.可不ナイトルール</v>
      </c>
    </row>
    <row r="593" spans="1:27" x14ac:dyDescent="0.4">
      <c r="A593" s="14">
        <f t="shared" si="29"/>
        <v>592</v>
      </c>
      <c r="B593" s="14">
        <v>84</v>
      </c>
      <c r="C593" s="18" t="s">
        <v>1548</v>
      </c>
      <c r="D593" s="14" t="s">
        <v>1549</v>
      </c>
      <c r="E593" s="14" t="s">
        <v>125</v>
      </c>
      <c r="G593" s="1" t="str">
        <f>_xlfn.XLOOKUP(B593,M_YT_LIVE!A:A,M_YT_LIVE!F:F,"ERROR",0,1)</f>
        <v>弾き語り</v>
      </c>
      <c r="W593" s="13">
        <f t="shared" si="28"/>
        <v>3656.9999999999995</v>
      </c>
      <c r="X593" s="12" t="str">
        <f>_xlfn.XLOOKUP($B593,M_YT_LIVE!$A:$A,M_YT_LIVE!$D:$D)</f>
        <v>https://www.youtube.com/live/r7Bwk1jHwnc?si=YSwS6uQI_0X3Y91g</v>
      </c>
      <c r="Z593" s="16" t="str">
        <f>HYPERLINK($X593&amp;SUBSTITUTE(マスタ!$C$3,"XXXXX",$W593))</f>
        <v>https://www.youtube.com/live/r7Bwk1jHwnc?si=YSwS6uQI_0X3Y91g&amp;t=3657s</v>
      </c>
      <c r="AA593" s="12" t="str">
        <f t="shared" ref="AA593:AA656" si="30">TRIM(E593)&amp;TRIM(D593)</f>
        <v>Orangestar feat.IAノクティルーカ</v>
      </c>
    </row>
    <row r="594" spans="1:27" x14ac:dyDescent="0.4">
      <c r="A594" s="14">
        <f t="shared" si="29"/>
        <v>593</v>
      </c>
      <c r="B594" s="14">
        <v>84</v>
      </c>
      <c r="C594" s="18" t="s">
        <v>1550</v>
      </c>
      <c r="D594" s="14" t="s">
        <v>165</v>
      </c>
      <c r="E594" s="14" t="s">
        <v>118</v>
      </c>
      <c r="G594" s="1" t="str">
        <f>_xlfn.XLOOKUP(B594,M_YT_LIVE!A:A,M_YT_LIVE!F:F,"ERROR",0,1)</f>
        <v>弾き語り</v>
      </c>
      <c r="W594" s="13">
        <f t="shared" si="28"/>
        <v>4113</v>
      </c>
      <c r="X594" s="12" t="str">
        <f>_xlfn.XLOOKUP($B594,M_YT_LIVE!$A:$A,M_YT_LIVE!$D:$D)</f>
        <v>https://www.youtube.com/live/r7Bwk1jHwnc?si=YSwS6uQI_0X3Y91g</v>
      </c>
      <c r="Z594" s="16" t="str">
        <f>HYPERLINK($X594&amp;SUBSTITUTE(マスタ!$C$3,"XXXXX",$W594))</f>
        <v>https://www.youtube.com/live/r7Bwk1jHwnc?si=YSwS6uQI_0X3Y91g&amp;t=4113s</v>
      </c>
      <c r="AA594" s="12" t="str">
        <f t="shared" si="30"/>
        <v>Orangestar feat.初音ミク回る空うさぎ</v>
      </c>
    </row>
    <row r="595" spans="1:27" x14ac:dyDescent="0.4">
      <c r="A595" s="14">
        <f t="shared" si="29"/>
        <v>594</v>
      </c>
      <c r="B595" s="14">
        <v>84</v>
      </c>
      <c r="C595" s="18" t="s">
        <v>1551</v>
      </c>
      <c r="D595" s="14" t="s">
        <v>1097</v>
      </c>
      <c r="E595" s="14" t="s">
        <v>57</v>
      </c>
      <c r="G595" s="1" t="str">
        <f>_xlfn.XLOOKUP(B595,M_YT_LIVE!A:A,M_YT_LIVE!F:F,"ERROR",0,1)</f>
        <v>弾き語り</v>
      </c>
      <c r="W595" s="13">
        <f t="shared" si="28"/>
        <v>4400</v>
      </c>
      <c r="X595" s="12" t="str">
        <f>_xlfn.XLOOKUP($B595,M_YT_LIVE!$A:$A,M_YT_LIVE!$D:$D)</f>
        <v>https://www.youtube.com/live/r7Bwk1jHwnc?si=YSwS6uQI_0X3Y91g</v>
      </c>
      <c r="Z595" s="16" t="str">
        <f>HYPERLINK($X595&amp;SUBSTITUTE(マスタ!$C$3,"XXXXX",$W595))</f>
        <v>https://www.youtube.com/live/r7Bwk1jHwnc?si=YSwS6uQI_0X3Y91g&amp;t=4400s</v>
      </c>
      <c r="AA595" s="12" t="str">
        <f t="shared" si="30"/>
        <v>羊文学永遠のブルー</v>
      </c>
    </row>
    <row r="596" spans="1:27" x14ac:dyDescent="0.4">
      <c r="A596" s="14">
        <f t="shared" si="29"/>
        <v>595</v>
      </c>
      <c r="B596" s="14">
        <v>84</v>
      </c>
      <c r="C596" s="26" t="s">
        <v>1552</v>
      </c>
      <c r="D596" s="14" t="s">
        <v>1154</v>
      </c>
      <c r="E596" s="14" t="s">
        <v>57</v>
      </c>
      <c r="G596" s="1" t="str">
        <f>_xlfn.XLOOKUP(B596,M_YT_LIVE!A:A,M_YT_LIVE!F:F,"ERROR",0,1)</f>
        <v>弾き語り</v>
      </c>
      <c r="W596" s="13">
        <f t="shared" si="28"/>
        <v>4756</v>
      </c>
      <c r="X596" s="12" t="str">
        <f>_xlfn.XLOOKUP($B596,M_YT_LIVE!$A:$A,M_YT_LIVE!$D:$D)</f>
        <v>https://www.youtube.com/live/r7Bwk1jHwnc?si=YSwS6uQI_0X3Y91g</v>
      </c>
      <c r="Z596" s="16" t="str">
        <f>HYPERLINK($X596&amp;SUBSTITUTE(マスタ!$C$3,"XXXXX",$W596))</f>
        <v>https://www.youtube.com/live/r7Bwk1jHwnc?si=YSwS6uQI_0X3Y91g&amp;t=4756s</v>
      </c>
      <c r="AA596" s="12" t="str">
        <f t="shared" si="30"/>
        <v>羊文学恋なんて</v>
      </c>
    </row>
    <row r="597" spans="1:27" x14ac:dyDescent="0.4">
      <c r="A597" s="14">
        <f t="shared" si="29"/>
        <v>596</v>
      </c>
      <c r="B597" s="14">
        <v>84</v>
      </c>
      <c r="C597" s="21" t="s">
        <v>1553</v>
      </c>
      <c r="D597" s="14" t="s">
        <v>1554</v>
      </c>
      <c r="E597" s="24" t="b">
        <v>1</v>
      </c>
      <c r="G597" s="1" t="str">
        <f>_xlfn.XLOOKUP(B597,M_YT_LIVE!A:A,M_YT_LIVE!F:F,"ERROR",0,1)</f>
        <v>弾き語り</v>
      </c>
      <c r="W597" s="13">
        <f t="shared" si="28"/>
        <v>5424.9999999999991</v>
      </c>
      <c r="X597" s="12" t="str">
        <f>_xlfn.XLOOKUP($B597,M_YT_LIVE!$A:$A,M_YT_LIVE!$D:$D)</f>
        <v>https://www.youtube.com/live/r7Bwk1jHwnc?si=YSwS6uQI_0X3Y91g</v>
      </c>
      <c r="Z597" s="16" t="str">
        <f>HYPERLINK($X597&amp;SUBSTITUTE(マスタ!$C$3,"XXXXX",$W597))</f>
        <v>https://www.youtube.com/live/r7Bwk1jHwnc?si=YSwS6uQI_0X3Y91g&amp;t=5425s</v>
      </c>
      <c r="AA597" s="12" t="str">
        <f t="shared" si="30"/>
        <v>TRUESincerely</v>
      </c>
    </row>
    <row r="598" spans="1:27" x14ac:dyDescent="0.4">
      <c r="A598" s="14">
        <f t="shared" si="29"/>
        <v>597</v>
      </c>
      <c r="B598" s="14">
        <v>84</v>
      </c>
      <c r="C598" s="21" t="s">
        <v>1555</v>
      </c>
      <c r="D598" s="14" t="s">
        <v>770</v>
      </c>
      <c r="E598" s="14" t="s">
        <v>771</v>
      </c>
      <c r="G598" s="1" t="str">
        <f>_xlfn.XLOOKUP(B598,M_YT_LIVE!A:A,M_YT_LIVE!F:F,"ERROR",0,1)</f>
        <v>弾き語り</v>
      </c>
      <c r="W598" s="13">
        <f t="shared" si="28"/>
        <v>6080</v>
      </c>
      <c r="X598" s="12" t="str">
        <f>_xlfn.XLOOKUP($B598,M_YT_LIVE!$A:$A,M_YT_LIVE!$D:$D)</f>
        <v>https://www.youtube.com/live/r7Bwk1jHwnc?si=YSwS6uQI_0X3Y91g</v>
      </c>
      <c r="Z598" s="16" t="str">
        <f>HYPERLINK($X598&amp;SUBSTITUTE(マスタ!$C$3,"XXXXX",$W598))</f>
        <v>https://www.youtube.com/live/r7Bwk1jHwnc?si=YSwS6uQI_0X3Y91g&amp;t=6080s</v>
      </c>
      <c r="AA598" s="12" t="str">
        <f t="shared" si="30"/>
        <v>(K)NoW_NAMEHarvest</v>
      </c>
    </row>
    <row r="599" spans="1:27" x14ac:dyDescent="0.4">
      <c r="A599" s="14">
        <f t="shared" si="29"/>
        <v>598</v>
      </c>
      <c r="B599" s="14">
        <v>85</v>
      </c>
      <c r="C599" s="21" t="s">
        <v>588</v>
      </c>
      <c r="D599" s="14" t="s">
        <v>149</v>
      </c>
      <c r="E599" s="14" t="s">
        <v>150</v>
      </c>
      <c r="G599" s="1" t="str">
        <f>_xlfn.XLOOKUP(B599,M_YT_LIVE!A:A,M_YT_LIVE!F:F,"ERROR",0,1)</f>
        <v>弾き語り&amp;音源</v>
      </c>
      <c r="W599" s="13">
        <f t="shared" si="28"/>
        <v>329</v>
      </c>
      <c r="X599" s="12" t="str">
        <f>_xlfn.XLOOKUP($B599,M_YT_LIVE!$A:$A,M_YT_LIVE!$D:$D)</f>
        <v>https://www.youtube.com/live/b0qPGU0sZn4?si=C5mabzVl6bhK7mp0</v>
      </c>
      <c r="Z599" s="16" t="str">
        <f>HYPERLINK($X599&amp;SUBSTITUTE(マスタ!$C$3,"XXXXX",$W599))</f>
        <v>https://www.youtube.com/live/b0qPGU0sZn4?si=C5mabzVl6bhK7mp0&amp;t=329s</v>
      </c>
      <c r="AA599" s="12" t="str">
        <f t="shared" si="30"/>
        <v>みきとP feat.初音ミク少女レイ</v>
      </c>
    </row>
    <row r="600" spans="1:27" x14ac:dyDescent="0.4">
      <c r="A600" s="14">
        <f t="shared" si="29"/>
        <v>599</v>
      </c>
      <c r="B600" s="14">
        <v>85</v>
      </c>
      <c r="C600" s="21" t="s">
        <v>1558</v>
      </c>
      <c r="D600" s="14" t="s">
        <v>1559</v>
      </c>
      <c r="E600" s="14" t="s">
        <v>141</v>
      </c>
      <c r="G600" s="1" t="str">
        <f>_xlfn.XLOOKUP(B600,M_YT_LIVE!A:A,M_YT_LIVE!F:F,"ERROR",0,1)</f>
        <v>弾き語り&amp;音源</v>
      </c>
      <c r="W600" s="13">
        <f t="shared" si="28"/>
        <v>791</v>
      </c>
      <c r="X600" s="12" t="str">
        <f>_xlfn.XLOOKUP($B600,M_YT_LIVE!$A:$A,M_YT_LIVE!$D:$D)</f>
        <v>https://www.youtube.com/live/b0qPGU0sZn4?si=C5mabzVl6bhK7mp0</v>
      </c>
      <c r="Z600" s="16" t="str">
        <f>HYPERLINK($X600&amp;SUBSTITUTE(マスタ!$C$3,"XXXXX",$W600))</f>
        <v>https://www.youtube.com/live/b0qPGU0sZn4?si=C5mabzVl6bhK7mp0&amp;t=791s</v>
      </c>
      <c r="AA600" s="12" t="str">
        <f t="shared" si="30"/>
        <v>ヨルシカ火星人</v>
      </c>
    </row>
    <row r="601" spans="1:27" x14ac:dyDescent="0.4">
      <c r="A601" s="14">
        <f t="shared" si="29"/>
        <v>600</v>
      </c>
      <c r="B601" s="14">
        <v>85</v>
      </c>
      <c r="C601" s="21" t="s">
        <v>1560</v>
      </c>
      <c r="D601" s="14" t="s">
        <v>1459</v>
      </c>
      <c r="E601" s="14" t="s">
        <v>716</v>
      </c>
      <c r="G601" s="1" t="str">
        <f>_xlfn.XLOOKUP(B601,M_YT_LIVE!A:A,M_YT_LIVE!F:F,"ERROR",0,1)</f>
        <v>弾き語り&amp;音源</v>
      </c>
      <c r="W601" s="13">
        <f t="shared" si="28"/>
        <v>1189</v>
      </c>
      <c r="X601" s="12" t="str">
        <f>_xlfn.XLOOKUP($B601,M_YT_LIVE!$A:$A,M_YT_LIVE!$D:$D)</f>
        <v>https://www.youtube.com/live/b0qPGU0sZn4?si=C5mabzVl6bhK7mp0</v>
      </c>
      <c r="Z601" s="16" t="str">
        <f>HYPERLINK($X601&amp;SUBSTITUTE(マスタ!$C$3,"XXXXX",$W601))</f>
        <v>https://www.youtube.com/live/b0qPGU0sZn4?si=C5mabzVl6bhK7mp0&amp;t=1189s</v>
      </c>
      <c r="AA601" s="12" t="str">
        <f t="shared" si="30"/>
        <v>RADWIMPS夢灯篭</v>
      </c>
    </row>
    <row r="602" spans="1:27" x14ac:dyDescent="0.4">
      <c r="A602" s="14">
        <f t="shared" si="29"/>
        <v>601</v>
      </c>
      <c r="B602" s="14">
        <v>85</v>
      </c>
      <c r="C602" s="21" t="s">
        <v>1561</v>
      </c>
      <c r="D602" s="14" t="s">
        <v>1562</v>
      </c>
      <c r="E602" s="14" t="s">
        <v>716</v>
      </c>
      <c r="G602" s="1" t="str">
        <f>_xlfn.XLOOKUP(B602,M_YT_LIVE!A:A,M_YT_LIVE!F:F,"ERROR",0,1)</f>
        <v>弾き語り&amp;音源</v>
      </c>
      <c r="W602" s="13">
        <f t="shared" si="28"/>
        <v>1434</v>
      </c>
      <c r="X602" s="12" t="str">
        <f>_xlfn.XLOOKUP($B602,M_YT_LIVE!$A:$A,M_YT_LIVE!$D:$D)</f>
        <v>https://www.youtube.com/live/b0qPGU0sZn4?si=C5mabzVl6bhK7mp0</v>
      </c>
      <c r="Z602" s="16" t="str">
        <f>HYPERLINK($X602&amp;SUBSTITUTE(マスタ!$C$3,"XXXXX",$W602))</f>
        <v>https://www.youtube.com/live/b0qPGU0sZn4?si=C5mabzVl6bhK7mp0&amp;t=1434s</v>
      </c>
      <c r="AA602" s="12" t="str">
        <f t="shared" si="30"/>
        <v>RADWIMPSスパークル</v>
      </c>
    </row>
    <row r="603" spans="1:27" x14ac:dyDescent="0.4">
      <c r="A603" s="14">
        <f t="shared" si="29"/>
        <v>602</v>
      </c>
      <c r="B603" s="14">
        <v>85</v>
      </c>
      <c r="C603" s="21" t="s">
        <v>1563</v>
      </c>
      <c r="D603" s="14" t="s">
        <v>1457</v>
      </c>
      <c r="E603" s="14" t="s">
        <v>57</v>
      </c>
      <c r="G603" s="1" t="str">
        <f>_xlfn.XLOOKUP(B603,M_YT_LIVE!A:A,M_YT_LIVE!F:F,"ERROR",0,1)</f>
        <v>弾き語り&amp;音源</v>
      </c>
      <c r="W603" s="13">
        <f t="shared" si="28"/>
        <v>1910.9999999999998</v>
      </c>
      <c r="X603" s="12" t="str">
        <f>_xlfn.XLOOKUP($B603,M_YT_LIVE!$A:$A,M_YT_LIVE!$D:$D)</f>
        <v>https://www.youtube.com/live/b0qPGU0sZn4?si=C5mabzVl6bhK7mp0</v>
      </c>
      <c r="Z603" s="16" t="str">
        <f>HYPERLINK($X603&amp;SUBSTITUTE(マスタ!$C$3,"XXXXX",$W603))</f>
        <v>https://www.youtube.com/live/b0qPGU0sZn4?si=C5mabzVl6bhK7mp0&amp;t=1911s</v>
      </c>
      <c r="AA603" s="12" t="str">
        <f t="shared" si="30"/>
        <v>羊文学Feel</v>
      </c>
    </row>
    <row r="604" spans="1:27" x14ac:dyDescent="0.4">
      <c r="A604" s="14">
        <f t="shared" si="29"/>
        <v>603</v>
      </c>
      <c r="B604" s="14">
        <v>85</v>
      </c>
      <c r="C604" s="21" t="s">
        <v>1564</v>
      </c>
      <c r="D604" s="14" t="s">
        <v>1154</v>
      </c>
      <c r="E604" s="14" t="s">
        <v>57</v>
      </c>
      <c r="G604" s="1" t="str">
        <f>_xlfn.XLOOKUP(B604,M_YT_LIVE!A:A,M_YT_LIVE!F:F,"ERROR",0,1)</f>
        <v>弾き語り&amp;音源</v>
      </c>
      <c r="W604" s="13">
        <f t="shared" si="28"/>
        <v>2262</v>
      </c>
      <c r="X604" s="12" t="str">
        <f>_xlfn.XLOOKUP($B604,M_YT_LIVE!$A:$A,M_YT_LIVE!$D:$D)</f>
        <v>https://www.youtube.com/live/b0qPGU0sZn4?si=C5mabzVl6bhK7mp0</v>
      </c>
      <c r="Z604" s="16" t="str">
        <f>HYPERLINK($X604&amp;SUBSTITUTE(マスタ!$C$3,"XXXXX",$W604))</f>
        <v>https://www.youtube.com/live/b0qPGU0sZn4?si=C5mabzVl6bhK7mp0&amp;t=2262s</v>
      </c>
      <c r="AA604" s="12" t="str">
        <f t="shared" si="30"/>
        <v>羊文学恋なんて</v>
      </c>
    </row>
    <row r="605" spans="1:27" x14ac:dyDescent="0.4">
      <c r="A605" s="14">
        <f t="shared" si="29"/>
        <v>604</v>
      </c>
      <c r="B605" s="14">
        <v>85</v>
      </c>
      <c r="C605" s="21" t="s">
        <v>1565</v>
      </c>
      <c r="D605" s="14" t="s">
        <v>1097</v>
      </c>
      <c r="E605" s="14" t="s">
        <v>57</v>
      </c>
      <c r="G605" s="1" t="str">
        <f>_xlfn.XLOOKUP(B605,M_YT_LIVE!A:A,M_YT_LIVE!F:F,"ERROR",0,1)</f>
        <v>弾き語り&amp;音源</v>
      </c>
      <c r="W605" s="13">
        <f t="shared" si="28"/>
        <v>2634</v>
      </c>
      <c r="X605" s="12" t="str">
        <f>_xlfn.XLOOKUP($B605,M_YT_LIVE!$A:$A,M_YT_LIVE!$D:$D)</f>
        <v>https://www.youtube.com/live/b0qPGU0sZn4?si=C5mabzVl6bhK7mp0</v>
      </c>
      <c r="Z605" s="16" t="str">
        <f>HYPERLINK($X605&amp;SUBSTITUTE(マスタ!$C$3,"XXXXX",$W605))</f>
        <v>https://www.youtube.com/live/b0qPGU0sZn4?si=C5mabzVl6bhK7mp0&amp;t=2634s</v>
      </c>
      <c r="AA605" s="12" t="str">
        <f t="shared" si="30"/>
        <v>羊文学永遠のブルー</v>
      </c>
    </row>
    <row r="606" spans="1:27" x14ac:dyDescent="0.4">
      <c r="A606" s="14">
        <f t="shared" si="29"/>
        <v>605</v>
      </c>
      <c r="B606" s="14">
        <v>85</v>
      </c>
      <c r="C606" s="21" t="s">
        <v>1566</v>
      </c>
      <c r="D606" s="14" t="s">
        <v>56</v>
      </c>
      <c r="E606" s="14" t="s">
        <v>57</v>
      </c>
      <c r="G606" s="1" t="str">
        <f>_xlfn.XLOOKUP(B606,M_YT_LIVE!A:A,M_YT_LIVE!F:F,"ERROR",0,1)</f>
        <v>弾き語り&amp;音源</v>
      </c>
      <c r="W606" s="13">
        <f t="shared" si="28"/>
        <v>2945</v>
      </c>
      <c r="X606" s="12" t="str">
        <f>_xlfn.XLOOKUP($B606,M_YT_LIVE!$A:$A,M_YT_LIVE!$D:$D)</f>
        <v>https://www.youtube.com/live/b0qPGU0sZn4?si=C5mabzVl6bhK7mp0</v>
      </c>
      <c r="Z606" s="16" t="str">
        <f>HYPERLINK($X606&amp;SUBSTITUTE(マスタ!$C$3,"XXXXX",$W606))</f>
        <v>https://www.youtube.com/live/b0qPGU0sZn4?si=C5mabzVl6bhK7mp0&amp;t=2945s</v>
      </c>
      <c r="AA606" s="12" t="str">
        <f t="shared" si="30"/>
        <v>羊文学more than words</v>
      </c>
    </row>
    <row r="607" spans="1:27" x14ac:dyDescent="0.4">
      <c r="A607" s="14">
        <f t="shared" si="29"/>
        <v>606</v>
      </c>
      <c r="B607" s="14">
        <v>85</v>
      </c>
      <c r="C607" s="21" t="s">
        <v>1567</v>
      </c>
      <c r="D607" s="14" t="s">
        <v>1568</v>
      </c>
      <c r="E607" s="14" t="s">
        <v>1569</v>
      </c>
      <c r="G607" s="1" t="str">
        <f>_xlfn.XLOOKUP(B607,M_YT_LIVE!A:A,M_YT_LIVE!F:F,"ERROR",0,1)</f>
        <v>弾き語り&amp;音源</v>
      </c>
      <c r="W607" s="13">
        <f t="shared" si="28"/>
        <v>3517.9999999999995</v>
      </c>
      <c r="X607" s="12" t="str">
        <f>_xlfn.XLOOKUP($B607,M_YT_LIVE!$A:$A,M_YT_LIVE!$D:$D)</f>
        <v>https://www.youtube.com/live/b0qPGU0sZn4?si=C5mabzVl6bhK7mp0</v>
      </c>
      <c r="Z607" s="16" t="str">
        <f>HYPERLINK($X607&amp;SUBSTITUTE(マスタ!$C$3,"XXXXX",$W607))</f>
        <v>https://www.youtube.com/live/b0qPGU0sZn4?si=C5mabzVl6bhK7mp0&amp;t=3518s</v>
      </c>
      <c r="AA607" s="12" t="str">
        <f t="shared" si="30"/>
        <v>lslet feat.倚水春を待つ</v>
      </c>
    </row>
    <row r="608" spans="1:27" x14ac:dyDescent="0.4">
      <c r="A608" s="14">
        <f t="shared" si="29"/>
        <v>607</v>
      </c>
      <c r="B608" s="14">
        <v>85</v>
      </c>
      <c r="C608" s="21" t="s">
        <v>1570</v>
      </c>
      <c r="D608" s="14" t="s">
        <v>1571</v>
      </c>
      <c r="E608" s="14" t="s">
        <v>1572</v>
      </c>
      <c r="G608" s="1" t="str">
        <f>_xlfn.XLOOKUP(B608,M_YT_LIVE!A:A,M_YT_LIVE!F:F,"ERROR",0,1)</f>
        <v>弾き語り&amp;音源</v>
      </c>
      <c r="W608" s="13">
        <f t="shared" si="28"/>
        <v>3944</v>
      </c>
      <c r="X608" s="12" t="str">
        <f>_xlfn.XLOOKUP($B608,M_YT_LIVE!$A:$A,M_YT_LIVE!$D:$D)</f>
        <v>https://www.youtube.com/live/b0qPGU0sZn4?si=C5mabzVl6bhK7mp0</v>
      </c>
      <c r="Z608" s="16" t="str">
        <f>HYPERLINK($X608&amp;SUBSTITUTE(マスタ!$C$3,"XXXXX",$W608))</f>
        <v>https://www.youtube.com/live/b0qPGU0sZn4?si=C5mabzVl6bhK7mp0&amp;t=3944s</v>
      </c>
      <c r="AA608" s="12" t="str">
        <f t="shared" si="30"/>
        <v>Guiano晴れるなら</v>
      </c>
    </row>
    <row r="609" spans="1:27" x14ac:dyDescent="0.4">
      <c r="A609" s="14">
        <f t="shared" si="29"/>
        <v>608</v>
      </c>
      <c r="B609" s="14">
        <v>85</v>
      </c>
      <c r="C609" s="21" t="s">
        <v>1573</v>
      </c>
      <c r="D609" s="14" t="s">
        <v>1574</v>
      </c>
      <c r="E609" s="14" t="s">
        <v>1575</v>
      </c>
      <c r="G609" s="1" t="str">
        <f>_xlfn.XLOOKUP(B609,M_YT_LIVE!A:A,M_YT_LIVE!F:F,"ERROR",0,1)</f>
        <v>弾き語り&amp;音源</v>
      </c>
      <c r="W609" s="13">
        <f t="shared" si="28"/>
        <v>4283</v>
      </c>
      <c r="X609" s="12" t="str">
        <f>_xlfn.XLOOKUP($B609,M_YT_LIVE!$A:$A,M_YT_LIVE!$D:$D)</f>
        <v>https://www.youtube.com/live/b0qPGU0sZn4?si=C5mabzVl6bhK7mp0</v>
      </c>
      <c r="Z609" s="16" t="str">
        <f>HYPERLINK($X609&amp;SUBSTITUTE(マスタ!$C$3,"XXXXX",$W609))</f>
        <v>https://www.youtube.com/live/b0qPGU0sZn4?si=C5mabzVl6bhK7mp0&amp;t=4283s</v>
      </c>
      <c r="AA609" s="12" t="str">
        <f t="shared" si="30"/>
        <v>ユーリ隙</v>
      </c>
    </row>
    <row r="610" spans="1:27" x14ac:dyDescent="0.4">
      <c r="A610" s="14">
        <f t="shared" si="29"/>
        <v>609</v>
      </c>
      <c r="B610" s="14">
        <v>85</v>
      </c>
      <c r="C610" s="21" t="s">
        <v>1576</v>
      </c>
      <c r="D610" s="14" t="s">
        <v>1577</v>
      </c>
      <c r="E610" s="14" t="s">
        <v>1572</v>
      </c>
      <c r="G610" s="1" t="str">
        <f>_xlfn.XLOOKUP(B610,M_YT_LIVE!A:A,M_YT_LIVE!F:F,"ERROR",0,1)</f>
        <v>弾き語り&amp;音源</v>
      </c>
      <c r="W610" s="13">
        <f t="shared" si="28"/>
        <v>4500</v>
      </c>
      <c r="X610" s="12" t="str">
        <f>_xlfn.XLOOKUP($B610,M_YT_LIVE!$A:$A,M_YT_LIVE!$D:$D)</f>
        <v>https://www.youtube.com/live/b0qPGU0sZn4?si=C5mabzVl6bhK7mp0</v>
      </c>
      <c r="Z610" s="16" t="str">
        <f>HYPERLINK($X610&amp;SUBSTITUTE(マスタ!$C$3,"XXXXX",$W610))</f>
        <v>https://www.youtube.com/live/b0qPGU0sZn4?si=C5mabzVl6bhK7mp0&amp;t=4500s</v>
      </c>
      <c r="AA610" s="12" t="str">
        <f t="shared" si="30"/>
        <v>Guianoネハン</v>
      </c>
    </row>
    <row r="611" spans="1:27" x14ac:dyDescent="0.4">
      <c r="A611" s="14">
        <f t="shared" si="29"/>
        <v>610</v>
      </c>
      <c r="B611" s="14">
        <v>85</v>
      </c>
      <c r="C611" s="21" t="s">
        <v>1578</v>
      </c>
      <c r="D611" s="14" t="s">
        <v>913</v>
      </c>
      <c r="E611" s="14" t="s">
        <v>914</v>
      </c>
      <c r="G611" s="1" t="str">
        <f>_xlfn.XLOOKUP(B611,M_YT_LIVE!A:A,M_YT_LIVE!F:F,"ERROR",0,1)</f>
        <v>弾き語り&amp;音源</v>
      </c>
      <c r="W611" s="13">
        <f t="shared" si="28"/>
        <v>4870</v>
      </c>
      <c r="X611" s="12" t="str">
        <f>_xlfn.XLOOKUP($B611,M_YT_LIVE!$A:$A,M_YT_LIVE!$D:$D)</f>
        <v>https://www.youtube.com/live/b0qPGU0sZn4?si=C5mabzVl6bhK7mp0</v>
      </c>
      <c r="Z611" s="16" t="str">
        <f>HYPERLINK($X611&amp;SUBSTITUTE(マスタ!$C$3,"XXXXX",$W611))</f>
        <v>https://www.youtube.com/live/b0qPGU0sZn4?si=C5mabzVl6bhK7mp0&amp;t=4870s</v>
      </c>
      <c r="AA611" s="12" t="str">
        <f t="shared" si="30"/>
        <v>赤い公園サイダー</v>
      </c>
    </row>
    <row r="612" spans="1:27" x14ac:dyDescent="0.4">
      <c r="A612" s="14">
        <f t="shared" si="29"/>
        <v>611</v>
      </c>
      <c r="B612" s="14">
        <v>85</v>
      </c>
      <c r="C612" s="21" t="s">
        <v>1579</v>
      </c>
      <c r="D612" s="14" t="s">
        <v>477</v>
      </c>
      <c r="E612" s="14" t="s">
        <v>478</v>
      </c>
      <c r="G612" s="1" t="str">
        <f>_xlfn.XLOOKUP(B612,M_YT_LIVE!A:A,M_YT_LIVE!F:F,"ERROR",0,1)</f>
        <v>弾き語り&amp;音源</v>
      </c>
      <c r="W612" s="13">
        <f t="shared" si="28"/>
        <v>5233</v>
      </c>
      <c r="X612" s="12" t="str">
        <f>_xlfn.XLOOKUP($B612,M_YT_LIVE!$A:$A,M_YT_LIVE!$D:$D)</f>
        <v>https://www.youtube.com/live/b0qPGU0sZn4?si=C5mabzVl6bhK7mp0</v>
      </c>
      <c r="Z612" s="16" t="str">
        <f>HYPERLINK($X612&amp;SUBSTITUTE(マスタ!$C$3,"XXXXX",$W612))</f>
        <v>https://www.youtube.com/live/b0qPGU0sZn4?si=C5mabzVl6bhK7mp0&amp;t=5233s</v>
      </c>
      <c r="AA612" s="12" t="str">
        <f t="shared" si="30"/>
        <v>煮ル果実 feat.可不ナイトルール</v>
      </c>
    </row>
    <row r="613" spans="1:27" x14ac:dyDescent="0.4">
      <c r="A613" s="14">
        <f t="shared" si="29"/>
        <v>612</v>
      </c>
      <c r="B613" s="14">
        <v>85</v>
      </c>
      <c r="C613" s="21" t="s">
        <v>1580</v>
      </c>
      <c r="D613" s="14" t="s">
        <v>1082</v>
      </c>
      <c r="E613" s="14" t="s">
        <v>1569</v>
      </c>
      <c r="G613" s="1" t="str">
        <f>_xlfn.XLOOKUP(B613,M_YT_LIVE!A:A,M_YT_LIVE!F:F,"ERROR",0,1)</f>
        <v>弾き語り&amp;音源</v>
      </c>
      <c r="W613" s="13">
        <f t="shared" si="28"/>
        <v>5650</v>
      </c>
      <c r="X613" s="12" t="str">
        <f>_xlfn.XLOOKUP($B613,M_YT_LIVE!$A:$A,M_YT_LIVE!$D:$D)</f>
        <v>https://www.youtube.com/live/b0qPGU0sZn4?si=C5mabzVl6bhK7mp0</v>
      </c>
      <c r="Z613" s="16" t="str">
        <f>HYPERLINK($X613&amp;SUBSTITUTE(マスタ!$C$3,"XXXXX",$W613))</f>
        <v>https://www.youtube.com/live/b0qPGU0sZn4?si=C5mabzVl6bhK7mp0&amp;t=5650s</v>
      </c>
      <c r="AA613" s="12" t="str">
        <f t="shared" si="30"/>
        <v>lslet feat.倚水可惜夜</v>
      </c>
    </row>
    <row r="614" spans="1:27" x14ac:dyDescent="0.4">
      <c r="A614" s="14">
        <f t="shared" si="29"/>
        <v>613</v>
      </c>
      <c r="B614" s="14">
        <v>85</v>
      </c>
      <c r="C614" s="21" t="s">
        <v>1581</v>
      </c>
      <c r="D614" s="14" t="s">
        <v>1582</v>
      </c>
      <c r="E614" s="14" t="s">
        <v>1569</v>
      </c>
      <c r="G614" s="1" t="str">
        <f>_xlfn.XLOOKUP(B614,M_YT_LIVE!A:A,M_YT_LIVE!F:F,"ERROR",0,1)</f>
        <v>弾き語り&amp;音源</v>
      </c>
      <c r="W614" s="13">
        <f t="shared" si="28"/>
        <v>6187</v>
      </c>
      <c r="X614" s="12" t="str">
        <f>_xlfn.XLOOKUP($B614,M_YT_LIVE!$A:$A,M_YT_LIVE!$D:$D)</f>
        <v>https://www.youtube.com/live/b0qPGU0sZn4?si=C5mabzVl6bhK7mp0</v>
      </c>
      <c r="Z614" s="16" t="str">
        <f>HYPERLINK($X614&amp;SUBSTITUTE(マスタ!$C$3,"XXXXX",$W614))</f>
        <v>https://www.youtube.com/live/b0qPGU0sZn4?si=C5mabzVl6bhK7mp0&amp;t=6187s</v>
      </c>
      <c r="AA614" s="12" t="str">
        <f t="shared" si="30"/>
        <v>lslet feat.倚水白日夢</v>
      </c>
    </row>
    <row r="615" spans="1:27" x14ac:dyDescent="0.4">
      <c r="A615" s="14">
        <f t="shared" si="29"/>
        <v>614</v>
      </c>
      <c r="B615" s="14">
        <v>85</v>
      </c>
      <c r="C615" s="21" t="s">
        <v>1583</v>
      </c>
      <c r="D615" s="14" t="s">
        <v>1584</v>
      </c>
      <c r="E615" s="14" t="s">
        <v>1585</v>
      </c>
      <c r="G615" s="1" t="str">
        <f>_xlfn.XLOOKUP(B615,M_YT_LIVE!A:A,M_YT_LIVE!F:F,"ERROR",0,1)</f>
        <v>弾き語り&amp;音源</v>
      </c>
      <c r="W615" s="13">
        <f t="shared" si="28"/>
        <v>6558</v>
      </c>
      <c r="X615" s="12" t="str">
        <f>_xlfn.XLOOKUP($B615,M_YT_LIVE!$A:$A,M_YT_LIVE!$D:$D)</f>
        <v>https://www.youtube.com/live/b0qPGU0sZn4?si=C5mabzVl6bhK7mp0</v>
      </c>
      <c r="Z615" s="16" t="str">
        <f>HYPERLINK($X615&amp;SUBSTITUTE(マスタ!$C$3,"XXXXX",$W615))</f>
        <v>https://www.youtube.com/live/b0qPGU0sZn4?si=C5mabzVl6bhK7mp0&amp;t=6558s</v>
      </c>
      <c r="AA615" s="12" t="str">
        <f t="shared" si="30"/>
        <v>25時、ナイトコードで。×KAITO化けの花</v>
      </c>
    </row>
    <row r="616" spans="1:27" x14ac:dyDescent="0.4">
      <c r="A616" s="14">
        <f t="shared" si="29"/>
        <v>615</v>
      </c>
      <c r="B616" s="14">
        <v>85</v>
      </c>
      <c r="C616" s="21" t="s">
        <v>1586</v>
      </c>
      <c r="D616" s="14" t="s">
        <v>1488</v>
      </c>
      <c r="E616" s="14" t="s">
        <v>924</v>
      </c>
      <c r="G616" s="1" t="str">
        <f>_xlfn.XLOOKUP(B616,M_YT_LIVE!A:A,M_YT_LIVE!F:F,"ERROR",0,1)</f>
        <v>弾き語り&amp;音源</v>
      </c>
      <c r="W616" s="13">
        <f t="shared" si="28"/>
        <v>6858.9999999999991</v>
      </c>
      <c r="X616" s="12" t="str">
        <f>_xlfn.XLOOKUP($B616,M_YT_LIVE!$A:$A,M_YT_LIVE!$D:$D)</f>
        <v>https://www.youtube.com/live/b0qPGU0sZn4?si=C5mabzVl6bhK7mp0</v>
      </c>
      <c r="Z616" s="16" t="str">
        <f>HYPERLINK($X616&amp;SUBSTITUTE(マスタ!$C$3,"XXXXX",$W616))</f>
        <v>https://www.youtube.com/live/b0qPGU0sZn4?si=C5mabzVl6bhK7mp0&amp;t=6859s</v>
      </c>
      <c r="AA616" s="12" t="str">
        <f t="shared" si="30"/>
        <v>幽音しのFrom now on</v>
      </c>
    </row>
    <row r="617" spans="1:27" x14ac:dyDescent="0.4">
      <c r="A617" s="14">
        <f t="shared" si="29"/>
        <v>616</v>
      </c>
      <c r="B617" s="14">
        <v>88</v>
      </c>
      <c r="C617" s="21" t="s">
        <v>1593</v>
      </c>
      <c r="D617" s="14" t="s">
        <v>1484</v>
      </c>
      <c r="E617" s="14" t="s">
        <v>1485</v>
      </c>
      <c r="G617" s="1" t="str">
        <f>_xlfn.XLOOKUP(B617,M_YT_LIVE!A:A,M_YT_LIVE!F:F,"ERROR",0,1)</f>
        <v>弾き語り</v>
      </c>
      <c r="W617" s="13">
        <f t="shared" si="28"/>
        <v>367</v>
      </c>
      <c r="X617" s="12" t="str">
        <f>_xlfn.XLOOKUP($B617,M_YT_LIVE!$A:$A,M_YT_LIVE!$D:$D)</f>
        <v>https://www.youtube.com/live/OYaf_O-6WRs?si=20Zo4VVa8PxJbw_X</v>
      </c>
      <c r="Z617" s="16" t="str">
        <f>HYPERLINK($X617&amp;SUBSTITUTE(マスタ!$C$3,"XXXXX",$W617))</f>
        <v>https://www.youtube.com/live/OYaf_O-6WRs?si=20Zo4VVa8PxJbw_X&amp;t=367s</v>
      </c>
      <c r="AA617" s="12" t="str">
        <f t="shared" si="30"/>
        <v>はるまきごはん feat.初音ミクメルティランドナイトメア</v>
      </c>
    </row>
    <row r="618" spans="1:27" x14ac:dyDescent="0.4">
      <c r="A618" s="14">
        <f t="shared" si="29"/>
        <v>617</v>
      </c>
      <c r="B618" s="14">
        <v>88</v>
      </c>
      <c r="C618" s="21" t="s">
        <v>1594</v>
      </c>
      <c r="D618" s="14" t="s">
        <v>1595</v>
      </c>
      <c r="E618" s="14" t="s">
        <v>1596</v>
      </c>
      <c r="G618" s="1" t="str">
        <f>_xlfn.XLOOKUP(B618,M_YT_LIVE!A:A,M_YT_LIVE!F:F,"ERROR",0,1)</f>
        <v>弾き語り</v>
      </c>
      <c r="W618" s="13">
        <f t="shared" si="28"/>
        <v>787.00000000000011</v>
      </c>
      <c r="X618" s="12" t="str">
        <f>_xlfn.XLOOKUP($B618,M_YT_LIVE!$A:$A,M_YT_LIVE!$D:$D)</f>
        <v>https://www.youtube.com/live/OYaf_O-6WRs?si=20Zo4VVa8PxJbw_X</v>
      </c>
      <c r="Z618" s="16" t="str">
        <f>HYPERLINK($X618&amp;SUBSTITUTE(マスタ!$C$3,"XXXXX",$W618))</f>
        <v>https://www.youtube.com/live/OYaf_O-6WRs?si=20Zo4VVa8PxJbw_X&amp;t=787s</v>
      </c>
      <c r="AA618" s="12" t="str">
        <f t="shared" si="30"/>
        <v>椎名もた feat.初音ミク少女A</v>
      </c>
    </row>
    <row r="619" spans="1:27" x14ac:dyDescent="0.4">
      <c r="A619" s="14">
        <f t="shared" si="29"/>
        <v>618</v>
      </c>
      <c r="B619" s="14">
        <v>88</v>
      </c>
      <c r="C619" s="21" t="s">
        <v>1597</v>
      </c>
      <c r="D619" s="14" t="s">
        <v>1479</v>
      </c>
      <c r="E619" s="14" t="s">
        <v>141</v>
      </c>
      <c r="G619" s="1" t="str">
        <f>_xlfn.XLOOKUP(B619,M_YT_LIVE!A:A,M_YT_LIVE!F:F,"ERROR",0,1)</f>
        <v>弾き語り</v>
      </c>
      <c r="W619" s="13">
        <f t="shared" si="28"/>
        <v>1117</v>
      </c>
      <c r="X619" s="12" t="str">
        <f>_xlfn.XLOOKUP($B619,M_YT_LIVE!$A:$A,M_YT_LIVE!$D:$D)</f>
        <v>https://www.youtube.com/live/OYaf_O-6WRs?si=20Zo4VVa8PxJbw_X</v>
      </c>
      <c r="Z619" s="16" t="str">
        <f>HYPERLINK($X619&amp;SUBSTITUTE(マスタ!$C$3,"XXXXX",$W619))</f>
        <v>https://www.youtube.com/live/OYaf_O-6WRs?si=20Zo4VVa8PxJbw_X&amp;t=1117s</v>
      </c>
      <c r="AA619" s="12" t="str">
        <f t="shared" si="30"/>
        <v>ヨルシカアポリア</v>
      </c>
    </row>
    <row r="620" spans="1:27" x14ac:dyDescent="0.4">
      <c r="A620" s="14">
        <f t="shared" si="29"/>
        <v>619</v>
      </c>
      <c r="B620" s="14">
        <v>88</v>
      </c>
      <c r="C620" s="21" t="s">
        <v>1598</v>
      </c>
      <c r="D620" s="14" t="s">
        <v>353</v>
      </c>
      <c r="E620" s="14" t="s">
        <v>141</v>
      </c>
      <c r="G620" s="1" t="str">
        <f>_xlfn.XLOOKUP(B620,M_YT_LIVE!A:A,M_YT_LIVE!F:F,"ERROR",0,1)</f>
        <v>弾き語り</v>
      </c>
      <c r="W620" s="13">
        <f t="shared" si="28"/>
        <v>1479</v>
      </c>
      <c r="X620" s="12" t="str">
        <f>_xlfn.XLOOKUP($B620,M_YT_LIVE!$A:$A,M_YT_LIVE!$D:$D)</f>
        <v>https://www.youtube.com/live/OYaf_O-6WRs?si=20Zo4VVa8PxJbw_X</v>
      </c>
      <c r="Z620" s="16" t="str">
        <f>HYPERLINK($X620&amp;SUBSTITUTE(マスタ!$C$3,"XXXXX",$W620))</f>
        <v>https://www.youtube.com/live/OYaf_O-6WRs?si=20Zo4VVa8PxJbw_X&amp;t=1479s</v>
      </c>
      <c r="AA620" s="12" t="str">
        <f t="shared" si="30"/>
        <v>ヨルシカヒッチコック</v>
      </c>
    </row>
    <row r="621" spans="1:27" x14ac:dyDescent="0.4">
      <c r="A621" s="14">
        <f t="shared" si="29"/>
        <v>620</v>
      </c>
      <c r="B621" s="14">
        <v>88</v>
      </c>
      <c r="C621" s="21" t="s">
        <v>1599</v>
      </c>
      <c r="D621" s="14" t="s">
        <v>1600</v>
      </c>
      <c r="E621" s="14" t="s">
        <v>507</v>
      </c>
      <c r="G621" s="1" t="str">
        <f>_xlfn.XLOOKUP(B621,M_YT_LIVE!A:A,M_YT_LIVE!F:F,"ERROR",0,1)</f>
        <v>弾き語り</v>
      </c>
      <c r="W621" s="13">
        <f t="shared" si="28"/>
        <v>1917.9999999999998</v>
      </c>
      <c r="X621" s="12" t="str">
        <f>_xlfn.XLOOKUP($B621,M_YT_LIVE!$A:$A,M_YT_LIVE!$D:$D)</f>
        <v>https://www.youtube.com/live/OYaf_O-6WRs?si=20Zo4VVa8PxJbw_X</v>
      </c>
      <c r="Z621" s="16" t="str">
        <f>HYPERLINK($X621&amp;SUBSTITUTE(マスタ!$C$3,"XXXXX",$W621))</f>
        <v>https://www.youtube.com/live/OYaf_O-6WRs?si=20Zo4VVa8PxJbw_X&amp;t=1918s</v>
      </c>
      <c r="AA621" s="12" t="str">
        <f t="shared" si="30"/>
        <v>YOASOBIハルジオン</v>
      </c>
    </row>
    <row r="622" spans="1:27" x14ac:dyDescent="0.4">
      <c r="A622" s="14">
        <f t="shared" si="29"/>
        <v>621</v>
      </c>
      <c r="B622" s="14">
        <v>88</v>
      </c>
      <c r="C622" s="21" t="s">
        <v>1601</v>
      </c>
      <c r="D622" s="14" t="s">
        <v>664</v>
      </c>
      <c r="E622" s="14" t="s">
        <v>507</v>
      </c>
      <c r="G622" s="1" t="str">
        <f>_xlfn.XLOOKUP(B622,M_YT_LIVE!A:A,M_YT_LIVE!F:F,"ERROR",0,1)</f>
        <v>弾き語り</v>
      </c>
      <c r="W622" s="13">
        <f t="shared" si="28"/>
        <v>2258</v>
      </c>
      <c r="X622" s="12" t="str">
        <f>_xlfn.XLOOKUP($B622,M_YT_LIVE!$A:$A,M_YT_LIVE!$D:$D)</f>
        <v>https://www.youtube.com/live/OYaf_O-6WRs?si=20Zo4VVa8PxJbw_X</v>
      </c>
      <c r="Z622" s="16" t="str">
        <f>HYPERLINK($X622&amp;SUBSTITUTE(マスタ!$C$3,"XXXXX",$W622))</f>
        <v>https://www.youtube.com/live/OYaf_O-6WRs?si=20Zo4VVa8PxJbw_X&amp;t=2258s</v>
      </c>
      <c r="AA622" s="12" t="str">
        <f t="shared" si="30"/>
        <v>YOASOBI優しい彗星</v>
      </c>
    </row>
    <row r="623" spans="1:27" x14ac:dyDescent="0.4">
      <c r="A623" s="14">
        <f t="shared" si="29"/>
        <v>622</v>
      </c>
      <c r="B623" s="14">
        <v>88</v>
      </c>
      <c r="C623" s="21" t="s">
        <v>1602</v>
      </c>
      <c r="D623" s="14" t="s">
        <v>291</v>
      </c>
      <c r="E623" s="14" t="s">
        <v>292</v>
      </c>
      <c r="G623" s="1" t="str">
        <f>_xlfn.XLOOKUP(B623,M_YT_LIVE!A:A,M_YT_LIVE!F:F,"ERROR",0,1)</f>
        <v>弾き語り</v>
      </c>
      <c r="W623" s="13">
        <f t="shared" si="28"/>
        <v>2902</v>
      </c>
      <c r="X623" s="12" t="str">
        <f>_xlfn.XLOOKUP($B623,M_YT_LIVE!$A:$A,M_YT_LIVE!$D:$D)</f>
        <v>https://www.youtube.com/live/OYaf_O-6WRs?si=20Zo4VVa8PxJbw_X</v>
      </c>
      <c r="Z623" s="16" t="str">
        <f>HYPERLINK($X623&amp;SUBSTITUTE(マスタ!$C$3,"XXXXX",$W623))</f>
        <v>https://www.youtube.com/live/OYaf_O-6WRs?si=20Zo4VVa8PxJbw_X&amp;t=2902s</v>
      </c>
      <c r="AA623" s="12" t="str">
        <f t="shared" si="30"/>
        <v>奥華子変わらないもの</v>
      </c>
    </row>
    <row r="624" spans="1:27" x14ac:dyDescent="0.4">
      <c r="A624" s="14">
        <f t="shared" si="29"/>
        <v>623</v>
      </c>
      <c r="B624" s="14">
        <v>88</v>
      </c>
      <c r="C624" s="21" t="s">
        <v>1603</v>
      </c>
      <c r="D624" s="14" t="s">
        <v>1604</v>
      </c>
      <c r="E624" s="14" t="s">
        <v>88</v>
      </c>
      <c r="G624" s="1" t="str">
        <f>_xlfn.XLOOKUP(B624,M_YT_LIVE!A:A,M_YT_LIVE!F:F,"ERROR",0,1)</f>
        <v>弾き語り</v>
      </c>
      <c r="W624" s="13">
        <f t="shared" si="28"/>
        <v>3347</v>
      </c>
      <c r="X624" s="12" t="str">
        <f>_xlfn.XLOOKUP($B624,M_YT_LIVE!$A:$A,M_YT_LIVE!$D:$D)</f>
        <v>https://www.youtube.com/live/OYaf_O-6WRs?si=20Zo4VVa8PxJbw_X</v>
      </c>
      <c r="Z624" s="16" t="str">
        <f>HYPERLINK($X624&amp;SUBSTITUTE(マスタ!$C$3,"XXXXX",$W624))</f>
        <v>https://www.youtube.com/live/OYaf_O-6WRs?si=20Zo4VVa8PxJbw_X&amp;t=3347s</v>
      </c>
      <c r="AA624" s="12" t="str">
        <f t="shared" si="30"/>
        <v>美波ライラック</v>
      </c>
    </row>
    <row r="625" spans="1:27" x14ac:dyDescent="0.4">
      <c r="A625" s="14">
        <f t="shared" si="29"/>
        <v>624</v>
      </c>
      <c r="B625" s="14">
        <v>88</v>
      </c>
      <c r="C625" s="21" t="s">
        <v>1605</v>
      </c>
      <c r="D625" s="14" t="s">
        <v>204</v>
      </c>
      <c r="E625" s="14" t="s">
        <v>205</v>
      </c>
      <c r="G625" s="1" t="str">
        <f>_xlfn.XLOOKUP(B625,M_YT_LIVE!A:A,M_YT_LIVE!F:F,"ERROR",0,1)</f>
        <v>弾き語り</v>
      </c>
      <c r="W625" s="13">
        <f t="shared" si="28"/>
        <v>3788</v>
      </c>
      <c r="X625" s="12" t="str">
        <f>_xlfn.XLOOKUP($B625,M_YT_LIVE!$A:$A,M_YT_LIVE!$D:$D)</f>
        <v>https://www.youtube.com/live/OYaf_O-6WRs?si=20Zo4VVa8PxJbw_X</v>
      </c>
      <c r="Z625" s="16" t="str">
        <f>HYPERLINK($X625&amp;SUBSTITUTE(マスタ!$C$3,"XXXXX",$W625))</f>
        <v>https://www.youtube.com/live/OYaf_O-6WRs?si=20Zo4VVa8PxJbw_X&amp;t=3788s</v>
      </c>
      <c r="AA625" s="12" t="str">
        <f t="shared" si="30"/>
        <v>164P feat.GUMI天ノ弱</v>
      </c>
    </row>
    <row r="626" spans="1:27" x14ac:dyDescent="0.4">
      <c r="A626" s="14">
        <f t="shared" si="29"/>
        <v>625</v>
      </c>
      <c r="B626" s="14">
        <v>88</v>
      </c>
      <c r="C626" s="21" t="s">
        <v>1606</v>
      </c>
      <c r="D626" s="14" t="s">
        <v>697</v>
      </c>
      <c r="E626" s="14" t="s">
        <v>698</v>
      </c>
      <c r="G626" s="1" t="str">
        <f>_xlfn.XLOOKUP(B626,M_YT_LIVE!A:A,M_YT_LIVE!F:F,"ERROR",0,1)</f>
        <v>弾き語り</v>
      </c>
      <c r="W626" s="13">
        <f t="shared" si="28"/>
        <v>4140</v>
      </c>
      <c r="X626" s="12" t="str">
        <f>_xlfn.XLOOKUP($B626,M_YT_LIVE!$A:$A,M_YT_LIVE!$D:$D)</f>
        <v>https://www.youtube.com/live/OYaf_O-6WRs?si=20Zo4VVa8PxJbw_X</v>
      </c>
      <c r="Z626" s="16" t="str">
        <f>HYPERLINK($X626&amp;SUBSTITUTE(マスタ!$C$3,"XXXXX",$W626))</f>
        <v>https://www.youtube.com/live/OYaf_O-6WRs?si=20Zo4VVa8PxJbw_X&amp;t=4140s</v>
      </c>
      <c r="AA626" s="12" t="str">
        <f t="shared" si="30"/>
        <v>手嶌葵テルーの唄</v>
      </c>
    </row>
    <row r="627" spans="1:27" x14ac:dyDescent="0.4">
      <c r="A627" s="14">
        <f t="shared" si="29"/>
        <v>626</v>
      </c>
      <c r="B627" s="14">
        <v>88</v>
      </c>
      <c r="C627" s="21" t="s">
        <v>1607</v>
      </c>
      <c r="D627" s="14" t="s">
        <v>1608</v>
      </c>
      <c r="E627" s="14" t="s">
        <v>1609</v>
      </c>
      <c r="G627" s="1" t="str">
        <f>_xlfn.XLOOKUP(B627,M_YT_LIVE!A:A,M_YT_LIVE!F:F,"ERROR",0,1)</f>
        <v>弾き語り</v>
      </c>
      <c r="W627" s="13">
        <f t="shared" si="28"/>
        <v>4520</v>
      </c>
      <c r="X627" s="12" t="str">
        <f>_xlfn.XLOOKUP($B627,M_YT_LIVE!$A:$A,M_YT_LIVE!$D:$D)</f>
        <v>https://www.youtube.com/live/OYaf_O-6WRs?si=20Zo4VVa8PxJbw_X</v>
      </c>
      <c r="Z627" s="16" t="str">
        <f>HYPERLINK($X627&amp;SUBSTITUTE(マスタ!$C$3,"XXXXX",$W627))</f>
        <v>https://www.youtube.com/live/OYaf_O-6WRs?si=20Zo4VVa8PxJbw_X&amp;t=4520s</v>
      </c>
      <c r="AA627" s="12" t="str">
        <f t="shared" si="30"/>
        <v>BeatlesHelp!(1chorus)</v>
      </c>
    </row>
    <row r="628" spans="1:27" x14ac:dyDescent="0.4">
      <c r="A628" s="14">
        <f t="shared" si="29"/>
        <v>627</v>
      </c>
      <c r="B628" s="14">
        <v>88</v>
      </c>
      <c r="C628" s="21" t="s">
        <v>1610</v>
      </c>
      <c r="D628" s="14" t="s">
        <v>546</v>
      </c>
      <c r="E628" s="14" t="s">
        <v>547</v>
      </c>
      <c r="G628" s="1" t="str">
        <f>_xlfn.XLOOKUP(B628,M_YT_LIVE!A:A,M_YT_LIVE!F:F,"ERROR",0,1)</f>
        <v>弾き語り</v>
      </c>
      <c r="W628" s="13">
        <f t="shared" si="28"/>
        <v>4922</v>
      </c>
      <c r="X628" s="12" t="str">
        <f>_xlfn.XLOOKUP($B628,M_YT_LIVE!$A:$A,M_YT_LIVE!$D:$D)</f>
        <v>https://www.youtube.com/live/OYaf_O-6WRs?si=20Zo4VVa8PxJbw_X</v>
      </c>
      <c r="Z628" s="16" t="str">
        <f>HYPERLINK($X628&amp;SUBSTITUTE(マスタ!$C$3,"XXXXX",$W628))</f>
        <v>https://www.youtube.com/live/OYaf_O-6WRs?si=20Zo4VVa8PxJbw_X&amp;t=4922s</v>
      </c>
      <c r="AA628" s="12" t="str">
        <f t="shared" si="30"/>
        <v>米津玄師アイネクライネ</v>
      </c>
    </row>
    <row r="629" spans="1:27" x14ac:dyDescent="0.4">
      <c r="A629" s="14">
        <f t="shared" si="29"/>
        <v>628</v>
      </c>
      <c r="B629" s="14">
        <v>89</v>
      </c>
      <c r="C629" s="21" t="s">
        <v>1613</v>
      </c>
      <c r="D629" s="14" t="s">
        <v>1614</v>
      </c>
      <c r="E629" s="14" t="s">
        <v>1615</v>
      </c>
      <c r="G629" s="1" t="str">
        <f>_xlfn.XLOOKUP(B629,M_YT_LIVE!A:A,M_YT_LIVE!F:F,"ERROR",0,1)</f>
        <v>音源</v>
      </c>
      <c r="W629" s="13">
        <f t="shared" si="28"/>
        <v>415</v>
      </c>
      <c r="X629" s="12" t="str">
        <f>_xlfn.XLOOKUP($B629,M_YT_LIVE!$A:$A,M_YT_LIVE!$D:$D)</f>
        <v>https://www.youtube.com/live/NkjXzUMUZpw?si=EmGBj6Hh6tIlwjGQ</v>
      </c>
      <c r="Z629" s="16" t="str">
        <f>HYPERLINK($X629&amp;SUBSTITUTE(マスタ!$C$3,"XXXXX",$W629))</f>
        <v>https://www.youtube.com/live/NkjXzUMUZpw?si=EmGBj6Hh6tIlwjGQ&amp;t=415s</v>
      </c>
      <c r="AA629" s="12" t="str">
        <f t="shared" si="30"/>
        <v>HoneyWorks feat.LIP×LIP(CV:内山昂輝&amp;島﨑信長)┗|∵|┓ロメオ</v>
      </c>
    </row>
    <row r="630" spans="1:27" x14ac:dyDescent="0.4">
      <c r="A630" s="14">
        <f t="shared" si="29"/>
        <v>629</v>
      </c>
      <c r="B630" s="14">
        <v>89</v>
      </c>
      <c r="C630" s="21" t="s">
        <v>1616</v>
      </c>
      <c r="D630" s="14" t="s">
        <v>649</v>
      </c>
      <c r="E630" s="14" t="s">
        <v>650</v>
      </c>
      <c r="G630" s="1" t="str">
        <f>_xlfn.XLOOKUP(B630,M_YT_LIVE!A:A,M_YT_LIVE!F:F,"ERROR",0,1)</f>
        <v>音源</v>
      </c>
      <c r="W630" s="13">
        <f t="shared" si="28"/>
        <v>892</v>
      </c>
      <c r="X630" s="12" t="str">
        <f>_xlfn.XLOOKUP($B630,M_YT_LIVE!$A:$A,M_YT_LIVE!$D:$D)</f>
        <v>https://www.youtube.com/live/NkjXzUMUZpw?si=EmGBj6Hh6tIlwjGQ</v>
      </c>
      <c r="Z630" s="16" t="str">
        <f>HYPERLINK($X630&amp;SUBSTITUTE(マスタ!$C$3,"XXXXX",$W630))</f>
        <v>https://www.youtube.com/live/NkjXzUMUZpw?si=EmGBj6Hh6tIlwjGQ&amp;t=892s</v>
      </c>
      <c r="AA630" s="12" t="str">
        <f t="shared" si="30"/>
        <v>シェリル・ノーム starring May'n&amp;ランカ・リー(CV.中島愛)ライオン</v>
      </c>
    </row>
    <row r="631" spans="1:27" x14ac:dyDescent="0.4">
      <c r="A631" s="14">
        <f t="shared" si="29"/>
        <v>630</v>
      </c>
      <c r="B631" s="14">
        <v>89</v>
      </c>
      <c r="C631" s="21" t="s">
        <v>1617</v>
      </c>
      <c r="D631" s="14" t="s">
        <v>618</v>
      </c>
      <c r="E631" s="14" t="s">
        <v>619</v>
      </c>
      <c r="G631" s="1" t="str">
        <f>_xlfn.XLOOKUP(B631,M_YT_LIVE!A:A,M_YT_LIVE!F:F,"ERROR",0,1)</f>
        <v>音源</v>
      </c>
      <c r="W631" s="13">
        <f t="shared" si="28"/>
        <v>1414.9999999999998</v>
      </c>
      <c r="X631" s="12" t="str">
        <f>_xlfn.XLOOKUP($B631,M_YT_LIVE!$A:$A,M_YT_LIVE!$D:$D)</f>
        <v>https://www.youtube.com/live/NkjXzUMUZpw?si=EmGBj6Hh6tIlwjGQ</v>
      </c>
      <c r="Z631" s="16" t="str">
        <f>HYPERLINK($X631&amp;SUBSTITUTE(マスタ!$C$3,"XXXXX",$W631))</f>
        <v>https://www.youtube.com/live/NkjXzUMUZpw?si=EmGBj6Hh6tIlwjGQ&amp;t=1415s</v>
      </c>
      <c r="AA631" s="12" t="str">
        <f t="shared" si="30"/>
        <v>みきとP feat.鏡音リンロキ</v>
      </c>
    </row>
    <row r="632" spans="1:27" x14ac:dyDescent="0.4">
      <c r="A632" s="14">
        <f t="shared" si="29"/>
        <v>631</v>
      </c>
      <c r="B632" s="14">
        <v>89</v>
      </c>
      <c r="C632" s="21" t="s">
        <v>907</v>
      </c>
      <c r="D632" s="14" t="s">
        <v>440</v>
      </c>
      <c r="E632" s="14" t="s">
        <v>441</v>
      </c>
      <c r="G632" s="1" t="str">
        <f>_xlfn.XLOOKUP(B632,M_YT_LIVE!A:A,M_YT_LIVE!F:F,"ERROR",0,1)</f>
        <v>音源</v>
      </c>
      <c r="W632" s="13">
        <f t="shared" si="28"/>
        <v>1800</v>
      </c>
      <c r="X632" s="12" t="str">
        <f>_xlfn.XLOOKUP($B632,M_YT_LIVE!$A:$A,M_YT_LIVE!$D:$D)</f>
        <v>https://www.youtube.com/live/NkjXzUMUZpw?si=EmGBj6Hh6tIlwjGQ</v>
      </c>
      <c r="Z632" s="16" t="str">
        <f>HYPERLINK($X632&amp;SUBSTITUTE(マスタ!$C$3,"XXXXX",$W632))</f>
        <v>https://www.youtube.com/live/NkjXzUMUZpw?si=EmGBj6Hh6tIlwjGQ&amp;t=1800s</v>
      </c>
      <c r="AA632" s="12" t="str">
        <f t="shared" si="30"/>
        <v>梅とら feat. 巡音ルカ&amp;初音ミク&amp;GUMI&amp;IA&amp;鏡音リン虎視眈々</v>
      </c>
    </row>
    <row r="633" spans="1:27" x14ac:dyDescent="0.4">
      <c r="A633" s="14">
        <f t="shared" si="29"/>
        <v>632</v>
      </c>
      <c r="B633" s="14">
        <v>89</v>
      </c>
      <c r="C633" s="21" t="s">
        <v>1618</v>
      </c>
      <c r="D633" s="14" t="s">
        <v>179</v>
      </c>
      <c r="E633" s="14" t="s">
        <v>180</v>
      </c>
      <c r="G633" s="1" t="str">
        <f>_xlfn.XLOOKUP(B633,M_YT_LIVE!A:A,M_YT_LIVE!F:F,"ERROR",0,1)</f>
        <v>音源</v>
      </c>
      <c r="W633" s="13">
        <f t="shared" si="28"/>
        <v>2309</v>
      </c>
      <c r="X633" s="12" t="str">
        <f>_xlfn.XLOOKUP($B633,M_YT_LIVE!$A:$A,M_YT_LIVE!$D:$D)</f>
        <v>https://www.youtube.com/live/NkjXzUMUZpw?si=EmGBj6Hh6tIlwjGQ</v>
      </c>
      <c r="Z633" s="16" t="str">
        <f>HYPERLINK($X633&amp;SUBSTITUTE(マスタ!$C$3,"XXXXX",$W633))</f>
        <v>https://www.youtube.com/live/NkjXzUMUZpw?si=EmGBj6Hh6tIlwjGQ&amp;t=2309s</v>
      </c>
      <c r="AA633" s="12" t="str">
        <f t="shared" si="30"/>
        <v>40mP feat.初音ミクからくりピエロ</v>
      </c>
    </row>
    <row r="634" spans="1:27" x14ac:dyDescent="0.4">
      <c r="A634" s="14">
        <f t="shared" si="29"/>
        <v>633</v>
      </c>
      <c r="B634" s="14">
        <v>89</v>
      </c>
      <c r="C634" s="21" t="s">
        <v>1619</v>
      </c>
      <c r="D634" s="14" t="s">
        <v>1620</v>
      </c>
      <c r="E634" s="14" t="s">
        <v>1621</v>
      </c>
      <c r="G634" s="1" t="str">
        <f>_xlfn.XLOOKUP(B634,M_YT_LIVE!A:A,M_YT_LIVE!F:F,"ERROR",0,1)</f>
        <v>音源</v>
      </c>
      <c r="W634" s="13">
        <f t="shared" si="28"/>
        <v>2806</v>
      </c>
      <c r="X634" s="12" t="str">
        <f>_xlfn.XLOOKUP($B634,M_YT_LIVE!$A:$A,M_YT_LIVE!$D:$D)</f>
        <v>https://www.youtube.com/live/NkjXzUMUZpw?si=EmGBj6Hh6tIlwjGQ</v>
      </c>
      <c r="Z634" s="16" t="str">
        <f>HYPERLINK($X634&amp;SUBSTITUTE(マスタ!$C$3,"XXXXX",$W634))</f>
        <v>https://www.youtube.com/live/NkjXzUMUZpw?si=EmGBj6Hh6tIlwjGQ&amp;t=2806s</v>
      </c>
      <c r="AA634" s="12" t="str">
        <f t="shared" si="30"/>
        <v>ClariSコネクト</v>
      </c>
    </row>
    <row r="635" spans="1:27" x14ac:dyDescent="0.4">
      <c r="A635" s="14">
        <f t="shared" si="29"/>
        <v>634</v>
      </c>
      <c r="B635" s="14">
        <v>89</v>
      </c>
      <c r="C635" s="21" t="s">
        <v>1622</v>
      </c>
      <c r="D635" s="14" t="s">
        <v>647</v>
      </c>
      <c r="E635" s="14" t="s">
        <v>390</v>
      </c>
      <c r="G635" s="1" t="str">
        <f>_xlfn.XLOOKUP(B635,M_YT_LIVE!A:A,M_YT_LIVE!F:F,"ERROR",0,1)</f>
        <v>音源</v>
      </c>
      <c r="W635" s="13">
        <f t="shared" si="28"/>
        <v>3261</v>
      </c>
      <c r="X635" s="12" t="str">
        <f>_xlfn.XLOOKUP($B635,M_YT_LIVE!$A:$A,M_YT_LIVE!$D:$D)</f>
        <v>https://www.youtube.com/live/NkjXzUMUZpw?si=EmGBj6Hh6tIlwjGQ</v>
      </c>
      <c r="Z635" s="16" t="str">
        <f>HYPERLINK($X635&amp;SUBSTITUTE(マスタ!$C$3,"XXXXX",$W635))</f>
        <v>https://www.youtube.com/live/NkjXzUMUZpw?si=EmGBj6Hh6tIlwjGQ&amp;t=3261s</v>
      </c>
      <c r="AA635" s="12" t="str">
        <f t="shared" si="30"/>
        <v>LiSA炎</v>
      </c>
    </row>
    <row r="636" spans="1:27" x14ac:dyDescent="0.4">
      <c r="A636" s="14">
        <f t="shared" si="29"/>
        <v>635</v>
      </c>
      <c r="B636" s="14">
        <v>89</v>
      </c>
      <c r="C636" s="21" t="s">
        <v>1623</v>
      </c>
      <c r="D636" s="14" t="s">
        <v>1624</v>
      </c>
      <c r="E636" s="14" t="s">
        <v>1625</v>
      </c>
      <c r="G636" s="1" t="str">
        <f>_xlfn.XLOOKUP(B636,M_YT_LIVE!A:A,M_YT_LIVE!F:F,"ERROR",0,1)</f>
        <v>音源</v>
      </c>
      <c r="W636" s="13">
        <f t="shared" si="28"/>
        <v>3710.9999999999995</v>
      </c>
      <c r="X636" s="12" t="str">
        <f>_xlfn.XLOOKUP($B636,M_YT_LIVE!$A:$A,M_YT_LIVE!$D:$D)</f>
        <v>https://www.youtube.com/live/NkjXzUMUZpw?si=EmGBj6Hh6tIlwjGQ</v>
      </c>
      <c r="Z636" s="16" t="str">
        <f>HYPERLINK($X636&amp;SUBSTITUTE(マスタ!$C$3,"XXXXX",$W636))</f>
        <v>https://www.youtube.com/live/NkjXzUMUZpw?si=EmGBj6Hh6tIlwjGQ&amp;t=3711s</v>
      </c>
      <c r="AA636" s="12" t="str">
        <f t="shared" si="30"/>
        <v>ナナヲアカリ feat.Souチューリングラブ</v>
      </c>
    </row>
    <row r="637" spans="1:27" x14ac:dyDescent="0.4">
      <c r="A637" s="14">
        <f t="shared" si="29"/>
        <v>636</v>
      </c>
      <c r="B637" s="14">
        <v>89</v>
      </c>
      <c r="C637" s="21" t="s">
        <v>1626</v>
      </c>
      <c r="D637" s="14" t="s">
        <v>19</v>
      </c>
      <c r="E637" s="14" t="s">
        <v>20</v>
      </c>
      <c r="G637" s="1" t="str">
        <f>_xlfn.XLOOKUP(B637,M_YT_LIVE!A:A,M_YT_LIVE!F:F,"ERROR",0,1)</f>
        <v>音源</v>
      </c>
      <c r="W637" s="13">
        <f t="shared" si="28"/>
        <v>4131</v>
      </c>
      <c r="X637" s="12" t="str">
        <f>_xlfn.XLOOKUP($B637,M_YT_LIVE!$A:$A,M_YT_LIVE!$D:$D)</f>
        <v>https://www.youtube.com/live/NkjXzUMUZpw?si=EmGBj6Hh6tIlwjGQ</v>
      </c>
      <c r="Z637" s="16" t="str">
        <f>HYPERLINK($X637&amp;SUBSTITUTE(マスタ!$C$3,"XXXXX",$W637))</f>
        <v>https://www.youtube.com/live/NkjXzUMUZpw?si=EmGBj6Hh6tIlwjGQ&amp;t=4131s</v>
      </c>
      <c r="AA637" s="12" t="str">
        <f t="shared" si="30"/>
        <v>Vaundy怪獣の花唄</v>
      </c>
    </row>
    <row r="638" spans="1:27" x14ac:dyDescent="0.4">
      <c r="A638" s="14">
        <f t="shared" si="29"/>
        <v>637</v>
      </c>
      <c r="B638" s="14">
        <v>90</v>
      </c>
      <c r="C638" s="21" t="s">
        <v>1629</v>
      </c>
      <c r="D638" s="14" t="s">
        <v>1473</v>
      </c>
      <c r="E638" s="14" t="s">
        <v>1474</v>
      </c>
      <c r="G638" s="1" t="str">
        <f>_xlfn.XLOOKUP(B638,M_YT_LIVE!A:A,M_YT_LIVE!F:F,"ERROR",0,1)</f>
        <v>音源</v>
      </c>
      <c r="W638" s="13">
        <f t="shared" si="28"/>
        <v>288</v>
      </c>
      <c r="X638" s="12" t="str">
        <f>_xlfn.XLOOKUP($B638,M_YT_LIVE!$A:$A,M_YT_LIVE!$D:$D)</f>
        <v>https://www.youtube.com/live/nyXzxG79mwQ?si=kGuFyOuc0o-yNPOU</v>
      </c>
      <c r="Z638" s="16" t="str">
        <f>HYPERLINK($X638&amp;SUBSTITUTE(マスタ!$C$3,"XXXXX",$W638))</f>
        <v>https://www.youtube.com/live/nyXzxG79mwQ?si=kGuFyOuc0o-yNPOU&amp;t=288s</v>
      </c>
      <c r="AA638" s="12" t="str">
        <f t="shared" si="30"/>
        <v>TOKOTOKO feat.GUMI夜もすがら君想ふ</v>
      </c>
    </row>
    <row r="639" spans="1:27" x14ac:dyDescent="0.4">
      <c r="A639" s="14">
        <f t="shared" si="29"/>
        <v>638</v>
      </c>
      <c r="B639" s="14">
        <v>90</v>
      </c>
      <c r="C639" s="21" t="s">
        <v>1630</v>
      </c>
      <c r="D639" s="14" t="s">
        <v>1009</v>
      </c>
      <c r="E639" s="14" t="s">
        <v>192</v>
      </c>
      <c r="G639" s="1" t="str">
        <f>_xlfn.XLOOKUP(B639,M_YT_LIVE!A:A,M_YT_LIVE!F:F,"ERROR",0,1)</f>
        <v>音源</v>
      </c>
      <c r="W639" s="13">
        <f t="shared" si="28"/>
        <v>565</v>
      </c>
      <c r="X639" s="12" t="str">
        <f>_xlfn.XLOOKUP($B639,M_YT_LIVE!$A:$A,M_YT_LIVE!$D:$D)</f>
        <v>https://www.youtube.com/live/nyXzxG79mwQ?si=kGuFyOuc0o-yNPOU</v>
      </c>
      <c r="Z639" s="16" t="str">
        <f>HYPERLINK($X639&amp;SUBSTITUTE(マスタ!$C$3,"XXXXX",$W639))</f>
        <v>https://www.youtube.com/live/nyXzxG79mwQ?si=kGuFyOuc0o-yNPOU&amp;t=565s</v>
      </c>
      <c r="AA639" s="12" t="str">
        <f t="shared" si="30"/>
        <v>結束バンド青春コンプレックス</v>
      </c>
    </row>
    <row r="640" spans="1:27" x14ac:dyDescent="0.4">
      <c r="A640" s="14">
        <f t="shared" si="29"/>
        <v>639</v>
      </c>
      <c r="B640" s="14">
        <v>90</v>
      </c>
      <c r="C640" s="21" t="s">
        <v>1631</v>
      </c>
      <c r="D640" s="14" t="s">
        <v>1632</v>
      </c>
      <c r="E640" s="14" t="s">
        <v>168</v>
      </c>
      <c r="G640" s="1" t="str">
        <f>_xlfn.XLOOKUP(B640,M_YT_LIVE!A:A,M_YT_LIVE!F:F,"ERROR",0,1)</f>
        <v>音源</v>
      </c>
      <c r="W640" s="13">
        <f t="shared" si="28"/>
        <v>815</v>
      </c>
      <c r="X640" s="12" t="str">
        <f>_xlfn.XLOOKUP($B640,M_YT_LIVE!$A:$A,M_YT_LIVE!$D:$D)</f>
        <v>https://www.youtube.com/live/nyXzxG79mwQ?si=kGuFyOuc0o-yNPOU</v>
      </c>
      <c r="Z640" s="16" t="str">
        <f>HYPERLINK($X640&amp;SUBSTITUTE(マスタ!$C$3,"XXXXX",$W640))</f>
        <v>https://www.youtube.com/live/nyXzxG79mwQ?si=kGuFyOuc0o-yNPOU&amp;t=815s</v>
      </c>
      <c r="AA640" s="12" t="str">
        <f t="shared" si="30"/>
        <v>Aimer残響散歌</v>
      </c>
    </row>
    <row r="641" spans="1:27" x14ac:dyDescent="0.4">
      <c r="A641" s="14">
        <f t="shared" si="29"/>
        <v>640</v>
      </c>
      <c r="B641" s="14">
        <v>90</v>
      </c>
      <c r="C641" s="21" t="s">
        <v>1633</v>
      </c>
      <c r="D641" s="14" t="s">
        <v>191</v>
      </c>
      <c r="E641" s="14" t="s">
        <v>192</v>
      </c>
      <c r="G641" s="1" t="str">
        <f>_xlfn.XLOOKUP(B641,M_YT_LIVE!A:A,M_YT_LIVE!F:F,"ERROR",0,1)</f>
        <v>音源</v>
      </c>
      <c r="W641" s="13">
        <f t="shared" si="28"/>
        <v>1027</v>
      </c>
      <c r="X641" s="12" t="str">
        <f>_xlfn.XLOOKUP($B641,M_YT_LIVE!$A:$A,M_YT_LIVE!$D:$D)</f>
        <v>https://www.youtube.com/live/nyXzxG79mwQ?si=kGuFyOuc0o-yNPOU</v>
      </c>
      <c r="Z641" s="16" t="str">
        <f>HYPERLINK($X641&amp;SUBSTITUTE(マスタ!$C$3,"XXXXX",$W641))</f>
        <v>https://www.youtube.com/live/nyXzxG79mwQ?si=kGuFyOuc0o-yNPOU&amp;t=1027s</v>
      </c>
      <c r="AA641" s="12" t="str">
        <f t="shared" si="30"/>
        <v>結束バンド星座になれたら</v>
      </c>
    </row>
    <row r="642" spans="1:27" x14ac:dyDescent="0.4">
      <c r="A642" s="14">
        <f t="shared" si="29"/>
        <v>641</v>
      </c>
      <c r="B642" s="14">
        <v>90</v>
      </c>
      <c r="C642" s="21" t="s">
        <v>1634</v>
      </c>
      <c r="D642" s="14" t="s">
        <v>675</v>
      </c>
      <c r="E642" s="14" t="s">
        <v>1117</v>
      </c>
      <c r="G642" s="1" t="str">
        <f>_xlfn.XLOOKUP(B642,M_YT_LIVE!A:A,M_YT_LIVE!F:F,"ERROR",0,1)</f>
        <v>音源</v>
      </c>
      <c r="W642" s="13">
        <f t="shared" si="28"/>
        <v>1320</v>
      </c>
      <c r="X642" s="12" t="str">
        <f>_xlfn.XLOOKUP($B642,M_YT_LIVE!$A:$A,M_YT_LIVE!$D:$D)</f>
        <v>https://www.youtube.com/live/nyXzxG79mwQ?si=kGuFyOuc0o-yNPOU</v>
      </c>
      <c r="Z642" s="16" t="str">
        <f>HYPERLINK($X642&amp;SUBSTITUTE(マスタ!$C$3,"XXXXX",$W642))</f>
        <v>https://www.youtube.com/live/nyXzxG79mwQ?si=kGuFyOuc0o-yNPOU&amp;t=1320s</v>
      </c>
      <c r="AA642" s="12" t="str">
        <f t="shared" si="30"/>
        <v>ランカー・リー(CV.中島愛)星間飛行</v>
      </c>
    </row>
    <row r="643" spans="1:27" x14ac:dyDescent="0.4">
      <c r="A643" s="14">
        <f t="shared" si="29"/>
        <v>642</v>
      </c>
      <c r="B643" s="14">
        <v>90</v>
      </c>
      <c r="C643" s="21" t="s">
        <v>1635</v>
      </c>
      <c r="D643" s="14" t="s">
        <v>305</v>
      </c>
      <c r="E643" s="14" t="s">
        <v>141</v>
      </c>
      <c r="G643" s="1" t="str">
        <f>_xlfn.XLOOKUP(B643,M_YT_LIVE!A:A,M_YT_LIVE!F:F,"ERROR",0,1)</f>
        <v>音源</v>
      </c>
      <c r="W643" s="13">
        <f t="shared" si="28"/>
        <v>1571</v>
      </c>
      <c r="X643" s="12" t="str">
        <f>_xlfn.XLOOKUP($B643,M_YT_LIVE!$A:$A,M_YT_LIVE!$D:$D)</f>
        <v>https://www.youtube.com/live/nyXzxG79mwQ?si=kGuFyOuc0o-yNPOU</v>
      </c>
      <c r="Z643" s="16" t="str">
        <f>HYPERLINK($X643&amp;SUBSTITUTE(マスタ!$C$3,"XXXXX",$W643))</f>
        <v>https://www.youtube.com/live/nyXzxG79mwQ?si=kGuFyOuc0o-yNPOU&amp;t=1571s</v>
      </c>
      <c r="AA643" s="12" t="str">
        <f t="shared" si="30"/>
        <v>ヨルシカ花に亡霊</v>
      </c>
    </row>
    <row r="644" spans="1:27" x14ac:dyDescent="0.4">
      <c r="A644" s="14">
        <f t="shared" si="29"/>
        <v>643</v>
      </c>
      <c r="B644" s="14">
        <v>90</v>
      </c>
      <c r="C644" s="21" t="s">
        <v>1636</v>
      </c>
      <c r="D644" s="14" t="s">
        <v>1637</v>
      </c>
      <c r="E644" s="14" t="s">
        <v>273</v>
      </c>
      <c r="G644" s="1" t="str">
        <f>_xlfn.XLOOKUP(B644,M_YT_LIVE!A:A,M_YT_LIVE!F:F,"ERROR",0,1)</f>
        <v>音源</v>
      </c>
      <c r="W644" s="13">
        <f t="shared" ref="W644:W707" si="31">TIMEVALUE($C644)*86400</f>
        <v>1867</v>
      </c>
      <c r="X644" s="12" t="str">
        <f>_xlfn.XLOOKUP($B644,M_YT_LIVE!$A:$A,M_YT_LIVE!$D:$D)</f>
        <v>https://www.youtube.com/live/nyXzxG79mwQ?si=kGuFyOuc0o-yNPOU</v>
      </c>
      <c r="Z644" s="16" t="str">
        <f>HYPERLINK($X644&amp;SUBSTITUTE(マスタ!$C$3,"XXXXX",$W644))</f>
        <v>https://www.youtube.com/live/nyXzxG79mwQ?si=kGuFyOuc0o-yNPOU&amp;t=1867s</v>
      </c>
      <c r="AA644" s="12" t="str">
        <f t="shared" si="30"/>
        <v>Ado私は最強</v>
      </c>
    </row>
    <row r="645" spans="1:27" x14ac:dyDescent="0.4">
      <c r="A645" s="14">
        <f t="shared" ref="A645:A708" si="32">ROW()-1</f>
        <v>644</v>
      </c>
      <c r="B645" s="14">
        <v>90</v>
      </c>
      <c r="C645" s="21" t="s">
        <v>1638</v>
      </c>
      <c r="D645" s="14" t="s">
        <v>1639</v>
      </c>
      <c r="E645" s="14" t="s">
        <v>273</v>
      </c>
      <c r="G645" s="1" t="str">
        <f>_xlfn.XLOOKUP(B645,M_YT_LIVE!A:A,M_YT_LIVE!F:F,"ERROR",0,1)</f>
        <v>音源</v>
      </c>
      <c r="W645" s="13">
        <f t="shared" si="31"/>
        <v>2149</v>
      </c>
      <c r="X645" s="12" t="str">
        <f>_xlfn.XLOOKUP($B645,M_YT_LIVE!$A:$A,M_YT_LIVE!$D:$D)</f>
        <v>https://www.youtube.com/live/nyXzxG79mwQ?si=kGuFyOuc0o-yNPOU</v>
      </c>
      <c r="Z645" s="16" t="str">
        <f>HYPERLINK($X645&amp;SUBSTITUTE(マスタ!$C$3,"XXXXX",$W645))</f>
        <v>https://www.youtube.com/live/nyXzxG79mwQ?si=kGuFyOuc0o-yNPOU&amp;t=2149s</v>
      </c>
      <c r="AA645" s="12" t="str">
        <f t="shared" si="30"/>
        <v>Ado新時代</v>
      </c>
    </row>
    <row r="646" spans="1:27" x14ac:dyDescent="0.4">
      <c r="A646" s="14">
        <f t="shared" si="32"/>
        <v>645</v>
      </c>
      <c r="B646" s="14">
        <v>90</v>
      </c>
      <c r="C646" s="21" t="s">
        <v>1640</v>
      </c>
      <c r="D646" s="14" t="s">
        <v>611</v>
      </c>
      <c r="E646" s="14" t="s">
        <v>390</v>
      </c>
      <c r="G646" s="1" t="str">
        <f>_xlfn.XLOOKUP(B646,M_YT_LIVE!A:A,M_YT_LIVE!F:F,"ERROR",0,1)</f>
        <v>音源</v>
      </c>
      <c r="W646" s="13">
        <f t="shared" si="31"/>
        <v>2434</v>
      </c>
      <c r="X646" s="12" t="str">
        <f>_xlfn.XLOOKUP($B646,M_YT_LIVE!$A:$A,M_YT_LIVE!$D:$D)</f>
        <v>https://www.youtube.com/live/nyXzxG79mwQ?si=kGuFyOuc0o-yNPOU</v>
      </c>
      <c r="Z646" s="16" t="str">
        <f>HYPERLINK($X646&amp;SUBSTITUTE(マスタ!$C$3,"XXXXX",$W646))</f>
        <v>https://www.youtube.com/live/nyXzxG79mwQ?si=kGuFyOuc0o-yNPOU&amp;t=2434s</v>
      </c>
      <c r="AA646" s="12" t="str">
        <f t="shared" si="30"/>
        <v>LiSA紅蓮華</v>
      </c>
    </row>
    <row r="647" spans="1:27" x14ac:dyDescent="0.4">
      <c r="A647" s="14">
        <f t="shared" si="32"/>
        <v>646</v>
      </c>
      <c r="B647" s="14">
        <v>90</v>
      </c>
      <c r="C647" s="21" t="s">
        <v>1641</v>
      </c>
      <c r="D647" s="14" t="s">
        <v>1080</v>
      </c>
      <c r="E647" s="14" t="s">
        <v>276</v>
      </c>
      <c r="G647" s="1" t="str">
        <f>_xlfn.XLOOKUP(B647,M_YT_LIVE!A:A,M_YT_LIVE!F:F,"ERROR",0,1)</f>
        <v>音源</v>
      </c>
      <c r="W647" s="13">
        <f t="shared" si="31"/>
        <v>2702</v>
      </c>
      <c r="X647" s="12" t="str">
        <f>_xlfn.XLOOKUP($B647,M_YT_LIVE!$A:$A,M_YT_LIVE!$D:$D)</f>
        <v>https://www.youtube.com/live/nyXzxG79mwQ?si=kGuFyOuc0o-yNPOU</v>
      </c>
      <c r="Z647" s="16" t="str">
        <f>HYPERLINK($X647&amp;SUBSTITUTE(マスタ!$C$3,"XXXXX",$W647))</f>
        <v>https://www.youtube.com/live/nyXzxG79mwQ?si=kGuFyOuc0o-yNPOU&amp;t=2702s</v>
      </c>
      <c r="AA647" s="12" t="str">
        <f t="shared" si="30"/>
        <v>YUISUMMER SONG</v>
      </c>
    </row>
    <row r="648" spans="1:27" x14ac:dyDescent="0.4">
      <c r="A648" s="14">
        <f t="shared" si="32"/>
        <v>647</v>
      </c>
      <c r="B648" s="14">
        <v>90</v>
      </c>
      <c r="C648" s="21" t="s">
        <v>1642</v>
      </c>
      <c r="D648" s="14" t="s">
        <v>1643</v>
      </c>
      <c r="E648" s="14" t="s">
        <v>507</v>
      </c>
      <c r="G648" s="1" t="str">
        <f>_xlfn.XLOOKUP(B648,M_YT_LIVE!A:A,M_YT_LIVE!F:F,"ERROR",0,1)</f>
        <v>音源</v>
      </c>
      <c r="W648" s="13">
        <f t="shared" si="31"/>
        <v>2966</v>
      </c>
      <c r="X648" s="12" t="str">
        <f>_xlfn.XLOOKUP($B648,M_YT_LIVE!$A:$A,M_YT_LIVE!$D:$D)</f>
        <v>https://www.youtube.com/live/nyXzxG79mwQ?si=kGuFyOuc0o-yNPOU</v>
      </c>
      <c r="Z648" s="16" t="str">
        <f>HYPERLINK($X648&amp;SUBSTITUTE(マスタ!$C$3,"XXXXX",$W648))</f>
        <v>https://www.youtube.com/live/nyXzxG79mwQ?si=kGuFyOuc0o-yNPOU&amp;t=2966s</v>
      </c>
      <c r="AA648" s="12" t="str">
        <f t="shared" si="30"/>
        <v>YOASOBIアイドル</v>
      </c>
    </row>
    <row r="649" spans="1:27" x14ac:dyDescent="0.4">
      <c r="A649" s="14">
        <f t="shared" si="32"/>
        <v>648</v>
      </c>
      <c r="B649" s="14">
        <v>90</v>
      </c>
      <c r="C649" s="21" t="s">
        <v>1644</v>
      </c>
      <c r="D649" s="14" t="s">
        <v>916</v>
      </c>
      <c r="E649" s="14" t="s">
        <v>917</v>
      </c>
      <c r="G649" s="1" t="str">
        <f>_xlfn.XLOOKUP(B649,M_YT_LIVE!A:A,M_YT_LIVE!F:F,"ERROR",0,1)</f>
        <v>音源</v>
      </c>
      <c r="W649" s="13">
        <f t="shared" si="31"/>
        <v>3227</v>
      </c>
      <c r="X649" s="12" t="str">
        <f>_xlfn.XLOOKUP($B649,M_YT_LIVE!$A:$A,M_YT_LIVE!$D:$D)</f>
        <v>https://www.youtube.com/live/nyXzxG79mwQ?si=kGuFyOuc0o-yNPOU</v>
      </c>
      <c r="Z649" s="16" t="str">
        <f>HYPERLINK($X649&amp;SUBSTITUTE(マスタ!$C$3,"XXXXX",$W649))</f>
        <v>https://www.youtube.com/live/nyXzxG79mwQ?si=kGuFyOuc0o-yNPOU&amp;t=3227s</v>
      </c>
      <c r="AA649" s="12" t="str">
        <f t="shared" si="30"/>
        <v>DAOKO×米津玄師打上花火</v>
      </c>
    </row>
    <row r="650" spans="1:27" x14ac:dyDescent="0.4">
      <c r="A650" s="14">
        <f t="shared" si="32"/>
        <v>649</v>
      </c>
      <c r="B650" s="14">
        <v>90</v>
      </c>
      <c r="C650" s="21" t="s">
        <v>1645</v>
      </c>
      <c r="D650" s="14" t="s">
        <v>167</v>
      </c>
      <c r="E650" s="14" t="s">
        <v>168</v>
      </c>
      <c r="G650" s="1" t="str">
        <f>_xlfn.XLOOKUP(B650,M_YT_LIVE!A:A,M_YT_LIVE!F:F,"ERROR",0,1)</f>
        <v>音源</v>
      </c>
      <c r="W650" s="13">
        <f t="shared" si="31"/>
        <v>3859</v>
      </c>
      <c r="X650" s="12" t="str">
        <f>_xlfn.XLOOKUP($B650,M_YT_LIVE!$A:$A,M_YT_LIVE!$D:$D)</f>
        <v>https://www.youtube.com/live/nyXzxG79mwQ?si=kGuFyOuc0o-yNPOU</v>
      </c>
      <c r="Z650" s="16" t="str">
        <f>HYPERLINK($X650&amp;SUBSTITUTE(マスタ!$C$3,"XXXXX",$W650))</f>
        <v>https://www.youtube.com/live/nyXzxG79mwQ?si=kGuFyOuc0o-yNPOU&amp;t=3859s</v>
      </c>
      <c r="AA650" s="12" t="str">
        <f t="shared" si="30"/>
        <v>Aimerカタオモイ</v>
      </c>
    </row>
    <row r="651" spans="1:27" x14ac:dyDescent="0.4">
      <c r="A651" s="14">
        <f t="shared" si="32"/>
        <v>650</v>
      </c>
      <c r="B651" s="14">
        <v>90</v>
      </c>
      <c r="C651" s="21" t="s">
        <v>1646</v>
      </c>
      <c r="D651" s="14" t="s">
        <v>1604</v>
      </c>
      <c r="E651" s="14" t="s">
        <v>730</v>
      </c>
      <c r="G651" s="1" t="str">
        <f>_xlfn.XLOOKUP(B651,M_YT_LIVE!A:A,M_YT_LIVE!F:F,"ERROR",0,1)</f>
        <v>音源</v>
      </c>
      <c r="W651" s="13">
        <f t="shared" si="31"/>
        <v>4123</v>
      </c>
      <c r="X651" s="12" t="str">
        <f>_xlfn.XLOOKUP($B651,M_YT_LIVE!$A:$A,M_YT_LIVE!$D:$D)</f>
        <v>https://www.youtube.com/live/nyXzxG79mwQ?si=kGuFyOuc0o-yNPOU</v>
      </c>
      <c r="Z651" s="16" t="str">
        <f>HYPERLINK($X651&amp;SUBSTITUTE(マスタ!$C$3,"XXXXX",$W651))</f>
        <v>https://www.youtube.com/live/nyXzxG79mwQ?si=kGuFyOuc0o-yNPOU&amp;t=4123s</v>
      </c>
      <c r="AA651" s="12" t="str">
        <f t="shared" si="30"/>
        <v>Mrs. GREEN APPLEライラック</v>
      </c>
    </row>
    <row r="652" spans="1:27" x14ac:dyDescent="0.4">
      <c r="A652" s="14">
        <f t="shared" si="32"/>
        <v>651</v>
      </c>
      <c r="B652" s="14">
        <v>90</v>
      </c>
      <c r="C652" s="21" t="s">
        <v>1576</v>
      </c>
      <c r="D652" s="14" t="s">
        <v>1523</v>
      </c>
      <c r="E652" s="14" t="s">
        <v>1524</v>
      </c>
      <c r="G652" s="1" t="str">
        <f>_xlfn.XLOOKUP(B652,M_YT_LIVE!A:A,M_YT_LIVE!F:F,"ERROR",0,1)</f>
        <v>音源</v>
      </c>
      <c r="W652" s="13">
        <f t="shared" si="31"/>
        <v>4500</v>
      </c>
      <c r="X652" s="12" t="str">
        <f>_xlfn.XLOOKUP($B652,M_YT_LIVE!$A:$A,M_YT_LIVE!$D:$D)</f>
        <v>https://www.youtube.com/live/nyXzxG79mwQ?si=kGuFyOuc0o-yNPOU</v>
      </c>
      <c r="Z652" s="16" t="str">
        <f>HYPERLINK($X652&amp;SUBSTITUTE(マスタ!$C$3,"XXXXX",$W652))</f>
        <v>https://www.youtube.com/live/nyXzxG79mwQ?si=kGuFyOuc0o-yNPOU&amp;t=4500s</v>
      </c>
      <c r="AA652" s="12" t="str">
        <f t="shared" si="30"/>
        <v>kanaria.GUMI酔いどれ知らず</v>
      </c>
    </row>
    <row r="653" spans="1:27" x14ac:dyDescent="0.4">
      <c r="A653" s="14">
        <f t="shared" si="32"/>
        <v>652</v>
      </c>
      <c r="B653" s="14">
        <v>90</v>
      </c>
      <c r="C653" s="21" t="s">
        <v>1647</v>
      </c>
      <c r="D653" s="14" t="s">
        <v>1648</v>
      </c>
      <c r="E653" s="14" t="s">
        <v>141</v>
      </c>
      <c r="G653" s="1" t="str">
        <f>_xlfn.XLOOKUP(B653,M_YT_LIVE!A:A,M_YT_LIVE!F:F,"ERROR",0,1)</f>
        <v>音源</v>
      </c>
      <c r="W653" s="13">
        <f t="shared" si="31"/>
        <v>4707</v>
      </c>
      <c r="X653" s="12" t="str">
        <f>_xlfn.XLOOKUP($B653,M_YT_LIVE!$A:$A,M_YT_LIVE!$D:$D)</f>
        <v>https://www.youtube.com/live/nyXzxG79mwQ?si=kGuFyOuc0o-yNPOU</v>
      </c>
      <c r="Z653" s="16" t="str">
        <f>HYPERLINK($X653&amp;SUBSTITUTE(マスタ!$C$3,"XXXXX",$W653))</f>
        <v>https://www.youtube.com/live/nyXzxG79mwQ?si=kGuFyOuc0o-yNPOU&amp;t=4707s</v>
      </c>
      <c r="AA653" s="12" t="str">
        <f t="shared" si="30"/>
        <v>ヨルシカ晴る</v>
      </c>
    </row>
    <row r="654" spans="1:27" x14ac:dyDescent="0.4">
      <c r="A654" s="14">
        <f t="shared" si="32"/>
        <v>653</v>
      </c>
      <c r="B654" s="14">
        <v>90</v>
      </c>
      <c r="C654" s="21" t="s">
        <v>1649</v>
      </c>
      <c r="D654" s="14" t="s">
        <v>1650</v>
      </c>
      <c r="E654" s="14" t="s">
        <v>1651</v>
      </c>
      <c r="G654" s="1" t="str">
        <f>_xlfn.XLOOKUP(B654,M_YT_LIVE!A:A,M_YT_LIVE!F:F,"ERROR",0,1)</f>
        <v>音源</v>
      </c>
      <c r="W654" s="13">
        <f t="shared" si="31"/>
        <v>5056</v>
      </c>
      <c r="X654" s="12" t="str">
        <f>_xlfn.XLOOKUP($B654,M_YT_LIVE!$A:$A,M_YT_LIVE!$D:$D)</f>
        <v>https://www.youtube.com/live/nyXzxG79mwQ?si=kGuFyOuc0o-yNPOU</v>
      </c>
      <c r="Z654" s="16" t="str">
        <f>HYPERLINK($X654&amp;SUBSTITUTE(マスタ!$C$3,"XXXXX",$W654))</f>
        <v>https://www.youtube.com/live/nyXzxG79mwQ?si=kGuFyOuc0o-yNPOU&amp;t=5056s</v>
      </c>
      <c r="AA654" s="12" t="str">
        <f t="shared" si="30"/>
        <v>Conton Candyファジーネーブル</v>
      </c>
    </row>
    <row r="655" spans="1:27" x14ac:dyDescent="0.4">
      <c r="A655" s="14">
        <f t="shared" si="32"/>
        <v>654</v>
      </c>
      <c r="B655" s="14">
        <v>90</v>
      </c>
      <c r="C655" s="21" t="s">
        <v>1652</v>
      </c>
      <c r="D655" s="14" t="s">
        <v>853</v>
      </c>
      <c r="E655" s="14" t="s">
        <v>854</v>
      </c>
      <c r="G655" s="1" t="str">
        <f>_xlfn.XLOOKUP(B655,M_YT_LIVE!A:A,M_YT_LIVE!F:F,"ERROR",0,1)</f>
        <v>音源</v>
      </c>
      <c r="W655" s="13">
        <f t="shared" si="31"/>
        <v>5372</v>
      </c>
      <c r="X655" s="12" t="str">
        <f>_xlfn.XLOOKUP($B655,M_YT_LIVE!$A:$A,M_YT_LIVE!$D:$D)</f>
        <v>https://www.youtube.com/live/nyXzxG79mwQ?si=kGuFyOuc0o-yNPOU</v>
      </c>
      <c r="Z655" s="16" t="str">
        <f>HYPERLINK($X655&amp;SUBSTITUTE(マスタ!$C$3,"XXXXX",$W655))</f>
        <v>https://www.youtube.com/live/nyXzxG79mwQ?si=kGuFyOuc0o-yNPOU&amp;t=5372s</v>
      </c>
      <c r="AA655" s="12" t="str">
        <f t="shared" si="30"/>
        <v>いきものがかり気まぐれロマンティック</v>
      </c>
    </row>
    <row r="656" spans="1:27" x14ac:dyDescent="0.4">
      <c r="A656" s="14">
        <f t="shared" si="32"/>
        <v>655</v>
      </c>
      <c r="B656" s="14">
        <v>90</v>
      </c>
      <c r="C656" s="21" t="s">
        <v>1653</v>
      </c>
      <c r="D656" s="14" t="s">
        <v>224</v>
      </c>
      <c r="E656" s="14" t="s">
        <v>225</v>
      </c>
      <c r="G656" s="1" t="str">
        <f>_xlfn.XLOOKUP(B656,M_YT_LIVE!A:A,M_YT_LIVE!F:F,"ERROR",0,1)</f>
        <v>音源</v>
      </c>
      <c r="W656" s="13">
        <f t="shared" si="31"/>
        <v>5717</v>
      </c>
      <c r="X656" s="12" t="str">
        <f>_xlfn.XLOOKUP($B656,M_YT_LIVE!$A:$A,M_YT_LIVE!$D:$D)</f>
        <v>https://www.youtube.com/live/nyXzxG79mwQ?si=kGuFyOuc0o-yNPOU</v>
      </c>
      <c r="Z656" s="16" t="str">
        <f>HYPERLINK($X656&amp;SUBSTITUTE(マスタ!$C$3,"XXXXX",$W656))</f>
        <v>https://www.youtube.com/live/nyXzxG79mwQ?si=kGuFyOuc0o-yNPOU&amp;t=5717s</v>
      </c>
      <c r="AA656" s="12" t="str">
        <f t="shared" si="30"/>
        <v>ryo(supercell) feat.初音ミクメルト</v>
      </c>
    </row>
    <row r="657" spans="1:27" x14ac:dyDescent="0.4">
      <c r="A657" s="14">
        <f t="shared" si="32"/>
        <v>656</v>
      </c>
      <c r="B657" s="14">
        <v>90</v>
      </c>
      <c r="C657" s="21" t="s">
        <v>1654</v>
      </c>
      <c r="D657" s="14" t="s">
        <v>1655</v>
      </c>
      <c r="E657" s="14" t="s">
        <v>260</v>
      </c>
      <c r="G657" s="1" t="str">
        <f>_xlfn.XLOOKUP(B657,M_YT_LIVE!A:A,M_YT_LIVE!F:F,"ERROR",0,1)</f>
        <v>音源</v>
      </c>
      <c r="W657" s="13">
        <f t="shared" si="31"/>
        <v>6124</v>
      </c>
      <c r="X657" s="12" t="str">
        <f>_xlfn.XLOOKUP($B657,M_YT_LIVE!$A:$A,M_YT_LIVE!$D:$D)</f>
        <v>https://www.youtube.com/live/nyXzxG79mwQ?si=kGuFyOuc0o-yNPOU</v>
      </c>
      <c r="Z657" s="16" t="str">
        <f>HYPERLINK($X657&amp;SUBSTITUTE(マスタ!$C$3,"XXXXX",$W657))</f>
        <v>https://www.youtube.com/live/nyXzxG79mwQ?si=kGuFyOuc0o-yNPOU&amp;t=6124s</v>
      </c>
      <c r="AA657" s="12" t="str">
        <f t="shared" ref="AA657:AA700" si="33">TRIM(E657)&amp;TRIM(D657)</f>
        <v>Official髭男dismPretender</v>
      </c>
    </row>
    <row r="658" spans="1:27" x14ac:dyDescent="0.4">
      <c r="A658" s="14">
        <f t="shared" si="32"/>
        <v>657</v>
      </c>
      <c r="B658" s="14">
        <v>90</v>
      </c>
      <c r="C658" s="21" t="s">
        <v>1656</v>
      </c>
      <c r="D658" s="14" t="s">
        <v>1094</v>
      </c>
      <c r="E658" s="14" t="s">
        <v>20</v>
      </c>
      <c r="G658" s="1" t="str">
        <f>_xlfn.XLOOKUP(B658,M_YT_LIVE!A:A,M_YT_LIVE!F:F,"ERROR",0,1)</f>
        <v>音源</v>
      </c>
      <c r="W658" s="13">
        <f t="shared" si="31"/>
        <v>6589</v>
      </c>
      <c r="X658" s="12" t="str">
        <f>_xlfn.XLOOKUP($B658,M_YT_LIVE!$A:$A,M_YT_LIVE!$D:$D)</f>
        <v>https://www.youtube.com/live/nyXzxG79mwQ?si=kGuFyOuc0o-yNPOU</v>
      </c>
      <c r="Z658" s="16" t="str">
        <f>HYPERLINK($X658&amp;SUBSTITUTE(マスタ!$C$3,"XXXXX",$W658))</f>
        <v>https://www.youtube.com/live/nyXzxG79mwQ?si=kGuFyOuc0o-yNPOU&amp;t=6589s</v>
      </c>
      <c r="AA658" s="12" t="str">
        <f t="shared" si="33"/>
        <v>Vaundy不可幸力</v>
      </c>
    </row>
    <row r="659" spans="1:27" x14ac:dyDescent="0.4">
      <c r="A659" s="14">
        <f t="shared" si="32"/>
        <v>658</v>
      </c>
      <c r="B659" s="14">
        <v>90</v>
      </c>
      <c r="C659" s="21" t="s">
        <v>1657</v>
      </c>
      <c r="D659" s="14" t="s">
        <v>1658</v>
      </c>
      <c r="E659" s="14" t="s">
        <v>1659</v>
      </c>
      <c r="G659" s="1" t="str">
        <f>_xlfn.XLOOKUP(B659,M_YT_LIVE!A:A,M_YT_LIVE!F:F,"ERROR",0,1)</f>
        <v>音源</v>
      </c>
      <c r="W659" s="13">
        <f t="shared" si="31"/>
        <v>6864</v>
      </c>
      <c r="X659" s="12" t="str">
        <f>_xlfn.XLOOKUP($B659,M_YT_LIVE!$A:$A,M_YT_LIVE!$D:$D)</f>
        <v>https://www.youtube.com/live/nyXzxG79mwQ?si=kGuFyOuc0o-yNPOU</v>
      </c>
      <c r="Z659" s="16" t="str">
        <f>HYPERLINK($X659&amp;SUBSTITUTE(マスタ!$C$3,"XXXXX",$W659))</f>
        <v>https://www.youtube.com/live/nyXzxG79mwQ?si=kGuFyOuc0o-yNPOU&amp;t=6864s</v>
      </c>
      <c r="AA659" s="12" t="str">
        <f t="shared" si="33"/>
        <v>Perfumeチョコレイト・ディスコ</v>
      </c>
    </row>
    <row r="660" spans="1:27" x14ac:dyDescent="0.4">
      <c r="A660" s="14">
        <f t="shared" si="32"/>
        <v>659</v>
      </c>
      <c r="B660" s="14">
        <v>90</v>
      </c>
      <c r="C660" s="21" t="s">
        <v>1660</v>
      </c>
      <c r="D660" s="14" t="s">
        <v>1661</v>
      </c>
      <c r="E660" s="14" t="s">
        <v>72</v>
      </c>
      <c r="G660" s="1" t="str">
        <f>_xlfn.XLOOKUP(B660,M_YT_LIVE!A:A,M_YT_LIVE!F:F,"ERROR",0,1)</f>
        <v>音源</v>
      </c>
      <c r="W660" s="13">
        <f t="shared" si="31"/>
        <v>7183</v>
      </c>
      <c r="X660" s="12" t="str">
        <f>_xlfn.XLOOKUP($B660,M_YT_LIVE!$A:$A,M_YT_LIVE!$D:$D)</f>
        <v>https://www.youtube.com/live/nyXzxG79mwQ?si=kGuFyOuc0o-yNPOU</v>
      </c>
      <c r="Z660" s="16" t="str">
        <f>HYPERLINK($X660&amp;SUBSTITUTE(マスタ!$C$3,"XXXXX",$W660))</f>
        <v>https://www.youtube.com/live/nyXzxG79mwQ?si=kGuFyOuc0o-yNPOU&amp;t=7183s</v>
      </c>
      <c r="AA660" s="12" t="str">
        <f t="shared" si="33"/>
        <v>優里ベテルギウス</v>
      </c>
    </row>
    <row r="661" spans="1:27" x14ac:dyDescent="0.4">
      <c r="A661" s="14">
        <f t="shared" si="32"/>
        <v>660</v>
      </c>
      <c r="B661" s="14">
        <v>90</v>
      </c>
      <c r="C661" s="21" t="s">
        <v>1662</v>
      </c>
      <c r="D661" s="14" t="s">
        <v>1663</v>
      </c>
      <c r="E661" s="14" t="s">
        <v>1664</v>
      </c>
      <c r="G661" s="1" t="str">
        <f>_xlfn.XLOOKUP(B661,M_YT_LIVE!A:A,M_YT_LIVE!F:F,"ERROR",0,1)</f>
        <v>音源</v>
      </c>
      <c r="W661" s="13">
        <f t="shared" si="31"/>
        <v>7552</v>
      </c>
      <c r="X661" s="12" t="str">
        <f>_xlfn.XLOOKUP($B661,M_YT_LIVE!$A:$A,M_YT_LIVE!$D:$D)</f>
        <v>https://www.youtube.com/live/nyXzxG79mwQ?si=kGuFyOuc0o-yNPOU</v>
      </c>
      <c r="Z661" s="16" t="str">
        <f>HYPERLINK($X661&amp;SUBSTITUTE(マスタ!$C$3,"XXXXX",$W661))</f>
        <v>https://www.youtube.com/live/nyXzxG79mwQ?si=kGuFyOuc0o-yNPOU&amp;t=7552s</v>
      </c>
      <c r="AA661" s="12" t="str">
        <f t="shared" si="33"/>
        <v>P丸様。シル・ヴ・プレジデント</v>
      </c>
    </row>
    <row r="662" spans="1:27" x14ac:dyDescent="0.4">
      <c r="A662" s="14">
        <f t="shared" si="32"/>
        <v>661</v>
      </c>
      <c r="B662" s="14">
        <v>90</v>
      </c>
      <c r="C662" s="21" t="s">
        <v>1665</v>
      </c>
      <c r="D662" s="14" t="s">
        <v>1023</v>
      </c>
      <c r="E662" s="14" t="s">
        <v>390</v>
      </c>
      <c r="G662" s="1" t="str">
        <f>_xlfn.XLOOKUP(B662,M_YT_LIVE!A:A,M_YT_LIVE!F:F,"ERROR",0,1)</f>
        <v>音源</v>
      </c>
      <c r="W662" s="13">
        <f t="shared" si="31"/>
        <v>7945.9999999999991</v>
      </c>
      <c r="X662" s="12" t="str">
        <f>_xlfn.XLOOKUP($B662,M_YT_LIVE!$A:$A,M_YT_LIVE!$D:$D)</f>
        <v>https://www.youtube.com/live/nyXzxG79mwQ?si=kGuFyOuc0o-yNPOU</v>
      </c>
      <c r="Z662" s="16" t="str">
        <f>HYPERLINK($X662&amp;SUBSTITUTE(マスタ!$C$3,"XXXXX",$W662))</f>
        <v>https://www.youtube.com/live/nyXzxG79mwQ?si=kGuFyOuc0o-yNPOU&amp;t=7946s</v>
      </c>
      <c r="AA662" s="12" t="str">
        <f t="shared" si="33"/>
        <v>LiSARising Hope</v>
      </c>
    </row>
    <row r="663" spans="1:27" x14ac:dyDescent="0.4">
      <c r="A663" s="14">
        <f t="shared" si="32"/>
        <v>662</v>
      </c>
      <c r="B663" s="14">
        <v>90</v>
      </c>
      <c r="C663" s="21" t="s">
        <v>1666</v>
      </c>
      <c r="D663" s="14" t="s">
        <v>302</v>
      </c>
      <c r="E663" s="14" t="s">
        <v>303</v>
      </c>
      <c r="G663" s="1" t="str">
        <f>_xlfn.XLOOKUP(B663,M_YT_LIVE!A:A,M_YT_LIVE!F:F,"ERROR",0,1)</f>
        <v>音源</v>
      </c>
      <c r="W663" s="13">
        <f t="shared" si="31"/>
        <v>8387</v>
      </c>
      <c r="X663" s="12" t="str">
        <f>_xlfn.XLOOKUP($B663,M_YT_LIVE!$A:$A,M_YT_LIVE!$D:$D)</f>
        <v>https://www.youtube.com/live/nyXzxG79mwQ?si=kGuFyOuc0o-yNPOU</v>
      </c>
      <c r="Z663" s="16" t="str">
        <f>HYPERLINK($X663&amp;SUBSTITUTE(マスタ!$C$3,"XXXXX",$W663))</f>
        <v>https://www.youtube.com/live/nyXzxG79mwQ?si=kGuFyOuc0o-yNPOU&amp;t=8387s</v>
      </c>
      <c r="AA663" s="12" t="str">
        <f t="shared" si="33"/>
        <v>Kemu feat.Gumi地球最後の告白を</v>
      </c>
    </row>
    <row r="664" spans="1:27" x14ac:dyDescent="0.4">
      <c r="A664" s="14">
        <f t="shared" si="32"/>
        <v>663</v>
      </c>
      <c r="B664" s="14">
        <v>90</v>
      </c>
      <c r="C664" s="21" t="s">
        <v>1667</v>
      </c>
      <c r="D664" s="14" t="s">
        <v>1668</v>
      </c>
      <c r="E664" s="14" t="s">
        <v>1669</v>
      </c>
      <c r="G664" s="1" t="str">
        <f>_xlfn.XLOOKUP(B664,M_YT_LIVE!A:A,M_YT_LIVE!F:F,"ERROR",0,1)</f>
        <v>音源</v>
      </c>
      <c r="W664" s="13">
        <f t="shared" si="31"/>
        <v>8729</v>
      </c>
      <c r="X664" s="12" t="str">
        <f>_xlfn.XLOOKUP($B664,M_YT_LIVE!$A:$A,M_YT_LIVE!$D:$D)</f>
        <v>https://www.youtube.com/live/nyXzxG79mwQ?si=kGuFyOuc0o-yNPOU</v>
      </c>
      <c r="Z664" s="16" t="str">
        <f>HYPERLINK($X664&amp;SUBSTITUTE(マスタ!$C$3,"XXXXX",$W664))</f>
        <v>https://www.youtube.com/live/nyXzxG79mwQ?si=kGuFyOuc0o-yNPOU&amp;t=8729s</v>
      </c>
      <c r="AA664" s="12" t="str">
        <f t="shared" si="33"/>
        <v>yama春を告げる</v>
      </c>
    </row>
    <row r="665" spans="1:27" x14ac:dyDescent="0.4">
      <c r="A665" s="14">
        <f t="shared" si="32"/>
        <v>664</v>
      </c>
      <c r="B665" s="14">
        <v>90</v>
      </c>
      <c r="C665" s="21" t="s">
        <v>1670</v>
      </c>
      <c r="D665" s="14" t="s">
        <v>403</v>
      </c>
      <c r="E665" s="14" t="s">
        <v>404</v>
      </c>
      <c r="G665" s="1" t="str">
        <f>_xlfn.XLOOKUP(B665,M_YT_LIVE!A:A,M_YT_LIVE!F:F,"ERROR",0,1)</f>
        <v>音源</v>
      </c>
      <c r="W665" s="13">
        <f t="shared" si="31"/>
        <v>9000</v>
      </c>
      <c r="X665" s="12" t="str">
        <f>_xlfn.XLOOKUP($B665,M_YT_LIVE!$A:$A,M_YT_LIVE!$D:$D)</f>
        <v>https://www.youtube.com/live/nyXzxG79mwQ?si=kGuFyOuc0o-yNPOU</v>
      </c>
      <c r="Z665" s="16" t="str">
        <f>HYPERLINK($X665&amp;SUBSTITUTE(マスタ!$C$3,"XXXXX",$W665))</f>
        <v>https://www.youtube.com/live/nyXzxG79mwQ?si=kGuFyOuc0o-yNPOU&amp;t=9000s</v>
      </c>
      <c r="AA665" s="12" t="str">
        <f t="shared" si="33"/>
        <v>松本梨香めざせポケモンマスター</v>
      </c>
    </row>
    <row r="666" spans="1:27" x14ac:dyDescent="0.4">
      <c r="A666" s="14">
        <f t="shared" si="32"/>
        <v>665</v>
      </c>
      <c r="B666" s="14">
        <v>90</v>
      </c>
      <c r="C666" s="21" t="s">
        <v>1671</v>
      </c>
      <c r="D666" s="14" t="s">
        <v>332</v>
      </c>
      <c r="E666" s="14" t="s">
        <v>1124</v>
      </c>
      <c r="G666" s="1" t="str">
        <f>_xlfn.XLOOKUP(B666,M_YT_LIVE!A:A,M_YT_LIVE!F:F,"ERROR",0,1)</f>
        <v>音源</v>
      </c>
      <c r="W666" s="13">
        <f t="shared" si="31"/>
        <v>9418</v>
      </c>
      <c r="X666" s="12" t="str">
        <f>_xlfn.XLOOKUP($B666,M_YT_LIVE!$A:$A,M_YT_LIVE!$D:$D)</f>
        <v>https://www.youtube.com/live/nyXzxG79mwQ?si=kGuFyOuc0o-yNPOU</v>
      </c>
      <c r="Z666" s="16" t="str">
        <f>HYPERLINK($X666&amp;SUBSTITUTE(マスタ!$C$3,"XXXXX",$W666))</f>
        <v>https://www.youtube.com/live/nyXzxG79mwQ?si=kGuFyOuc0o-yNPOU&amp;t=9418s</v>
      </c>
      <c r="AA666" s="12" t="str">
        <f t="shared" si="33"/>
        <v>涼宮ハルヒ(CV.平野綾)God knows…</v>
      </c>
    </row>
    <row r="667" spans="1:27" x14ac:dyDescent="0.4">
      <c r="A667" s="14">
        <f t="shared" si="32"/>
        <v>666</v>
      </c>
      <c r="B667" s="14">
        <v>90</v>
      </c>
      <c r="C667" s="21" t="s">
        <v>1672</v>
      </c>
      <c r="D667" s="14" t="s">
        <v>41</v>
      </c>
      <c r="E667" s="14" t="s">
        <v>141</v>
      </c>
      <c r="G667" s="1" t="str">
        <f>_xlfn.XLOOKUP(B667,M_YT_LIVE!A:A,M_YT_LIVE!F:F,"ERROR",0,1)</f>
        <v>音源</v>
      </c>
      <c r="W667" s="13">
        <f t="shared" si="31"/>
        <v>9975</v>
      </c>
      <c r="X667" s="12" t="str">
        <f>_xlfn.XLOOKUP($B667,M_YT_LIVE!$A:$A,M_YT_LIVE!$D:$D)</f>
        <v>https://www.youtube.com/live/nyXzxG79mwQ?si=kGuFyOuc0o-yNPOU</v>
      </c>
      <c r="Z667" s="16" t="str">
        <f>HYPERLINK($X667&amp;SUBSTITUTE(マスタ!$C$3,"XXXXX",$W667))</f>
        <v>https://www.youtube.com/live/nyXzxG79mwQ?si=kGuFyOuc0o-yNPOU&amp;t=9975s</v>
      </c>
      <c r="AA667" s="12" t="str">
        <f t="shared" si="33"/>
        <v>ヨルシカ春泥棒</v>
      </c>
    </row>
    <row r="668" spans="1:27" x14ac:dyDescent="0.4">
      <c r="A668" s="14">
        <f t="shared" si="32"/>
        <v>667</v>
      </c>
      <c r="B668" s="14">
        <v>90</v>
      </c>
      <c r="C668" s="21" t="s">
        <v>1673</v>
      </c>
      <c r="D668" s="14" t="s">
        <v>1674</v>
      </c>
      <c r="E668" s="14" t="s">
        <v>1675</v>
      </c>
      <c r="G668" s="1" t="str">
        <f>_xlfn.XLOOKUP(B668,M_YT_LIVE!A:A,M_YT_LIVE!F:F,"ERROR",0,1)</f>
        <v>音源</v>
      </c>
      <c r="W668" s="13">
        <f t="shared" si="31"/>
        <v>10330</v>
      </c>
      <c r="X668" s="12" t="str">
        <f>_xlfn.XLOOKUP($B668,M_YT_LIVE!$A:$A,M_YT_LIVE!$D:$D)</f>
        <v>https://www.youtube.com/live/nyXzxG79mwQ?si=kGuFyOuc0o-yNPOU</v>
      </c>
      <c r="Z668" s="16" t="str">
        <f>HYPERLINK($X668&amp;SUBSTITUTE(マスタ!$C$3,"XXXXX",$W668))</f>
        <v>https://www.youtube.com/live/nyXzxG79mwQ?si=kGuFyOuc0o-yNPOU&amp;t=10330s</v>
      </c>
      <c r="AA668" s="12" t="str">
        <f t="shared" si="33"/>
        <v>ReoNaANIMA</v>
      </c>
    </row>
    <row r="669" spans="1:27" x14ac:dyDescent="0.4">
      <c r="A669" s="14">
        <f t="shared" si="32"/>
        <v>668</v>
      </c>
      <c r="B669" s="14">
        <v>90</v>
      </c>
      <c r="C669" s="21" t="s">
        <v>1676</v>
      </c>
      <c r="D669" s="14" t="s">
        <v>1677</v>
      </c>
      <c r="E669" s="14" t="s">
        <v>790</v>
      </c>
      <c r="G669" s="1" t="str">
        <f>_xlfn.XLOOKUP(B669,M_YT_LIVE!A:A,M_YT_LIVE!F:F,"ERROR",0,1)</f>
        <v>音源</v>
      </c>
      <c r="W669" s="13">
        <f t="shared" si="31"/>
        <v>10655</v>
      </c>
      <c r="X669" s="12" t="str">
        <f>_xlfn.XLOOKUP($B669,M_YT_LIVE!$A:$A,M_YT_LIVE!$D:$D)</f>
        <v>https://www.youtube.com/live/nyXzxG79mwQ?si=kGuFyOuc0o-yNPOU</v>
      </c>
      <c r="Z669" s="16" t="str">
        <f>HYPERLINK($X669&amp;SUBSTITUTE(マスタ!$C$3,"XXXXX",$W669))</f>
        <v>https://www.youtube.com/live/nyXzxG79mwQ?si=kGuFyOuc0o-yNPOU&amp;t=10655s</v>
      </c>
      <c r="AA669" s="12" t="str">
        <f t="shared" si="33"/>
        <v>CHiCO with HoneyWorks世界は恋に落ちている</v>
      </c>
    </row>
    <row r="670" spans="1:27" x14ac:dyDescent="0.4">
      <c r="A670" s="14">
        <f t="shared" si="32"/>
        <v>669</v>
      </c>
      <c r="B670" s="14">
        <v>90</v>
      </c>
      <c r="C670" s="21" t="s">
        <v>1678</v>
      </c>
      <c r="D670" s="14" t="s">
        <v>368</v>
      </c>
      <c r="E670" s="14" t="s">
        <v>208</v>
      </c>
      <c r="G670" s="1" t="str">
        <f>_xlfn.XLOOKUP(B670,M_YT_LIVE!A:A,M_YT_LIVE!F:F,"ERROR",0,1)</f>
        <v>音源</v>
      </c>
      <c r="W670" s="13">
        <f t="shared" si="31"/>
        <v>11118</v>
      </c>
      <c r="X670" s="12" t="str">
        <f>_xlfn.XLOOKUP($B670,M_YT_LIVE!$A:$A,M_YT_LIVE!$D:$D)</f>
        <v>https://www.youtube.com/live/nyXzxG79mwQ?si=kGuFyOuc0o-yNPOU</v>
      </c>
      <c r="Z670" s="16" t="str">
        <f>HYPERLINK($X670&amp;SUBSTITUTE(マスタ!$C$3,"XXXXX",$W670))</f>
        <v>https://www.youtube.com/live/nyXzxG79mwQ?si=kGuFyOuc0o-yNPOU&amp;t=11118s</v>
      </c>
      <c r="AA670" s="12" t="str">
        <f t="shared" si="33"/>
        <v>supercell星が瞬くこんな夜に</v>
      </c>
    </row>
    <row r="671" spans="1:27" x14ac:dyDescent="0.4">
      <c r="A671" s="14">
        <f t="shared" si="32"/>
        <v>670</v>
      </c>
      <c r="B671" s="14">
        <v>90</v>
      </c>
      <c r="C671" s="21" t="s">
        <v>1679</v>
      </c>
      <c r="D671" s="14" t="s">
        <v>1122</v>
      </c>
      <c r="E671" s="14" t="s">
        <v>790</v>
      </c>
      <c r="G671" s="1" t="str">
        <f>_xlfn.XLOOKUP(B671,M_YT_LIVE!A:A,M_YT_LIVE!F:F,"ERROR",0,1)</f>
        <v>音源</v>
      </c>
      <c r="W671" s="13">
        <f t="shared" si="31"/>
        <v>11497</v>
      </c>
      <c r="X671" s="12" t="str">
        <f>_xlfn.XLOOKUP($B671,M_YT_LIVE!$A:$A,M_YT_LIVE!$D:$D)</f>
        <v>https://www.youtube.com/live/nyXzxG79mwQ?si=kGuFyOuc0o-yNPOU</v>
      </c>
      <c r="Z671" s="16" t="str">
        <f>HYPERLINK($X671&amp;SUBSTITUTE(マスタ!$C$3,"XXXXX",$W671))</f>
        <v>https://www.youtube.com/live/nyXzxG79mwQ?si=kGuFyOuc0o-yNPOU&amp;t=11497s</v>
      </c>
      <c r="AA671" s="12" t="str">
        <f t="shared" si="33"/>
        <v>CHiCO with HoneyWorksプライド革命</v>
      </c>
    </row>
    <row r="672" spans="1:27" x14ac:dyDescent="0.4">
      <c r="A672" s="14">
        <f t="shared" si="32"/>
        <v>671</v>
      </c>
      <c r="B672" s="14">
        <v>90</v>
      </c>
      <c r="C672" s="21" t="s">
        <v>1680</v>
      </c>
      <c r="D672" s="14" t="s">
        <v>759</v>
      </c>
      <c r="E672" s="14" t="s">
        <v>390</v>
      </c>
      <c r="G672" s="1" t="str">
        <f>_xlfn.XLOOKUP(B672,M_YT_LIVE!A:A,M_YT_LIVE!F:F,"ERROR",0,1)</f>
        <v>音源</v>
      </c>
      <c r="W672" s="13">
        <f t="shared" si="31"/>
        <v>11867</v>
      </c>
      <c r="X672" s="12" t="str">
        <f>_xlfn.XLOOKUP($B672,M_YT_LIVE!$A:$A,M_YT_LIVE!$D:$D)</f>
        <v>https://www.youtube.com/live/nyXzxG79mwQ?si=kGuFyOuc0o-yNPOU</v>
      </c>
      <c r="Z672" s="16" t="str">
        <f>HYPERLINK($X672&amp;SUBSTITUTE(マスタ!$C$3,"XXXXX",$W672))</f>
        <v>https://www.youtube.com/live/nyXzxG79mwQ?si=kGuFyOuc0o-yNPOU&amp;t=11867s</v>
      </c>
      <c r="AA672" s="12" t="str">
        <f t="shared" si="33"/>
        <v>LiSACatch the Moment</v>
      </c>
    </row>
    <row r="673" spans="1:27" x14ac:dyDescent="0.4">
      <c r="A673" s="14">
        <f t="shared" si="32"/>
        <v>672</v>
      </c>
      <c r="B673" s="14">
        <v>90</v>
      </c>
      <c r="C673" s="21" t="s">
        <v>1681</v>
      </c>
      <c r="D673" s="14" t="s">
        <v>259</v>
      </c>
      <c r="E673" s="14" t="s">
        <v>260</v>
      </c>
      <c r="G673" s="1" t="str">
        <f>_xlfn.XLOOKUP(B673,M_YT_LIVE!A:A,M_YT_LIVE!F:F,"ERROR",0,1)</f>
        <v>音源</v>
      </c>
      <c r="W673" s="13">
        <f t="shared" si="31"/>
        <v>12311.999999999998</v>
      </c>
      <c r="X673" s="12" t="str">
        <f>_xlfn.XLOOKUP($B673,M_YT_LIVE!$A:$A,M_YT_LIVE!$D:$D)</f>
        <v>https://www.youtube.com/live/nyXzxG79mwQ?si=kGuFyOuc0o-yNPOU</v>
      </c>
      <c r="Z673" s="16" t="str">
        <f>HYPERLINK($X673&amp;SUBSTITUTE(マスタ!$C$3,"XXXXX",$W673))</f>
        <v>https://www.youtube.com/live/nyXzxG79mwQ?si=kGuFyOuc0o-yNPOU&amp;t=12312s</v>
      </c>
      <c r="AA673" s="12" t="str">
        <f t="shared" si="33"/>
        <v>Official髭男dismノーダウト</v>
      </c>
    </row>
    <row r="674" spans="1:27" x14ac:dyDescent="0.4">
      <c r="A674" s="14">
        <f t="shared" si="32"/>
        <v>673</v>
      </c>
      <c r="B674" s="14">
        <v>90</v>
      </c>
      <c r="C674" s="21" t="s">
        <v>1682</v>
      </c>
      <c r="D674" s="14" t="s">
        <v>266</v>
      </c>
      <c r="E674" s="14" t="s">
        <v>527</v>
      </c>
      <c r="G674" s="1" t="str">
        <f>_xlfn.XLOOKUP(B674,M_YT_LIVE!A:A,M_YT_LIVE!F:F,"ERROR",0,1)</f>
        <v>音源</v>
      </c>
      <c r="W674" s="13">
        <f t="shared" si="31"/>
        <v>12634</v>
      </c>
      <c r="X674" s="12" t="str">
        <f>_xlfn.XLOOKUP($B674,M_YT_LIVE!$A:$A,M_YT_LIVE!$D:$D)</f>
        <v>https://www.youtube.com/live/nyXzxG79mwQ?si=kGuFyOuc0o-yNPOU</v>
      </c>
      <c r="Z674" s="16" t="str">
        <f>HYPERLINK($X674&amp;SUBSTITUTE(マスタ!$C$3,"XXXXX",$W674))</f>
        <v>https://www.youtube.com/live/nyXzxG79mwQ?si=kGuFyOuc0o-yNPOU&amp;t=12634s</v>
      </c>
      <c r="AA674" s="12" t="str">
        <f t="shared" si="33"/>
        <v>バルーン(須田景凪) feat.flowelシャルル</v>
      </c>
    </row>
    <row r="675" spans="1:27" x14ac:dyDescent="0.4">
      <c r="A675" s="14">
        <f t="shared" si="32"/>
        <v>674</v>
      </c>
      <c r="B675" s="14">
        <v>90</v>
      </c>
      <c r="C675" s="21" t="s">
        <v>1683</v>
      </c>
      <c r="D675" s="14" t="s">
        <v>430</v>
      </c>
      <c r="E675" s="14" t="s">
        <v>431</v>
      </c>
      <c r="G675" s="1" t="str">
        <f>_xlfn.XLOOKUP(B675,M_YT_LIVE!A:A,M_YT_LIVE!F:F,"ERROR",0,1)</f>
        <v>音源</v>
      </c>
      <c r="W675" s="13">
        <f t="shared" si="31"/>
        <v>12983</v>
      </c>
      <c r="X675" s="12" t="str">
        <f>_xlfn.XLOOKUP($B675,M_YT_LIVE!$A:$A,M_YT_LIVE!$D:$D)</f>
        <v>https://www.youtube.com/live/nyXzxG79mwQ?si=kGuFyOuc0o-yNPOU</v>
      </c>
      <c r="Z675" s="16" t="str">
        <f>HYPERLINK($X675&amp;SUBSTITUTE(マスタ!$C$3,"XXXXX",$W675))</f>
        <v>https://www.youtube.com/live/nyXzxG79mwQ?si=kGuFyOuc0o-yNPOU&amp;t=12983s</v>
      </c>
      <c r="AA675" s="12" t="str">
        <f t="shared" si="33"/>
        <v>Creepy NutsBling-Bang-Bang-Born</v>
      </c>
    </row>
    <row r="676" spans="1:27" x14ac:dyDescent="0.4">
      <c r="A676" s="14">
        <f t="shared" si="32"/>
        <v>675</v>
      </c>
      <c r="B676" s="14">
        <v>90</v>
      </c>
      <c r="C676" s="21" t="s">
        <v>1684</v>
      </c>
      <c r="D676" s="14" t="s">
        <v>1685</v>
      </c>
      <c r="E676" s="14" t="s">
        <v>1686</v>
      </c>
      <c r="G676" s="1" t="str">
        <f>_xlfn.XLOOKUP(B676,M_YT_LIVE!A:A,M_YT_LIVE!F:F,"ERROR",0,1)</f>
        <v>音源</v>
      </c>
      <c r="W676" s="13">
        <f t="shared" si="31"/>
        <v>13209</v>
      </c>
      <c r="X676" s="12" t="str">
        <f>_xlfn.XLOOKUP($B676,M_YT_LIVE!$A:$A,M_YT_LIVE!$D:$D)</f>
        <v>https://www.youtube.com/live/nyXzxG79mwQ?si=kGuFyOuc0o-yNPOU</v>
      </c>
      <c r="Z676" s="16" t="str">
        <f>HYPERLINK($X676&amp;SUBSTITUTE(マスタ!$C$3,"XXXXX",$W676))</f>
        <v>https://www.youtube.com/live/nyXzxG79mwQ?si=kGuFyOuc0o-yNPOU&amp;t=13209s</v>
      </c>
      <c r="AA676" s="12" t="str">
        <f t="shared" si="33"/>
        <v>GUMI feat.kanariaKING</v>
      </c>
    </row>
    <row r="677" spans="1:27" x14ac:dyDescent="0.4">
      <c r="A677" s="14">
        <f t="shared" si="32"/>
        <v>676</v>
      </c>
      <c r="B677" s="14">
        <v>90</v>
      </c>
      <c r="C677" s="21" t="s">
        <v>1687</v>
      </c>
      <c r="D677" s="14" t="s">
        <v>520</v>
      </c>
      <c r="E677" s="14" t="s">
        <v>531</v>
      </c>
      <c r="G677" s="1" t="str">
        <f>_xlfn.XLOOKUP(B677,M_YT_LIVE!A:A,M_YT_LIVE!F:F,"ERROR",0,1)</f>
        <v>音源</v>
      </c>
      <c r="W677" s="13">
        <f t="shared" si="31"/>
        <v>13491.000000000002</v>
      </c>
      <c r="X677" s="12" t="str">
        <f>_xlfn.XLOOKUP($B677,M_YT_LIVE!$A:$A,M_YT_LIVE!$D:$D)</f>
        <v>https://www.youtube.com/live/nyXzxG79mwQ?si=kGuFyOuc0o-yNPOU</v>
      </c>
      <c r="Z677" s="16" t="str">
        <f>HYPERLINK($X677&amp;SUBSTITUTE(マスタ!$C$3,"XXXXX",$W677))</f>
        <v>https://www.youtube.com/live/nyXzxG79mwQ?si=kGuFyOuc0o-yNPOU&amp;t=13491s</v>
      </c>
      <c r="AA677" s="12" t="str">
        <f t="shared" si="33"/>
        <v>黒うさ feat.初音ミク千本桜</v>
      </c>
    </row>
    <row r="678" spans="1:27" x14ac:dyDescent="0.4">
      <c r="A678" s="14">
        <f t="shared" si="32"/>
        <v>677</v>
      </c>
      <c r="B678" s="14">
        <v>90</v>
      </c>
      <c r="C678" s="21" t="s">
        <v>1688</v>
      </c>
      <c r="D678" s="14" t="s">
        <v>1689</v>
      </c>
      <c r="E678" s="14" t="s">
        <v>1690</v>
      </c>
      <c r="G678" s="1" t="str">
        <f>_xlfn.XLOOKUP(B678,M_YT_LIVE!A:A,M_YT_LIVE!F:F,"ERROR",0,1)</f>
        <v>音源</v>
      </c>
      <c r="W678" s="13">
        <f t="shared" si="31"/>
        <v>13769</v>
      </c>
      <c r="X678" s="12" t="str">
        <f>_xlfn.XLOOKUP($B678,M_YT_LIVE!$A:$A,M_YT_LIVE!$D:$D)</f>
        <v>https://www.youtube.com/live/nyXzxG79mwQ?si=kGuFyOuc0o-yNPOU</v>
      </c>
      <c r="Z678" s="16" t="str">
        <f>HYPERLINK($X678&amp;SUBSTITUTE(マスタ!$C$3,"XXXXX",$W678))</f>
        <v>https://www.youtube.com/live/nyXzxG79mwQ?si=kGuFyOuc0o-yNPOU&amp;t=13769s</v>
      </c>
      <c r="AA678" s="12" t="str">
        <f t="shared" si="33"/>
        <v>nobodyknows+ココロオドル</v>
      </c>
    </row>
    <row r="679" spans="1:27" x14ac:dyDescent="0.4">
      <c r="A679" s="14">
        <f t="shared" si="32"/>
        <v>678</v>
      </c>
      <c r="B679" s="14">
        <v>90</v>
      </c>
      <c r="C679" s="21" t="s">
        <v>1691</v>
      </c>
      <c r="D679" s="14" t="s">
        <v>1692</v>
      </c>
      <c r="E679" s="14" t="s">
        <v>1693</v>
      </c>
      <c r="G679" s="1" t="str">
        <f>_xlfn.XLOOKUP(B679,M_YT_LIVE!A:A,M_YT_LIVE!F:F,"ERROR",0,1)</f>
        <v>音源</v>
      </c>
      <c r="W679" s="13">
        <f t="shared" si="31"/>
        <v>14168.999999999998</v>
      </c>
      <c r="X679" s="12" t="str">
        <f>_xlfn.XLOOKUP($B679,M_YT_LIVE!$A:$A,M_YT_LIVE!$D:$D)</f>
        <v>https://www.youtube.com/live/nyXzxG79mwQ?si=kGuFyOuc0o-yNPOU</v>
      </c>
      <c r="Z679" s="16" t="str">
        <f>HYPERLINK($X679&amp;SUBSTITUTE(マスタ!$C$3,"XXXXX",$W679))</f>
        <v>https://www.youtube.com/live/nyXzxG79mwQ?si=kGuFyOuc0o-yNPOU&amp;t=14169s</v>
      </c>
      <c r="AA679" s="12" t="str">
        <f t="shared" si="33"/>
        <v>Peabo Bryson&amp;Regina BelleA Whole New World</v>
      </c>
    </row>
    <row r="680" spans="1:27" x14ac:dyDescent="0.4">
      <c r="A680" s="14">
        <f t="shared" si="32"/>
        <v>679</v>
      </c>
      <c r="B680" s="14">
        <v>90</v>
      </c>
      <c r="C680" s="21" t="s">
        <v>1694</v>
      </c>
      <c r="D680" s="14" t="s">
        <v>1695</v>
      </c>
      <c r="E680" s="14" t="s">
        <v>1696</v>
      </c>
      <c r="G680" s="1" t="str">
        <f>_xlfn.XLOOKUP(B680,M_YT_LIVE!A:A,M_YT_LIVE!F:F,"ERROR",0,1)</f>
        <v>音源</v>
      </c>
      <c r="W680" s="13">
        <f t="shared" si="31"/>
        <v>14425</v>
      </c>
      <c r="X680" s="12" t="str">
        <f>_xlfn.XLOOKUP($B680,M_YT_LIVE!$A:$A,M_YT_LIVE!$D:$D)</f>
        <v>https://www.youtube.com/live/nyXzxG79mwQ?si=kGuFyOuc0o-yNPOU</v>
      </c>
      <c r="Z680" s="16" t="str">
        <f>HYPERLINK($X680&amp;SUBSTITUTE(マスタ!$C$3,"XXXXX",$W680))</f>
        <v>https://www.youtube.com/live/nyXzxG79mwQ?si=kGuFyOuc0o-yNPOU&amp;t=14425s</v>
      </c>
      <c r="AA680" s="12" t="str">
        <f t="shared" si="33"/>
        <v>神田沙也加&amp;松たか子生まれてはじめて</v>
      </c>
    </row>
    <row r="681" spans="1:27" x14ac:dyDescent="0.4">
      <c r="A681" s="14">
        <f t="shared" si="32"/>
        <v>680</v>
      </c>
      <c r="B681" s="14">
        <v>90</v>
      </c>
      <c r="C681" s="21" t="s">
        <v>1697</v>
      </c>
      <c r="D681" s="14" t="s">
        <v>543</v>
      </c>
      <c r="E681" s="14" t="s">
        <v>544</v>
      </c>
      <c r="G681" s="1" t="str">
        <f>_xlfn.XLOOKUP(B681,M_YT_LIVE!A:A,M_YT_LIVE!F:F,"ERROR",0,1)</f>
        <v>音源</v>
      </c>
      <c r="W681" s="13">
        <f t="shared" si="31"/>
        <v>14800.000000000002</v>
      </c>
      <c r="X681" s="12" t="str">
        <f>_xlfn.XLOOKUP($B681,M_YT_LIVE!$A:$A,M_YT_LIVE!$D:$D)</f>
        <v>https://www.youtube.com/live/nyXzxG79mwQ?si=kGuFyOuc0o-yNPOU</v>
      </c>
      <c r="Z681" s="16" t="str">
        <f>HYPERLINK($X681&amp;SUBSTITUTE(マスタ!$C$3,"XXXXX",$W681))</f>
        <v>https://www.youtube.com/live/nyXzxG79mwQ?si=kGuFyOuc0o-yNPOU&amp;t=14800s</v>
      </c>
      <c r="AA681" s="12" t="str">
        <f t="shared" si="33"/>
        <v>椎名林檎丸の内サディスティック</v>
      </c>
    </row>
    <row r="682" spans="1:27" x14ac:dyDescent="0.4">
      <c r="A682" s="14">
        <f t="shared" si="32"/>
        <v>681</v>
      </c>
      <c r="B682" s="14">
        <v>90</v>
      </c>
      <c r="C682" s="21" t="s">
        <v>1698</v>
      </c>
      <c r="D682" s="14" t="s">
        <v>666</v>
      </c>
      <c r="E682" s="14" t="s">
        <v>667</v>
      </c>
      <c r="G682" s="1" t="str">
        <f>_xlfn.XLOOKUP(B682,M_YT_LIVE!A:A,M_YT_LIVE!F:F,"ERROR",0,1)</f>
        <v>音源</v>
      </c>
      <c r="W682" s="13">
        <f t="shared" si="31"/>
        <v>15052.999999999998</v>
      </c>
      <c r="X682" s="12" t="str">
        <f>_xlfn.XLOOKUP($B682,M_YT_LIVE!$A:$A,M_YT_LIVE!$D:$D)</f>
        <v>https://www.youtube.com/live/nyXzxG79mwQ?si=kGuFyOuc0o-yNPOU</v>
      </c>
      <c r="Z682" s="16" t="str">
        <f>HYPERLINK($X682&amp;SUBSTITUTE(マスタ!$C$3,"XXXXX",$W682))</f>
        <v>https://www.youtube.com/live/nyXzxG79mwQ?si=kGuFyOuc0o-yNPOU&amp;t=15053s</v>
      </c>
      <c r="AA682" s="12" t="str">
        <f t="shared" si="33"/>
        <v>UNISON SQUARE GARDENシュガーソングとビターステップ</v>
      </c>
    </row>
    <row r="683" spans="1:27" x14ac:dyDescent="0.4">
      <c r="A683" s="14">
        <f t="shared" si="32"/>
        <v>682</v>
      </c>
      <c r="B683" s="14">
        <v>90</v>
      </c>
      <c r="C683" s="21" t="s">
        <v>1699</v>
      </c>
      <c r="D683" s="14" t="s">
        <v>1186</v>
      </c>
      <c r="E683" s="14" t="s">
        <v>742</v>
      </c>
      <c r="G683" s="1" t="str">
        <f>_xlfn.XLOOKUP(B683,M_YT_LIVE!A:A,M_YT_LIVE!F:F,"ERROR",0,1)</f>
        <v>音源</v>
      </c>
      <c r="W683" s="13">
        <f t="shared" si="31"/>
        <v>15433</v>
      </c>
      <c r="X683" s="12" t="str">
        <f>_xlfn.XLOOKUP($B683,M_YT_LIVE!$A:$A,M_YT_LIVE!$D:$D)</f>
        <v>https://www.youtube.com/live/nyXzxG79mwQ?si=kGuFyOuc0o-yNPOU</v>
      </c>
      <c r="Z683" s="16" t="str">
        <f>HYPERLINK($X683&amp;SUBSTITUTE(マスタ!$C$3,"XXXXX",$W683))</f>
        <v>https://www.youtube.com/live/nyXzxG79mwQ?si=kGuFyOuc0o-yNPOU&amp;t=15433s</v>
      </c>
      <c r="AA683" s="12" t="str">
        <f t="shared" si="33"/>
        <v>KANA-BOONシルエット</v>
      </c>
    </row>
    <row r="684" spans="1:27" x14ac:dyDescent="0.4">
      <c r="A684" s="14">
        <f t="shared" si="32"/>
        <v>683</v>
      </c>
      <c r="B684" s="14">
        <v>90</v>
      </c>
      <c r="C684" s="21" t="s">
        <v>1700</v>
      </c>
      <c r="D684" s="14" t="s">
        <v>506</v>
      </c>
      <c r="E684" s="14" t="s">
        <v>507</v>
      </c>
      <c r="G684" s="1" t="str">
        <f>_xlfn.XLOOKUP(B684,M_YT_LIVE!A:A,M_YT_LIVE!F:F,"ERROR",0,1)</f>
        <v>音源</v>
      </c>
      <c r="W684" s="13">
        <f t="shared" si="31"/>
        <v>15712.999999999998</v>
      </c>
      <c r="X684" s="12" t="str">
        <f>_xlfn.XLOOKUP($B684,M_YT_LIVE!$A:$A,M_YT_LIVE!$D:$D)</f>
        <v>https://www.youtube.com/live/nyXzxG79mwQ?si=kGuFyOuc0o-yNPOU</v>
      </c>
      <c r="Z684" s="16" t="str">
        <f>HYPERLINK($X684&amp;SUBSTITUTE(マスタ!$C$3,"XXXXX",$W684))</f>
        <v>https://www.youtube.com/live/nyXzxG79mwQ?si=kGuFyOuc0o-yNPOU&amp;t=15713s</v>
      </c>
      <c r="AA684" s="12" t="str">
        <f t="shared" si="33"/>
        <v>YOASOBI夜に駆ける</v>
      </c>
    </row>
    <row r="685" spans="1:27" x14ac:dyDescent="0.4">
      <c r="A685" s="14">
        <f t="shared" si="32"/>
        <v>684</v>
      </c>
      <c r="B685" s="14">
        <v>90</v>
      </c>
      <c r="C685" s="21" t="s">
        <v>1701</v>
      </c>
      <c r="D685" s="14" t="s">
        <v>1702</v>
      </c>
      <c r="E685" s="14" t="s">
        <v>1703</v>
      </c>
      <c r="G685" s="1" t="str">
        <f>_xlfn.XLOOKUP(B685,M_YT_LIVE!A:A,M_YT_LIVE!F:F,"ERROR",0,1)</f>
        <v>音源</v>
      </c>
      <c r="W685" s="13">
        <f t="shared" si="31"/>
        <v>16039</v>
      </c>
      <c r="X685" s="12" t="str">
        <f>_xlfn.XLOOKUP($B685,M_YT_LIVE!$A:$A,M_YT_LIVE!$D:$D)</f>
        <v>https://www.youtube.com/live/nyXzxG79mwQ?si=kGuFyOuc0o-yNPOU</v>
      </c>
      <c r="Z685" s="16" t="str">
        <f>HYPERLINK($X685&amp;SUBSTITUTE(マスタ!$C$3,"XXXXX",$W685))</f>
        <v>https://www.youtube.com/live/nyXzxG79mwQ?si=kGuFyOuc0o-yNPOU&amp;t=16039s</v>
      </c>
      <c r="AA685" s="12" t="str">
        <f t="shared" si="33"/>
        <v>AKINO創聖のアクエリオン</v>
      </c>
    </row>
    <row r="686" spans="1:27" x14ac:dyDescent="0.4">
      <c r="A686" s="14">
        <f t="shared" si="32"/>
        <v>685</v>
      </c>
      <c r="B686" s="14">
        <v>90</v>
      </c>
      <c r="C686" s="21" t="s">
        <v>1704</v>
      </c>
      <c r="D686" s="14" t="s">
        <v>1562</v>
      </c>
      <c r="E686" s="14" t="s">
        <v>716</v>
      </c>
      <c r="G686" s="1" t="str">
        <f>_xlfn.XLOOKUP(B686,M_YT_LIVE!A:A,M_YT_LIVE!F:F,"ERROR",0,1)</f>
        <v>音源</v>
      </c>
      <c r="W686" s="13">
        <f t="shared" si="31"/>
        <v>16754</v>
      </c>
      <c r="X686" s="12" t="str">
        <f>_xlfn.XLOOKUP($B686,M_YT_LIVE!$A:$A,M_YT_LIVE!$D:$D)</f>
        <v>https://www.youtube.com/live/nyXzxG79mwQ?si=kGuFyOuc0o-yNPOU</v>
      </c>
      <c r="Z686" s="16" t="str">
        <f>HYPERLINK($X686&amp;SUBSTITUTE(マスタ!$C$3,"XXXXX",$W686))</f>
        <v>https://www.youtube.com/live/nyXzxG79mwQ?si=kGuFyOuc0o-yNPOU&amp;t=16754s</v>
      </c>
      <c r="AA686" s="12" t="str">
        <f t="shared" si="33"/>
        <v>RADWIMPSスパークル</v>
      </c>
    </row>
    <row r="687" spans="1:27" x14ac:dyDescent="0.4">
      <c r="A687" s="14">
        <f t="shared" si="32"/>
        <v>686</v>
      </c>
      <c r="B687" s="14">
        <v>90</v>
      </c>
      <c r="C687" s="21" t="s">
        <v>1705</v>
      </c>
      <c r="D687" s="14" t="s">
        <v>1488</v>
      </c>
      <c r="E687" s="14" t="s">
        <v>924</v>
      </c>
      <c r="G687" s="1" t="str">
        <f>_xlfn.XLOOKUP(B687,M_YT_LIVE!A:A,M_YT_LIVE!F:F,"ERROR",0,1)</f>
        <v>音源</v>
      </c>
      <c r="W687" s="13">
        <f t="shared" si="31"/>
        <v>17322</v>
      </c>
      <c r="X687" s="12" t="str">
        <f>_xlfn.XLOOKUP($B687,M_YT_LIVE!$A:$A,M_YT_LIVE!$D:$D)</f>
        <v>https://www.youtube.com/live/nyXzxG79mwQ?si=kGuFyOuc0o-yNPOU</v>
      </c>
      <c r="Z687" s="16" t="str">
        <f>HYPERLINK($X687&amp;SUBSTITUTE(マスタ!$C$3,"XXXXX",$W687))</f>
        <v>https://www.youtube.com/live/nyXzxG79mwQ?si=kGuFyOuc0o-yNPOU&amp;t=17322s</v>
      </c>
      <c r="AA687" s="12" t="str">
        <f t="shared" si="33"/>
        <v>幽音しのFrom now on</v>
      </c>
    </row>
    <row r="688" spans="1:27" x14ac:dyDescent="0.4">
      <c r="A688" s="14">
        <f t="shared" si="32"/>
        <v>687</v>
      </c>
      <c r="B688" s="14">
        <v>92</v>
      </c>
      <c r="C688" s="21" t="s">
        <v>1710</v>
      </c>
      <c r="D688" s="14" t="s">
        <v>1192</v>
      </c>
      <c r="E688" s="14" t="s">
        <v>183</v>
      </c>
      <c r="G688" s="1" t="str">
        <f>_xlfn.XLOOKUP(B688,M_YT_LIVE!A:A,M_YT_LIVE!F:F,"ERROR",0,1)</f>
        <v>音源</v>
      </c>
      <c r="W688" s="13">
        <f t="shared" si="31"/>
        <v>347.00000000000006</v>
      </c>
      <c r="X688" s="12" t="str">
        <f>_xlfn.XLOOKUP($B688,M_YT_LIVE!$A:$A,M_YT_LIVE!$D:$D)</f>
        <v>https://www.youtube.com/live/Yti72SsHzxs?si=qlI2gfa0I0wWYoH4</v>
      </c>
      <c r="Z688" s="16" t="str">
        <f>HYPERLINK($X688&amp;SUBSTITUTE(マスタ!$C$3,"XXXXX",$W688))</f>
        <v>https://www.youtube.com/live/Yti72SsHzxs?si=qlI2gfa0I0wWYoH4&amp;t=347s</v>
      </c>
      <c r="AA688" s="12" t="str">
        <f t="shared" si="33"/>
        <v>クリープハイプ栞</v>
      </c>
    </row>
    <row r="689" spans="1:27" x14ac:dyDescent="0.4">
      <c r="A689" s="14">
        <f t="shared" si="32"/>
        <v>688</v>
      </c>
      <c r="B689" s="14">
        <v>92</v>
      </c>
      <c r="C689" s="21" t="s">
        <v>1711</v>
      </c>
      <c r="D689" s="14" t="s">
        <v>120</v>
      </c>
      <c r="E689" s="14" t="s">
        <v>118</v>
      </c>
      <c r="G689" s="1" t="str">
        <f>_xlfn.XLOOKUP(B689,M_YT_LIVE!A:A,M_YT_LIVE!F:F,"ERROR",0,1)</f>
        <v>音源</v>
      </c>
      <c r="W689" s="13">
        <f t="shared" si="31"/>
        <v>702</v>
      </c>
      <c r="X689" s="12" t="str">
        <f>_xlfn.XLOOKUP($B689,M_YT_LIVE!$A:$A,M_YT_LIVE!$D:$D)</f>
        <v>https://www.youtube.com/live/Yti72SsHzxs?si=qlI2gfa0I0wWYoH4</v>
      </c>
      <c r="Z689" s="16" t="str">
        <f>HYPERLINK($X689&amp;SUBSTITUTE(マスタ!$C$3,"XXXXX",$W689))</f>
        <v>https://www.youtube.com/live/Yti72SsHzxs?si=qlI2gfa0I0wWYoH4&amp;t=702s</v>
      </c>
      <c r="AA689" s="12" t="str">
        <f t="shared" si="33"/>
        <v>Orangestar feat.初音ミクアスノヨゾラ哨戒班</v>
      </c>
    </row>
    <row r="690" spans="1:27" x14ac:dyDescent="0.4">
      <c r="A690" s="14">
        <f t="shared" si="32"/>
        <v>689</v>
      </c>
      <c r="B690" s="14">
        <v>92</v>
      </c>
      <c r="C690" s="21" t="s">
        <v>1712</v>
      </c>
      <c r="D690" s="14" t="s">
        <v>37</v>
      </c>
      <c r="E690" s="14" t="s">
        <v>195</v>
      </c>
      <c r="G690" s="1" t="str">
        <f>_xlfn.XLOOKUP(B690,M_YT_LIVE!A:A,M_YT_LIVE!F:F,"ERROR",0,1)</f>
        <v>音源</v>
      </c>
      <c r="W690" s="13">
        <f t="shared" si="31"/>
        <v>951.99999999999989</v>
      </c>
      <c r="X690" s="12" t="str">
        <f>_xlfn.XLOOKUP($B690,M_YT_LIVE!$A:$A,M_YT_LIVE!$D:$D)</f>
        <v>https://www.youtube.com/live/Yti72SsHzxs?si=qlI2gfa0I0wWYoH4</v>
      </c>
      <c r="Z690" s="16" t="str">
        <f>HYPERLINK($X690&amp;SUBSTITUTE(マスタ!$C$3,"XXXXX",$W690))</f>
        <v>https://www.youtube.com/live/Yti72SsHzxs?si=qlI2gfa0I0wWYoH4&amp;t=952s</v>
      </c>
      <c r="AA690" s="12" t="str">
        <f t="shared" si="33"/>
        <v>やなぎなぎ春擬き</v>
      </c>
    </row>
    <row r="691" spans="1:27" x14ac:dyDescent="0.4">
      <c r="A691" s="14">
        <f t="shared" si="32"/>
        <v>690</v>
      </c>
      <c r="B691" s="14">
        <v>92</v>
      </c>
      <c r="C691" s="21" t="s">
        <v>1713</v>
      </c>
      <c r="D691" s="14" t="s">
        <v>1714</v>
      </c>
      <c r="E691" s="14" t="s">
        <v>1715</v>
      </c>
      <c r="G691" s="1" t="str">
        <f>_xlfn.XLOOKUP(B691,M_YT_LIVE!A:A,M_YT_LIVE!F:F,"ERROR",0,1)</f>
        <v>音源</v>
      </c>
      <c r="W691" s="13">
        <f t="shared" si="31"/>
        <v>1340</v>
      </c>
      <c r="X691" s="12" t="str">
        <f>_xlfn.XLOOKUP($B691,M_YT_LIVE!$A:$A,M_YT_LIVE!$D:$D)</f>
        <v>https://www.youtube.com/live/Yti72SsHzxs?si=qlI2gfa0I0wWYoH4</v>
      </c>
      <c r="Z691" s="16" t="str">
        <f>HYPERLINK($X691&amp;SUBSTITUTE(マスタ!$C$3,"XXXXX",$W691))</f>
        <v>https://www.youtube.com/live/Yti72SsHzxs?si=qlI2gfa0I0wWYoH4&amp;t=1340s</v>
      </c>
      <c r="AA691" s="12" t="str">
        <f t="shared" si="33"/>
        <v>fripSideonly my railgun</v>
      </c>
    </row>
    <row r="692" spans="1:27" x14ac:dyDescent="0.4">
      <c r="A692" s="14">
        <f t="shared" si="32"/>
        <v>691</v>
      </c>
      <c r="B692" s="14">
        <v>92</v>
      </c>
      <c r="C692" s="21" t="s">
        <v>1716</v>
      </c>
      <c r="D692" s="14" t="s">
        <v>406</v>
      </c>
      <c r="E692" s="14" t="s">
        <v>407</v>
      </c>
      <c r="G692" s="1" t="str">
        <f>_xlfn.XLOOKUP(B692,M_YT_LIVE!A:A,M_YT_LIVE!F:F,"ERROR",0,1)</f>
        <v>音源</v>
      </c>
      <c r="W692" s="13">
        <f t="shared" si="31"/>
        <v>1728</v>
      </c>
      <c r="X692" s="12" t="str">
        <f>_xlfn.XLOOKUP($B692,M_YT_LIVE!$A:$A,M_YT_LIVE!$D:$D)</f>
        <v>https://www.youtube.com/live/Yti72SsHzxs?si=qlI2gfa0I0wWYoH4</v>
      </c>
      <c r="Z692" s="16" t="str">
        <f>HYPERLINK($X692&amp;SUBSTITUTE(マスタ!$C$3,"XXXXX",$W692))</f>
        <v>https://www.youtube.com/live/Yti72SsHzxs?si=qlI2gfa0I0wWYoH4&amp;t=1728s</v>
      </c>
      <c r="AA692" s="12" t="str">
        <f t="shared" si="33"/>
        <v>あきよしふみえTogether</v>
      </c>
    </row>
    <row r="693" spans="1:27" x14ac:dyDescent="0.4">
      <c r="A693" s="14">
        <f t="shared" si="32"/>
        <v>692</v>
      </c>
      <c r="B693" s="14">
        <v>92</v>
      </c>
      <c r="C693" s="21" t="s">
        <v>1717</v>
      </c>
      <c r="D693" s="14" t="s">
        <v>1759</v>
      </c>
      <c r="E693" s="14" t="s">
        <v>1718</v>
      </c>
      <c r="G693" s="1" t="str">
        <f>_xlfn.XLOOKUP(B693,M_YT_LIVE!A:A,M_YT_LIVE!F:F,"ERROR",0,1)</f>
        <v>音源</v>
      </c>
      <c r="W693" s="13">
        <f t="shared" si="31"/>
        <v>2032</v>
      </c>
      <c r="X693" s="12" t="str">
        <f>_xlfn.XLOOKUP($B693,M_YT_LIVE!$A:$A,M_YT_LIVE!$D:$D)</f>
        <v>https://www.youtube.com/live/Yti72SsHzxs?si=qlI2gfa0I0wWYoH4</v>
      </c>
      <c r="Z693" s="16" t="str">
        <f>HYPERLINK($X693&amp;SUBSTITUTE(マスタ!$C$3,"XXXXX",$W693))</f>
        <v>https://www.youtube.com/live/Yti72SsHzxs?si=qlI2gfa0I0wWYoH4&amp;t=2032s</v>
      </c>
      <c r="AA693" s="12" t="str">
        <f t="shared" si="33"/>
        <v>chizono feat.FlowerRグッバイ宣言(1chorus)</v>
      </c>
    </row>
    <row r="694" spans="1:27" x14ac:dyDescent="0.4">
      <c r="A694" s="14">
        <f t="shared" si="32"/>
        <v>693</v>
      </c>
      <c r="B694" s="14">
        <v>92</v>
      </c>
      <c r="C694" s="21" t="s">
        <v>699</v>
      </c>
      <c r="D694" s="14" t="s">
        <v>1760</v>
      </c>
      <c r="E694" s="14" t="s">
        <v>1718</v>
      </c>
      <c r="G694" s="1" t="str">
        <f>_xlfn.XLOOKUP(B694,M_YT_LIVE!A:A,M_YT_LIVE!F:F,"ERROR",0,1)</f>
        <v>音源</v>
      </c>
      <c r="W694" s="13">
        <f t="shared" si="31"/>
        <v>2111</v>
      </c>
      <c r="X694" s="12" t="str">
        <f>_xlfn.XLOOKUP($B694,M_YT_LIVE!$A:$A,M_YT_LIVE!$D:$D)</f>
        <v>https://www.youtube.com/live/Yti72SsHzxs?si=qlI2gfa0I0wWYoH4</v>
      </c>
      <c r="Z694" s="16" t="str">
        <f>HYPERLINK($X694&amp;SUBSTITUTE(マスタ!$C$3,"XXXXX",$W694))</f>
        <v>https://www.youtube.com/live/Yti72SsHzxs?si=qlI2gfa0I0wWYoH4&amp;t=2111s</v>
      </c>
      <c r="AA694" s="12" t="str">
        <f t="shared" si="33"/>
        <v>chizono feat.FlowerRグッバイ宣言</v>
      </c>
    </row>
    <row r="695" spans="1:27" x14ac:dyDescent="0.4">
      <c r="A695" s="14">
        <f t="shared" si="32"/>
        <v>694</v>
      </c>
      <c r="B695" s="14">
        <v>92</v>
      </c>
      <c r="C695" s="21" t="s">
        <v>1719</v>
      </c>
      <c r="D695" s="14" t="s">
        <v>1720</v>
      </c>
      <c r="E695" s="14" t="s">
        <v>273</v>
      </c>
      <c r="G695" s="1" t="str">
        <f>_xlfn.XLOOKUP(B695,M_YT_LIVE!A:A,M_YT_LIVE!F:F,"ERROR",0,1)</f>
        <v>音源</v>
      </c>
      <c r="W695" s="13">
        <f t="shared" si="31"/>
        <v>2350</v>
      </c>
      <c r="X695" s="12" t="str">
        <f>_xlfn.XLOOKUP($B695,M_YT_LIVE!$A:$A,M_YT_LIVE!$D:$D)</f>
        <v>https://www.youtube.com/live/Yti72SsHzxs?si=qlI2gfa0I0wWYoH4</v>
      </c>
      <c r="Z695" s="16" t="str">
        <f>HYPERLINK($X695&amp;SUBSTITUTE(マスタ!$C$3,"XXXXX",$W695))</f>
        <v>https://www.youtube.com/live/Yti72SsHzxs?si=qlI2gfa0I0wWYoH4&amp;t=2350s</v>
      </c>
      <c r="AA695" s="12" t="str">
        <f t="shared" si="33"/>
        <v>Adoうっせぇわ</v>
      </c>
    </row>
    <row r="696" spans="1:27" x14ac:dyDescent="0.4">
      <c r="A696" s="14">
        <f t="shared" si="32"/>
        <v>695</v>
      </c>
      <c r="B696" s="14">
        <v>92</v>
      </c>
      <c r="C696" s="21" t="s">
        <v>1721</v>
      </c>
      <c r="D696" s="14" t="s">
        <v>392</v>
      </c>
      <c r="E696" s="14" t="s">
        <v>393</v>
      </c>
      <c r="G696" s="1" t="str">
        <f>_xlfn.XLOOKUP(B696,M_YT_LIVE!A:A,M_YT_LIVE!F:F,"ERROR",0,1)</f>
        <v>音源</v>
      </c>
      <c r="W696" s="13">
        <f t="shared" si="31"/>
        <v>2655</v>
      </c>
      <c r="X696" s="12" t="str">
        <f>_xlfn.XLOOKUP($B696,M_YT_LIVE!$A:$A,M_YT_LIVE!$D:$D)</f>
        <v>https://www.youtube.com/live/Yti72SsHzxs?si=qlI2gfa0I0wWYoH4</v>
      </c>
      <c r="Z696" s="16" t="str">
        <f>HYPERLINK($X696&amp;SUBSTITUTE(マスタ!$C$3,"XXXXX",$W696))</f>
        <v>https://www.youtube.com/live/Yti72SsHzxs?si=qlI2gfa0I0wWYoH4&amp;t=2655s</v>
      </c>
      <c r="AA696" s="12" t="str">
        <f t="shared" si="33"/>
        <v>ONE OK ROCK完全感覚Dreamer</v>
      </c>
    </row>
    <row r="697" spans="1:27" x14ac:dyDescent="0.4">
      <c r="A697" s="14">
        <f t="shared" si="32"/>
        <v>696</v>
      </c>
      <c r="B697" s="14">
        <v>92</v>
      </c>
      <c r="C697" s="21" t="s">
        <v>1722</v>
      </c>
      <c r="D697" s="14" t="s">
        <v>326</v>
      </c>
      <c r="E697" s="14" t="s">
        <v>327</v>
      </c>
      <c r="G697" s="1" t="str">
        <f>_xlfn.XLOOKUP(B697,M_YT_LIVE!A:A,M_YT_LIVE!F:F,"ERROR",0,1)</f>
        <v>音源</v>
      </c>
      <c r="W697" s="13">
        <f t="shared" si="31"/>
        <v>2962</v>
      </c>
      <c r="X697" s="12" t="str">
        <f>_xlfn.XLOOKUP($B697,M_YT_LIVE!$A:$A,M_YT_LIVE!$D:$D)</f>
        <v>https://www.youtube.com/live/Yti72SsHzxs?si=qlI2gfa0I0wWYoH4</v>
      </c>
      <c r="Z697" s="16" t="str">
        <f>HYPERLINK($X697&amp;SUBSTITUTE(マスタ!$C$3,"XXXXX",$W697))</f>
        <v>https://www.youtube.com/live/Yti72SsHzxs?si=qlI2gfa0I0wWYoH4&amp;t=2962s</v>
      </c>
      <c r="AA697" s="12" t="str">
        <f t="shared" si="33"/>
        <v>レミオロメン粉雪</v>
      </c>
    </row>
    <row r="698" spans="1:27" x14ac:dyDescent="0.4">
      <c r="A698" s="14">
        <f t="shared" si="32"/>
        <v>697</v>
      </c>
      <c r="B698" s="14">
        <v>92</v>
      </c>
      <c r="C698" s="21" t="s">
        <v>1603</v>
      </c>
      <c r="D698" s="14" t="s">
        <v>1723</v>
      </c>
      <c r="E698" s="14" t="s">
        <v>330</v>
      </c>
      <c r="G698" s="1" t="str">
        <f>_xlfn.XLOOKUP(B698,M_YT_LIVE!A:A,M_YT_LIVE!F:F,"ERROR",0,1)</f>
        <v>音源</v>
      </c>
      <c r="W698" s="13">
        <f t="shared" si="31"/>
        <v>3347</v>
      </c>
      <c r="X698" s="12" t="str">
        <f>_xlfn.XLOOKUP($B698,M_YT_LIVE!$A:$A,M_YT_LIVE!$D:$D)</f>
        <v>https://www.youtube.com/live/Yti72SsHzxs?si=qlI2gfa0I0wWYoH4</v>
      </c>
      <c r="Z698" s="16" t="str">
        <f>HYPERLINK($X698&amp;SUBSTITUTE(マスタ!$C$3,"XXXXX",$W698))</f>
        <v>https://www.youtube.com/live/Yti72SsHzxs?si=qlI2gfa0I0wWYoH4&amp;t=3347s</v>
      </c>
      <c r="AA698" s="12" t="str">
        <f t="shared" si="33"/>
        <v>和田光司Butter-Fly</v>
      </c>
    </row>
    <row r="699" spans="1:27" x14ac:dyDescent="0.4">
      <c r="A699" s="14">
        <f t="shared" si="32"/>
        <v>698</v>
      </c>
      <c r="B699" s="14">
        <v>92</v>
      </c>
      <c r="C699" s="21" t="s">
        <v>1724</v>
      </c>
      <c r="D699" s="14" t="s">
        <v>1725</v>
      </c>
      <c r="E699" s="14" t="s">
        <v>1726</v>
      </c>
      <c r="G699" s="1" t="str">
        <f>_xlfn.XLOOKUP(B699,M_YT_LIVE!A:A,M_YT_LIVE!F:F,"ERROR",0,1)</f>
        <v>音源</v>
      </c>
      <c r="W699" s="13">
        <f t="shared" si="31"/>
        <v>3686.0000000000005</v>
      </c>
      <c r="X699" s="12" t="str">
        <f>_xlfn.XLOOKUP($B699,M_YT_LIVE!$A:$A,M_YT_LIVE!$D:$D)</f>
        <v>https://www.youtube.com/live/Yti72SsHzxs?si=qlI2gfa0I0wWYoH4</v>
      </c>
      <c r="Z699" s="16" t="str">
        <f>HYPERLINK($X699&amp;SUBSTITUTE(マスタ!$C$3,"XXXXX",$W699))</f>
        <v>https://www.youtube.com/live/Yti72SsHzxs?si=qlI2gfa0I0wWYoH4&amp;t=3686s</v>
      </c>
      <c r="AA699" s="12" t="str">
        <f t="shared" si="33"/>
        <v>嵐サクラ咲ケ</v>
      </c>
    </row>
    <row r="700" spans="1:27" x14ac:dyDescent="0.4">
      <c r="A700" s="14">
        <f t="shared" si="32"/>
        <v>699</v>
      </c>
      <c r="B700" s="14">
        <v>92</v>
      </c>
      <c r="C700" s="21" t="s">
        <v>1727</v>
      </c>
      <c r="D700" s="14" t="s">
        <v>1728</v>
      </c>
      <c r="E700" s="14" t="s">
        <v>1726</v>
      </c>
      <c r="G700" s="1" t="str">
        <f>_xlfn.XLOOKUP(B700,M_YT_LIVE!A:A,M_YT_LIVE!F:F,"ERROR",0,1)</f>
        <v>音源</v>
      </c>
      <c r="W700" s="13">
        <f t="shared" si="31"/>
        <v>3995</v>
      </c>
      <c r="X700" s="12" t="str">
        <f>_xlfn.XLOOKUP($B700,M_YT_LIVE!$A:$A,M_YT_LIVE!$D:$D)</f>
        <v>https://www.youtube.com/live/Yti72SsHzxs?si=qlI2gfa0I0wWYoH4</v>
      </c>
      <c r="Z700" s="16" t="str">
        <f>HYPERLINK($X700&amp;SUBSTITUTE(マスタ!$C$3,"XXXXX",$W700))</f>
        <v>https://www.youtube.com/live/Yti72SsHzxs?si=qlI2gfa0I0wWYoH4&amp;t=3995s</v>
      </c>
      <c r="AA700" s="12" t="str">
        <f t="shared" si="33"/>
        <v>嵐Monster</v>
      </c>
    </row>
    <row r="701" spans="1:27" x14ac:dyDescent="0.4">
      <c r="A701" s="14">
        <f t="shared" si="32"/>
        <v>700</v>
      </c>
      <c r="B701" s="14">
        <v>92</v>
      </c>
      <c r="C701" s="21" t="s">
        <v>1729</v>
      </c>
      <c r="D701" s="14" t="s">
        <v>1730</v>
      </c>
      <c r="E701" s="14" t="s">
        <v>1726</v>
      </c>
      <c r="G701" s="1" t="str">
        <f>_xlfn.XLOOKUP(B701,M_YT_LIVE!A:A,M_YT_LIVE!F:F,"ERROR",0,1)</f>
        <v>音源</v>
      </c>
      <c r="W701" s="13">
        <f t="shared" si="31"/>
        <v>4366</v>
      </c>
      <c r="X701" s="12" t="str">
        <f>_xlfn.XLOOKUP($B701,M_YT_LIVE!$A:$A,M_YT_LIVE!$D:$D)</f>
        <v>https://www.youtube.com/live/Yti72SsHzxs?si=qlI2gfa0I0wWYoH4</v>
      </c>
      <c r="Z701" s="16" t="str">
        <f>HYPERLINK($X701&amp;SUBSTITUTE(マスタ!$C$3,"XXXXX",$W701))</f>
        <v>https://www.youtube.com/live/Yti72SsHzxs?si=qlI2gfa0I0wWYoH4&amp;t=4366s</v>
      </c>
      <c r="AA701" s="12" t="str">
        <f t="shared" ref="AA701:AA764" si="34">TRIM(E701)&amp;TRIM(D701)</f>
        <v>嵐truth</v>
      </c>
    </row>
    <row r="702" spans="1:27" x14ac:dyDescent="0.4">
      <c r="A702" s="14">
        <f t="shared" si="32"/>
        <v>701</v>
      </c>
      <c r="B702" s="14">
        <v>92</v>
      </c>
      <c r="C702" s="21" t="s">
        <v>1731</v>
      </c>
      <c r="D702" s="14" t="s">
        <v>1732</v>
      </c>
      <c r="E702" s="14" t="s">
        <v>1726</v>
      </c>
      <c r="G702" s="1" t="str">
        <f>_xlfn.XLOOKUP(B702,M_YT_LIVE!A:A,M_YT_LIVE!F:F,"ERROR",0,1)</f>
        <v>音源</v>
      </c>
      <c r="W702" s="13">
        <f t="shared" si="31"/>
        <v>4966</v>
      </c>
      <c r="X702" s="12" t="str">
        <f>_xlfn.XLOOKUP($B702,M_YT_LIVE!$A:$A,M_YT_LIVE!$D:$D)</f>
        <v>https://www.youtube.com/live/Yti72SsHzxs?si=qlI2gfa0I0wWYoH4</v>
      </c>
      <c r="Z702" s="16" t="str">
        <f>HYPERLINK($X702&amp;SUBSTITUTE(マスタ!$C$3,"XXXXX",$W702))</f>
        <v>https://www.youtube.com/live/Yti72SsHzxs?si=qlI2gfa0I0wWYoH4&amp;t=4966s</v>
      </c>
      <c r="AA702" s="12" t="str">
        <f t="shared" si="34"/>
        <v>嵐Love so sweet</v>
      </c>
    </row>
    <row r="703" spans="1:27" x14ac:dyDescent="0.4">
      <c r="A703" s="14">
        <f t="shared" si="32"/>
        <v>702</v>
      </c>
      <c r="B703" s="14">
        <v>92</v>
      </c>
      <c r="C703" s="21" t="s">
        <v>1733</v>
      </c>
      <c r="D703" s="14" t="s">
        <v>1734</v>
      </c>
      <c r="E703" s="14" t="s">
        <v>1735</v>
      </c>
      <c r="G703" s="1" t="str">
        <f>_xlfn.XLOOKUP(B703,M_YT_LIVE!A:A,M_YT_LIVE!F:F,"ERROR",0,1)</f>
        <v>音源</v>
      </c>
      <c r="W703" s="13">
        <f t="shared" si="31"/>
        <v>5386</v>
      </c>
      <c r="X703" s="12" t="str">
        <f>_xlfn.XLOOKUP($B703,M_YT_LIVE!$A:$A,M_YT_LIVE!$D:$D)</f>
        <v>https://www.youtube.com/live/Yti72SsHzxs?si=qlI2gfa0I0wWYoH4</v>
      </c>
      <c r="Z703" s="16" t="str">
        <f>HYPERLINK($X703&amp;SUBSTITUTE(マスタ!$C$3,"XXXXX",$W703))</f>
        <v>https://www.youtube.com/live/Yti72SsHzxs?si=qlI2gfa0I0wWYoH4&amp;t=5386s</v>
      </c>
      <c r="AA703" s="12" t="str">
        <f t="shared" si="34"/>
        <v>Flumpool君に届け</v>
      </c>
    </row>
    <row r="704" spans="1:27" x14ac:dyDescent="0.4">
      <c r="A704" s="14">
        <f t="shared" si="32"/>
        <v>703</v>
      </c>
      <c r="B704" s="14">
        <v>92</v>
      </c>
      <c r="C704" s="21" t="s">
        <v>1736</v>
      </c>
      <c r="D704" s="14" t="s">
        <v>1737</v>
      </c>
      <c r="E704" s="14" t="s">
        <v>1738</v>
      </c>
      <c r="G704" s="1" t="str">
        <f>_xlfn.XLOOKUP(B704,M_YT_LIVE!A:A,M_YT_LIVE!F:F,"ERROR",0,1)</f>
        <v>音源</v>
      </c>
      <c r="W704" s="13">
        <f t="shared" si="31"/>
        <v>5879</v>
      </c>
      <c r="X704" s="12" t="str">
        <f>_xlfn.XLOOKUP($B704,M_YT_LIVE!$A:$A,M_YT_LIVE!$D:$D)</f>
        <v>https://www.youtube.com/live/Yti72SsHzxs?si=qlI2gfa0I0wWYoH4</v>
      </c>
      <c r="Z704" s="16" t="str">
        <f>HYPERLINK($X704&amp;SUBSTITUTE(マスタ!$C$3,"XXXXX",$W704))</f>
        <v>https://www.youtube.com/live/Yti72SsHzxs?si=qlI2gfa0I0wWYoH4&amp;t=5879s</v>
      </c>
      <c r="AA704" s="12" t="str">
        <f t="shared" si="34"/>
        <v>HY366日</v>
      </c>
    </row>
    <row r="705" spans="1:27" x14ac:dyDescent="0.4">
      <c r="A705" s="14">
        <f t="shared" si="32"/>
        <v>704</v>
      </c>
      <c r="B705" s="14">
        <v>92</v>
      </c>
      <c r="C705" s="21" t="s">
        <v>1739</v>
      </c>
      <c r="D705" s="14" t="s">
        <v>1740</v>
      </c>
      <c r="E705" s="14" t="s">
        <v>1741</v>
      </c>
      <c r="G705" s="1" t="str">
        <f>_xlfn.XLOOKUP(B705,M_YT_LIVE!A:A,M_YT_LIVE!F:F,"ERROR",0,1)</f>
        <v>音源</v>
      </c>
      <c r="W705" s="13">
        <f t="shared" si="31"/>
        <v>6324.0000000000009</v>
      </c>
      <c r="X705" s="12" t="str">
        <f>_xlfn.XLOOKUP($B705,M_YT_LIVE!$A:$A,M_YT_LIVE!$D:$D)</f>
        <v>https://www.youtube.com/live/Yti72SsHzxs?si=qlI2gfa0I0wWYoH4</v>
      </c>
      <c r="Z705" s="16" t="str">
        <f>HYPERLINK($X705&amp;SUBSTITUTE(マスタ!$C$3,"XXXXX",$W705))</f>
        <v>https://www.youtube.com/live/Yti72SsHzxs?si=qlI2gfa0I0wWYoH4&amp;t=6324s</v>
      </c>
      <c r="AA705" s="12" t="str">
        <f t="shared" si="34"/>
        <v>絢香三日月</v>
      </c>
    </row>
    <row r="706" spans="1:27" x14ac:dyDescent="0.4">
      <c r="A706" s="14">
        <f t="shared" si="32"/>
        <v>705</v>
      </c>
      <c r="B706" s="14">
        <v>92</v>
      </c>
      <c r="C706" s="21" t="s">
        <v>1742</v>
      </c>
      <c r="D706" s="14" t="s">
        <v>1743</v>
      </c>
      <c r="E706" s="14" t="s">
        <v>1741</v>
      </c>
      <c r="G706" s="1" t="str">
        <f>_xlfn.XLOOKUP(B706,M_YT_LIVE!A:A,M_YT_LIVE!F:F,"ERROR",0,1)</f>
        <v>音源</v>
      </c>
      <c r="W706" s="13">
        <f t="shared" si="31"/>
        <v>6670</v>
      </c>
      <c r="X706" s="12" t="str">
        <f>_xlfn.XLOOKUP($B706,M_YT_LIVE!$A:$A,M_YT_LIVE!$D:$D)</f>
        <v>https://www.youtube.com/live/Yti72SsHzxs?si=qlI2gfa0I0wWYoH4</v>
      </c>
      <c r="Z706" s="16" t="str">
        <f>HYPERLINK($X706&amp;SUBSTITUTE(マスタ!$C$3,"XXXXX",$W706))</f>
        <v>https://www.youtube.com/live/Yti72SsHzxs?si=qlI2gfa0I0wWYoH4&amp;t=6670s</v>
      </c>
      <c r="AA706" s="12" t="str">
        <f t="shared" si="34"/>
        <v>絢香はじまりのとき</v>
      </c>
    </row>
    <row r="707" spans="1:27" x14ac:dyDescent="0.4">
      <c r="A707" s="14">
        <f t="shared" si="32"/>
        <v>706</v>
      </c>
      <c r="B707" s="14">
        <v>92</v>
      </c>
      <c r="C707" s="21" t="s">
        <v>1744</v>
      </c>
      <c r="D707" s="14" t="s">
        <v>1745</v>
      </c>
      <c r="E707" s="14" t="s">
        <v>1746</v>
      </c>
      <c r="G707" s="1" t="str">
        <f>_xlfn.XLOOKUP(B707,M_YT_LIVE!A:A,M_YT_LIVE!F:F,"ERROR",0,1)</f>
        <v>音源</v>
      </c>
      <c r="W707" s="13">
        <f t="shared" si="31"/>
        <v>7067</v>
      </c>
      <c r="X707" s="12" t="str">
        <f>_xlfn.XLOOKUP($B707,M_YT_LIVE!$A:$A,M_YT_LIVE!$D:$D)</f>
        <v>https://www.youtube.com/live/Yti72SsHzxs?si=qlI2gfa0I0wWYoH4</v>
      </c>
      <c r="Z707" s="16" t="str">
        <f>HYPERLINK($X707&amp;SUBSTITUTE(マスタ!$C$3,"XXXXX",$W707))</f>
        <v>https://www.youtube.com/live/Yti72SsHzxs?si=qlI2gfa0I0wWYoH4&amp;t=7067s</v>
      </c>
      <c r="AA707" s="12" t="str">
        <f t="shared" si="34"/>
        <v>Mr.ChildrenHANABI</v>
      </c>
    </row>
    <row r="708" spans="1:27" x14ac:dyDescent="0.4">
      <c r="A708" s="14">
        <f t="shared" si="32"/>
        <v>707</v>
      </c>
      <c r="B708" s="14">
        <v>92</v>
      </c>
      <c r="C708" s="21" t="s">
        <v>1747</v>
      </c>
      <c r="D708" s="14" t="s">
        <v>1748</v>
      </c>
      <c r="E708" s="14" t="s">
        <v>1746</v>
      </c>
      <c r="G708" s="1" t="str">
        <f>_xlfn.XLOOKUP(B708,M_YT_LIVE!A:A,M_YT_LIVE!F:F,"ERROR",0,1)</f>
        <v>音源</v>
      </c>
      <c r="W708" s="13">
        <f t="shared" ref="W708:W771" si="35">TIMEVALUE($C708)*86400</f>
        <v>7637</v>
      </c>
      <c r="X708" s="12" t="str">
        <f>_xlfn.XLOOKUP($B708,M_YT_LIVE!$A:$A,M_YT_LIVE!$D:$D)</f>
        <v>https://www.youtube.com/live/Yti72SsHzxs?si=qlI2gfa0I0wWYoH4</v>
      </c>
      <c r="Z708" s="16" t="str">
        <f>HYPERLINK($X708&amp;SUBSTITUTE(マスタ!$C$3,"XXXXX",$W708))</f>
        <v>https://www.youtube.com/live/Yti72SsHzxs?si=qlI2gfa0I0wWYoH4&amp;t=7637s</v>
      </c>
      <c r="AA708" s="12" t="str">
        <f t="shared" si="34"/>
        <v>Mr.ChildrenTomorrow never knows</v>
      </c>
    </row>
    <row r="709" spans="1:27" x14ac:dyDescent="0.4">
      <c r="A709" s="14">
        <f t="shared" ref="A709:A772" si="36">ROW()-1</f>
        <v>708</v>
      </c>
      <c r="B709" s="14">
        <v>92</v>
      </c>
      <c r="C709" s="21" t="s">
        <v>1749</v>
      </c>
      <c r="D709" s="14" t="s">
        <v>875</v>
      </c>
      <c r="E709" s="14" t="s">
        <v>876</v>
      </c>
      <c r="G709" s="1" t="str">
        <f>_xlfn.XLOOKUP(B709,M_YT_LIVE!A:A,M_YT_LIVE!F:F,"ERROR",0,1)</f>
        <v>音源</v>
      </c>
      <c r="W709" s="13">
        <f t="shared" si="35"/>
        <v>8223</v>
      </c>
      <c r="X709" s="12" t="str">
        <f>_xlfn.XLOOKUP($B709,M_YT_LIVE!$A:$A,M_YT_LIVE!$D:$D)</f>
        <v>https://www.youtube.com/live/Yti72SsHzxs?si=qlI2gfa0I0wWYoH4</v>
      </c>
      <c r="Z709" s="16" t="str">
        <f>HYPERLINK($X709&amp;SUBSTITUTE(マスタ!$C$3,"XXXXX",$W709))</f>
        <v>https://www.youtube.com/live/Yti72SsHzxs?si=qlI2gfa0I0wWYoH4&amp;t=8223s</v>
      </c>
      <c r="AA709" s="12" t="str">
        <f t="shared" si="34"/>
        <v>平井堅POP STAR</v>
      </c>
    </row>
    <row r="710" spans="1:27" x14ac:dyDescent="0.4">
      <c r="A710" s="14">
        <f t="shared" si="36"/>
        <v>709</v>
      </c>
      <c r="B710" s="14">
        <v>92</v>
      </c>
      <c r="C710" s="21" t="s">
        <v>1750</v>
      </c>
      <c r="D710" s="14" t="s">
        <v>440</v>
      </c>
      <c r="E710" s="14" t="s">
        <v>441</v>
      </c>
      <c r="G710" s="1" t="str">
        <f>_xlfn.XLOOKUP(B710,M_YT_LIVE!A:A,M_YT_LIVE!F:F,"ERROR",0,1)</f>
        <v>音源</v>
      </c>
      <c r="W710" s="13">
        <f t="shared" si="35"/>
        <v>8664</v>
      </c>
      <c r="X710" s="12" t="str">
        <f>_xlfn.XLOOKUP($B710,M_YT_LIVE!$A:$A,M_YT_LIVE!$D:$D)</f>
        <v>https://www.youtube.com/live/Yti72SsHzxs?si=qlI2gfa0I0wWYoH4</v>
      </c>
      <c r="Z710" s="16" t="str">
        <f>HYPERLINK($X710&amp;SUBSTITUTE(マスタ!$C$3,"XXXXX",$W710))</f>
        <v>https://www.youtube.com/live/Yti72SsHzxs?si=qlI2gfa0I0wWYoH4&amp;t=8664s</v>
      </c>
      <c r="AA710" s="12" t="str">
        <f t="shared" si="34"/>
        <v>梅とら feat. 巡音ルカ&amp;初音ミク&amp;GUMI&amp;IA&amp;鏡音リン虎視眈々</v>
      </c>
    </row>
    <row r="711" spans="1:27" x14ac:dyDescent="0.4">
      <c r="A711" s="14">
        <f t="shared" si="36"/>
        <v>710</v>
      </c>
      <c r="B711" s="14">
        <v>92</v>
      </c>
      <c r="C711" s="21" t="s">
        <v>1670</v>
      </c>
      <c r="D711" s="14" t="s">
        <v>443</v>
      </c>
      <c r="E711" s="14" t="s">
        <v>441</v>
      </c>
      <c r="G711" s="1" t="str">
        <f>_xlfn.XLOOKUP(B711,M_YT_LIVE!A:A,M_YT_LIVE!F:F,"ERROR",0,1)</f>
        <v>音源</v>
      </c>
      <c r="W711" s="13">
        <f t="shared" si="35"/>
        <v>9000</v>
      </c>
      <c r="X711" s="12" t="str">
        <f>_xlfn.XLOOKUP($B711,M_YT_LIVE!$A:$A,M_YT_LIVE!$D:$D)</f>
        <v>https://www.youtube.com/live/Yti72SsHzxs?si=qlI2gfa0I0wWYoH4</v>
      </c>
      <c r="Z711" s="16" t="str">
        <f>HYPERLINK($X711&amp;SUBSTITUTE(マスタ!$C$3,"XXXXX",$W711))</f>
        <v>https://www.youtube.com/live/Yti72SsHzxs?si=qlI2gfa0I0wWYoH4&amp;t=9000s</v>
      </c>
      <c r="AA711" s="12" t="str">
        <f t="shared" si="34"/>
        <v>梅とら feat. 巡音ルカ&amp;初音ミク&amp;GUMI&amp;IA&amp;鏡音リン威風堂々</v>
      </c>
    </row>
    <row r="712" spans="1:27" x14ac:dyDescent="0.4">
      <c r="A712" s="14">
        <f t="shared" si="36"/>
        <v>711</v>
      </c>
      <c r="B712" s="14">
        <v>92</v>
      </c>
      <c r="C712" s="21" t="s">
        <v>1751</v>
      </c>
      <c r="D712" s="14" t="s">
        <v>1752</v>
      </c>
      <c r="E712" s="14" t="s">
        <v>1753</v>
      </c>
      <c r="G712" s="1" t="str">
        <f>_xlfn.XLOOKUP(B712,M_YT_LIVE!A:A,M_YT_LIVE!F:F,"ERROR",0,1)</f>
        <v>音源</v>
      </c>
      <c r="W712" s="13">
        <f t="shared" si="35"/>
        <v>9481</v>
      </c>
      <c r="X712" s="12" t="str">
        <f>_xlfn.XLOOKUP($B712,M_YT_LIVE!$A:$A,M_YT_LIVE!$D:$D)</f>
        <v>https://www.youtube.com/live/Yti72SsHzxs?si=qlI2gfa0I0wWYoH4</v>
      </c>
      <c r="Z712" s="16" t="str">
        <f>HYPERLINK($X712&amp;SUBSTITUTE(マスタ!$C$3,"XXXXX",$W712))</f>
        <v>https://www.youtube.com/live/Yti72SsHzxs?si=qlI2gfa0I0wWYoH4&amp;t=9481s</v>
      </c>
      <c r="AA712" s="12" t="str">
        <f t="shared" si="34"/>
        <v>れるりり feat.GUMIヤミタイガール</v>
      </c>
    </row>
    <row r="713" spans="1:27" x14ac:dyDescent="0.4">
      <c r="A713" s="14">
        <f t="shared" si="36"/>
        <v>712</v>
      </c>
      <c r="B713" s="14">
        <v>92</v>
      </c>
      <c r="C713" s="21" t="s">
        <v>1754</v>
      </c>
      <c r="D713" s="14" t="s">
        <v>1755</v>
      </c>
      <c r="E713" s="14" t="s">
        <v>1756</v>
      </c>
      <c r="G713" s="1" t="str">
        <f>_xlfn.XLOOKUP(B713,M_YT_LIVE!A:A,M_YT_LIVE!F:F,"ERROR",0,1)</f>
        <v>音源</v>
      </c>
      <c r="W713" s="13">
        <f t="shared" si="35"/>
        <v>10011</v>
      </c>
      <c r="X713" s="12" t="str">
        <f>_xlfn.XLOOKUP($B713,M_YT_LIVE!$A:$A,M_YT_LIVE!$D:$D)</f>
        <v>https://www.youtube.com/live/Yti72SsHzxs?si=qlI2gfa0I0wWYoH4</v>
      </c>
      <c r="Z713" s="16" t="str">
        <f>HYPERLINK($X713&amp;SUBSTITUTE(マスタ!$C$3,"XXXXX",$W713))</f>
        <v>https://www.youtube.com/live/Yti72SsHzxs?si=qlI2gfa0I0wWYoH4&amp;t=10011s</v>
      </c>
      <c r="AA713" s="12" t="str">
        <f t="shared" si="34"/>
        <v>蝶々P feat.初音ミクえ？あぁ、そう。</v>
      </c>
    </row>
    <row r="714" spans="1:27" x14ac:dyDescent="0.4">
      <c r="A714" s="14">
        <f t="shared" si="36"/>
        <v>713</v>
      </c>
      <c r="B714" s="14">
        <v>93</v>
      </c>
      <c r="C714" s="21" t="s">
        <v>1761</v>
      </c>
      <c r="D714" s="14" t="s">
        <v>179</v>
      </c>
      <c r="E714" s="14" t="s">
        <v>180</v>
      </c>
      <c r="G714" s="1" t="str">
        <f>_xlfn.XLOOKUP(B714,M_YT_LIVE!A:A,M_YT_LIVE!F:F,"ERROR",0,1)</f>
        <v>弾き語り</v>
      </c>
      <c r="W714" s="13">
        <f t="shared" si="35"/>
        <v>325</v>
      </c>
      <c r="X714" s="12" t="str">
        <f>_xlfn.XLOOKUP($B714,M_YT_LIVE!$A:$A,M_YT_LIVE!$D:$D)</f>
        <v>https://www.youtube.com/live/i7euCqiwzl4?si=Gvd-dBAI4nZ9HDpv</v>
      </c>
      <c r="Z714" s="16" t="str">
        <f>HYPERLINK($X714&amp;SUBSTITUTE(マスタ!$C$3,"XXXXX",$W714))</f>
        <v>https://www.youtube.com/live/i7euCqiwzl4?si=Gvd-dBAI4nZ9HDpv&amp;t=325s</v>
      </c>
      <c r="AA714" s="12" t="str">
        <f t="shared" si="34"/>
        <v>40mP feat.初音ミクからくりピエロ</v>
      </c>
    </row>
    <row r="715" spans="1:27" x14ac:dyDescent="0.4">
      <c r="A715" s="14">
        <f t="shared" si="36"/>
        <v>714</v>
      </c>
      <c r="B715" s="14">
        <v>93</v>
      </c>
      <c r="C715" s="21" t="s">
        <v>1762</v>
      </c>
      <c r="D715" s="14" t="s">
        <v>1763</v>
      </c>
      <c r="E715" s="14" t="s">
        <v>1764</v>
      </c>
      <c r="G715" s="1" t="str">
        <f>_xlfn.XLOOKUP(B715,M_YT_LIVE!A:A,M_YT_LIVE!F:F,"ERROR",0,1)</f>
        <v>弾き語り</v>
      </c>
      <c r="W715" s="13">
        <f t="shared" si="35"/>
        <v>779.99999999999989</v>
      </c>
      <c r="X715" s="12" t="str">
        <f>_xlfn.XLOOKUP($B715,M_YT_LIVE!$A:$A,M_YT_LIVE!$D:$D)</f>
        <v>https://www.youtube.com/live/i7euCqiwzl4?si=Gvd-dBAI4nZ9HDpv</v>
      </c>
      <c r="Z715" s="16" t="str">
        <f>HYPERLINK($X715&amp;SUBSTITUTE(マスタ!$C$3,"XXXXX",$W715))</f>
        <v>https://www.youtube.com/live/i7euCqiwzl4?si=Gvd-dBAI4nZ9HDpv&amp;t=780s</v>
      </c>
      <c r="AA715" s="12" t="str">
        <f t="shared" si="34"/>
        <v>じん feat.IAオツキミリサイタル</v>
      </c>
    </row>
    <row r="716" spans="1:27" x14ac:dyDescent="0.4">
      <c r="A716" s="14">
        <f t="shared" si="36"/>
        <v>715</v>
      </c>
      <c r="B716" s="14">
        <v>93</v>
      </c>
      <c r="C716" s="21" t="s">
        <v>1765</v>
      </c>
      <c r="D716" s="14" t="s">
        <v>1766</v>
      </c>
      <c r="E716" s="14" t="s">
        <v>81</v>
      </c>
      <c r="G716" s="1" t="str">
        <f>_xlfn.XLOOKUP(B716,M_YT_LIVE!A:A,M_YT_LIVE!F:F,"ERROR",0,1)</f>
        <v>弾き語り</v>
      </c>
      <c r="W716" s="13">
        <f t="shared" si="35"/>
        <v>1145</v>
      </c>
      <c r="X716" s="12" t="str">
        <f>_xlfn.XLOOKUP($B716,M_YT_LIVE!$A:$A,M_YT_LIVE!$D:$D)</f>
        <v>https://www.youtube.com/live/i7euCqiwzl4?si=Gvd-dBAI4nZ9HDpv</v>
      </c>
      <c r="Z716" s="16" t="str">
        <f>HYPERLINK($X716&amp;SUBSTITUTE(マスタ!$C$3,"XXXXX",$W716))</f>
        <v>https://www.youtube.com/live/i7euCqiwzl4?si=Gvd-dBAI4nZ9HDpv&amp;t=1145s</v>
      </c>
      <c r="AA716" s="12" t="str">
        <f t="shared" si="34"/>
        <v>じん(自然の敵P) feat.IA透明アンサー</v>
      </c>
    </row>
    <row r="717" spans="1:27" x14ac:dyDescent="0.4">
      <c r="A717" s="14">
        <f t="shared" si="36"/>
        <v>716</v>
      </c>
      <c r="B717" s="14">
        <v>93</v>
      </c>
      <c r="C717" s="21" t="s">
        <v>1767</v>
      </c>
      <c r="D717" s="14" t="s">
        <v>470</v>
      </c>
      <c r="E717" s="14" t="s">
        <v>118</v>
      </c>
      <c r="G717" s="1" t="str">
        <f>_xlfn.XLOOKUP(B717,M_YT_LIVE!A:A,M_YT_LIVE!F:F,"ERROR",0,1)</f>
        <v>弾き語り</v>
      </c>
      <c r="W717" s="13">
        <f t="shared" si="35"/>
        <v>1633</v>
      </c>
      <c r="X717" s="12" t="str">
        <f>_xlfn.XLOOKUP($B717,M_YT_LIVE!$A:$A,M_YT_LIVE!$D:$D)</f>
        <v>https://www.youtube.com/live/i7euCqiwzl4?si=Gvd-dBAI4nZ9HDpv</v>
      </c>
      <c r="Z717" s="16" t="str">
        <f>HYPERLINK($X717&amp;SUBSTITUTE(マスタ!$C$3,"XXXXX",$W717))</f>
        <v>https://www.youtube.com/live/i7euCqiwzl4?si=Gvd-dBAI4nZ9HDpv&amp;t=1633s</v>
      </c>
      <c r="AA717" s="12" t="str">
        <f t="shared" si="34"/>
        <v>Orangestar feat.初音ミク霽れを待つ</v>
      </c>
    </row>
    <row r="718" spans="1:27" x14ac:dyDescent="0.4">
      <c r="A718" s="14">
        <f t="shared" si="36"/>
        <v>717</v>
      </c>
      <c r="B718" s="14">
        <v>93</v>
      </c>
      <c r="C718" s="21" t="s">
        <v>142</v>
      </c>
      <c r="D718" s="14" t="s">
        <v>462</v>
      </c>
      <c r="E718" s="14" t="s">
        <v>463</v>
      </c>
      <c r="G718" s="1" t="str">
        <f>_xlfn.XLOOKUP(B718,M_YT_LIVE!A:A,M_YT_LIVE!F:F,"ERROR",0,1)</f>
        <v>弾き語り</v>
      </c>
      <c r="W718" s="13">
        <f t="shared" si="35"/>
        <v>2031</v>
      </c>
      <c r="X718" s="12" t="str">
        <f>_xlfn.XLOOKUP($B718,M_YT_LIVE!$A:$A,M_YT_LIVE!$D:$D)</f>
        <v>https://www.youtube.com/live/i7euCqiwzl4?si=Gvd-dBAI4nZ9HDpv</v>
      </c>
      <c r="Z718" s="16" t="str">
        <f>HYPERLINK($X718&amp;SUBSTITUTE(マスタ!$C$3,"XXXXX",$W718))</f>
        <v>https://www.youtube.com/live/i7euCqiwzl4?si=Gvd-dBAI4nZ9HDpv&amp;t=2031s</v>
      </c>
      <c r="AA718" s="12" t="str">
        <f t="shared" si="34"/>
        <v>Guiano feat.flower死んでしまったのだろうか</v>
      </c>
    </row>
    <row r="719" spans="1:27" x14ac:dyDescent="0.4">
      <c r="A719" s="14">
        <f t="shared" si="36"/>
        <v>718</v>
      </c>
      <c r="B719" s="14">
        <v>93</v>
      </c>
      <c r="C719" s="21" t="s">
        <v>1768</v>
      </c>
      <c r="D719" s="14" t="s">
        <v>598</v>
      </c>
      <c r="E719" s="14" t="s">
        <v>599</v>
      </c>
      <c r="G719" s="1" t="str">
        <f>_xlfn.XLOOKUP(B719,M_YT_LIVE!A:A,M_YT_LIVE!F:F,"ERROR",0,1)</f>
        <v>弾き語り</v>
      </c>
      <c r="W719" s="13">
        <f t="shared" si="35"/>
        <v>2389</v>
      </c>
      <c r="X719" s="12" t="str">
        <f>_xlfn.XLOOKUP($B719,M_YT_LIVE!$A:$A,M_YT_LIVE!$D:$D)</f>
        <v>https://www.youtube.com/live/i7euCqiwzl4?si=Gvd-dBAI4nZ9HDpv</v>
      </c>
      <c r="Z719" s="16" t="str">
        <f>HYPERLINK($X719&amp;SUBSTITUTE(マスタ!$C$3,"XXXXX",$W719))</f>
        <v>https://www.youtube.com/live/i7euCqiwzl4?si=Gvd-dBAI4nZ9HDpv&amp;t=2389s</v>
      </c>
      <c r="AA719" s="12" t="str">
        <f t="shared" si="34"/>
        <v>Guiano feat.可不鳥</v>
      </c>
    </row>
    <row r="720" spans="1:27" x14ac:dyDescent="0.4">
      <c r="A720" s="14">
        <f t="shared" si="36"/>
        <v>719</v>
      </c>
      <c r="B720" s="14">
        <v>93</v>
      </c>
      <c r="C720" s="21" t="s">
        <v>1769</v>
      </c>
      <c r="D720" s="14" t="s">
        <v>1160</v>
      </c>
      <c r="E720" s="14" t="s">
        <v>1161</v>
      </c>
      <c r="G720" s="1" t="str">
        <f>_xlfn.XLOOKUP(B720,M_YT_LIVE!A:A,M_YT_LIVE!F:F,"ERROR",0,1)</f>
        <v>弾き語り</v>
      </c>
      <c r="W720" s="13">
        <f t="shared" si="35"/>
        <v>2666</v>
      </c>
      <c r="X720" s="12" t="str">
        <f>_xlfn.XLOOKUP($B720,M_YT_LIVE!$A:$A,M_YT_LIVE!$D:$D)</f>
        <v>https://www.youtube.com/live/i7euCqiwzl4?si=Gvd-dBAI4nZ9HDpv</v>
      </c>
      <c r="Z720" s="16" t="str">
        <f>HYPERLINK($X720&amp;SUBSTITUTE(マスタ!$C$3,"XXXXX",$W720))</f>
        <v>https://www.youtube.com/live/i7euCqiwzl4?si=Gvd-dBAI4nZ9HDpv&amp;t=2666s</v>
      </c>
      <c r="AA720" s="12" t="str">
        <f t="shared" si="34"/>
        <v>R Sound Design feat.可不レトロポリス</v>
      </c>
    </row>
    <row r="721" spans="1:27" x14ac:dyDescent="0.4">
      <c r="A721" s="14">
        <f t="shared" si="36"/>
        <v>720</v>
      </c>
      <c r="B721" s="14">
        <v>93</v>
      </c>
      <c r="C721" s="21" t="s">
        <v>1770</v>
      </c>
      <c r="D721" s="14" t="s">
        <v>595</v>
      </c>
      <c r="E721" s="14" t="s">
        <v>596</v>
      </c>
      <c r="G721" s="1" t="str">
        <f>_xlfn.XLOOKUP(B721,M_YT_LIVE!A:A,M_YT_LIVE!F:F,"ERROR",0,1)</f>
        <v>弾き語り</v>
      </c>
      <c r="W721" s="13">
        <f t="shared" si="35"/>
        <v>3068</v>
      </c>
      <c r="X721" s="12" t="str">
        <f>_xlfn.XLOOKUP($B721,M_YT_LIVE!$A:$A,M_YT_LIVE!$D:$D)</f>
        <v>https://www.youtube.com/live/i7euCqiwzl4?si=Gvd-dBAI4nZ9HDpv</v>
      </c>
      <c r="Z721" s="16" t="str">
        <f>HYPERLINK($X721&amp;SUBSTITUTE(マスタ!$C$3,"XXXXX",$W721))</f>
        <v>https://www.youtube.com/live/i7euCqiwzl4?si=Gvd-dBAI4nZ9HDpv&amp;t=3068s</v>
      </c>
      <c r="AA721" s="12" t="str">
        <f t="shared" si="34"/>
        <v>有機酸(神山羊) feat.初音ミクカトラリー</v>
      </c>
    </row>
    <row r="722" spans="1:27" x14ac:dyDescent="0.4">
      <c r="A722" s="14">
        <f t="shared" si="36"/>
        <v>721</v>
      </c>
      <c r="B722" s="14">
        <v>93</v>
      </c>
      <c r="C722" s="21" t="s">
        <v>1771</v>
      </c>
      <c r="D722" s="14" t="s">
        <v>114</v>
      </c>
      <c r="E722" s="14" t="s">
        <v>115</v>
      </c>
      <c r="G722" s="1" t="str">
        <f>_xlfn.XLOOKUP(B722,M_YT_LIVE!A:A,M_YT_LIVE!F:F,"ERROR",0,1)</f>
        <v>弾き語り</v>
      </c>
      <c r="W722" s="13">
        <f t="shared" si="35"/>
        <v>3632</v>
      </c>
      <c r="X722" s="12" t="str">
        <f>_xlfn.XLOOKUP($B722,M_YT_LIVE!$A:$A,M_YT_LIVE!$D:$D)</f>
        <v>https://www.youtube.com/live/i7euCqiwzl4?si=Gvd-dBAI4nZ9HDpv</v>
      </c>
      <c r="Z722" s="16" t="str">
        <f>HYPERLINK($X722&amp;SUBSTITUTE(マスタ!$C$3,"XXXXX",$W722))</f>
        <v>https://www.youtube.com/live/i7euCqiwzl4?si=Gvd-dBAI4nZ9HDpv&amp;t=3632s</v>
      </c>
      <c r="AA722" s="12" t="str">
        <f t="shared" si="34"/>
        <v>ジミーサムP feat.初音ミクCalc.</v>
      </c>
    </row>
    <row r="723" spans="1:27" x14ac:dyDescent="0.4">
      <c r="A723" s="14">
        <f t="shared" si="36"/>
        <v>722</v>
      </c>
      <c r="B723" s="14">
        <v>93</v>
      </c>
      <c r="C723" s="21" t="s">
        <v>1772</v>
      </c>
      <c r="D723" s="14" t="s">
        <v>1773</v>
      </c>
      <c r="E723" s="14" t="s">
        <v>1774</v>
      </c>
      <c r="G723" s="1" t="str">
        <f>_xlfn.XLOOKUP(B723,M_YT_LIVE!A:A,M_YT_LIVE!F:F,"ERROR",0,1)</f>
        <v>弾き語り</v>
      </c>
      <c r="W723" s="13">
        <f t="shared" si="35"/>
        <v>4050</v>
      </c>
      <c r="X723" s="12" t="str">
        <f>_xlfn.XLOOKUP($B723,M_YT_LIVE!$A:$A,M_YT_LIVE!$D:$D)</f>
        <v>https://www.youtube.com/live/i7euCqiwzl4?si=Gvd-dBAI4nZ9HDpv</v>
      </c>
      <c r="Z723" s="16" t="str">
        <f>HYPERLINK($X723&amp;SUBSTITUTE(マスタ!$C$3,"XXXXX",$W723))</f>
        <v>https://www.youtube.com/live/i7euCqiwzl4?si=Gvd-dBAI4nZ9HDpv&amp;t=4050s</v>
      </c>
      <c r="AA723" s="12" t="str">
        <f t="shared" si="34"/>
        <v>いよわ feat.可不きゅうくらりん</v>
      </c>
    </row>
    <row r="724" spans="1:27" x14ac:dyDescent="0.4">
      <c r="A724" s="14">
        <f t="shared" si="36"/>
        <v>723</v>
      </c>
      <c r="B724" s="14">
        <v>95</v>
      </c>
      <c r="C724" s="21" t="s">
        <v>1794</v>
      </c>
      <c r="D724" s="14" t="s">
        <v>109</v>
      </c>
      <c r="E724" s="14" t="s">
        <v>44</v>
      </c>
      <c r="G724" s="1" t="str">
        <f>_xlfn.XLOOKUP(B724,M_YT_LIVE!A:A,M_YT_LIVE!F:F,"ERROR",0,1)</f>
        <v>弾き語り</v>
      </c>
      <c r="W724" s="13">
        <f t="shared" si="35"/>
        <v>257</v>
      </c>
      <c r="X724" s="12" t="str">
        <f>_xlfn.XLOOKUP($B724,M_YT_LIVE!$A:$A,M_YT_LIVE!$D:$D)</f>
        <v>https://www.youtube.com/live/hkpPXWM6LDY?si=pgl-HW7-u6yZjLAi</v>
      </c>
      <c r="Z724" s="16" t="str">
        <f>HYPERLINK($X724&amp;SUBSTITUTE(マスタ!$C$3,"XXXXX",$W724))</f>
        <v>https://www.youtube.com/live/hkpPXWM6LDY?si=pgl-HW7-u6yZjLAi&amp;t=257s</v>
      </c>
      <c r="AA724" s="12" t="str">
        <f t="shared" si="34"/>
        <v>メル feat.初音ミク翡翠のまち</v>
      </c>
    </row>
    <row r="725" spans="1:27" x14ac:dyDescent="0.4">
      <c r="A725" s="14">
        <f t="shared" si="36"/>
        <v>724</v>
      </c>
      <c r="B725" s="14">
        <v>95</v>
      </c>
      <c r="C725" s="21" t="s">
        <v>1795</v>
      </c>
      <c r="D725" s="14" t="s">
        <v>59</v>
      </c>
      <c r="E725" s="14" t="s">
        <v>1796</v>
      </c>
      <c r="G725" s="1" t="str">
        <f>_xlfn.XLOOKUP(B725,M_YT_LIVE!A:A,M_YT_LIVE!F:F,"ERROR",0,1)</f>
        <v>弾き語り</v>
      </c>
      <c r="W725" s="13">
        <f t="shared" si="35"/>
        <v>639</v>
      </c>
      <c r="X725" s="12" t="str">
        <f>_xlfn.XLOOKUP($B725,M_YT_LIVE!$A:$A,M_YT_LIVE!$D:$D)</f>
        <v>https://www.youtube.com/live/hkpPXWM6LDY?si=pgl-HW7-u6yZjLAi</v>
      </c>
      <c r="Z725" s="16" t="str">
        <f>HYPERLINK($X725&amp;SUBSTITUTE(マスタ!$C$3,"XXXXX",$W725))</f>
        <v>https://www.youtube.com/live/hkpPXWM6LDY?si=pgl-HW7-u6yZjLAi&amp;t=639s</v>
      </c>
      <c r="AA725" s="12" t="str">
        <f t="shared" si="34"/>
        <v>Eveお気に召すまま</v>
      </c>
    </row>
    <row r="726" spans="1:27" x14ac:dyDescent="0.4">
      <c r="A726" s="14">
        <f t="shared" si="36"/>
        <v>725</v>
      </c>
      <c r="B726" s="14">
        <v>95</v>
      </c>
      <c r="C726" s="21" t="s">
        <v>1797</v>
      </c>
      <c r="D726" s="14" t="s">
        <v>465</v>
      </c>
      <c r="E726" s="14" t="s">
        <v>466</v>
      </c>
      <c r="G726" s="1" t="str">
        <f>_xlfn.XLOOKUP(B726,M_YT_LIVE!A:A,M_YT_LIVE!F:F,"ERROR",0,1)</f>
        <v>弾き語り</v>
      </c>
      <c r="W726" s="13">
        <f t="shared" si="35"/>
        <v>1365</v>
      </c>
      <c r="X726" s="12" t="str">
        <f>_xlfn.XLOOKUP($B726,M_YT_LIVE!$A:$A,M_YT_LIVE!$D:$D)</f>
        <v>https://www.youtube.com/live/hkpPXWM6LDY?si=pgl-HW7-u6yZjLAi</v>
      </c>
      <c r="Z726" s="16" t="str">
        <f>HYPERLINK($X726&amp;SUBSTITUTE(マスタ!$C$3,"XXXXX",$W726))</f>
        <v>https://www.youtube.com/live/hkpPXWM6LDY?si=pgl-HW7-u6yZjLAi&amp;t=1365s</v>
      </c>
      <c r="AA726" s="12" t="str">
        <f t="shared" si="34"/>
        <v>Eve feat.初音ミクナンセンス文学</v>
      </c>
    </row>
    <row r="727" spans="1:27" x14ac:dyDescent="0.4">
      <c r="A727" s="14">
        <f t="shared" si="36"/>
        <v>726</v>
      </c>
      <c r="B727" s="14">
        <v>95</v>
      </c>
      <c r="C727" s="21" t="s">
        <v>1798</v>
      </c>
      <c r="D727" s="14" t="s">
        <v>152</v>
      </c>
      <c r="E727" s="14" t="s">
        <v>153</v>
      </c>
      <c r="G727" s="1" t="str">
        <f>_xlfn.XLOOKUP(B727,M_YT_LIVE!A:A,M_YT_LIVE!F:F,"ERROR",0,1)</f>
        <v>弾き語り</v>
      </c>
      <c r="W727" s="13">
        <f t="shared" si="35"/>
        <v>1752</v>
      </c>
      <c r="X727" s="12" t="str">
        <f>_xlfn.XLOOKUP($B727,M_YT_LIVE!$A:$A,M_YT_LIVE!$D:$D)</f>
        <v>https://www.youtube.com/live/hkpPXWM6LDY?si=pgl-HW7-u6yZjLAi</v>
      </c>
      <c r="Z727" s="16" t="str">
        <f>HYPERLINK($X727&amp;SUBSTITUTE(マスタ!$C$3,"XXXXX",$W727))</f>
        <v>https://www.youtube.com/live/hkpPXWM6LDY?si=pgl-HW7-u6yZjLAi&amp;t=1752s</v>
      </c>
      <c r="AA727" s="12" t="str">
        <f t="shared" si="34"/>
        <v>こんにちは谷田さん(キタニタツヤ) feat.初音ミク記憶の水槽</v>
      </c>
    </row>
    <row r="728" spans="1:27" x14ac:dyDescent="0.4">
      <c r="A728" s="14">
        <f t="shared" si="36"/>
        <v>727</v>
      </c>
      <c r="B728" s="14">
        <v>95</v>
      </c>
      <c r="C728" s="21" t="s">
        <v>1799</v>
      </c>
      <c r="D728" s="14" t="s">
        <v>1403</v>
      </c>
      <c r="E728" s="14" t="s">
        <v>1101</v>
      </c>
      <c r="G728" s="1" t="str">
        <f>_xlfn.XLOOKUP(B728,M_YT_LIVE!A:A,M_YT_LIVE!F:F,"ERROR",0,1)</f>
        <v>弾き語り</v>
      </c>
      <c r="W728" s="13">
        <f t="shared" si="35"/>
        <v>2167</v>
      </c>
      <c r="X728" s="12" t="str">
        <f>_xlfn.XLOOKUP($B728,M_YT_LIVE!$A:$A,M_YT_LIVE!$D:$D)</f>
        <v>https://www.youtube.com/live/hkpPXWM6LDY?si=pgl-HW7-u6yZjLAi</v>
      </c>
      <c r="Z728" s="16" t="str">
        <f>HYPERLINK($X728&amp;SUBSTITUTE(マスタ!$C$3,"XXXXX",$W728))</f>
        <v>https://www.youtube.com/live/hkpPXWM6LDY?si=pgl-HW7-u6yZjLAi&amp;t=2167s</v>
      </c>
      <c r="AA728" s="12" t="str">
        <f t="shared" si="34"/>
        <v>きのこ帝国金木犀の夜</v>
      </c>
    </row>
    <row r="729" spans="1:27" x14ac:dyDescent="0.4">
      <c r="A729" s="14">
        <f t="shared" si="36"/>
        <v>728</v>
      </c>
      <c r="B729" s="14">
        <v>95</v>
      </c>
      <c r="C729" s="21" t="s">
        <v>1800</v>
      </c>
      <c r="D729" s="14" t="s">
        <v>378</v>
      </c>
      <c r="E729" s="14" t="s">
        <v>141</v>
      </c>
      <c r="G729" s="1" t="str">
        <f>_xlfn.XLOOKUP(B729,M_YT_LIVE!A:A,M_YT_LIVE!F:F,"ERROR",0,1)</f>
        <v>弾き語り</v>
      </c>
      <c r="W729" s="13">
        <f t="shared" si="35"/>
        <v>2618</v>
      </c>
      <c r="X729" s="12" t="str">
        <f>_xlfn.XLOOKUP($B729,M_YT_LIVE!$A:$A,M_YT_LIVE!$D:$D)</f>
        <v>https://www.youtube.com/live/hkpPXWM6LDY?si=pgl-HW7-u6yZjLAi</v>
      </c>
      <c r="Z729" s="16" t="str">
        <f>HYPERLINK($X729&amp;SUBSTITUTE(マスタ!$C$3,"XXXXX",$W729))</f>
        <v>https://www.youtube.com/live/hkpPXWM6LDY?si=pgl-HW7-u6yZjLAi&amp;t=2618s</v>
      </c>
      <c r="AA729" s="12" t="str">
        <f t="shared" si="34"/>
        <v>ヨルシカ斜陽</v>
      </c>
    </row>
    <row r="730" spans="1:27" x14ac:dyDescent="0.4">
      <c r="A730" s="14">
        <f t="shared" si="36"/>
        <v>729</v>
      </c>
      <c r="B730" s="14">
        <v>95</v>
      </c>
      <c r="C730" s="21" t="s">
        <v>1801</v>
      </c>
      <c r="D730" s="14" t="s">
        <v>1559</v>
      </c>
      <c r="E730" s="14" t="s">
        <v>141</v>
      </c>
      <c r="G730" s="1" t="str">
        <f>_xlfn.XLOOKUP(B730,M_YT_LIVE!A:A,M_YT_LIVE!F:F,"ERROR",0,1)</f>
        <v>弾き語り</v>
      </c>
      <c r="W730" s="13">
        <f t="shared" si="35"/>
        <v>2936</v>
      </c>
      <c r="X730" s="12" t="str">
        <f>_xlfn.XLOOKUP($B730,M_YT_LIVE!$A:$A,M_YT_LIVE!$D:$D)</f>
        <v>https://www.youtube.com/live/hkpPXWM6LDY?si=pgl-HW7-u6yZjLAi</v>
      </c>
      <c r="Z730" s="16" t="str">
        <f>HYPERLINK($X730&amp;SUBSTITUTE(マスタ!$C$3,"XXXXX",$W730))</f>
        <v>https://www.youtube.com/live/hkpPXWM6LDY?si=pgl-HW7-u6yZjLAi&amp;t=2936s</v>
      </c>
      <c r="AA730" s="12" t="str">
        <f t="shared" si="34"/>
        <v>ヨルシカ火星人</v>
      </c>
    </row>
    <row r="731" spans="1:27" x14ac:dyDescent="0.4">
      <c r="A731" s="14">
        <f t="shared" si="36"/>
        <v>730</v>
      </c>
      <c r="B731" s="14">
        <v>95</v>
      </c>
      <c r="C731" s="21" t="s">
        <v>1802</v>
      </c>
      <c r="D731" s="14" t="s">
        <v>560</v>
      </c>
      <c r="E731" s="14" t="s">
        <v>141</v>
      </c>
      <c r="G731" s="1" t="str">
        <f>_xlfn.XLOOKUP(B731,M_YT_LIVE!A:A,M_YT_LIVE!F:F,"ERROR",0,1)</f>
        <v>弾き語り</v>
      </c>
      <c r="W731" s="13">
        <f t="shared" si="35"/>
        <v>3293</v>
      </c>
      <c r="X731" s="12" t="str">
        <f>_xlfn.XLOOKUP($B731,M_YT_LIVE!$A:$A,M_YT_LIVE!$D:$D)</f>
        <v>https://www.youtube.com/live/hkpPXWM6LDY?si=pgl-HW7-u6yZjLAi</v>
      </c>
      <c r="Z731" s="16" t="str">
        <f>HYPERLINK($X731&amp;SUBSTITUTE(マスタ!$C$3,"XXXXX",$W731))</f>
        <v>https://www.youtube.com/live/hkpPXWM6LDY?si=pgl-HW7-u6yZjLAi&amp;t=3293s</v>
      </c>
      <c r="AA731" s="12" t="str">
        <f t="shared" si="34"/>
        <v>ヨルシカ又三郎</v>
      </c>
    </row>
    <row r="732" spans="1:27" x14ac:dyDescent="0.4">
      <c r="A732" s="14">
        <f t="shared" si="36"/>
        <v>731</v>
      </c>
      <c r="B732" s="14">
        <v>95</v>
      </c>
      <c r="C732" s="21" t="s">
        <v>304</v>
      </c>
      <c r="D732" s="14" t="s">
        <v>365</v>
      </c>
      <c r="E732" s="14" t="s">
        <v>366</v>
      </c>
      <c r="G732" s="1" t="str">
        <f>_xlfn.XLOOKUP(B732,M_YT_LIVE!A:A,M_YT_LIVE!F:F,"ERROR",0,1)</f>
        <v>弾き語り</v>
      </c>
      <c r="W732" s="13">
        <f t="shared" si="35"/>
        <v>3821</v>
      </c>
      <c r="X732" s="12" t="str">
        <f>_xlfn.XLOOKUP($B732,M_YT_LIVE!$A:$A,M_YT_LIVE!$D:$D)</f>
        <v>https://www.youtube.com/live/hkpPXWM6LDY?si=pgl-HW7-u6yZjLAi</v>
      </c>
      <c r="Z732" s="16" t="str">
        <f>HYPERLINK($X732&amp;SUBSTITUTE(マスタ!$C$3,"XXXXX",$W732))</f>
        <v>https://www.youtube.com/live/hkpPXWM6LDY?si=pgl-HW7-u6yZjLAi&amp;t=3821s</v>
      </c>
      <c r="AA732" s="12" t="str">
        <f t="shared" si="34"/>
        <v>すこっぷ feat.初音ミクアイロニ</v>
      </c>
    </row>
    <row r="733" spans="1:27" x14ac:dyDescent="0.4">
      <c r="A733" s="14">
        <f t="shared" si="36"/>
        <v>732</v>
      </c>
      <c r="B733" s="14">
        <v>95</v>
      </c>
      <c r="C733" s="21" t="s">
        <v>1803</v>
      </c>
      <c r="D733" s="14" t="s">
        <v>242</v>
      </c>
      <c r="E733" s="14" t="s">
        <v>1013</v>
      </c>
      <c r="G733" s="1" t="str">
        <f>_xlfn.XLOOKUP(B733,M_YT_LIVE!A:A,M_YT_LIVE!F:F,"ERROR",0,1)</f>
        <v>弾き語り</v>
      </c>
      <c r="W733" s="13">
        <f t="shared" si="35"/>
        <v>4108</v>
      </c>
      <c r="X733" s="12" t="str">
        <f>_xlfn.XLOOKUP($B733,M_YT_LIVE!$A:$A,M_YT_LIVE!$D:$D)</f>
        <v>https://www.youtube.com/live/hkpPXWM6LDY?si=pgl-HW7-u6yZjLAi</v>
      </c>
      <c r="Z733" s="16" t="str">
        <f>HYPERLINK($X733&amp;SUBSTITUTE(マスタ!$C$3,"XXXXX",$W733))</f>
        <v>https://www.youtube.com/live/hkpPXWM6LDY?si=pgl-HW7-u6yZjLAi&amp;t=4108s</v>
      </c>
      <c r="AA733" s="12" t="str">
        <f t="shared" si="34"/>
        <v>vaundy花占い</v>
      </c>
    </row>
    <row r="734" spans="1:27" x14ac:dyDescent="0.4">
      <c r="A734" s="14">
        <f t="shared" si="36"/>
        <v>733</v>
      </c>
      <c r="B734" s="14">
        <v>95</v>
      </c>
      <c r="C734" s="21" t="s">
        <v>480</v>
      </c>
      <c r="D734" s="14" t="s">
        <v>1804</v>
      </c>
      <c r="E734" s="14" t="s">
        <v>1805</v>
      </c>
      <c r="G734" s="1" t="str">
        <f>_xlfn.XLOOKUP(B734,M_YT_LIVE!A:A,M_YT_LIVE!F:F,"ERROR",0,1)</f>
        <v>弾き語り</v>
      </c>
      <c r="W734" s="13">
        <f t="shared" si="35"/>
        <v>4517</v>
      </c>
      <c r="X734" s="12" t="str">
        <f>_xlfn.XLOOKUP($B734,M_YT_LIVE!$A:$A,M_YT_LIVE!$D:$D)</f>
        <v>https://www.youtube.com/live/hkpPXWM6LDY?si=pgl-HW7-u6yZjLAi</v>
      </c>
      <c r="Z734" s="16" t="str">
        <f>HYPERLINK($X734&amp;SUBSTITUTE(マスタ!$C$3,"XXXXX",$W734))</f>
        <v>https://www.youtube.com/live/hkpPXWM6LDY?si=pgl-HW7-u6yZjLAi&amp;t=4517s</v>
      </c>
      <c r="AA734" s="12" t="str">
        <f t="shared" si="34"/>
        <v>森の木児童合唱団どんぐりころころ</v>
      </c>
    </row>
    <row r="735" spans="1:27" x14ac:dyDescent="0.4">
      <c r="A735" s="14">
        <f t="shared" si="36"/>
        <v>734</v>
      </c>
      <c r="B735" s="14">
        <v>98</v>
      </c>
      <c r="C735" s="21" t="s">
        <v>1812</v>
      </c>
      <c r="D735" s="14" t="s">
        <v>143</v>
      </c>
      <c r="E735" s="14" t="s">
        <v>144</v>
      </c>
      <c r="G735" s="1" t="str">
        <f>_xlfn.XLOOKUP(B735,M_YT_LIVE!A:A,M_YT_LIVE!F:F,"ERROR",0,1)</f>
        <v>弾き語り</v>
      </c>
      <c r="W735" s="13">
        <f t="shared" si="35"/>
        <v>370</v>
      </c>
      <c r="X735" s="12" t="str">
        <f>_xlfn.XLOOKUP($B735,M_YT_LIVE!$A:$A,M_YT_LIVE!$D:$D)</f>
        <v>https://www.youtube.com/live/TDYlHpN4h0s?si=ysSy7YIPSXU6T0nx</v>
      </c>
      <c r="Z735" s="16" t="str">
        <f>HYPERLINK($X735&amp;SUBSTITUTE(マスタ!$C$3,"XXXXX",$W735))</f>
        <v>https://www.youtube.com/live/TDYlHpN4h0s?si=ysSy7YIPSXU6T0nx&amp;t=370s</v>
      </c>
      <c r="AA735" s="12" t="str">
        <f t="shared" si="34"/>
        <v>マカロニえんぴつブルーベリー・ナイツ</v>
      </c>
    </row>
    <row r="736" spans="1:27" x14ac:dyDescent="0.4">
      <c r="A736" s="14">
        <f t="shared" si="36"/>
        <v>735</v>
      </c>
      <c r="B736" s="14">
        <v>98</v>
      </c>
      <c r="C736" s="21" t="s">
        <v>1813</v>
      </c>
      <c r="D736" s="14" t="s">
        <v>1082</v>
      </c>
      <c r="E736" s="14" t="s">
        <v>1814</v>
      </c>
      <c r="G736" s="1" t="str">
        <f>_xlfn.XLOOKUP(B736,M_YT_LIVE!A:A,M_YT_LIVE!F:F,"ERROR",0,1)</f>
        <v>弾き語り</v>
      </c>
      <c r="W736" s="13">
        <f t="shared" si="35"/>
        <v>865</v>
      </c>
      <c r="X736" s="12" t="str">
        <f>_xlfn.XLOOKUP($B736,M_YT_LIVE!$A:$A,M_YT_LIVE!$D:$D)</f>
        <v>https://www.youtube.com/live/TDYlHpN4h0s?si=ysSy7YIPSXU6T0nx</v>
      </c>
      <c r="Z736" s="16" t="str">
        <f>HYPERLINK($X736&amp;SUBSTITUTE(マスタ!$C$3,"XXXXX",$W736))</f>
        <v>https://www.youtube.com/live/TDYlHpN4h0s?si=ysSy7YIPSXU6T0nx&amp;t=865s</v>
      </c>
      <c r="AA736" s="12" t="str">
        <f t="shared" si="34"/>
        <v>lslet feat.倚水(tayori)可惜夜</v>
      </c>
    </row>
    <row r="737" spans="1:27" x14ac:dyDescent="0.4">
      <c r="A737" s="14">
        <f t="shared" si="36"/>
        <v>736</v>
      </c>
      <c r="B737" s="14">
        <v>98</v>
      </c>
      <c r="C737" s="21" t="s">
        <v>1815</v>
      </c>
      <c r="D737" s="14" t="s">
        <v>1816</v>
      </c>
      <c r="E737" s="14" t="s">
        <v>1817</v>
      </c>
      <c r="G737" s="1" t="str">
        <f>_xlfn.XLOOKUP(B737,M_YT_LIVE!A:A,M_YT_LIVE!F:F,"ERROR",0,1)</f>
        <v>弾き語り</v>
      </c>
      <c r="W737" s="13">
        <f t="shared" si="35"/>
        <v>1308</v>
      </c>
      <c r="X737" s="12" t="str">
        <f>_xlfn.XLOOKUP($B737,M_YT_LIVE!$A:$A,M_YT_LIVE!$D:$D)</f>
        <v>https://www.youtube.com/live/TDYlHpN4h0s?si=ysSy7YIPSXU6T0nx</v>
      </c>
      <c r="Z737" s="16" t="str">
        <f>HYPERLINK($X737&amp;SUBSTITUTE(マスタ!$C$3,"XXXXX",$W737))</f>
        <v>https://www.youtube.com/live/TDYlHpN4h0s?si=ysSy7YIPSXU6T0nx&amp;t=1308s</v>
      </c>
      <c r="AA737" s="12" t="str">
        <f t="shared" si="34"/>
        <v>サクナクショングッドバイ</v>
      </c>
    </row>
    <row r="738" spans="1:27" x14ac:dyDescent="0.4">
      <c r="A738" s="14">
        <f t="shared" si="36"/>
        <v>737</v>
      </c>
      <c r="B738" s="14">
        <v>98</v>
      </c>
      <c r="C738" s="21" t="s">
        <v>1818</v>
      </c>
      <c r="D738" s="14" t="s">
        <v>158</v>
      </c>
      <c r="E738" s="14" t="s">
        <v>159</v>
      </c>
      <c r="G738" s="1" t="str">
        <f>_xlfn.XLOOKUP(B738,M_YT_LIVE!A:A,M_YT_LIVE!F:F,"ERROR",0,1)</f>
        <v>弾き語り</v>
      </c>
      <c r="W738" s="13">
        <f t="shared" si="35"/>
        <v>1731</v>
      </c>
      <c r="X738" s="12" t="str">
        <f>_xlfn.XLOOKUP($B738,M_YT_LIVE!$A:$A,M_YT_LIVE!$D:$D)</f>
        <v>https://www.youtube.com/live/TDYlHpN4h0s?si=ysSy7YIPSXU6T0nx</v>
      </c>
      <c r="Z738" s="16" t="str">
        <f>HYPERLINK($X738&amp;SUBSTITUTE(マスタ!$C$3,"XXXXX",$W738))</f>
        <v>https://www.youtube.com/live/TDYlHpN4h0s?si=ysSy7YIPSXU6T0nx&amp;t=1731s</v>
      </c>
      <c r="AA738" s="12" t="str">
        <f t="shared" si="34"/>
        <v>やなぎなぎ&amp; 麻枝准君という神話</v>
      </c>
    </row>
    <row r="739" spans="1:27" x14ac:dyDescent="0.4">
      <c r="A739" s="14">
        <f t="shared" si="36"/>
        <v>738</v>
      </c>
      <c r="B739" s="14">
        <v>98</v>
      </c>
      <c r="C739" s="21" t="s">
        <v>1819</v>
      </c>
      <c r="D739" s="14" t="s">
        <v>1432</v>
      </c>
      <c r="E739" s="14" t="s">
        <v>228</v>
      </c>
      <c r="G739" s="1" t="str">
        <f>_xlfn.XLOOKUP(B739,M_YT_LIVE!A:A,M_YT_LIVE!F:F,"ERROR",0,1)</f>
        <v>弾き語り</v>
      </c>
      <c r="W739" s="13">
        <f t="shared" si="35"/>
        <v>2160</v>
      </c>
      <c r="X739" s="12" t="str">
        <f>_xlfn.XLOOKUP($B739,M_YT_LIVE!$A:$A,M_YT_LIVE!$D:$D)</f>
        <v>https://www.youtube.com/live/TDYlHpN4h0s?si=ysSy7YIPSXU6T0nx</v>
      </c>
      <c r="Z739" s="16" t="str">
        <f>HYPERLINK($X739&amp;SUBSTITUTE(マスタ!$C$3,"XXXXX",$W739))</f>
        <v>https://www.youtube.com/live/TDYlHpN4h0s?si=ysSy7YIPSXU6T0nx&amp;t=2160s</v>
      </c>
      <c r="AA739" s="12" t="str">
        <f t="shared" si="34"/>
        <v>ずっと真夜中でいいのに。Ham</v>
      </c>
    </row>
    <row r="740" spans="1:27" x14ac:dyDescent="0.4">
      <c r="A740" s="14">
        <f t="shared" si="36"/>
        <v>739</v>
      </c>
      <c r="B740" s="14">
        <v>98</v>
      </c>
      <c r="C740" s="21" t="s">
        <v>198</v>
      </c>
      <c r="D740" s="14" t="s">
        <v>227</v>
      </c>
      <c r="E740" s="14" t="s">
        <v>228</v>
      </c>
      <c r="G740" s="1" t="str">
        <f>_xlfn.XLOOKUP(B740,M_YT_LIVE!A:A,M_YT_LIVE!F:F,"ERROR",0,1)</f>
        <v>弾き語り</v>
      </c>
      <c r="W740" s="13">
        <f t="shared" si="35"/>
        <v>2532</v>
      </c>
      <c r="X740" s="12" t="str">
        <f>_xlfn.XLOOKUP($B740,M_YT_LIVE!$A:$A,M_YT_LIVE!$D:$D)</f>
        <v>https://www.youtube.com/live/TDYlHpN4h0s?si=ysSy7YIPSXU6T0nx</v>
      </c>
      <c r="Z740" s="16" t="str">
        <f>HYPERLINK($X740&amp;SUBSTITUTE(マスタ!$C$3,"XXXXX",$W740))</f>
        <v>https://www.youtube.com/live/TDYlHpN4h0s?si=ysSy7YIPSXU6T0nx&amp;t=2532s</v>
      </c>
      <c r="AA740" s="12" t="str">
        <f t="shared" si="34"/>
        <v>ずっと真夜中でいいのに。Dear Mr 「F」</v>
      </c>
    </row>
    <row r="741" spans="1:27" x14ac:dyDescent="0.4">
      <c r="A741" s="14">
        <f t="shared" si="36"/>
        <v>740</v>
      </c>
      <c r="B741" s="14">
        <v>98</v>
      </c>
      <c r="C741" s="21" t="s">
        <v>1820</v>
      </c>
      <c r="D741" s="14" t="s">
        <v>167</v>
      </c>
      <c r="E741" s="14" t="s">
        <v>168</v>
      </c>
      <c r="G741" s="1" t="str">
        <f>_xlfn.XLOOKUP(B741,M_YT_LIVE!A:A,M_YT_LIVE!F:F,"ERROR",0,1)</f>
        <v>弾き語り</v>
      </c>
      <c r="W741" s="13">
        <f t="shared" si="35"/>
        <v>3033</v>
      </c>
      <c r="X741" s="12" t="str">
        <f>_xlfn.XLOOKUP($B741,M_YT_LIVE!$A:$A,M_YT_LIVE!$D:$D)</f>
        <v>https://www.youtube.com/live/TDYlHpN4h0s?si=ysSy7YIPSXU6T0nx</v>
      </c>
      <c r="Z741" s="16" t="str">
        <f>HYPERLINK($X741&amp;SUBSTITUTE(マスタ!$C$3,"XXXXX",$W741))</f>
        <v>https://www.youtube.com/live/TDYlHpN4h0s?si=ysSy7YIPSXU6T0nx&amp;t=3033s</v>
      </c>
      <c r="AA741" s="12" t="str">
        <f t="shared" si="34"/>
        <v>Aimerカタオモイ</v>
      </c>
    </row>
    <row r="742" spans="1:27" x14ac:dyDescent="0.4">
      <c r="A742" s="14">
        <f t="shared" si="36"/>
        <v>741</v>
      </c>
      <c r="B742" s="14">
        <v>98</v>
      </c>
      <c r="C742" s="21" t="s">
        <v>1821</v>
      </c>
      <c r="D742" s="14" t="s">
        <v>591</v>
      </c>
      <c r="E742" s="14" t="s">
        <v>338</v>
      </c>
      <c r="G742" s="1" t="str">
        <f>_xlfn.XLOOKUP(B742,M_YT_LIVE!A:A,M_YT_LIVE!F:F,"ERROR",0,1)</f>
        <v>弾き語り</v>
      </c>
      <c r="W742" s="13">
        <f t="shared" si="35"/>
        <v>3427</v>
      </c>
      <c r="X742" s="12" t="str">
        <f>_xlfn.XLOOKUP($B742,M_YT_LIVE!$A:$A,M_YT_LIVE!$D:$D)</f>
        <v>https://www.youtube.com/live/TDYlHpN4h0s?si=ysSy7YIPSXU6T0nx</v>
      </c>
      <c r="Z742" s="16" t="str">
        <f>HYPERLINK($X742&amp;SUBSTITUTE(マスタ!$C$3,"XXXXX",$W742))</f>
        <v>https://www.youtube.com/live/TDYlHpN4h0s?si=ysSy7YIPSXU6T0nx&amp;t=3427s</v>
      </c>
      <c r="AA742" s="12" t="str">
        <f t="shared" si="34"/>
        <v>さユりフラレガイガール</v>
      </c>
    </row>
    <row r="743" spans="1:27" x14ac:dyDescent="0.4">
      <c r="A743" s="14">
        <f t="shared" si="36"/>
        <v>742</v>
      </c>
      <c r="B743" s="14">
        <v>98</v>
      </c>
      <c r="C743" s="21" t="s">
        <v>1822</v>
      </c>
      <c r="D743" s="14" t="s">
        <v>589</v>
      </c>
      <c r="E743" s="14" t="s">
        <v>1823</v>
      </c>
      <c r="G743" s="1" t="str">
        <f>_xlfn.XLOOKUP(B743,M_YT_LIVE!A:A,M_YT_LIVE!F:F,"ERROR",0,1)</f>
        <v>弾き語り</v>
      </c>
      <c r="W743" s="13">
        <f t="shared" si="35"/>
        <v>4005</v>
      </c>
      <c r="X743" s="12" t="str">
        <f>_xlfn.XLOOKUP($B743,M_YT_LIVE!$A:$A,M_YT_LIVE!$D:$D)</f>
        <v>https://www.youtube.com/live/TDYlHpN4h0s?si=ysSy7YIPSXU6T0nx</v>
      </c>
      <c r="Z743" s="16" t="str">
        <f>HYPERLINK($X743&amp;SUBSTITUTE(マスタ!$C$3,"XXXXX",$W743))</f>
        <v>https://www.youtube.com/live/TDYlHpN4h0s?si=ysSy7YIPSXU6T0nx&amp;t=4005s</v>
      </c>
      <c r="AA743" s="12" t="str">
        <f t="shared" si="34"/>
        <v>さユリミカヅキ</v>
      </c>
    </row>
    <row r="744" spans="1:27" x14ac:dyDescent="0.4">
      <c r="A744" s="14">
        <f t="shared" si="36"/>
        <v>743</v>
      </c>
      <c r="B744" s="14">
        <v>98</v>
      </c>
      <c r="C744" s="21" t="s">
        <v>1824</v>
      </c>
      <c r="D744" s="14" t="s">
        <v>1825</v>
      </c>
      <c r="E744" s="14" t="s">
        <v>577</v>
      </c>
      <c r="G744" s="1" t="str">
        <f>_xlfn.XLOOKUP(B744,M_YT_LIVE!A:A,M_YT_LIVE!F:F,"ERROR",0,1)</f>
        <v>弾き語り</v>
      </c>
      <c r="W744" s="13">
        <f t="shared" si="35"/>
        <v>4430</v>
      </c>
      <c r="X744" s="12" t="str">
        <f>_xlfn.XLOOKUP($B744,M_YT_LIVE!$A:$A,M_YT_LIVE!$D:$D)</f>
        <v>https://www.youtube.com/live/TDYlHpN4h0s?si=ysSy7YIPSXU6T0nx</v>
      </c>
      <c r="Z744" s="16" t="str">
        <f>HYPERLINK($X744&amp;SUBSTITUTE(マスタ!$C$3,"XXXXX",$W744))</f>
        <v>https://www.youtube.com/live/TDYlHpN4h0s?si=ysSy7YIPSXU6T0nx&amp;t=4430s</v>
      </c>
      <c r="AA744" s="12" t="str">
        <f t="shared" si="34"/>
        <v>阿部真央未だ</v>
      </c>
    </row>
    <row r="745" spans="1:27" x14ac:dyDescent="0.4">
      <c r="A745" s="14">
        <f t="shared" si="36"/>
        <v>744</v>
      </c>
      <c r="B745" s="14">
        <v>98</v>
      </c>
      <c r="C745" s="21" t="s">
        <v>1826</v>
      </c>
      <c r="D745" s="14" t="s">
        <v>1827</v>
      </c>
      <c r="E745" s="14" t="s">
        <v>577</v>
      </c>
      <c r="G745" s="1" t="str">
        <f>_xlfn.XLOOKUP(B745,M_YT_LIVE!A:A,M_YT_LIVE!F:F,"ERROR",0,1)</f>
        <v>弾き語り</v>
      </c>
      <c r="W745" s="13">
        <f t="shared" si="35"/>
        <v>4774</v>
      </c>
      <c r="X745" s="12" t="str">
        <f>_xlfn.XLOOKUP($B745,M_YT_LIVE!$A:$A,M_YT_LIVE!$D:$D)</f>
        <v>https://www.youtube.com/live/TDYlHpN4h0s?si=ysSy7YIPSXU6T0nx</v>
      </c>
      <c r="Z745" s="16" t="str">
        <f>HYPERLINK($X745&amp;SUBSTITUTE(マスタ!$C$3,"XXXXX",$W745))</f>
        <v>https://www.youtube.com/live/TDYlHpN4h0s?si=ysSy7YIPSXU6T0nx&amp;t=4774s</v>
      </c>
      <c r="AA745" s="12" t="str">
        <f t="shared" si="34"/>
        <v>阿部真央貴方の恋人になりたいのです</v>
      </c>
    </row>
    <row r="746" spans="1:27" x14ac:dyDescent="0.4">
      <c r="A746" s="14">
        <f t="shared" si="36"/>
        <v>745</v>
      </c>
      <c r="B746" s="14">
        <v>98</v>
      </c>
      <c r="C746" s="21" t="s">
        <v>1828</v>
      </c>
      <c r="D746" s="14" t="s">
        <v>700</v>
      </c>
      <c r="E746" s="14" t="s">
        <v>577</v>
      </c>
      <c r="G746" s="1" t="str">
        <f>_xlfn.XLOOKUP(B746,M_YT_LIVE!A:A,M_YT_LIVE!F:F,"ERROR",0,1)</f>
        <v>弾き語り</v>
      </c>
      <c r="W746" s="13">
        <f t="shared" si="35"/>
        <v>5254</v>
      </c>
      <c r="X746" s="12" t="str">
        <f>_xlfn.XLOOKUP($B746,M_YT_LIVE!$A:$A,M_YT_LIVE!$D:$D)</f>
        <v>https://www.youtube.com/live/TDYlHpN4h0s?si=ysSy7YIPSXU6T0nx</v>
      </c>
      <c r="Z746" s="16" t="str">
        <f>HYPERLINK($X746&amp;SUBSTITUTE(マスタ!$C$3,"XXXXX",$W746))</f>
        <v>https://www.youtube.com/live/TDYlHpN4h0s?si=ysSy7YIPSXU6T0nx&amp;t=5254s</v>
      </c>
      <c r="AA746" s="12" t="str">
        <f t="shared" si="34"/>
        <v>阿部真央側にいて</v>
      </c>
    </row>
    <row r="747" spans="1:27" x14ac:dyDescent="0.4">
      <c r="A747" s="14">
        <f t="shared" si="36"/>
        <v>746</v>
      </c>
      <c r="B747" s="14">
        <v>98</v>
      </c>
      <c r="C747" s="21" t="s">
        <v>1829</v>
      </c>
      <c r="D747" s="14" t="s">
        <v>1830</v>
      </c>
      <c r="E747" s="14" t="s">
        <v>596</v>
      </c>
      <c r="G747" s="1" t="str">
        <f>_xlfn.XLOOKUP(B747,M_YT_LIVE!A:A,M_YT_LIVE!F:F,"ERROR",0,1)</f>
        <v>弾き語り</v>
      </c>
      <c r="W747" s="13">
        <f t="shared" si="35"/>
        <v>5739</v>
      </c>
      <c r="X747" s="12" t="str">
        <f>_xlfn.XLOOKUP($B747,M_YT_LIVE!$A:$A,M_YT_LIVE!$D:$D)</f>
        <v>https://www.youtube.com/live/TDYlHpN4h0s?si=ysSy7YIPSXU6T0nx</v>
      </c>
      <c r="Z747" s="16" t="str">
        <f>HYPERLINK($X747&amp;SUBSTITUTE(マスタ!$C$3,"XXXXX",$W747))</f>
        <v>https://www.youtube.com/live/TDYlHpN4h0s?si=ysSy7YIPSXU6T0nx&amp;t=5739s</v>
      </c>
      <c r="AA747" s="12" t="str">
        <f t="shared" si="34"/>
        <v>有機酸(神山羊) feat.初音ミクquiet room</v>
      </c>
    </row>
    <row r="748" spans="1:27" x14ac:dyDescent="0.4">
      <c r="A748" s="14">
        <f t="shared" si="36"/>
        <v>747</v>
      </c>
      <c r="B748" s="14">
        <v>98</v>
      </c>
      <c r="C748" s="21" t="s">
        <v>1831</v>
      </c>
      <c r="D748" s="14" t="s">
        <v>256</v>
      </c>
      <c r="E748" s="14" t="s">
        <v>1832</v>
      </c>
      <c r="G748" s="1" t="str">
        <f>_xlfn.XLOOKUP(B748,M_YT_LIVE!A:A,M_YT_LIVE!F:F,"ERROR",0,1)</f>
        <v>弾き語り</v>
      </c>
      <c r="W748" s="13">
        <f t="shared" si="35"/>
        <v>6191</v>
      </c>
      <c r="X748" s="12" t="str">
        <f>_xlfn.XLOOKUP($B748,M_YT_LIVE!$A:$A,M_YT_LIVE!$D:$D)</f>
        <v>https://www.youtube.com/live/TDYlHpN4h0s?si=ysSy7YIPSXU6T0nx</v>
      </c>
      <c r="Z748" s="16" t="str">
        <f>HYPERLINK($X748&amp;SUBSTITUTE(マスタ!$C$3,"XXXXX",$W748))</f>
        <v>https://www.youtube.com/live/TDYlHpN4h0s?si=ysSy7YIPSXU6T0nx&amp;t=6191s</v>
      </c>
      <c r="AA748" s="12" t="str">
        <f t="shared" si="34"/>
        <v>ナユタン星人 feat.初音ミクロケットサイダー</v>
      </c>
    </row>
    <row r="749" spans="1:27" x14ac:dyDescent="0.4">
      <c r="A749" s="14">
        <f t="shared" si="36"/>
        <v>748</v>
      </c>
      <c r="B749" s="14">
        <v>98</v>
      </c>
      <c r="C749" s="21" t="s">
        <v>1833</v>
      </c>
      <c r="D749" s="14" t="s">
        <v>1834</v>
      </c>
      <c r="E749" s="14" t="s">
        <v>1835</v>
      </c>
      <c r="G749" s="1" t="str">
        <f>_xlfn.XLOOKUP(B749,M_YT_LIVE!A:A,M_YT_LIVE!F:F,"ERROR",0,1)</f>
        <v>弾き語り</v>
      </c>
      <c r="W749" s="13">
        <f t="shared" si="35"/>
        <v>6694</v>
      </c>
      <c r="X749" s="12" t="str">
        <f>_xlfn.XLOOKUP($B749,M_YT_LIVE!$A:$A,M_YT_LIVE!$D:$D)</f>
        <v>https://www.youtube.com/live/TDYlHpN4h0s?si=ysSy7YIPSXU6T0nx</v>
      </c>
      <c r="Z749" s="16" t="str">
        <f>HYPERLINK($X749&amp;SUBSTITUTE(マスタ!$C$3,"XXXXX",$W749))</f>
        <v>https://www.youtube.com/live/TDYlHpN4h0s?si=ysSy7YIPSXU6T0nx&amp;t=6694s</v>
      </c>
      <c r="AA749" s="12" t="str">
        <f t="shared" si="34"/>
        <v>MI8k feat.GUMIラブ&amp;デストロイ</v>
      </c>
    </row>
    <row r="750" spans="1:27" x14ac:dyDescent="0.4">
      <c r="A750" s="14">
        <f t="shared" si="36"/>
        <v>749</v>
      </c>
      <c r="B750" s="14">
        <v>99</v>
      </c>
      <c r="C750" s="21" t="s">
        <v>1794</v>
      </c>
      <c r="D750" s="14" t="s">
        <v>1838</v>
      </c>
      <c r="E750" s="14" t="s">
        <v>138</v>
      </c>
      <c r="G750" s="1" t="str">
        <f>_xlfn.XLOOKUP(B750,M_YT_LIVE!A:A,M_YT_LIVE!F:F,"ERROR",0,1)</f>
        <v>弾き語り</v>
      </c>
      <c r="W750" s="13">
        <f t="shared" si="35"/>
        <v>257</v>
      </c>
      <c r="X750" s="12" t="str">
        <f>_xlfn.XLOOKUP($B750,M_YT_LIVE!$A:$A,M_YT_LIVE!$D:$D)</f>
        <v>https://www.youtube.com/live/5-PHEYq6a-Y?si=i1qN4inKhZc0prZ-</v>
      </c>
      <c r="Z750" s="16" t="str">
        <f>HYPERLINK($X750&amp;SUBSTITUTE(マスタ!$C$3,"XXXXX",$W750))</f>
        <v>https://www.youtube.com/live/5-PHEYq6a-Y?si=i1qN4inKhZc0prZ-&amp;t=257s</v>
      </c>
      <c r="AA750" s="12" t="str">
        <f t="shared" si="34"/>
        <v>ポルカドットスティングレイ化身</v>
      </c>
    </row>
    <row r="751" spans="1:27" x14ac:dyDescent="0.4">
      <c r="A751" s="14">
        <f t="shared" si="36"/>
        <v>750</v>
      </c>
      <c r="B751" s="14">
        <v>99</v>
      </c>
      <c r="C751" s="21" t="s">
        <v>1839</v>
      </c>
      <c r="D751" s="14" t="s">
        <v>1840</v>
      </c>
      <c r="E751" s="14" t="s">
        <v>138</v>
      </c>
      <c r="G751" s="1" t="str">
        <f>_xlfn.XLOOKUP(B751,M_YT_LIVE!A:A,M_YT_LIVE!F:F,"ERROR",0,1)</f>
        <v>弾き語り</v>
      </c>
      <c r="W751" s="13">
        <f t="shared" si="35"/>
        <v>585</v>
      </c>
      <c r="X751" s="12" t="str">
        <f>_xlfn.XLOOKUP($B751,M_YT_LIVE!$A:$A,M_YT_LIVE!$D:$D)</f>
        <v>https://www.youtube.com/live/5-PHEYq6a-Y?si=i1qN4inKhZc0prZ-</v>
      </c>
      <c r="Z751" s="16" t="str">
        <f>HYPERLINK($X751&amp;SUBSTITUTE(マスタ!$C$3,"XXXXX",$W751))</f>
        <v>https://www.youtube.com/live/5-PHEYq6a-Y?si=i1qN4inKhZc0prZ-&amp;t=585s</v>
      </c>
      <c r="AA751" s="12" t="str">
        <f t="shared" si="34"/>
        <v>ポルカドットスティングレイヒミツ</v>
      </c>
    </row>
    <row r="752" spans="1:27" x14ac:dyDescent="0.4">
      <c r="A752" s="14">
        <f t="shared" si="36"/>
        <v>751</v>
      </c>
      <c r="B752" s="14">
        <v>99</v>
      </c>
      <c r="C752" s="21" t="s">
        <v>1841</v>
      </c>
      <c r="D752" s="14" t="s">
        <v>1842</v>
      </c>
      <c r="E752" s="14" t="s">
        <v>547</v>
      </c>
      <c r="G752" s="1" t="str">
        <f>_xlfn.XLOOKUP(B752,M_YT_LIVE!A:A,M_YT_LIVE!F:F,"ERROR",0,1)</f>
        <v>弾き語り</v>
      </c>
      <c r="W752" s="13">
        <f t="shared" si="35"/>
        <v>944.99999999999989</v>
      </c>
      <c r="X752" s="12" t="str">
        <f>_xlfn.XLOOKUP($B752,M_YT_LIVE!$A:$A,M_YT_LIVE!$D:$D)</f>
        <v>https://www.youtube.com/live/5-PHEYq6a-Y?si=i1qN4inKhZc0prZ-</v>
      </c>
      <c r="Z752" s="16" t="str">
        <f>HYPERLINK($X752&amp;SUBSTITUTE(マスタ!$C$3,"XXXXX",$W752))</f>
        <v>https://www.youtube.com/live/5-PHEYq6a-Y?si=i1qN4inKhZc0prZ-&amp;t=945s</v>
      </c>
      <c r="AA752" s="12" t="str">
        <f t="shared" si="34"/>
        <v>米津玄師春雷</v>
      </c>
    </row>
    <row r="753" spans="1:27" x14ac:dyDescent="0.4">
      <c r="A753" s="14">
        <f t="shared" si="36"/>
        <v>752</v>
      </c>
      <c r="B753" s="14">
        <v>99</v>
      </c>
      <c r="C753" s="21" t="s">
        <v>1843</v>
      </c>
      <c r="D753" s="14" t="s">
        <v>1844</v>
      </c>
      <c r="E753" s="14" t="s">
        <v>1845</v>
      </c>
      <c r="G753" s="1" t="str">
        <f>_xlfn.XLOOKUP(B753,M_YT_LIVE!A:A,M_YT_LIVE!F:F,"ERROR",0,1)</f>
        <v>弾き語り</v>
      </c>
      <c r="W753" s="13">
        <f t="shared" si="35"/>
        <v>1338</v>
      </c>
      <c r="X753" s="12" t="str">
        <f>_xlfn.XLOOKUP($B753,M_YT_LIVE!$A:$A,M_YT_LIVE!$D:$D)</f>
        <v>https://www.youtube.com/live/5-PHEYq6a-Y?si=i1qN4inKhZc0prZ-</v>
      </c>
      <c r="Z753" s="16" t="str">
        <f>HYPERLINK($X753&amp;SUBSTITUTE(マスタ!$C$3,"XXXXX",$W753))</f>
        <v>https://www.youtube.com/live/5-PHEYq6a-Y?si=i1qN4inKhZc0prZ-&amp;t=1338s</v>
      </c>
      <c r="AA753" s="12" t="str">
        <f t="shared" si="34"/>
        <v>煮ル果実 feat.Flowerヲズワルド</v>
      </c>
    </row>
    <row r="754" spans="1:27" x14ac:dyDescent="0.4">
      <c r="A754" s="14">
        <f t="shared" si="36"/>
        <v>753</v>
      </c>
      <c r="B754" s="14">
        <v>99</v>
      </c>
      <c r="C754" s="21" t="s">
        <v>1846</v>
      </c>
      <c r="D754" s="14" t="s">
        <v>197</v>
      </c>
      <c r="E754" s="14" t="s">
        <v>125</v>
      </c>
      <c r="G754" s="1" t="str">
        <f>_xlfn.XLOOKUP(B754,M_YT_LIVE!A:A,M_YT_LIVE!F:F,"ERROR",0,1)</f>
        <v>弾き語り</v>
      </c>
      <c r="W754" s="13">
        <f t="shared" si="35"/>
        <v>1545</v>
      </c>
      <c r="X754" s="12" t="str">
        <f>_xlfn.XLOOKUP($B754,M_YT_LIVE!$A:$A,M_YT_LIVE!$D:$D)</f>
        <v>https://www.youtube.com/live/5-PHEYq6a-Y?si=i1qN4inKhZc0prZ-</v>
      </c>
      <c r="Z754" s="16" t="str">
        <f>HYPERLINK($X754&amp;SUBSTITUTE(マスタ!$C$3,"XXXXX",$W754))</f>
        <v>https://www.youtube.com/live/5-PHEYq6a-Y?si=i1qN4inKhZc0prZ-&amp;t=1545s</v>
      </c>
      <c r="AA754" s="12" t="str">
        <f t="shared" si="34"/>
        <v>Orangestar feat.IADAYBREAK FRONTLINE</v>
      </c>
    </row>
    <row r="755" spans="1:27" x14ac:dyDescent="0.4">
      <c r="A755" s="14">
        <f t="shared" si="36"/>
        <v>754</v>
      </c>
      <c r="B755" s="14">
        <v>99</v>
      </c>
      <c r="C755" s="21" t="s">
        <v>1847</v>
      </c>
      <c r="D755" s="14" t="s">
        <v>77</v>
      </c>
      <c r="E755" s="14" t="s">
        <v>78</v>
      </c>
      <c r="G755" s="1" t="str">
        <f>_xlfn.XLOOKUP(B755,M_YT_LIVE!A:A,M_YT_LIVE!F:F,"ERROR",0,1)</f>
        <v>弾き語り</v>
      </c>
      <c r="W755" s="13">
        <f t="shared" si="35"/>
        <v>1820.9999999999998</v>
      </c>
      <c r="X755" s="12" t="str">
        <f>_xlfn.XLOOKUP($B755,M_YT_LIVE!$A:$A,M_YT_LIVE!$D:$D)</f>
        <v>https://www.youtube.com/live/5-PHEYq6a-Y?si=i1qN4inKhZc0prZ-</v>
      </c>
      <c r="Z755" s="16" t="str">
        <f>HYPERLINK($X755&amp;SUBSTITUTE(マスタ!$C$3,"XXXXX",$W755))</f>
        <v>https://www.youtube.com/live/5-PHEYq6a-Y?si=i1qN4inKhZc0prZ-&amp;t=1821s</v>
      </c>
      <c r="AA755" s="12" t="str">
        <f t="shared" si="34"/>
        <v>チャットモンチー真夜中遊園地</v>
      </c>
    </row>
    <row r="756" spans="1:27" x14ac:dyDescent="0.4">
      <c r="A756" s="14">
        <f t="shared" si="36"/>
        <v>755</v>
      </c>
      <c r="B756" s="14">
        <v>99</v>
      </c>
      <c r="C756" s="21" t="s">
        <v>1848</v>
      </c>
      <c r="D756" s="14" t="s">
        <v>1849</v>
      </c>
      <c r="E756" s="14" t="s">
        <v>78</v>
      </c>
      <c r="G756" s="1" t="str">
        <f>_xlfn.XLOOKUP(B756,M_YT_LIVE!A:A,M_YT_LIVE!F:F,"ERROR",0,1)</f>
        <v>弾き語り</v>
      </c>
      <c r="W756" s="13">
        <f t="shared" si="35"/>
        <v>2105</v>
      </c>
      <c r="X756" s="12" t="str">
        <f>_xlfn.XLOOKUP($B756,M_YT_LIVE!$A:$A,M_YT_LIVE!$D:$D)</f>
        <v>https://www.youtube.com/live/5-PHEYq6a-Y?si=i1qN4inKhZc0prZ-</v>
      </c>
      <c r="Z756" s="16" t="str">
        <f>HYPERLINK($X756&amp;SUBSTITUTE(マスタ!$C$3,"XXXXX",$W756))</f>
        <v>https://www.youtube.com/live/5-PHEYq6a-Y?si=i1qN4inKhZc0prZ-&amp;t=2105s</v>
      </c>
      <c r="AA756" s="12" t="str">
        <f t="shared" si="34"/>
        <v>チャットモンチー風吹けば恋</v>
      </c>
    </row>
    <row r="757" spans="1:27" x14ac:dyDescent="0.4">
      <c r="A757" s="14">
        <f t="shared" si="36"/>
        <v>756</v>
      </c>
      <c r="B757" s="14">
        <v>99</v>
      </c>
      <c r="C757" s="21" t="s">
        <v>1850</v>
      </c>
      <c r="D757" s="14" t="s">
        <v>652</v>
      </c>
      <c r="E757" s="14" t="s">
        <v>653</v>
      </c>
      <c r="G757" s="1" t="str">
        <f>_xlfn.XLOOKUP(B757,M_YT_LIVE!A:A,M_YT_LIVE!F:F,"ERROR",0,1)</f>
        <v>弾き語り</v>
      </c>
      <c r="W757" s="13">
        <f t="shared" si="35"/>
        <v>2465</v>
      </c>
      <c r="X757" s="12" t="str">
        <f>_xlfn.XLOOKUP($B757,M_YT_LIVE!$A:$A,M_YT_LIVE!$D:$D)</f>
        <v>https://www.youtube.com/live/5-PHEYq6a-Y?si=i1qN4inKhZc0prZ-</v>
      </c>
      <c r="Z757" s="16" t="str">
        <f>HYPERLINK($X757&amp;SUBSTITUTE(マスタ!$C$3,"XXXXX",$W757))</f>
        <v>https://www.youtube.com/live/5-PHEYq6a-Y?si=i1qN4inKhZc0prZ-&amp;t=2465s</v>
      </c>
      <c r="AA757" s="12" t="str">
        <f t="shared" si="34"/>
        <v>Cö shu Nieasphyxia</v>
      </c>
    </row>
    <row r="758" spans="1:27" x14ac:dyDescent="0.4">
      <c r="A758" s="14">
        <f t="shared" si="36"/>
        <v>757</v>
      </c>
      <c r="B758" s="14">
        <v>99</v>
      </c>
      <c r="C758" s="21" t="s">
        <v>1851</v>
      </c>
      <c r="D758" s="14" t="s">
        <v>741</v>
      </c>
      <c r="E758" s="14" t="s">
        <v>742</v>
      </c>
      <c r="G758" s="1" t="str">
        <f>_xlfn.XLOOKUP(B758,M_YT_LIVE!A:A,M_YT_LIVE!F:F,"ERROR",0,1)</f>
        <v>弾き語り</v>
      </c>
      <c r="W758" s="13">
        <f t="shared" si="35"/>
        <v>2772</v>
      </c>
      <c r="X758" s="12" t="str">
        <f>_xlfn.XLOOKUP($B758,M_YT_LIVE!$A:$A,M_YT_LIVE!$D:$D)</f>
        <v>https://www.youtube.com/live/5-PHEYq6a-Y?si=i1qN4inKhZc0prZ-</v>
      </c>
      <c r="Z758" s="16" t="str">
        <f>HYPERLINK($X758&amp;SUBSTITUTE(マスタ!$C$3,"XXXXX",$W758))</f>
        <v>https://www.youtube.com/live/5-PHEYq6a-Y?si=i1qN4inKhZc0prZ-&amp;t=2772s</v>
      </c>
      <c r="AA758" s="12" t="str">
        <f t="shared" si="34"/>
        <v>KANA-BOONないものねだり</v>
      </c>
    </row>
    <row r="759" spans="1:27" x14ac:dyDescent="0.4">
      <c r="A759" s="14">
        <f t="shared" si="36"/>
        <v>758</v>
      </c>
      <c r="B759" s="14">
        <v>99</v>
      </c>
      <c r="C759" s="21" t="s">
        <v>1852</v>
      </c>
      <c r="D759" s="14" t="s">
        <v>1853</v>
      </c>
      <c r="E759" s="14" t="s">
        <v>742</v>
      </c>
      <c r="G759" s="1" t="str">
        <f>_xlfn.XLOOKUP(B759,M_YT_LIVE!A:A,M_YT_LIVE!F:F,"ERROR",0,1)</f>
        <v>弾き語り</v>
      </c>
      <c r="W759" s="13">
        <f t="shared" si="35"/>
        <v>3118</v>
      </c>
      <c r="X759" s="12" t="str">
        <f>_xlfn.XLOOKUP($B759,M_YT_LIVE!$A:$A,M_YT_LIVE!$D:$D)</f>
        <v>https://www.youtube.com/live/5-PHEYq6a-Y?si=i1qN4inKhZc0prZ-</v>
      </c>
      <c r="Z759" s="16" t="str">
        <f>HYPERLINK($X759&amp;SUBSTITUTE(マスタ!$C$3,"XXXXX",$W759))</f>
        <v>https://www.youtube.com/live/5-PHEYq6a-Y?si=i1qN4inKhZc0prZ-&amp;t=3118s</v>
      </c>
      <c r="AA759" s="12" t="str">
        <f t="shared" si="34"/>
        <v>KANA-BOON見たくないもの(1chorus)</v>
      </c>
    </row>
    <row r="760" spans="1:27" x14ac:dyDescent="0.4">
      <c r="A760" s="14">
        <f t="shared" si="36"/>
        <v>759</v>
      </c>
      <c r="B760" s="14">
        <v>99</v>
      </c>
      <c r="C760" s="21" t="s">
        <v>1854</v>
      </c>
      <c r="D760" s="14" t="s">
        <v>1855</v>
      </c>
      <c r="E760" s="14" t="s">
        <v>1856</v>
      </c>
      <c r="G760" s="1" t="str">
        <f>_xlfn.XLOOKUP(B760,M_YT_LIVE!A:A,M_YT_LIVE!F:F,"ERROR",0,1)</f>
        <v>弾き語り</v>
      </c>
      <c r="W760" s="13">
        <f t="shared" si="35"/>
        <v>3401</v>
      </c>
      <c r="X760" s="12" t="str">
        <f>_xlfn.XLOOKUP($B760,M_YT_LIVE!$A:$A,M_YT_LIVE!$D:$D)</f>
        <v>https://www.youtube.com/live/5-PHEYq6a-Y?si=i1qN4inKhZc0prZ-</v>
      </c>
      <c r="Z760" s="16" t="str">
        <f>HYPERLINK($X760&amp;SUBSTITUTE(マスタ!$C$3,"XXXXX",$W760))</f>
        <v>https://www.youtube.com/live/5-PHEYq6a-Y?si=i1qN4inKhZc0prZ-&amp;t=3401s</v>
      </c>
      <c r="AA760" s="12" t="str">
        <f t="shared" si="34"/>
        <v>flumpool星に願いを</v>
      </c>
    </row>
    <row r="761" spans="1:27" x14ac:dyDescent="0.4">
      <c r="A761" s="14">
        <f t="shared" si="36"/>
        <v>760</v>
      </c>
      <c r="B761" s="14">
        <v>99</v>
      </c>
      <c r="C761" s="21" t="s">
        <v>1857</v>
      </c>
      <c r="D761" s="14" t="s">
        <v>174</v>
      </c>
      <c r="E761" s="14" t="s">
        <v>1013</v>
      </c>
      <c r="G761" s="1" t="str">
        <f>_xlfn.XLOOKUP(B761,M_YT_LIVE!A:A,M_YT_LIVE!F:F,"ERROR",0,1)</f>
        <v>弾き語り</v>
      </c>
      <c r="W761" s="13">
        <f t="shared" si="35"/>
        <v>3802</v>
      </c>
      <c r="X761" s="12" t="str">
        <f>_xlfn.XLOOKUP($B761,M_YT_LIVE!$A:$A,M_YT_LIVE!$D:$D)</f>
        <v>https://www.youtube.com/live/5-PHEYq6a-Y?si=i1qN4inKhZc0prZ-</v>
      </c>
      <c r="Z761" s="16" t="str">
        <f>HYPERLINK($X761&amp;SUBSTITUTE(マスタ!$C$3,"XXXXX",$W761))</f>
        <v>https://www.youtube.com/live/5-PHEYq6a-Y?si=i1qN4inKhZc0prZ-&amp;t=3802s</v>
      </c>
      <c r="AA761" s="12" t="str">
        <f t="shared" si="34"/>
        <v>vaundy東京フラッシュ</v>
      </c>
    </row>
    <row r="762" spans="1:27" x14ac:dyDescent="0.4">
      <c r="A762" s="14">
        <f t="shared" si="36"/>
        <v>761</v>
      </c>
      <c r="B762" s="14">
        <v>99</v>
      </c>
      <c r="C762" s="21" t="s">
        <v>1858</v>
      </c>
      <c r="D762" s="14" t="s">
        <v>1859</v>
      </c>
      <c r="E762" s="14" t="s">
        <v>1860</v>
      </c>
      <c r="G762" s="1" t="str">
        <f>_xlfn.XLOOKUP(B762,M_YT_LIVE!A:A,M_YT_LIVE!F:F,"ERROR",0,1)</f>
        <v>弾き語り</v>
      </c>
      <c r="W762" s="13">
        <f t="shared" si="35"/>
        <v>4662</v>
      </c>
      <c r="X762" s="12" t="str">
        <f>_xlfn.XLOOKUP($B762,M_YT_LIVE!$A:$A,M_YT_LIVE!$D:$D)</f>
        <v>https://www.youtube.com/live/5-PHEYq6a-Y?si=i1qN4inKhZc0prZ-</v>
      </c>
      <c r="Z762" s="16" t="str">
        <f>HYPERLINK($X762&amp;SUBSTITUTE(マスタ!$C$3,"XXXXX",$W762))</f>
        <v>https://www.youtube.com/live/5-PHEYq6a-Y?si=i1qN4inKhZc0prZ-&amp;t=4662s</v>
      </c>
      <c r="AA762" s="12" t="str">
        <f t="shared" si="34"/>
        <v>SHISHAMO熱帯夜</v>
      </c>
    </row>
    <row r="763" spans="1:27" x14ac:dyDescent="0.4">
      <c r="A763" s="14">
        <f t="shared" si="36"/>
        <v>762</v>
      </c>
      <c r="B763" s="14">
        <v>99</v>
      </c>
      <c r="C763" s="21" t="s">
        <v>1861</v>
      </c>
      <c r="D763" s="14" t="s">
        <v>1862</v>
      </c>
      <c r="E763" s="14" t="s">
        <v>1860</v>
      </c>
      <c r="G763" s="1" t="str">
        <f>_xlfn.XLOOKUP(B763,M_YT_LIVE!A:A,M_YT_LIVE!F:F,"ERROR",0,1)</f>
        <v>弾き語り</v>
      </c>
      <c r="W763" s="13">
        <f t="shared" si="35"/>
        <v>4974</v>
      </c>
      <c r="X763" s="12" t="str">
        <f>_xlfn.XLOOKUP($B763,M_YT_LIVE!$A:$A,M_YT_LIVE!$D:$D)</f>
        <v>https://www.youtube.com/live/5-PHEYq6a-Y?si=i1qN4inKhZc0prZ-</v>
      </c>
      <c r="Z763" s="16" t="str">
        <f>HYPERLINK($X763&amp;SUBSTITUTE(マスタ!$C$3,"XXXXX",$W763))</f>
        <v>https://www.youtube.com/live/5-PHEYq6a-Y?si=i1qN4inKhZc0prZ-&amp;t=4974s</v>
      </c>
      <c r="AA763" s="12" t="str">
        <f t="shared" si="34"/>
        <v>SHISHAMOバンドマン(1chorus)</v>
      </c>
    </row>
    <row r="764" spans="1:27" x14ac:dyDescent="0.4">
      <c r="A764" s="14">
        <f t="shared" si="36"/>
        <v>763</v>
      </c>
      <c r="B764" s="14">
        <v>99</v>
      </c>
      <c r="C764" s="21" t="s">
        <v>1863</v>
      </c>
      <c r="D764" s="14" t="s">
        <v>962</v>
      </c>
      <c r="E764" s="14" t="s">
        <v>742</v>
      </c>
      <c r="G764" s="1" t="str">
        <f>_xlfn.XLOOKUP(B764,M_YT_LIVE!A:A,M_YT_LIVE!F:F,"ERROR",0,1)</f>
        <v>弾き語り</v>
      </c>
      <c r="W764" s="13">
        <f t="shared" si="35"/>
        <v>5948</v>
      </c>
      <c r="X764" s="12" t="str">
        <f>_xlfn.XLOOKUP($B764,M_YT_LIVE!$A:$A,M_YT_LIVE!$D:$D)</f>
        <v>https://www.youtube.com/live/5-PHEYq6a-Y?si=i1qN4inKhZc0prZ-</v>
      </c>
      <c r="Z764" s="16" t="str">
        <f>HYPERLINK($X764&amp;SUBSTITUTE(マスタ!$C$3,"XXXXX",$W764))</f>
        <v>https://www.youtube.com/live/5-PHEYq6a-Y?si=i1qN4inKhZc0prZ-&amp;t=5948s</v>
      </c>
      <c r="AA764" s="12" t="str">
        <f t="shared" si="34"/>
        <v>KANA-BOONフルドライブ</v>
      </c>
    </row>
    <row r="765" spans="1:27" x14ac:dyDescent="0.4">
      <c r="A765" s="14">
        <f t="shared" si="36"/>
        <v>764</v>
      </c>
      <c r="B765" s="14">
        <v>99</v>
      </c>
      <c r="C765" s="21" t="s">
        <v>1864</v>
      </c>
      <c r="D765" s="14" t="s">
        <v>751</v>
      </c>
      <c r="E765" s="14" t="s">
        <v>183</v>
      </c>
      <c r="G765" s="1" t="str">
        <f>_xlfn.XLOOKUP(B765,M_YT_LIVE!A:A,M_YT_LIVE!F:F,"ERROR",0,1)</f>
        <v>弾き語り</v>
      </c>
      <c r="W765" s="13">
        <f t="shared" si="35"/>
        <v>6174</v>
      </c>
      <c r="X765" s="12" t="str">
        <f>_xlfn.XLOOKUP($B765,M_YT_LIVE!$A:$A,M_YT_LIVE!$D:$D)</f>
        <v>https://www.youtube.com/live/5-PHEYq6a-Y?si=i1qN4inKhZc0prZ-</v>
      </c>
      <c r="Z765" s="16" t="str">
        <f>HYPERLINK($X765&amp;SUBSTITUTE(マスタ!$C$3,"XXXXX",$W765))</f>
        <v>https://www.youtube.com/live/5-PHEYq6a-Y?si=i1qN4inKhZc0prZ-&amp;t=6174s</v>
      </c>
      <c r="AA765" s="12" t="str">
        <f t="shared" ref="AA765:AA828" si="37">TRIM(E765)&amp;TRIM(D765)</f>
        <v>クリープハイプ社会の窓</v>
      </c>
    </row>
    <row r="766" spans="1:27" x14ac:dyDescent="0.4">
      <c r="A766" s="14">
        <f t="shared" si="36"/>
        <v>765</v>
      </c>
      <c r="B766" s="14">
        <v>99</v>
      </c>
      <c r="C766" s="21" t="s">
        <v>1865</v>
      </c>
      <c r="D766" s="14" t="s">
        <v>1866</v>
      </c>
      <c r="E766" s="14" t="s">
        <v>183</v>
      </c>
      <c r="G766" s="1" t="str">
        <f>_xlfn.XLOOKUP(B766,M_YT_LIVE!A:A,M_YT_LIVE!F:F,"ERROR",0,1)</f>
        <v>弾き語り</v>
      </c>
      <c r="W766" s="13">
        <f t="shared" si="35"/>
        <v>6520</v>
      </c>
      <c r="X766" s="12" t="str">
        <f>_xlfn.XLOOKUP($B766,M_YT_LIVE!$A:$A,M_YT_LIVE!$D:$D)</f>
        <v>https://www.youtube.com/live/5-PHEYq6a-Y?si=i1qN4inKhZc0prZ-</v>
      </c>
      <c r="Z766" s="16" t="str">
        <f>HYPERLINK($X766&amp;SUBSTITUTE(マスタ!$C$3,"XXXXX",$W766))</f>
        <v>https://www.youtube.com/live/5-PHEYq6a-Y?si=i1qN4inKhZc0prZ-&amp;t=6520s</v>
      </c>
      <c r="AA766" s="12" t="str">
        <f t="shared" si="37"/>
        <v>クリープハイプエロ</v>
      </c>
    </row>
    <row r="767" spans="1:27" x14ac:dyDescent="0.4">
      <c r="A767" s="14">
        <f t="shared" si="36"/>
        <v>766</v>
      </c>
      <c r="B767" s="14">
        <v>99</v>
      </c>
      <c r="C767" s="21" t="s">
        <v>1867</v>
      </c>
      <c r="D767" s="14" t="s">
        <v>1868</v>
      </c>
      <c r="E767" s="14" t="s">
        <v>183</v>
      </c>
      <c r="G767" s="1" t="str">
        <f>_xlfn.XLOOKUP(B767,M_YT_LIVE!A:A,M_YT_LIVE!F:F,"ERROR",0,1)</f>
        <v>弾き語り</v>
      </c>
      <c r="W767" s="13">
        <f t="shared" si="35"/>
        <v>6792.0000000000009</v>
      </c>
      <c r="X767" s="12" t="str">
        <f>_xlfn.XLOOKUP($B767,M_YT_LIVE!$A:$A,M_YT_LIVE!$D:$D)</f>
        <v>https://www.youtube.com/live/5-PHEYq6a-Y?si=i1qN4inKhZc0prZ-</v>
      </c>
      <c r="Z767" s="16" t="str">
        <f>HYPERLINK($X767&amp;SUBSTITUTE(マスタ!$C$3,"XXXXX",$W767))</f>
        <v>https://www.youtube.com/live/5-PHEYq6a-Y?si=i1qN4inKhZc0prZ-&amp;t=6792s</v>
      </c>
      <c r="AA767" s="12" t="str">
        <f t="shared" si="37"/>
        <v>クリープハイプ鬼</v>
      </c>
    </row>
    <row r="768" spans="1:27" x14ac:dyDescent="0.4">
      <c r="A768" s="14">
        <f t="shared" si="36"/>
        <v>767</v>
      </c>
      <c r="B768" s="14">
        <v>99</v>
      </c>
      <c r="C768" s="21" t="s">
        <v>1869</v>
      </c>
      <c r="D768" s="14" t="s">
        <v>29</v>
      </c>
      <c r="E768" s="14" t="s">
        <v>183</v>
      </c>
      <c r="G768" s="1" t="str">
        <f>_xlfn.XLOOKUP(B768,M_YT_LIVE!A:A,M_YT_LIVE!F:F,"ERROR",0,1)</f>
        <v>弾き語り</v>
      </c>
      <c r="W768" s="13">
        <f t="shared" si="35"/>
        <v>7224</v>
      </c>
      <c r="X768" s="12" t="str">
        <f>_xlfn.XLOOKUP($B768,M_YT_LIVE!$A:$A,M_YT_LIVE!$D:$D)</f>
        <v>https://www.youtube.com/live/5-PHEYq6a-Y?si=i1qN4inKhZc0prZ-</v>
      </c>
      <c r="Z768" s="16" t="str">
        <f>HYPERLINK($X768&amp;SUBSTITUTE(マスタ!$C$3,"XXXXX",$W768))</f>
        <v>https://www.youtube.com/live/5-PHEYq6a-Y?si=i1qN4inKhZc0prZ-&amp;t=7224s</v>
      </c>
      <c r="AA768" s="12" t="str">
        <f t="shared" si="37"/>
        <v>クリープハイプ憂、燦々</v>
      </c>
    </row>
    <row r="769" spans="1:27" x14ac:dyDescent="0.4">
      <c r="A769" s="14">
        <f t="shared" si="36"/>
        <v>768</v>
      </c>
      <c r="B769" s="14">
        <v>99</v>
      </c>
      <c r="C769" s="21" t="s">
        <v>1870</v>
      </c>
      <c r="D769" s="14" t="s">
        <v>757</v>
      </c>
      <c r="E769" s="14" t="s">
        <v>390</v>
      </c>
      <c r="G769" s="1" t="str">
        <f>_xlfn.XLOOKUP(B769,M_YT_LIVE!A:A,M_YT_LIVE!F:F,"ERROR",0,1)</f>
        <v>弾き語り</v>
      </c>
      <c r="W769" s="13">
        <f t="shared" si="35"/>
        <v>7636</v>
      </c>
      <c r="X769" s="12" t="str">
        <f>_xlfn.XLOOKUP($B769,M_YT_LIVE!$A:$A,M_YT_LIVE!$D:$D)</f>
        <v>https://www.youtube.com/live/5-PHEYq6a-Y?si=i1qN4inKhZc0prZ-</v>
      </c>
      <c r="Z769" s="16" t="str">
        <f>HYPERLINK($X769&amp;SUBSTITUTE(マスタ!$C$3,"XXXXX",$W769))</f>
        <v>https://www.youtube.com/live/5-PHEYq6a-Y?si=i1qN4inKhZc0prZ-&amp;t=7636s</v>
      </c>
      <c r="AA769" s="12" t="str">
        <f t="shared" si="37"/>
        <v>LiSAträumerei</v>
      </c>
    </row>
    <row r="770" spans="1:27" x14ac:dyDescent="0.4">
      <c r="A770" s="14">
        <f t="shared" si="36"/>
        <v>769</v>
      </c>
      <c r="B770" s="14">
        <v>100</v>
      </c>
      <c r="C770" s="21" t="s">
        <v>1873</v>
      </c>
      <c r="D770" s="14" t="s">
        <v>31</v>
      </c>
      <c r="E770" s="14" t="s">
        <v>1047</v>
      </c>
      <c r="G770" s="1" t="str">
        <f>_xlfn.XLOOKUP(B770,M_YT_LIVE!A:A,M_YT_LIVE!F:F,"ERROR",0,1)</f>
        <v>弾き語り</v>
      </c>
      <c r="W770" s="13">
        <f t="shared" si="35"/>
        <v>320</v>
      </c>
      <c r="X770" s="12" t="str">
        <f>_xlfn.XLOOKUP($B770,M_YT_LIVE!$A:$A,M_YT_LIVE!$D:$D)</f>
        <v>https://www.youtube.com/live/keSRwH4Zr7g?si=RPmDxNZjQB1dZWSK</v>
      </c>
      <c r="Z770" s="16" t="str">
        <f>HYPERLINK($X770&amp;SUBSTITUTE(マスタ!$C$3,"XXXXX",$W770))</f>
        <v>https://www.youtube.com/live/keSRwH4Zr7g?si=RPmDxNZjQB1dZWSK&amp;t=320s</v>
      </c>
      <c r="AA770" s="12" t="str">
        <f t="shared" si="37"/>
        <v>メル feat.IAプラトニック・ラヴ</v>
      </c>
    </row>
    <row r="771" spans="1:27" x14ac:dyDescent="0.4">
      <c r="A771" s="14">
        <f t="shared" si="36"/>
        <v>770</v>
      </c>
      <c r="B771" s="14">
        <v>100</v>
      </c>
      <c r="C771" s="21" t="s">
        <v>1874</v>
      </c>
      <c r="D771" s="14" t="s">
        <v>710</v>
      </c>
      <c r="E771" s="14" t="s">
        <v>1875</v>
      </c>
      <c r="G771" s="1" t="str">
        <f>_xlfn.XLOOKUP(B771,M_YT_LIVE!A:A,M_YT_LIVE!F:F,"ERROR",0,1)</f>
        <v>弾き語り</v>
      </c>
      <c r="W771" s="13">
        <f t="shared" si="35"/>
        <v>611</v>
      </c>
      <c r="X771" s="12" t="str">
        <f>_xlfn.XLOOKUP($B771,M_YT_LIVE!$A:$A,M_YT_LIVE!$D:$D)</f>
        <v>https://www.youtube.com/live/keSRwH4Zr7g?si=RPmDxNZjQB1dZWSK</v>
      </c>
      <c r="Z771" s="16" t="str">
        <f>HYPERLINK($X771&amp;SUBSTITUTE(マスタ!$C$3,"XXXXX",$W771))</f>
        <v>https://www.youtube.com/live/keSRwH4Zr7g?si=RPmDxNZjQB1dZWSK&amp;t=611s</v>
      </c>
      <c r="AA771" s="12" t="str">
        <f t="shared" si="37"/>
        <v>40mp feat.初音ミク&amp;GUMIフタリボシ</v>
      </c>
    </row>
    <row r="772" spans="1:27" x14ac:dyDescent="0.4">
      <c r="A772" s="14">
        <f t="shared" si="36"/>
        <v>771</v>
      </c>
      <c r="B772" s="14">
        <v>100</v>
      </c>
      <c r="C772" s="21" t="s">
        <v>1876</v>
      </c>
      <c r="D772" s="14" t="s">
        <v>1479</v>
      </c>
      <c r="E772" s="14" t="s">
        <v>141</v>
      </c>
      <c r="G772" s="1" t="str">
        <f>_xlfn.XLOOKUP(B772,M_YT_LIVE!A:A,M_YT_LIVE!F:F,"ERROR",0,1)</f>
        <v>弾き語り</v>
      </c>
      <c r="W772" s="13">
        <f t="shared" ref="W772:W835" si="38">TIMEVALUE($C772)*86400</f>
        <v>1124</v>
      </c>
      <c r="X772" s="12" t="str">
        <f>_xlfn.XLOOKUP($B772,M_YT_LIVE!$A:$A,M_YT_LIVE!$D:$D)</f>
        <v>https://www.youtube.com/live/keSRwH4Zr7g?si=RPmDxNZjQB1dZWSK</v>
      </c>
      <c r="Z772" s="16" t="str">
        <f>HYPERLINK($X772&amp;SUBSTITUTE(マスタ!$C$3,"XXXXX",$W772))</f>
        <v>https://www.youtube.com/live/keSRwH4Zr7g?si=RPmDxNZjQB1dZWSK&amp;t=1124s</v>
      </c>
      <c r="AA772" s="12" t="str">
        <f t="shared" si="37"/>
        <v>ヨルシカアポリア</v>
      </c>
    </row>
    <row r="773" spans="1:27" x14ac:dyDescent="0.4">
      <c r="A773" s="14">
        <f t="shared" ref="A773:A836" si="39">ROW()-1</f>
        <v>772</v>
      </c>
      <c r="B773" s="14">
        <v>100</v>
      </c>
      <c r="C773" s="21" t="s">
        <v>1877</v>
      </c>
      <c r="D773" s="14" t="s">
        <v>134</v>
      </c>
      <c r="E773" s="14" t="s">
        <v>135</v>
      </c>
      <c r="G773" s="1" t="str">
        <f>_xlfn.XLOOKUP(B773,M_YT_LIVE!A:A,M_YT_LIVE!F:F,"ERROR",0,1)</f>
        <v>弾き語り</v>
      </c>
      <c r="W773" s="13">
        <f t="shared" si="38"/>
        <v>1533.0000000000002</v>
      </c>
      <c r="X773" s="12" t="str">
        <f>_xlfn.XLOOKUP($B773,M_YT_LIVE!$A:$A,M_YT_LIVE!$D:$D)</f>
        <v>https://www.youtube.com/live/keSRwH4Zr7g?si=RPmDxNZjQB1dZWSK</v>
      </c>
      <c r="Z773" s="16" t="str">
        <f>HYPERLINK($X773&amp;SUBSTITUTE(マスタ!$C$3,"XXXXX",$W773))</f>
        <v>https://www.youtube.com/live/keSRwH4Zr7g?si=RPmDxNZjQB1dZWSK&amp;t=1533s</v>
      </c>
      <c r="AA773" s="12" t="str">
        <f t="shared" si="37"/>
        <v>EGOISTGhost of a smile</v>
      </c>
    </row>
    <row r="774" spans="1:27" x14ac:dyDescent="0.4">
      <c r="A774" s="14">
        <f t="shared" si="39"/>
        <v>773</v>
      </c>
      <c r="B774" s="14">
        <v>100</v>
      </c>
      <c r="C774" s="21" t="s">
        <v>1878</v>
      </c>
      <c r="D774" s="14" t="s">
        <v>312</v>
      </c>
      <c r="E774" s="14" t="s">
        <v>208</v>
      </c>
      <c r="G774" s="1" t="str">
        <f>_xlfn.XLOOKUP(B774,M_YT_LIVE!A:A,M_YT_LIVE!F:F,"ERROR",0,1)</f>
        <v>弾き語り</v>
      </c>
      <c r="W774" s="13">
        <f t="shared" si="38"/>
        <v>1990</v>
      </c>
      <c r="X774" s="12" t="str">
        <f>_xlfn.XLOOKUP($B774,M_YT_LIVE!$A:$A,M_YT_LIVE!$D:$D)</f>
        <v>https://www.youtube.com/live/keSRwH4Zr7g?si=RPmDxNZjQB1dZWSK</v>
      </c>
      <c r="Z774" s="16" t="str">
        <f>HYPERLINK($X774&amp;SUBSTITUTE(マスタ!$C$3,"XXXXX",$W774))</f>
        <v>https://www.youtube.com/live/keSRwH4Zr7g?si=RPmDxNZjQB1dZWSK&amp;t=1990s</v>
      </c>
      <c r="AA774" s="12" t="str">
        <f t="shared" si="37"/>
        <v>supercellリルモア</v>
      </c>
    </row>
    <row r="775" spans="1:27" x14ac:dyDescent="0.4">
      <c r="A775" s="14">
        <f t="shared" si="39"/>
        <v>774</v>
      </c>
      <c r="B775" s="14">
        <v>100</v>
      </c>
      <c r="C775" s="21" t="s">
        <v>1879</v>
      </c>
      <c r="D775" s="14" t="s">
        <v>207</v>
      </c>
      <c r="E775" s="14" t="s">
        <v>208</v>
      </c>
      <c r="G775" s="1" t="str">
        <f>_xlfn.XLOOKUP(B775,M_YT_LIVE!A:A,M_YT_LIVE!F:F,"ERROR",0,1)</f>
        <v>弾き語り</v>
      </c>
      <c r="W775" s="13">
        <f t="shared" si="38"/>
        <v>2455</v>
      </c>
      <c r="X775" s="12" t="str">
        <f>_xlfn.XLOOKUP($B775,M_YT_LIVE!$A:$A,M_YT_LIVE!$D:$D)</f>
        <v>https://www.youtube.com/live/keSRwH4Zr7g?si=RPmDxNZjQB1dZWSK</v>
      </c>
      <c r="Z775" s="16" t="str">
        <f>HYPERLINK($X775&amp;SUBSTITUTE(マスタ!$C$3,"XXXXX",$W775))</f>
        <v>https://www.youtube.com/live/keSRwH4Zr7g?si=RPmDxNZjQB1dZWSK&amp;t=2455s</v>
      </c>
      <c r="AA775" s="12" t="str">
        <f t="shared" si="37"/>
        <v>supercellPerfect Day</v>
      </c>
    </row>
    <row r="776" spans="1:27" x14ac:dyDescent="0.4">
      <c r="A776" s="14">
        <f t="shared" si="39"/>
        <v>775</v>
      </c>
      <c r="B776" s="14">
        <v>100</v>
      </c>
      <c r="C776" s="21" t="s">
        <v>1880</v>
      </c>
      <c r="D776" s="14" t="s">
        <v>289</v>
      </c>
      <c r="E776" s="14" t="s">
        <v>135</v>
      </c>
      <c r="G776" s="1" t="str">
        <f>_xlfn.XLOOKUP(B776,M_YT_LIVE!A:A,M_YT_LIVE!F:F,"ERROR",0,1)</f>
        <v>弾き語り</v>
      </c>
      <c r="W776" s="13">
        <f t="shared" si="38"/>
        <v>2855</v>
      </c>
      <c r="X776" s="12" t="str">
        <f>_xlfn.XLOOKUP($B776,M_YT_LIVE!$A:$A,M_YT_LIVE!$D:$D)</f>
        <v>https://www.youtube.com/live/keSRwH4Zr7g?si=RPmDxNZjQB1dZWSK</v>
      </c>
      <c r="Z776" s="16" t="str">
        <f>HYPERLINK($X776&amp;SUBSTITUTE(マスタ!$C$3,"XXXXX",$W776))</f>
        <v>https://www.youtube.com/live/keSRwH4Zr7g?si=RPmDxNZjQB1dZWSK&amp;t=2855s</v>
      </c>
      <c r="AA776" s="12" t="str">
        <f t="shared" si="37"/>
        <v>EGOIST雨、キミを連れて</v>
      </c>
    </row>
    <row r="777" spans="1:27" x14ac:dyDescent="0.4">
      <c r="A777" s="14">
        <f t="shared" si="39"/>
        <v>776</v>
      </c>
      <c r="B777" s="14">
        <v>100</v>
      </c>
      <c r="C777" s="21" t="s">
        <v>1881</v>
      </c>
      <c r="D777" s="14" t="s">
        <v>67</v>
      </c>
      <c r="E777" s="14" t="s">
        <v>20</v>
      </c>
      <c r="G777" s="1" t="str">
        <f>_xlfn.XLOOKUP(B777,M_YT_LIVE!A:A,M_YT_LIVE!F:F,"ERROR",0,1)</f>
        <v>弾き語り</v>
      </c>
      <c r="W777" s="13">
        <f t="shared" si="38"/>
        <v>3260</v>
      </c>
      <c r="X777" s="12" t="str">
        <f>_xlfn.XLOOKUP($B777,M_YT_LIVE!$A:$A,M_YT_LIVE!$D:$D)</f>
        <v>https://www.youtube.com/live/keSRwH4Zr7g?si=RPmDxNZjQB1dZWSK</v>
      </c>
      <c r="Z777" s="16" t="str">
        <f>HYPERLINK($X777&amp;SUBSTITUTE(マスタ!$C$3,"XXXXX",$W777))</f>
        <v>https://www.youtube.com/live/keSRwH4Zr7g?si=RPmDxNZjQB1dZWSK&amp;t=3260s</v>
      </c>
      <c r="AA777" s="12" t="str">
        <f t="shared" si="37"/>
        <v>Vaundy灯火</v>
      </c>
    </row>
    <row r="778" spans="1:27" x14ac:dyDescent="0.4">
      <c r="A778" s="14">
        <f t="shared" si="39"/>
        <v>777</v>
      </c>
      <c r="B778" s="14">
        <v>100</v>
      </c>
      <c r="C778" s="21" t="s">
        <v>1882</v>
      </c>
      <c r="D778" s="14" t="s">
        <v>1488</v>
      </c>
      <c r="E778" s="14" t="s">
        <v>924</v>
      </c>
      <c r="G778" s="1" t="str">
        <f>_xlfn.XLOOKUP(B778,M_YT_LIVE!A:A,M_YT_LIVE!F:F,"ERROR",0,1)</f>
        <v>弾き語り</v>
      </c>
      <c r="W778" s="13">
        <f t="shared" si="38"/>
        <v>3555</v>
      </c>
      <c r="X778" s="12" t="str">
        <f>_xlfn.XLOOKUP($B778,M_YT_LIVE!$A:$A,M_YT_LIVE!$D:$D)</f>
        <v>https://www.youtube.com/live/keSRwH4Zr7g?si=RPmDxNZjQB1dZWSK</v>
      </c>
      <c r="Z778" s="16" t="str">
        <f>HYPERLINK($X778&amp;SUBSTITUTE(マスタ!$C$3,"XXXXX",$W778))</f>
        <v>https://www.youtube.com/live/keSRwH4Zr7g?si=RPmDxNZjQB1dZWSK&amp;t=3555s</v>
      </c>
      <c r="AA778" s="12" t="str">
        <f t="shared" si="37"/>
        <v>幽音しのFrom now on</v>
      </c>
    </row>
    <row r="779" spans="1:27" x14ac:dyDescent="0.4">
      <c r="A779" s="14">
        <f t="shared" si="39"/>
        <v>778</v>
      </c>
      <c r="B779" s="14">
        <v>100</v>
      </c>
      <c r="C779" s="21" t="s">
        <v>1883</v>
      </c>
      <c r="D779" s="14" t="s">
        <v>370</v>
      </c>
      <c r="E779" s="14" t="s">
        <v>208</v>
      </c>
      <c r="G779" s="1" t="str">
        <f>_xlfn.XLOOKUP(B779,M_YT_LIVE!A:A,M_YT_LIVE!F:F,"ERROR",0,1)</f>
        <v>弾き語り</v>
      </c>
      <c r="W779" s="13">
        <f t="shared" si="38"/>
        <v>4353</v>
      </c>
      <c r="X779" s="12" t="str">
        <f>_xlfn.XLOOKUP($B779,M_YT_LIVE!$A:$A,M_YT_LIVE!$D:$D)</f>
        <v>https://www.youtube.com/live/keSRwH4Zr7g?si=RPmDxNZjQB1dZWSK</v>
      </c>
      <c r="Z779" s="16" t="str">
        <f>HYPERLINK($X779&amp;SUBSTITUTE(マスタ!$C$3,"XXXXX",$W779))</f>
        <v>https://www.youtube.com/live/keSRwH4Zr7g?si=RPmDxNZjQB1dZWSK&amp;t=4353s</v>
      </c>
      <c r="AA779" s="12" t="str">
        <f t="shared" si="37"/>
        <v>supercellMy Dearest</v>
      </c>
    </row>
    <row r="780" spans="1:27" x14ac:dyDescent="0.4">
      <c r="A780" s="14">
        <f t="shared" si="39"/>
        <v>779</v>
      </c>
      <c r="B780" s="14">
        <v>100</v>
      </c>
      <c r="C780" s="21" t="s">
        <v>1884</v>
      </c>
      <c r="D780" s="14" t="s">
        <v>763</v>
      </c>
      <c r="E780" s="14" t="s">
        <v>195</v>
      </c>
      <c r="G780" s="1" t="str">
        <f>_xlfn.XLOOKUP(B780,M_YT_LIVE!A:A,M_YT_LIVE!F:F,"ERROR",0,1)</f>
        <v>弾き語り</v>
      </c>
      <c r="W780" s="13">
        <f t="shared" si="38"/>
        <v>4798</v>
      </c>
      <c r="X780" s="12" t="str">
        <f>_xlfn.XLOOKUP($B780,M_YT_LIVE!$A:$A,M_YT_LIVE!$D:$D)</f>
        <v>https://www.youtube.com/live/keSRwH4Zr7g?si=RPmDxNZjQB1dZWSK</v>
      </c>
      <c r="Z780" s="16" t="str">
        <f>HYPERLINK($X780&amp;SUBSTITUTE(マスタ!$C$3,"XXXXX",$W780))</f>
        <v>https://www.youtube.com/live/keSRwH4Zr7g?si=RPmDxNZjQB1dZWSK&amp;t=4798s</v>
      </c>
      <c r="AA780" s="12" t="str">
        <f t="shared" si="37"/>
        <v>やなぎなぎトコハナ</v>
      </c>
    </row>
    <row r="781" spans="1:27" x14ac:dyDescent="0.4">
      <c r="A781" s="14">
        <f t="shared" si="39"/>
        <v>780</v>
      </c>
      <c r="B781" s="14">
        <v>103</v>
      </c>
      <c r="C781" s="21" t="s">
        <v>1891</v>
      </c>
      <c r="D781" s="14" t="s">
        <v>1892</v>
      </c>
      <c r="E781" s="14" t="s">
        <v>1893</v>
      </c>
      <c r="G781" s="1" t="str">
        <f>_xlfn.XLOOKUP(B781,M_YT_LIVE!A:A,M_YT_LIVE!F:F,"ERROR",0,1)</f>
        <v>音源</v>
      </c>
      <c r="W781" s="13">
        <f t="shared" si="38"/>
        <v>394.99999999999994</v>
      </c>
      <c r="X781" s="12" t="str">
        <f>_xlfn.XLOOKUP($B781,M_YT_LIVE!$A:$A,M_YT_LIVE!$D:$D)</f>
        <v>https://www.youtube.com/live/orkAkFl798M?si=7tK-YB5J1dGoAFWq</v>
      </c>
      <c r="Z781" s="16" t="str">
        <f>HYPERLINK($X781&amp;SUBSTITUTE(マスタ!$C$3,"XXXXX",$W781))</f>
        <v>https://www.youtube.com/live/orkAkFl798M?si=7tK-YB5J1dGoAFWq&amp;t=395s</v>
      </c>
      <c r="AA781" s="12" t="str">
        <f t="shared" si="37"/>
        <v>ももいろクローバーZ行くぜっ!怪盗少女</v>
      </c>
    </row>
    <row r="782" spans="1:27" x14ac:dyDescent="0.4">
      <c r="A782" s="14">
        <f t="shared" si="39"/>
        <v>781</v>
      </c>
      <c r="B782" s="14">
        <v>103</v>
      </c>
      <c r="C782" s="21" t="s">
        <v>1894</v>
      </c>
      <c r="D782" s="14" t="s">
        <v>1895</v>
      </c>
      <c r="E782" s="14" t="s">
        <v>1893</v>
      </c>
      <c r="G782" s="1" t="str">
        <f>_xlfn.XLOOKUP(B782,M_YT_LIVE!A:A,M_YT_LIVE!F:F,"ERROR",0,1)</f>
        <v>音源</v>
      </c>
      <c r="W782" s="13">
        <f t="shared" si="38"/>
        <v>845</v>
      </c>
      <c r="X782" s="12" t="str">
        <f>_xlfn.XLOOKUP($B782,M_YT_LIVE!$A:$A,M_YT_LIVE!$D:$D)</f>
        <v>https://www.youtube.com/live/orkAkFl798M?si=7tK-YB5J1dGoAFWq</v>
      </c>
      <c r="Z782" s="16" t="str">
        <f>HYPERLINK($X782&amp;SUBSTITUTE(マスタ!$C$3,"XXXXX",$W782))</f>
        <v>https://www.youtube.com/live/orkAkFl798M?si=7tK-YB5J1dGoAFWq&amp;t=845s</v>
      </c>
      <c r="AA782" s="12" t="str">
        <f t="shared" si="37"/>
        <v>ももいろクローバーZサラバ、愛しき悲しみたちよ</v>
      </c>
    </row>
    <row r="783" spans="1:27" x14ac:dyDescent="0.4">
      <c r="A783" s="14">
        <f t="shared" si="39"/>
        <v>782</v>
      </c>
      <c r="B783" s="14">
        <v>103</v>
      </c>
      <c r="C783" s="21" t="s">
        <v>1896</v>
      </c>
      <c r="D783" s="14" t="s">
        <v>1897</v>
      </c>
      <c r="E783" s="14" t="s">
        <v>1898</v>
      </c>
      <c r="G783" s="1" t="str">
        <f>_xlfn.XLOOKUP(B783,M_YT_LIVE!A:A,M_YT_LIVE!F:F,"ERROR",0,1)</f>
        <v>音源</v>
      </c>
      <c r="W783" s="13">
        <f t="shared" si="38"/>
        <v>1266</v>
      </c>
      <c r="X783" s="12" t="str">
        <f>_xlfn.XLOOKUP($B783,M_YT_LIVE!$A:$A,M_YT_LIVE!$D:$D)</f>
        <v>https://www.youtube.com/live/orkAkFl798M?si=7tK-YB5J1dGoAFWq</v>
      </c>
      <c r="Z783" s="16" t="str">
        <f>HYPERLINK($X783&amp;SUBSTITUTE(マスタ!$C$3,"XXXXX",$W783))</f>
        <v>https://www.youtube.com/live/orkAkFl798M?si=7tK-YB5J1dGoAFWq&amp;t=1266s</v>
      </c>
      <c r="AA783" s="12" t="str">
        <f t="shared" si="37"/>
        <v>少女時代Gee</v>
      </c>
    </row>
    <row r="784" spans="1:27" x14ac:dyDescent="0.4">
      <c r="A784" s="14">
        <f t="shared" si="39"/>
        <v>783</v>
      </c>
      <c r="B784" s="14">
        <v>103</v>
      </c>
      <c r="C784" s="21" t="s">
        <v>1899</v>
      </c>
      <c r="D784" s="14" t="s">
        <v>1900</v>
      </c>
      <c r="E784" s="14" t="s">
        <v>1901</v>
      </c>
      <c r="G784" s="1" t="str">
        <f>_xlfn.XLOOKUP(B784,M_YT_LIVE!A:A,M_YT_LIVE!F:F,"ERROR",0,1)</f>
        <v>音源</v>
      </c>
      <c r="W784" s="13">
        <f t="shared" si="38"/>
        <v>1840</v>
      </c>
      <c r="X784" s="12" t="str">
        <f>_xlfn.XLOOKUP($B784,M_YT_LIVE!$A:$A,M_YT_LIVE!$D:$D)</f>
        <v>https://www.youtube.com/live/orkAkFl798M?si=7tK-YB5J1dGoAFWq</v>
      </c>
      <c r="Z784" s="16" t="str">
        <f>HYPERLINK($X784&amp;SUBSTITUTE(マスタ!$C$3,"XXXXX",$W784))</f>
        <v>https://www.youtube.com/live/orkAkFl798M?si=7tK-YB5J1dGoAFWq&amp;t=1840s</v>
      </c>
      <c r="AA784" s="12" t="str">
        <f t="shared" si="37"/>
        <v>ILLITMagnetic (チャレンジ)</v>
      </c>
    </row>
    <row r="785" spans="1:27" x14ac:dyDescent="0.4">
      <c r="A785" s="14">
        <f t="shared" si="39"/>
        <v>784</v>
      </c>
      <c r="B785" s="14">
        <v>103</v>
      </c>
      <c r="C785" s="21" t="s">
        <v>1902</v>
      </c>
      <c r="D785" s="14" t="s">
        <v>1903</v>
      </c>
      <c r="E785" s="14" t="s">
        <v>1904</v>
      </c>
      <c r="G785" s="1" t="str">
        <f>_xlfn.XLOOKUP(B785,M_YT_LIVE!A:A,M_YT_LIVE!F:F,"ERROR",0,1)</f>
        <v>音源</v>
      </c>
      <c r="W785" s="13">
        <f t="shared" si="38"/>
        <v>2145</v>
      </c>
      <c r="X785" s="12" t="str">
        <f>_xlfn.XLOOKUP($B785,M_YT_LIVE!$A:$A,M_YT_LIVE!$D:$D)</f>
        <v>https://www.youtube.com/live/orkAkFl798M?si=7tK-YB5J1dGoAFWq</v>
      </c>
      <c r="Z785" s="16" t="str">
        <f>HYPERLINK($X785&amp;SUBSTITUTE(マスタ!$C$3,"XXXXX",$W785))</f>
        <v>https://www.youtube.com/live/orkAkFl798M?si=7tK-YB5J1dGoAFWq&amp;t=2145s</v>
      </c>
      <c r="AA785" s="12" t="str">
        <f t="shared" si="37"/>
        <v>AiScReam(ラブライブ!)愛♡スクリ〜ム!</v>
      </c>
    </row>
    <row r="786" spans="1:27" x14ac:dyDescent="0.4">
      <c r="A786" s="14">
        <f t="shared" si="39"/>
        <v>785</v>
      </c>
      <c r="B786" s="14">
        <v>103</v>
      </c>
      <c r="C786" s="21" t="s">
        <v>1905</v>
      </c>
      <c r="D786" s="14" t="s">
        <v>669</v>
      </c>
      <c r="E786" s="14" t="s">
        <v>670</v>
      </c>
      <c r="G786" s="1" t="str">
        <f>_xlfn.XLOOKUP(B786,M_YT_LIVE!A:A,M_YT_LIVE!F:F,"ERROR",0,1)</f>
        <v>音源</v>
      </c>
      <c r="W786" s="13">
        <f t="shared" si="38"/>
        <v>2675</v>
      </c>
      <c r="X786" s="12" t="str">
        <f>_xlfn.XLOOKUP($B786,M_YT_LIVE!$A:$A,M_YT_LIVE!$D:$D)</f>
        <v>https://www.youtube.com/live/orkAkFl798M?si=7tK-YB5J1dGoAFWq</v>
      </c>
      <c r="Z786" s="16" t="str">
        <f>HYPERLINK($X786&amp;SUBSTITUTE(マスタ!$C$3,"XXXXX",$W786))</f>
        <v>https://www.youtube.com/live/orkAkFl798M?si=7tK-YB5J1dGoAFWq&amp;t=2675s</v>
      </c>
      <c r="AA786" s="12" t="str">
        <f t="shared" si="37"/>
        <v>μ‘s(ラブライブ!)Snow halation</v>
      </c>
    </row>
    <row r="787" spans="1:27" x14ac:dyDescent="0.4">
      <c r="A787" s="14">
        <f t="shared" si="39"/>
        <v>786</v>
      </c>
      <c r="B787" s="14">
        <v>103</v>
      </c>
      <c r="C787" s="21" t="s">
        <v>473</v>
      </c>
      <c r="D787" s="14" t="s">
        <v>1906</v>
      </c>
      <c r="E787" s="14" t="s">
        <v>1726</v>
      </c>
      <c r="G787" s="1" t="str">
        <f>_xlfn.XLOOKUP(B787,M_YT_LIVE!A:A,M_YT_LIVE!F:F,"ERROR",0,1)</f>
        <v>音源</v>
      </c>
      <c r="W787" s="13">
        <f t="shared" si="38"/>
        <v>3456</v>
      </c>
      <c r="X787" s="12" t="str">
        <f>_xlfn.XLOOKUP($B787,M_YT_LIVE!$A:$A,M_YT_LIVE!$D:$D)</f>
        <v>https://www.youtube.com/live/orkAkFl798M?si=7tK-YB5J1dGoAFWq</v>
      </c>
      <c r="Z787" s="16" t="str">
        <f>HYPERLINK($X787&amp;SUBSTITUTE(マスタ!$C$3,"XXXXX",$W787))</f>
        <v>https://www.youtube.com/live/orkAkFl798M?si=7tK-YB5J1dGoAFWq&amp;t=3456s</v>
      </c>
      <c r="AA787" s="12" t="str">
        <f t="shared" si="37"/>
        <v>嵐Troublemaker</v>
      </c>
    </row>
    <row r="788" spans="1:27" x14ac:dyDescent="0.4">
      <c r="A788" s="14">
        <f t="shared" si="39"/>
        <v>787</v>
      </c>
      <c r="B788" s="14">
        <v>103</v>
      </c>
      <c r="C788" s="21" t="s">
        <v>1907</v>
      </c>
      <c r="D788" s="14" t="s">
        <v>672</v>
      </c>
      <c r="E788" s="14" t="s">
        <v>673</v>
      </c>
      <c r="G788" s="1" t="str">
        <f>_xlfn.XLOOKUP(B788,M_YT_LIVE!A:A,M_YT_LIVE!F:F,"ERROR",0,1)</f>
        <v>音源</v>
      </c>
      <c r="W788" s="13">
        <f t="shared" si="38"/>
        <v>3799</v>
      </c>
      <c r="X788" s="12" t="str">
        <f>_xlfn.XLOOKUP($B788,M_YT_LIVE!$A:$A,M_YT_LIVE!$D:$D)</f>
        <v>https://www.youtube.com/live/orkAkFl798M?si=7tK-YB5J1dGoAFWq</v>
      </c>
      <c r="Z788" s="16" t="str">
        <f>HYPERLINK($X788&amp;SUBSTITUTE(マスタ!$C$3,"XXXXX",$W788))</f>
        <v>https://www.youtube.com/live/orkAkFl798M?si=7tK-YB5J1dGoAFWq&amp;t=3799s</v>
      </c>
      <c r="AA788" s="12" t="str">
        <f t="shared" si="37"/>
        <v>セブンスシスターズSEVENTH HAVEN</v>
      </c>
    </row>
    <row r="789" spans="1:27" x14ac:dyDescent="0.4">
      <c r="A789" s="14">
        <f t="shared" si="39"/>
        <v>788</v>
      </c>
      <c r="B789" s="14">
        <v>103</v>
      </c>
      <c r="C789" s="21" t="s">
        <v>1908</v>
      </c>
      <c r="D789" s="14" t="s">
        <v>1909</v>
      </c>
      <c r="E789" s="14" t="s">
        <v>1910</v>
      </c>
      <c r="G789" s="1" t="str">
        <f>_xlfn.XLOOKUP(B789,M_YT_LIVE!A:A,M_YT_LIVE!F:F,"ERROR",0,1)</f>
        <v>音源</v>
      </c>
      <c r="W789" s="13">
        <f t="shared" si="38"/>
        <v>4229</v>
      </c>
      <c r="X789" s="12" t="str">
        <f>_xlfn.XLOOKUP($B789,M_YT_LIVE!$A:$A,M_YT_LIVE!$D:$D)</f>
        <v>https://www.youtube.com/live/orkAkFl798M?si=7tK-YB5J1dGoAFWq</v>
      </c>
      <c r="Z789" s="16" t="str">
        <f>HYPERLINK($X789&amp;SUBSTITUTE(マスタ!$C$3,"XXXXX",$W789))</f>
        <v>https://www.youtube.com/live/orkAkFl798M?si=7tK-YB5J1dGoAFWq&amp;t=4229s</v>
      </c>
      <c r="AA789" s="12" t="str">
        <f t="shared" si="37"/>
        <v>AKB48フライングゲット</v>
      </c>
    </row>
    <row r="790" spans="1:27" x14ac:dyDescent="0.4">
      <c r="A790" s="14">
        <f t="shared" si="39"/>
        <v>789</v>
      </c>
      <c r="B790" s="14">
        <v>104</v>
      </c>
      <c r="C790" s="21" t="s">
        <v>1913</v>
      </c>
      <c r="D790" s="14" t="s">
        <v>1914</v>
      </c>
      <c r="E790" s="14" t="s">
        <v>195</v>
      </c>
      <c r="G790" s="1" t="str">
        <f>_xlfn.XLOOKUP(B790,M_YT_LIVE!A:A,M_YT_LIVE!F:F,"ERROR",0,1)</f>
        <v>弾き語り&amp;音源</v>
      </c>
      <c r="W790" s="13">
        <f t="shared" si="38"/>
        <v>1349</v>
      </c>
      <c r="X790" s="12" t="str">
        <f>_xlfn.XLOOKUP($B790,M_YT_LIVE!$A:$A,M_YT_LIVE!$D:$D)</f>
        <v>https://www.youtube.com/live/FGNU1iQLiNM?si=B75Oqj0tjRBiyl5j</v>
      </c>
      <c r="Z790" s="16" t="str">
        <f>HYPERLINK($X790&amp;SUBSTITUTE(マスタ!$C$3,"XXXXX",$W790))</f>
        <v>https://www.youtube.com/live/FGNU1iQLiNM?si=B75Oqj0tjRBiyl5j&amp;t=1349s</v>
      </c>
      <c r="AA790" s="12" t="str">
        <f t="shared" si="37"/>
        <v>やなぎなぎZoetrope</v>
      </c>
    </row>
    <row r="791" spans="1:27" x14ac:dyDescent="0.4">
      <c r="A791" s="14">
        <f t="shared" si="39"/>
        <v>790</v>
      </c>
      <c r="B791" s="14">
        <v>104</v>
      </c>
      <c r="C791" s="21" t="s">
        <v>1902</v>
      </c>
      <c r="D791" s="14" t="s">
        <v>1915</v>
      </c>
      <c r="E791" s="14" t="s">
        <v>1916</v>
      </c>
      <c r="G791" s="1" t="str">
        <f>_xlfn.XLOOKUP(B791,M_YT_LIVE!A:A,M_YT_LIVE!F:F,"ERROR",0,1)</f>
        <v>弾き語り&amp;音源</v>
      </c>
      <c r="W791" s="13">
        <f t="shared" si="38"/>
        <v>2145</v>
      </c>
      <c r="X791" s="12" t="str">
        <f>_xlfn.XLOOKUP($B791,M_YT_LIVE!$A:$A,M_YT_LIVE!$D:$D)</f>
        <v>https://www.youtube.com/live/FGNU1iQLiNM?si=B75Oqj0tjRBiyl5j</v>
      </c>
      <c r="Z791" s="16" t="str">
        <f>HYPERLINK($X791&amp;SUBSTITUTE(マスタ!$C$3,"XXXXX",$W791))</f>
        <v>https://www.youtube.com/live/FGNU1iQLiNM?si=B75Oqj0tjRBiyl5j&amp;t=2145s</v>
      </c>
      <c r="AA791" s="12" t="str">
        <f t="shared" si="37"/>
        <v>パン野実々美群像夏</v>
      </c>
    </row>
    <row r="792" spans="1:27" x14ac:dyDescent="0.4">
      <c r="A792" s="14">
        <f t="shared" si="39"/>
        <v>791</v>
      </c>
      <c r="B792" s="14">
        <v>104</v>
      </c>
      <c r="C792" s="21" t="s">
        <v>1917</v>
      </c>
      <c r="D792" s="14" t="s">
        <v>1918</v>
      </c>
      <c r="E792" s="14" t="s">
        <v>141</v>
      </c>
      <c r="G792" s="1" t="str">
        <f>_xlfn.XLOOKUP(B792,M_YT_LIVE!A:A,M_YT_LIVE!F:F,"ERROR",0,1)</f>
        <v>弾き語り&amp;音源</v>
      </c>
      <c r="W792" s="13">
        <f t="shared" si="38"/>
        <v>2725</v>
      </c>
      <c r="X792" s="12" t="str">
        <f>_xlfn.XLOOKUP($B792,M_YT_LIVE!$A:$A,M_YT_LIVE!$D:$D)</f>
        <v>https://www.youtube.com/live/FGNU1iQLiNM?si=B75Oqj0tjRBiyl5j</v>
      </c>
      <c r="Z792" s="16" t="str">
        <f>HYPERLINK($X792&amp;SUBSTITUTE(マスタ!$C$3,"XXXXX",$W792))</f>
        <v>https://www.youtube.com/live/FGNU1iQLiNM?si=B75Oqj0tjRBiyl5j&amp;t=2725s</v>
      </c>
      <c r="AA792" s="12" t="str">
        <f t="shared" si="37"/>
        <v>ヨルシカ忘れてください</v>
      </c>
    </row>
    <row r="793" spans="1:27" x14ac:dyDescent="0.4">
      <c r="A793" s="14">
        <f t="shared" si="39"/>
        <v>792</v>
      </c>
      <c r="B793" s="14">
        <v>104</v>
      </c>
      <c r="C793" s="21" t="s">
        <v>1919</v>
      </c>
      <c r="D793" s="14" t="s">
        <v>1920</v>
      </c>
      <c r="E793" s="14" t="s">
        <v>507</v>
      </c>
      <c r="G793" s="1" t="str">
        <f>_xlfn.XLOOKUP(B793,M_YT_LIVE!A:A,M_YT_LIVE!F:F,"ERROR",0,1)</f>
        <v>弾き語り&amp;音源</v>
      </c>
      <c r="W793" s="13">
        <f t="shared" si="38"/>
        <v>3321</v>
      </c>
      <c r="X793" s="12" t="str">
        <f>_xlfn.XLOOKUP($B793,M_YT_LIVE!$A:$A,M_YT_LIVE!$D:$D)</f>
        <v>https://www.youtube.com/live/FGNU1iQLiNM?si=B75Oqj0tjRBiyl5j</v>
      </c>
      <c r="Z793" s="16" t="str">
        <f>HYPERLINK($X793&amp;SUBSTITUTE(マスタ!$C$3,"XXXXX",$W793))</f>
        <v>https://www.youtube.com/live/FGNU1iQLiNM?si=B75Oqj0tjRBiyl5j&amp;t=3321s</v>
      </c>
      <c r="AA793" s="12" t="str">
        <f t="shared" si="37"/>
        <v>YOASOBIアンコール</v>
      </c>
    </row>
    <row r="794" spans="1:27" x14ac:dyDescent="0.4">
      <c r="A794" s="14">
        <f t="shared" si="39"/>
        <v>793</v>
      </c>
      <c r="B794" s="14">
        <v>104</v>
      </c>
      <c r="C794" s="21" t="s">
        <v>1921</v>
      </c>
      <c r="D794" s="14" t="s">
        <v>1922</v>
      </c>
      <c r="E794" s="14" t="s">
        <v>1923</v>
      </c>
      <c r="G794" s="1" t="str">
        <f>_xlfn.XLOOKUP(B794,M_YT_LIVE!A:A,M_YT_LIVE!F:F,"ERROR",0,1)</f>
        <v>弾き語り&amp;音源</v>
      </c>
      <c r="W794" s="13">
        <f t="shared" si="38"/>
        <v>3880</v>
      </c>
      <c r="X794" s="12" t="str">
        <f>_xlfn.XLOOKUP($B794,M_YT_LIVE!$A:$A,M_YT_LIVE!$D:$D)</f>
        <v>https://www.youtube.com/live/FGNU1iQLiNM?si=B75Oqj0tjRBiyl5j</v>
      </c>
      <c r="Z794" s="16" t="str">
        <f>HYPERLINK($X794&amp;SUBSTITUTE(マスタ!$C$3,"XXXXX",$W794))</f>
        <v>https://www.youtube.com/live/FGNU1iQLiNM?si=B75Oqj0tjRBiyl5j&amp;t=3880s</v>
      </c>
      <c r="AA794" s="12" t="str">
        <f t="shared" si="37"/>
        <v>MIMI feat.Saewoolラベンダー</v>
      </c>
    </row>
    <row r="795" spans="1:27" x14ac:dyDescent="0.4">
      <c r="A795" s="14">
        <f t="shared" si="39"/>
        <v>794</v>
      </c>
      <c r="B795" s="14">
        <v>104</v>
      </c>
      <c r="C795" s="21" t="s">
        <v>1924</v>
      </c>
      <c r="D795" s="14" t="s">
        <v>1925</v>
      </c>
      <c r="E795" s="14" t="s">
        <v>1926</v>
      </c>
      <c r="G795" s="1" t="str">
        <f>_xlfn.XLOOKUP(B795,M_YT_LIVE!A:A,M_YT_LIVE!F:F,"ERROR",0,1)</f>
        <v>弾き語り&amp;音源</v>
      </c>
      <c r="W795" s="13">
        <f t="shared" si="38"/>
        <v>4217</v>
      </c>
      <c r="X795" s="12" t="str">
        <f>_xlfn.XLOOKUP($B795,M_YT_LIVE!$A:$A,M_YT_LIVE!$D:$D)</f>
        <v>https://www.youtube.com/live/FGNU1iQLiNM?si=B75Oqj0tjRBiyl5j</v>
      </c>
      <c r="Z795" s="16" t="str">
        <f>HYPERLINK($X795&amp;SUBSTITUTE(マスタ!$C$3,"XXXXX",$W795))</f>
        <v>https://www.youtube.com/live/FGNU1iQLiNM?si=B75Oqj0tjRBiyl5j&amp;t=4217s</v>
      </c>
      <c r="AA795" s="12" t="str">
        <f t="shared" si="37"/>
        <v>tayori雪解け</v>
      </c>
    </row>
    <row r="796" spans="1:27" x14ac:dyDescent="0.4">
      <c r="A796" s="14">
        <f t="shared" si="39"/>
        <v>795</v>
      </c>
      <c r="B796" s="14">
        <v>104</v>
      </c>
      <c r="C796" s="21" t="s">
        <v>1927</v>
      </c>
      <c r="D796" s="14" t="s">
        <v>1928</v>
      </c>
      <c r="E796" s="14" t="s">
        <v>785</v>
      </c>
      <c r="G796" s="1" t="str">
        <f>_xlfn.XLOOKUP(B796,M_YT_LIVE!A:A,M_YT_LIVE!F:F,"ERROR",0,1)</f>
        <v>弾き語り&amp;音源</v>
      </c>
      <c r="W796" s="13">
        <f t="shared" si="38"/>
        <v>4790</v>
      </c>
      <c r="X796" s="12" t="str">
        <f>_xlfn.XLOOKUP($B796,M_YT_LIVE!$A:$A,M_YT_LIVE!$D:$D)</f>
        <v>https://www.youtube.com/live/FGNU1iQLiNM?si=B75Oqj0tjRBiyl5j</v>
      </c>
      <c r="Z796" s="16" t="str">
        <f>HYPERLINK($X796&amp;SUBSTITUTE(マスタ!$C$3,"XXXXX",$W796))</f>
        <v>https://www.youtube.com/live/FGNU1iQLiNM?si=B75Oqj0tjRBiyl5j&amp;t=4790s</v>
      </c>
      <c r="AA796" s="12" t="str">
        <f t="shared" si="37"/>
        <v>HoneyWorksファンサ</v>
      </c>
    </row>
    <row r="797" spans="1:27" x14ac:dyDescent="0.4">
      <c r="A797" s="14">
        <f t="shared" si="39"/>
        <v>796</v>
      </c>
      <c r="B797" s="14">
        <v>106</v>
      </c>
      <c r="C797" s="21" t="s">
        <v>1933</v>
      </c>
      <c r="D797" s="14" t="s">
        <v>969</v>
      </c>
      <c r="E797" s="14" t="s">
        <v>547</v>
      </c>
      <c r="G797" s="1" t="str">
        <f>_xlfn.XLOOKUP(B797,M_YT_LIVE!A:A,M_YT_LIVE!F:F,"ERROR",0,1)</f>
        <v>弾き語り</v>
      </c>
      <c r="W797" s="13">
        <f t="shared" si="38"/>
        <v>208.00000000000003</v>
      </c>
      <c r="X797" s="12" t="str">
        <f>_xlfn.XLOOKUP($B797,M_YT_LIVE!$A:$A,M_YT_LIVE!$D:$D)</f>
        <v>https://www.youtube.com/live/B1g4NIZAKqo?si=v8CWAz6GBo-vVIKK</v>
      </c>
      <c r="Z797" s="16" t="str">
        <f>HYPERLINK($X797&amp;SUBSTITUTE(マスタ!$C$3,"XXXXX",$W797))</f>
        <v>https://www.youtube.com/live/B1g4NIZAKqo?si=v8CWAz6GBo-vVIKK&amp;t=208s</v>
      </c>
      <c r="AA797" s="12" t="str">
        <f t="shared" si="37"/>
        <v>米津玄師Lemon</v>
      </c>
    </row>
    <row r="798" spans="1:27" x14ac:dyDescent="0.4">
      <c r="A798" s="14">
        <f t="shared" si="39"/>
        <v>797</v>
      </c>
      <c r="B798" s="14">
        <v>106</v>
      </c>
      <c r="C798" s="21" t="s">
        <v>1934</v>
      </c>
      <c r="D798" s="14" t="s">
        <v>1655</v>
      </c>
      <c r="E798" s="14" t="s">
        <v>260</v>
      </c>
      <c r="G798" s="1" t="str">
        <f>_xlfn.XLOOKUP(B798,M_YT_LIVE!A:A,M_YT_LIVE!F:F,"ERROR",0,1)</f>
        <v>弾き語り</v>
      </c>
      <c r="W798" s="13">
        <f t="shared" si="38"/>
        <v>641</v>
      </c>
      <c r="X798" s="12" t="str">
        <f>_xlfn.XLOOKUP($B798,M_YT_LIVE!$A:$A,M_YT_LIVE!$D:$D)</f>
        <v>https://www.youtube.com/live/B1g4NIZAKqo?si=v8CWAz6GBo-vVIKK</v>
      </c>
      <c r="Z798" s="16" t="str">
        <f>HYPERLINK($X798&amp;SUBSTITUTE(マスタ!$C$3,"XXXXX",$W798))</f>
        <v>https://www.youtube.com/live/B1g4NIZAKqo?si=v8CWAz6GBo-vVIKK&amp;t=641s</v>
      </c>
      <c r="AA798" s="12" t="str">
        <f t="shared" si="37"/>
        <v>Official髭男dismPretender</v>
      </c>
    </row>
    <row r="799" spans="1:27" x14ac:dyDescent="0.4">
      <c r="A799" s="14">
        <f t="shared" si="39"/>
        <v>798</v>
      </c>
      <c r="B799" s="14">
        <v>106</v>
      </c>
      <c r="C799" s="21" t="s">
        <v>1935</v>
      </c>
      <c r="D799" s="14" t="s">
        <v>71</v>
      </c>
      <c r="E799" s="14" t="s">
        <v>72</v>
      </c>
      <c r="G799" s="1" t="str">
        <f>_xlfn.XLOOKUP(B799,M_YT_LIVE!A:A,M_YT_LIVE!F:F,"ERROR",0,1)</f>
        <v>弾き語り</v>
      </c>
      <c r="W799" s="13">
        <f t="shared" si="38"/>
        <v>1142</v>
      </c>
      <c r="X799" s="12" t="str">
        <f>_xlfn.XLOOKUP($B799,M_YT_LIVE!$A:$A,M_YT_LIVE!$D:$D)</f>
        <v>https://www.youtube.com/live/B1g4NIZAKqo?si=v8CWAz6GBo-vVIKK</v>
      </c>
      <c r="Z799" s="16" t="str">
        <f>HYPERLINK($X799&amp;SUBSTITUTE(マスタ!$C$3,"XXXXX",$W799))</f>
        <v>https://www.youtube.com/live/B1g4NIZAKqo?si=v8CWAz6GBo-vVIKK&amp;t=1142s</v>
      </c>
      <c r="AA799" s="12" t="str">
        <f t="shared" si="37"/>
        <v>優里ドライフラワー</v>
      </c>
    </row>
    <row r="800" spans="1:27" x14ac:dyDescent="0.4">
      <c r="A800" s="14">
        <f t="shared" si="39"/>
        <v>799</v>
      </c>
      <c r="B800" s="14">
        <v>106</v>
      </c>
      <c r="C800" s="21" t="s">
        <v>1936</v>
      </c>
      <c r="D800" s="14" t="s">
        <v>851</v>
      </c>
      <c r="E800" s="14" t="s">
        <v>847</v>
      </c>
      <c r="G800" s="1" t="str">
        <f>_xlfn.XLOOKUP(B800,M_YT_LIVE!A:A,M_YT_LIVE!F:F,"ERROR",0,1)</f>
        <v>弾き語り</v>
      </c>
      <c r="W800" s="13">
        <f t="shared" si="38"/>
        <v>1623</v>
      </c>
      <c r="X800" s="12" t="str">
        <f>_xlfn.XLOOKUP($B800,M_YT_LIVE!$A:$A,M_YT_LIVE!$D:$D)</f>
        <v>https://www.youtube.com/live/B1g4NIZAKqo?si=v8CWAz6GBo-vVIKK</v>
      </c>
      <c r="Z800" s="16" t="str">
        <f>HYPERLINK($X800&amp;SUBSTITUTE(マスタ!$C$3,"XXXXX",$W800))</f>
        <v>https://www.youtube.com/live/B1g4NIZAKqo?si=v8CWAz6GBo-vVIKK&amp;t=1623s</v>
      </c>
      <c r="AA800" s="12" t="str">
        <f t="shared" si="37"/>
        <v>スキマスイッチ奏</v>
      </c>
    </row>
    <row r="801" spans="1:27" x14ac:dyDescent="0.4">
      <c r="A801" s="14">
        <f t="shared" si="39"/>
        <v>800</v>
      </c>
      <c r="B801" s="14">
        <v>106</v>
      </c>
      <c r="C801" s="21" t="s">
        <v>1937</v>
      </c>
      <c r="D801" s="14" t="s">
        <v>291</v>
      </c>
      <c r="E801" s="14" t="s">
        <v>292</v>
      </c>
      <c r="G801" s="1" t="str">
        <f>_xlfn.XLOOKUP(B801,M_YT_LIVE!A:A,M_YT_LIVE!F:F,"ERROR",0,1)</f>
        <v>弾き語り</v>
      </c>
      <c r="W801" s="13">
        <f t="shared" si="38"/>
        <v>2051</v>
      </c>
      <c r="X801" s="12" t="str">
        <f>_xlfn.XLOOKUP($B801,M_YT_LIVE!$A:$A,M_YT_LIVE!$D:$D)</f>
        <v>https://www.youtube.com/live/B1g4NIZAKqo?si=v8CWAz6GBo-vVIKK</v>
      </c>
      <c r="Z801" s="16" t="str">
        <f>HYPERLINK($X801&amp;SUBSTITUTE(マスタ!$C$3,"XXXXX",$W801))</f>
        <v>https://www.youtube.com/live/B1g4NIZAKqo?si=v8CWAz6GBo-vVIKK&amp;t=2051s</v>
      </c>
      <c r="AA801" s="12" t="str">
        <f t="shared" si="37"/>
        <v>奥華子変わらないもの</v>
      </c>
    </row>
    <row r="802" spans="1:27" x14ac:dyDescent="0.4">
      <c r="A802" s="14">
        <f t="shared" si="39"/>
        <v>801</v>
      </c>
      <c r="B802" s="14">
        <v>106</v>
      </c>
      <c r="C802" s="21" t="s">
        <v>1938</v>
      </c>
      <c r="D802" s="14" t="s">
        <v>1450</v>
      </c>
      <c r="E802" s="14" t="s">
        <v>1451</v>
      </c>
      <c r="G802" s="1" t="str">
        <f>_xlfn.XLOOKUP(B802,M_YT_LIVE!A:A,M_YT_LIVE!F:F,"ERROR",0,1)</f>
        <v>弾き語り</v>
      </c>
      <c r="W802" s="13">
        <f t="shared" si="38"/>
        <v>2561</v>
      </c>
      <c r="X802" s="12" t="str">
        <f>_xlfn.XLOOKUP($B802,M_YT_LIVE!$A:$A,M_YT_LIVE!$D:$D)</f>
        <v>https://www.youtube.com/live/B1g4NIZAKqo?si=v8CWAz6GBo-vVIKK</v>
      </c>
      <c r="Z802" s="16" t="str">
        <f>HYPERLINK($X802&amp;SUBSTITUTE(マスタ!$C$3,"XXXXX",$W802))</f>
        <v>https://www.youtube.com/live/B1g4NIZAKqo?si=v8CWAz6GBo-vVIKK&amp;t=2561s</v>
      </c>
      <c r="AA802" s="12" t="str">
        <f t="shared" si="37"/>
        <v>蝶々P feat.GUMI心做し</v>
      </c>
    </row>
    <row r="803" spans="1:27" x14ac:dyDescent="0.4">
      <c r="A803" s="14">
        <f t="shared" si="39"/>
        <v>802</v>
      </c>
      <c r="B803" s="14">
        <v>106</v>
      </c>
      <c r="C803" s="21" t="s">
        <v>802</v>
      </c>
      <c r="D803" s="14" t="s">
        <v>111</v>
      </c>
      <c r="E803" s="14" t="s">
        <v>112</v>
      </c>
      <c r="G803" s="1" t="str">
        <f>_xlfn.XLOOKUP(B803,M_YT_LIVE!A:A,M_YT_LIVE!F:F,"ERROR",0,1)</f>
        <v>弾き語り</v>
      </c>
      <c r="W803" s="13">
        <f t="shared" si="38"/>
        <v>3008.9999999999995</v>
      </c>
      <c r="X803" s="12" t="str">
        <f>_xlfn.XLOOKUP($B803,M_YT_LIVE!$A:$A,M_YT_LIVE!$D:$D)</f>
        <v>https://www.youtube.com/live/B1g4NIZAKqo?si=v8CWAz6GBo-vVIKK</v>
      </c>
      <c r="Z803" s="16" t="str">
        <f>HYPERLINK($X803&amp;SUBSTITUTE(マスタ!$C$3,"XXXXX",$W803))</f>
        <v>https://www.youtube.com/live/B1g4NIZAKqo?si=v8CWAz6GBo-vVIKK&amp;t=3009s</v>
      </c>
      <c r="AA803" s="12" t="str">
        <f t="shared" si="37"/>
        <v>DECO*27 feat.初音ミク妄想感傷代償連盟</v>
      </c>
    </row>
    <row r="804" spans="1:27" x14ac:dyDescent="0.4">
      <c r="A804" s="14">
        <f t="shared" si="39"/>
        <v>803</v>
      </c>
      <c r="B804" s="14">
        <v>106</v>
      </c>
      <c r="C804" s="21" t="s">
        <v>1939</v>
      </c>
      <c r="D804" s="14" t="s">
        <v>64</v>
      </c>
      <c r="E804" s="14" t="s">
        <v>65</v>
      </c>
      <c r="G804" s="1" t="str">
        <f>_xlfn.XLOOKUP(B804,M_YT_LIVE!A:A,M_YT_LIVE!F:F,"ERROR",0,1)</f>
        <v>弾き語り</v>
      </c>
      <c r="W804" s="13">
        <f t="shared" si="38"/>
        <v>3483</v>
      </c>
      <c r="X804" s="12" t="str">
        <f>_xlfn.XLOOKUP($B804,M_YT_LIVE!$A:$A,M_YT_LIVE!$D:$D)</f>
        <v>https://www.youtube.com/live/B1g4NIZAKqo?si=v8CWAz6GBo-vVIKK</v>
      </c>
      <c r="Z804" s="16" t="str">
        <f>HYPERLINK($X804&amp;SUBSTITUTE(マスタ!$C$3,"XXXXX",$W804))</f>
        <v>https://www.youtube.com/live/B1g4NIZAKqo?si=v8CWAz6GBo-vVIKK&amp;t=3483s</v>
      </c>
      <c r="AA804" s="12" t="str">
        <f t="shared" si="37"/>
        <v>R Sound Design feat.初音ミクflos</v>
      </c>
    </row>
    <row r="805" spans="1:27" x14ac:dyDescent="0.4">
      <c r="A805" s="14">
        <f t="shared" si="39"/>
        <v>804</v>
      </c>
      <c r="B805" s="14">
        <v>106</v>
      </c>
      <c r="C805" s="21" t="s">
        <v>1940</v>
      </c>
      <c r="D805" s="14" t="s">
        <v>1830</v>
      </c>
      <c r="E805" s="14" t="s">
        <v>596</v>
      </c>
      <c r="G805" s="1" t="str">
        <f>_xlfn.XLOOKUP(B805,M_YT_LIVE!A:A,M_YT_LIVE!F:F,"ERROR",0,1)</f>
        <v>弾き語り</v>
      </c>
      <c r="W805" s="13">
        <f t="shared" si="38"/>
        <v>4075</v>
      </c>
      <c r="X805" s="12" t="str">
        <f>_xlfn.XLOOKUP($B805,M_YT_LIVE!$A:$A,M_YT_LIVE!$D:$D)</f>
        <v>https://www.youtube.com/live/B1g4NIZAKqo?si=v8CWAz6GBo-vVIKK</v>
      </c>
      <c r="Z805" s="16" t="str">
        <f>HYPERLINK($X805&amp;SUBSTITUTE(マスタ!$C$3,"XXXXX",$W805))</f>
        <v>https://www.youtube.com/live/B1g4NIZAKqo?si=v8CWAz6GBo-vVIKK&amp;t=4075s</v>
      </c>
      <c r="AA805" s="12" t="str">
        <f t="shared" si="37"/>
        <v>有機酸(神山羊) feat.初音ミクquiet room</v>
      </c>
    </row>
    <row r="806" spans="1:27" x14ac:dyDescent="0.4">
      <c r="A806" s="14">
        <f t="shared" si="39"/>
        <v>805</v>
      </c>
      <c r="B806" s="14">
        <v>106</v>
      </c>
      <c r="C806" s="21" t="s">
        <v>1941</v>
      </c>
      <c r="D806" s="14" t="s">
        <v>31</v>
      </c>
      <c r="E806" s="14" t="s">
        <v>1047</v>
      </c>
      <c r="G806" s="1" t="str">
        <f>_xlfn.XLOOKUP(B806,M_YT_LIVE!A:A,M_YT_LIVE!F:F,"ERROR",0,1)</f>
        <v>弾き語り</v>
      </c>
      <c r="W806" s="13">
        <f t="shared" si="38"/>
        <v>4590</v>
      </c>
      <c r="X806" s="12" t="str">
        <f>_xlfn.XLOOKUP($B806,M_YT_LIVE!$A:$A,M_YT_LIVE!$D:$D)</f>
        <v>https://www.youtube.com/live/B1g4NIZAKqo?si=v8CWAz6GBo-vVIKK</v>
      </c>
      <c r="Z806" s="16" t="str">
        <f>HYPERLINK($X806&amp;SUBSTITUTE(マスタ!$C$3,"XXXXX",$W806))</f>
        <v>https://www.youtube.com/live/B1g4NIZAKqo?si=v8CWAz6GBo-vVIKK&amp;t=4590s</v>
      </c>
      <c r="AA806" s="12" t="str">
        <f t="shared" si="37"/>
        <v>メル feat.IAプラトニック・ラヴ</v>
      </c>
    </row>
    <row r="807" spans="1:27" x14ac:dyDescent="0.4">
      <c r="A807" s="14">
        <f t="shared" si="39"/>
        <v>806</v>
      </c>
      <c r="B807" s="14">
        <v>106</v>
      </c>
      <c r="C807" s="21" t="s">
        <v>1942</v>
      </c>
      <c r="D807" s="14" t="s">
        <v>294</v>
      </c>
      <c r="E807" s="14" t="s">
        <v>295</v>
      </c>
      <c r="G807" s="1" t="str">
        <f>_xlfn.XLOOKUP(B807,M_YT_LIVE!A:A,M_YT_LIVE!F:F,"ERROR",0,1)</f>
        <v>弾き語り</v>
      </c>
      <c r="W807" s="13">
        <f t="shared" si="38"/>
        <v>5109</v>
      </c>
      <c r="X807" s="12" t="str">
        <f>_xlfn.XLOOKUP($B807,M_YT_LIVE!$A:$A,M_YT_LIVE!$D:$D)</f>
        <v>https://www.youtube.com/live/B1g4NIZAKqo?si=v8CWAz6GBo-vVIKK</v>
      </c>
      <c r="Z807" s="16" t="str">
        <f>HYPERLINK($X807&amp;SUBSTITUTE(マスタ!$C$3,"XXXXX",$W807))</f>
        <v>https://www.youtube.com/live/B1g4NIZAKqo?si=v8CWAz6GBo-vVIKK&amp;t=5109s</v>
      </c>
      <c r="AA807" s="12" t="str">
        <f t="shared" si="37"/>
        <v>羽生まゐご feat.flower阿吽のビーツ</v>
      </c>
    </row>
    <row r="808" spans="1:27" x14ac:dyDescent="0.4">
      <c r="A808" s="14">
        <f t="shared" si="39"/>
        <v>807</v>
      </c>
      <c r="B808" s="14">
        <v>106</v>
      </c>
      <c r="C808" s="21" t="s">
        <v>1943</v>
      </c>
      <c r="D808" s="14" t="s">
        <v>1571</v>
      </c>
      <c r="E808" s="14" t="s">
        <v>1572</v>
      </c>
      <c r="G808" s="1" t="str">
        <f>_xlfn.XLOOKUP(B808,M_YT_LIVE!A:A,M_YT_LIVE!F:F,"ERROR",0,1)</f>
        <v>弾き語り</v>
      </c>
      <c r="W808" s="13">
        <f t="shared" si="38"/>
        <v>5501</v>
      </c>
      <c r="X808" s="12" t="str">
        <f>_xlfn.XLOOKUP($B808,M_YT_LIVE!$A:$A,M_YT_LIVE!$D:$D)</f>
        <v>https://www.youtube.com/live/B1g4NIZAKqo?si=v8CWAz6GBo-vVIKK</v>
      </c>
      <c r="Z808" s="16" t="str">
        <f>HYPERLINK($X808&amp;SUBSTITUTE(マスタ!$C$3,"XXXXX",$W808))</f>
        <v>https://www.youtube.com/live/B1g4NIZAKqo?si=v8CWAz6GBo-vVIKK&amp;t=5501s</v>
      </c>
      <c r="AA808" s="12" t="str">
        <f t="shared" si="37"/>
        <v>Guiano晴れるなら</v>
      </c>
    </row>
    <row r="809" spans="1:27" x14ac:dyDescent="0.4">
      <c r="A809" s="14">
        <f t="shared" si="39"/>
        <v>808</v>
      </c>
      <c r="B809" s="14">
        <v>106</v>
      </c>
      <c r="C809" s="21" t="s">
        <v>1944</v>
      </c>
      <c r="D809" s="14" t="s">
        <v>33</v>
      </c>
      <c r="E809" s="14" t="s">
        <v>44</v>
      </c>
      <c r="G809" s="1" t="str">
        <f>_xlfn.XLOOKUP(B809,M_YT_LIVE!A:A,M_YT_LIVE!F:F,"ERROR",0,1)</f>
        <v>弾き語り</v>
      </c>
      <c r="W809" s="13">
        <f t="shared" si="38"/>
        <v>5760</v>
      </c>
      <c r="X809" s="12" t="str">
        <f>_xlfn.XLOOKUP($B809,M_YT_LIVE!$A:$A,M_YT_LIVE!$D:$D)</f>
        <v>https://www.youtube.com/live/B1g4NIZAKqo?si=v8CWAz6GBo-vVIKK</v>
      </c>
      <c r="Z809" s="16" t="str">
        <f>HYPERLINK($X809&amp;SUBSTITUTE(マスタ!$C$3,"XXXXX",$W809))</f>
        <v>https://www.youtube.com/live/B1g4NIZAKqo?si=v8CWAz6GBo-vVIKK&amp;t=5760s</v>
      </c>
      <c r="AA809" s="12" t="str">
        <f t="shared" si="37"/>
        <v>メル feat.初音ミクさようなら、花泥棒さん</v>
      </c>
    </row>
    <row r="810" spans="1:27" x14ac:dyDescent="0.4">
      <c r="A810" s="14">
        <f t="shared" si="39"/>
        <v>809</v>
      </c>
      <c r="B810" s="14">
        <v>106</v>
      </c>
      <c r="C810" s="21" t="s">
        <v>1945</v>
      </c>
      <c r="D810" s="14" t="s">
        <v>165</v>
      </c>
      <c r="E810" s="14" t="s">
        <v>118</v>
      </c>
      <c r="G810" s="1" t="str">
        <f>_xlfn.XLOOKUP(B810,M_YT_LIVE!A:A,M_YT_LIVE!F:F,"ERROR",0,1)</f>
        <v>弾き語り</v>
      </c>
      <c r="W810" s="13">
        <f t="shared" si="38"/>
        <v>6135</v>
      </c>
      <c r="X810" s="12" t="str">
        <f>_xlfn.XLOOKUP($B810,M_YT_LIVE!$A:$A,M_YT_LIVE!$D:$D)</f>
        <v>https://www.youtube.com/live/B1g4NIZAKqo?si=v8CWAz6GBo-vVIKK</v>
      </c>
      <c r="Z810" s="16" t="str">
        <f>HYPERLINK($X810&amp;SUBSTITUTE(マスタ!$C$3,"XXXXX",$W810))</f>
        <v>https://www.youtube.com/live/B1g4NIZAKqo?si=v8CWAz6GBo-vVIKK&amp;t=6135s</v>
      </c>
      <c r="AA810" s="12" t="str">
        <f t="shared" si="37"/>
        <v>Orangestar feat.初音ミク回る空うさぎ</v>
      </c>
    </row>
    <row r="811" spans="1:27" x14ac:dyDescent="0.4">
      <c r="A811" s="14">
        <f t="shared" si="39"/>
        <v>810</v>
      </c>
      <c r="B811" s="14">
        <v>106</v>
      </c>
      <c r="C811" s="21" t="s">
        <v>1946</v>
      </c>
      <c r="D811" s="14" t="s">
        <v>517</v>
      </c>
      <c r="E811" s="14" t="s">
        <v>530</v>
      </c>
      <c r="G811" s="1" t="str">
        <f>_xlfn.XLOOKUP(B811,M_YT_LIVE!A:A,M_YT_LIVE!F:F,"ERROR",0,1)</f>
        <v>弾き語り</v>
      </c>
      <c r="W811" s="13">
        <f t="shared" si="38"/>
        <v>6452</v>
      </c>
      <c r="X811" s="12" t="str">
        <f>_xlfn.XLOOKUP($B811,M_YT_LIVE!$A:$A,M_YT_LIVE!$D:$D)</f>
        <v>https://www.youtube.com/live/B1g4NIZAKqo?si=v8CWAz6GBo-vVIKK</v>
      </c>
      <c r="Z811" s="16" t="str">
        <f>HYPERLINK($X811&amp;SUBSTITUTE(マスタ!$C$3,"XXXXX",$W811))</f>
        <v>https://www.youtube.com/live/B1g4NIZAKqo?si=v8CWAz6GBo-vVIKK&amp;t=6452s</v>
      </c>
      <c r="AA811" s="12" t="str">
        <f t="shared" si="37"/>
        <v>Orangestar feat.初音ミク&amp;IA空奏列車</v>
      </c>
    </row>
    <row r="812" spans="1:27" x14ac:dyDescent="0.4">
      <c r="A812" s="14">
        <f t="shared" si="39"/>
        <v>811</v>
      </c>
      <c r="B812" s="14">
        <v>106</v>
      </c>
      <c r="C812" s="21" t="s">
        <v>1947</v>
      </c>
      <c r="D812" s="14" t="s">
        <v>163</v>
      </c>
      <c r="E812" s="14" t="s">
        <v>125</v>
      </c>
      <c r="G812" s="1" t="str">
        <f>_xlfn.XLOOKUP(B812,M_YT_LIVE!A:A,M_YT_LIVE!F:F,"ERROR",0,1)</f>
        <v>弾き語り</v>
      </c>
      <c r="W812" s="13">
        <f t="shared" si="38"/>
        <v>6774</v>
      </c>
      <c r="X812" s="12" t="str">
        <f>_xlfn.XLOOKUP($B812,M_YT_LIVE!$A:$A,M_YT_LIVE!$D:$D)</f>
        <v>https://www.youtube.com/live/B1g4NIZAKqo?si=v8CWAz6GBo-vVIKK</v>
      </c>
      <c r="Z812" s="16" t="str">
        <f>HYPERLINK($X812&amp;SUBSTITUTE(マスタ!$C$3,"XXXXX",$W812))</f>
        <v>https://www.youtube.com/live/B1g4NIZAKqo?si=v8CWAz6GBo-vVIKK&amp;t=6774s</v>
      </c>
      <c r="AA812" s="12" t="str">
        <f t="shared" si="37"/>
        <v>Orangestar feat.IAAlice in 冷凍庫</v>
      </c>
    </row>
    <row r="813" spans="1:27" x14ac:dyDescent="0.4">
      <c r="A813" s="14">
        <f t="shared" si="39"/>
        <v>812</v>
      </c>
      <c r="B813" s="14">
        <v>106</v>
      </c>
      <c r="C813" s="21" t="s">
        <v>1948</v>
      </c>
      <c r="D813" s="14" t="s">
        <v>124</v>
      </c>
      <c r="E813" s="14" t="s">
        <v>125</v>
      </c>
      <c r="G813" s="1" t="str">
        <f>_xlfn.XLOOKUP(B813,M_YT_LIVE!A:A,M_YT_LIVE!F:F,"ERROR",0,1)</f>
        <v>弾き語り</v>
      </c>
      <c r="W813" s="13">
        <f t="shared" si="38"/>
        <v>7131</v>
      </c>
      <c r="X813" s="12" t="str">
        <f>_xlfn.XLOOKUP($B813,M_YT_LIVE!$A:$A,M_YT_LIVE!$D:$D)</f>
        <v>https://www.youtube.com/live/B1g4NIZAKqo?si=v8CWAz6GBo-vVIKK</v>
      </c>
      <c r="Z813" s="16" t="str">
        <f>HYPERLINK($X813&amp;SUBSTITUTE(マスタ!$C$3,"XXXXX",$W813))</f>
        <v>https://www.youtube.com/live/B1g4NIZAKqo?si=v8CWAz6GBo-vVIKK&amp;t=7131s</v>
      </c>
      <c r="AA813" s="12" t="str">
        <f t="shared" si="37"/>
        <v>Orangestar feat.IA雨き声残響</v>
      </c>
    </row>
    <row r="814" spans="1:27" x14ac:dyDescent="0.4">
      <c r="A814" s="14">
        <f t="shared" si="39"/>
        <v>813</v>
      </c>
      <c r="B814" s="14">
        <v>106</v>
      </c>
      <c r="C814" s="21" t="s">
        <v>1949</v>
      </c>
      <c r="D814" s="14" t="s">
        <v>468</v>
      </c>
      <c r="E814" s="14" t="s">
        <v>118</v>
      </c>
      <c r="G814" s="1" t="str">
        <f>_xlfn.XLOOKUP(B814,M_YT_LIVE!A:A,M_YT_LIVE!F:F,"ERROR",0,1)</f>
        <v>弾き語り</v>
      </c>
      <c r="W814" s="13">
        <f t="shared" si="38"/>
        <v>7435</v>
      </c>
      <c r="X814" s="12" t="str">
        <f>_xlfn.XLOOKUP($B814,M_YT_LIVE!$A:$A,M_YT_LIVE!$D:$D)</f>
        <v>https://www.youtube.com/live/B1g4NIZAKqo?si=v8CWAz6GBo-vVIKK</v>
      </c>
      <c r="Z814" s="16" t="str">
        <f>HYPERLINK($X814&amp;SUBSTITUTE(マスタ!$C$3,"XXXXX",$W814))</f>
        <v>https://www.youtube.com/live/B1g4NIZAKqo?si=v8CWAz6GBo-vVIKK&amp;t=7435s</v>
      </c>
      <c r="AA814" s="12" t="str">
        <f t="shared" si="37"/>
        <v>Orangestar feat.初音ミク残灯花火</v>
      </c>
    </row>
    <row r="815" spans="1:27" x14ac:dyDescent="0.4">
      <c r="A815" s="14">
        <f t="shared" si="39"/>
        <v>814</v>
      </c>
      <c r="B815" s="14"/>
      <c r="C815" s="18"/>
      <c r="D815" s="14"/>
      <c r="E815" s="14"/>
      <c r="G815" s="1">
        <f>_xlfn.XLOOKUP(B815,M_YT_LIVE!A:A,M_YT_LIVE!F:F,"ERROR",0,1)</f>
        <v>0</v>
      </c>
      <c r="W815" s="13" t="e">
        <f t="shared" si="38"/>
        <v>#VALUE!</v>
      </c>
      <c r="X815" s="12">
        <f>_xlfn.XLOOKUP($B815,M_YT_LIVE!$A:$A,M_YT_LIVE!$D:$D)</f>
        <v>0</v>
      </c>
      <c r="Z815" s="16" t="e">
        <f>HYPERLINK($X815&amp;SUBSTITUTE(マスタ!$C$3,"XXXXX",$W815))</f>
        <v>#VALUE!</v>
      </c>
      <c r="AA815" s="12" t="str">
        <f t="shared" si="37"/>
        <v/>
      </c>
    </row>
    <row r="816" spans="1:27" x14ac:dyDescent="0.4">
      <c r="A816" s="14">
        <f t="shared" si="39"/>
        <v>815</v>
      </c>
      <c r="B816" s="14"/>
      <c r="C816" s="18"/>
      <c r="D816" s="14"/>
      <c r="E816" s="14"/>
      <c r="G816" s="1">
        <f>_xlfn.XLOOKUP(B816,M_YT_LIVE!A:A,M_YT_LIVE!F:F,"ERROR",0,1)</f>
        <v>0</v>
      </c>
      <c r="W816" s="13" t="e">
        <f t="shared" si="38"/>
        <v>#VALUE!</v>
      </c>
      <c r="X816" s="12">
        <f>_xlfn.XLOOKUP($B816,M_YT_LIVE!$A:$A,M_YT_LIVE!$D:$D)</f>
        <v>0</v>
      </c>
      <c r="Z816" s="16" t="e">
        <f>HYPERLINK($X816&amp;SUBSTITUTE(マスタ!$C$3,"XXXXX",$W816))</f>
        <v>#VALUE!</v>
      </c>
      <c r="AA816" s="12" t="str">
        <f t="shared" si="37"/>
        <v/>
      </c>
    </row>
    <row r="817" spans="1:27" x14ac:dyDescent="0.4">
      <c r="A817" s="14">
        <f t="shared" si="39"/>
        <v>816</v>
      </c>
      <c r="B817" s="14"/>
      <c r="C817" s="18"/>
      <c r="D817" s="14"/>
      <c r="E817" s="14"/>
      <c r="G817" s="1">
        <f>_xlfn.XLOOKUP(B817,M_YT_LIVE!A:A,M_YT_LIVE!F:F,"ERROR",0,1)</f>
        <v>0</v>
      </c>
      <c r="W817" s="13" t="e">
        <f t="shared" si="38"/>
        <v>#VALUE!</v>
      </c>
      <c r="X817" s="12">
        <f>_xlfn.XLOOKUP($B817,M_YT_LIVE!$A:$A,M_YT_LIVE!$D:$D)</f>
        <v>0</v>
      </c>
      <c r="Z817" s="16" t="e">
        <f>HYPERLINK($X817&amp;SUBSTITUTE(マスタ!$C$3,"XXXXX",$W817))</f>
        <v>#VALUE!</v>
      </c>
      <c r="AA817" s="12" t="str">
        <f t="shared" si="37"/>
        <v/>
      </c>
    </row>
    <row r="818" spans="1:27" x14ac:dyDescent="0.4">
      <c r="A818" s="14">
        <f t="shared" si="39"/>
        <v>817</v>
      </c>
      <c r="B818" s="14"/>
      <c r="C818" s="18"/>
      <c r="D818" s="14"/>
      <c r="E818" s="14"/>
      <c r="G818" s="1">
        <f>_xlfn.XLOOKUP(B818,M_YT_LIVE!A:A,M_YT_LIVE!F:F,"ERROR",0,1)</f>
        <v>0</v>
      </c>
      <c r="W818" s="13" t="e">
        <f t="shared" si="38"/>
        <v>#VALUE!</v>
      </c>
      <c r="X818" s="12">
        <f>_xlfn.XLOOKUP($B818,M_YT_LIVE!$A:$A,M_YT_LIVE!$D:$D)</f>
        <v>0</v>
      </c>
      <c r="Z818" s="16" t="e">
        <f>HYPERLINK($X818&amp;SUBSTITUTE(マスタ!$C$3,"XXXXX",$W818))</f>
        <v>#VALUE!</v>
      </c>
      <c r="AA818" s="12" t="str">
        <f t="shared" si="37"/>
        <v/>
      </c>
    </row>
    <row r="819" spans="1:27" x14ac:dyDescent="0.4">
      <c r="A819" s="14">
        <f t="shared" si="39"/>
        <v>818</v>
      </c>
      <c r="B819" s="14"/>
      <c r="C819" s="18"/>
      <c r="D819" s="14"/>
      <c r="E819" s="14"/>
      <c r="G819" s="1">
        <f>_xlfn.XLOOKUP(B819,M_YT_LIVE!A:A,M_YT_LIVE!F:F,"ERROR",0,1)</f>
        <v>0</v>
      </c>
      <c r="W819" s="13" t="e">
        <f t="shared" si="38"/>
        <v>#VALUE!</v>
      </c>
      <c r="X819" s="12">
        <f>_xlfn.XLOOKUP($B819,M_YT_LIVE!$A:$A,M_YT_LIVE!$D:$D)</f>
        <v>0</v>
      </c>
      <c r="Z819" s="16" t="e">
        <f>HYPERLINK($X819&amp;SUBSTITUTE(マスタ!$C$3,"XXXXX",$W819))</f>
        <v>#VALUE!</v>
      </c>
      <c r="AA819" s="12" t="str">
        <f t="shared" si="37"/>
        <v/>
      </c>
    </row>
    <row r="820" spans="1:27" x14ac:dyDescent="0.4">
      <c r="A820" s="14">
        <f t="shared" si="39"/>
        <v>819</v>
      </c>
      <c r="B820" s="14"/>
      <c r="C820" s="18"/>
      <c r="D820" s="14"/>
      <c r="E820" s="14"/>
      <c r="G820" s="1">
        <f>_xlfn.XLOOKUP(B820,M_YT_LIVE!A:A,M_YT_LIVE!F:F,"ERROR",0,1)</f>
        <v>0</v>
      </c>
      <c r="W820" s="13" t="e">
        <f t="shared" si="38"/>
        <v>#VALUE!</v>
      </c>
      <c r="X820" s="12">
        <f>_xlfn.XLOOKUP($B820,M_YT_LIVE!$A:$A,M_YT_LIVE!$D:$D)</f>
        <v>0</v>
      </c>
      <c r="Z820" s="16" t="e">
        <f>HYPERLINK($X820&amp;SUBSTITUTE(マスタ!$C$3,"XXXXX",$W820))</f>
        <v>#VALUE!</v>
      </c>
      <c r="AA820" s="12" t="str">
        <f t="shared" si="37"/>
        <v/>
      </c>
    </row>
    <row r="821" spans="1:27" x14ac:dyDescent="0.4">
      <c r="A821" s="14">
        <f t="shared" si="39"/>
        <v>820</v>
      </c>
      <c r="B821" s="14"/>
      <c r="C821" s="18"/>
      <c r="D821" s="14"/>
      <c r="E821" s="14"/>
      <c r="G821" s="1">
        <f>_xlfn.XLOOKUP(B821,M_YT_LIVE!A:A,M_YT_LIVE!F:F,"ERROR",0,1)</f>
        <v>0</v>
      </c>
      <c r="W821" s="13" t="e">
        <f t="shared" si="38"/>
        <v>#VALUE!</v>
      </c>
      <c r="X821" s="12">
        <f>_xlfn.XLOOKUP($B821,M_YT_LIVE!$A:$A,M_YT_LIVE!$D:$D)</f>
        <v>0</v>
      </c>
      <c r="Z821" s="16" t="e">
        <f>HYPERLINK($X821&amp;SUBSTITUTE(マスタ!$C$3,"XXXXX",$W821))</f>
        <v>#VALUE!</v>
      </c>
      <c r="AA821" s="12" t="str">
        <f t="shared" si="37"/>
        <v/>
      </c>
    </row>
    <row r="822" spans="1:27" x14ac:dyDescent="0.4">
      <c r="A822" s="14">
        <f t="shared" si="39"/>
        <v>821</v>
      </c>
      <c r="B822" s="14"/>
      <c r="C822" s="18"/>
      <c r="D822" s="14"/>
      <c r="E822" s="14"/>
      <c r="G822" s="1">
        <f>_xlfn.XLOOKUP(B822,M_YT_LIVE!A:A,M_YT_LIVE!F:F,"ERROR",0,1)</f>
        <v>0</v>
      </c>
      <c r="W822" s="13" t="e">
        <f t="shared" si="38"/>
        <v>#VALUE!</v>
      </c>
      <c r="X822" s="12">
        <f>_xlfn.XLOOKUP($B822,M_YT_LIVE!$A:$A,M_YT_LIVE!$D:$D)</f>
        <v>0</v>
      </c>
      <c r="Z822" s="16" t="e">
        <f>HYPERLINK($X822&amp;SUBSTITUTE(マスタ!$C$3,"XXXXX",$W822))</f>
        <v>#VALUE!</v>
      </c>
      <c r="AA822" s="12" t="str">
        <f t="shared" si="37"/>
        <v/>
      </c>
    </row>
    <row r="823" spans="1:27" x14ac:dyDescent="0.4">
      <c r="A823" s="14">
        <f t="shared" si="39"/>
        <v>822</v>
      </c>
      <c r="B823" s="14"/>
      <c r="C823" s="18"/>
      <c r="D823" s="14"/>
      <c r="E823" s="14"/>
      <c r="G823" s="1">
        <f>_xlfn.XLOOKUP(B823,M_YT_LIVE!A:A,M_YT_LIVE!F:F,"ERROR",0,1)</f>
        <v>0</v>
      </c>
      <c r="W823" s="13" t="e">
        <f t="shared" si="38"/>
        <v>#VALUE!</v>
      </c>
      <c r="X823" s="12">
        <f>_xlfn.XLOOKUP($B823,M_YT_LIVE!$A:$A,M_YT_LIVE!$D:$D)</f>
        <v>0</v>
      </c>
      <c r="Z823" s="16" t="e">
        <f>HYPERLINK($X823&amp;SUBSTITUTE(マスタ!$C$3,"XXXXX",$W823))</f>
        <v>#VALUE!</v>
      </c>
      <c r="AA823" s="12" t="str">
        <f t="shared" si="37"/>
        <v/>
      </c>
    </row>
    <row r="824" spans="1:27" x14ac:dyDescent="0.4">
      <c r="A824" s="14">
        <f t="shared" si="39"/>
        <v>823</v>
      </c>
      <c r="B824" s="14"/>
      <c r="C824" s="18"/>
      <c r="D824" s="14"/>
      <c r="E824" s="14"/>
      <c r="G824" s="1">
        <f>_xlfn.XLOOKUP(B824,M_YT_LIVE!A:A,M_YT_LIVE!F:F,"ERROR",0,1)</f>
        <v>0</v>
      </c>
      <c r="W824" s="13" t="e">
        <f t="shared" si="38"/>
        <v>#VALUE!</v>
      </c>
      <c r="X824" s="12">
        <f>_xlfn.XLOOKUP($B824,M_YT_LIVE!$A:$A,M_YT_LIVE!$D:$D)</f>
        <v>0</v>
      </c>
      <c r="Z824" s="16" t="e">
        <f>HYPERLINK($X824&amp;SUBSTITUTE(マスタ!$C$3,"XXXXX",$W824))</f>
        <v>#VALUE!</v>
      </c>
      <c r="AA824" s="12" t="str">
        <f t="shared" si="37"/>
        <v/>
      </c>
    </row>
    <row r="825" spans="1:27" x14ac:dyDescent="0.4">
      <c r="A825" s="14">
        <f t="shared" si="39"/>
        <v>824</v>
      </c>
      <c r="B825" s="14"/>
      <c r="C825" s="18"/>
      <c r="D825" s="14"/>
      <c r="E825" s="14"/>
      <c r="G825" s="1">
        <f>_xlfn.XLOOKUP(B825,M_YT_LIVE!A:A,M_YT_LIVE!F:F,"ERROR",0,1)</f>
        <v>0</v>
      </c>
      <c r="W825" s="13" t="e">
        <f t="shared" si="38"/>
        <v>#VALUE!</v>
      </c>
      <c r="X825" s="12">
        <f>_xlfn.XLOOKUP($B825,M_YT_LIVE!$A:$A,M_YT_LIVE!$D:$D)</f>
        <v>0</v>
      </c>
      <c r="Z825" s="16" t="e">
        <f>HYPERLINK($X825&amp;SUBSTITUTE(マスタ!$C$3,"XXXXX",$W825))</f>
        <v>#VALUE!</v>
      </c>
      <c r="AA825" s="12" t="str">
        <f t="shared" si="37"/>
        <v/>
      </c>
    </row>
    <row r="826" spans="1:27" x14ac:dyDescent="0.4">
      <c r="A826" s="14">
        <f t="shared" si="39"/>
        <v>825</v>
      </c>
      <c r="B826" s="14"/>
      <c r="C826" s="18"/>
      <c r="D826" s="14"/>
      <c r="E826" s="14"/>
      <c r="G826" s="1">
        <f>_xlfn.XLOOKUP(B826,M_YT_LIVE!A:A,M_YT_LIVE!F:F,"ERROR",0,1)</f>
        <v>0</v>
      </c>
      <c r="W826" s="13" t="e">
        <f t="shared" si="38"/>
        <v>#VALUE!</v>
      </c>
      <c r="X826" s="12">
        <f>_xlfn.XLOOKUP($B826,M_YT_LIVE!$A:$A,M_YT_LIVE!$D:$D)</f>
        <v>0</v>
      </c>
      <c r="Z826" s="16" t="e">
        <f>HYPERLINK($X826&amp;SUBSTITUTE(マスタ!$C$3,"XXXXX",$W826))</f>
        <v>#VALUE!</v>
      </c>
      <c r="AA826" s="12" t="str">
        <f t="shared" si="37"/>
        <v/>
      </c>
    </row>
    <row r="827" spans="1:27" x14ac:dyDescent="0.4">
      <c r="A827" s="14">
        <f t="shared" si="39"/>
        <v>826</v>
      </c>
      <c r="B827" s="14"/>
      <c r="C827" s="18"/>
      <c r="D827" s="14"/>
      <c r="E827" s="14"/>
      <c r="G827" s="1">
        <f>_xlfn.XLOOKUP(B827,M_YT_LIVE!A:A,M_YT_LIVE!F:F,"ERROR",0,1)</f>
        <v>0</v>
      </c>
      <c r="W827" s="13" t="e">
        <f t="shared" si="38"/>
        <v>#VALUE!</v>
      </c>
      <c r="X827" s="12">
        <f>_xlfn.XLOOKUP($B827,M_YT_LIVE!$A:$A,M_YT_LIVE!$D:$D)</f>
        <v>0</v>
      </c>
      <c r="Z827" s="16" t="e">
        <f>HYPERLINK($X827&amp;SUBSTITUTE(マスタ!$C$3,"XXXXX",$W827))</f>
        <v>#VALUE!</v>
      </c>
      <c r="AA827" s="12" t="str">
        <f t="shared" si="37"/>
        <v/>
      </c>
    </row>
    <row r="828" spans="1:27" x14ac:dyDescent="0.4">
      <c r="A828" s="14">
        <f t="shared" si="39"/>
        <v>827</v>
      </c>
      <c r="B828" s="14"/>
      <c r="C828" s="18"/>
      <c r="D828" s="14"/>
      <c r="E828" s="14"/>
      <c r="G828" s="1">
        <f>_xlfn.XLOOKUP(B828,M_YT_LIVE!A:A,M_YT_LIVE!F:F,"ERROR",0,1)</f>
        <v>0</v>
      </c>
      <c r="W828" s="13" t="e">
        <f t="shared" si="38"/>
        <v>#VALUE!</v>
      </c>
      <c r="X828" s="12">
        <f>_xlfn.XLOOKUP($B828,M_YT_LIVE!$A:$A,M_YT_LIVE!$D:$D)</f>
        <v>0</v>
      </c>
      <c r="Z828" s="16" t="e">
        <f>HYPERLINK($X828&amp;SUBSTITUTE(マスタ!$C$3,"XXXXX",$W828))</f>
        <v>#VALUE!</v>
      </c>
      <c r="AA828" s="12" t="str">
        <f t="shared" si="37"/>
        <v/>
      </c>
    </row>
    <row r="829" spans="1:27" x14ac:dyDescent="0.4">
      <c r="A829" s="14">
        <f t="shared" si="39"/>
        <v>828</v>
      </c>
      <c r="B829" s="14"/>
      <c r="C829" s="18"/>
      <c r="D829" s="14"/>
      <c r="E829" s="14"/>
      <c r="G829" s="1">
        <f>_xlfn.XLOOKUP(B829,M_YT_LIVE!A:A,M_YT_LIVE!F:F,"ERROR",0,1)</f>
        <v>0</v>
      </c>
      <c r="W829" s="13" t="e">
        <f t="shared" si="38"/>
        <v>#VALUE!</v>
      </c>
      <c r="X829" s="12">
        <f>_xlfn.XLOOKUP($B829,M_YT_LIVE!$A:$A,M_YT_LIVE!$D:$D)</f>
        <v>0</v>
      </c>
      <c r="Z829" s="16" t="e">
        <f>HYPERLINK($X829&amp;SUBSTITUTE(マスタ!$C$3,"XXXXX",$W829))</f>
        <v>#VALUE!</v>
      </c>
      <c r="AA829" s="12" t="str">
        <f t="shared" ref="AA829:AA892" si="40">TRIM(E829)&amp;TRIM(D829)</f>
        <v/>
      </c>
    </row>
    <row r="830" spans="1:27" x14ac:dyDescent="0.4">
      <c r="A830" s="14">
        <f t="shared" si="39"/>
        <v>829</v>
      </c>
      <c r="B830" s="14"/>
      <c r="C830" s="18"/>
      <c r="D830" s="14"/>
      <c r="E830" s="14"/>
      <c r="G830" s="1">
        <f>_xlfn.XLOOKUP(B830,M_YT_LIVE!A:A,M_YT_LIVE!F:F,"ERROR",0,1)</f>
        <v>0</v>
      </c>
      <c r="W830" s="13" t="e">
        <f t="shared" si="38"/>
        <v>#VALUE!</v>
      </c>
      <c r="X830" s="12">
        <f>_xlfn.XLOOKUP($B830,M_YT_LIVE!$A:$A,M_YT_LIVE!$D:$D)</f>
        <v>0</v>
      </c>
      <c r="Z830" s="16" t="e">
        <f>HYPERLINK($X830&amp;SUBSTITUTE(マスタ!$C$3,"XXXXX",$W830))</f>
        <v>#VALUE!</v>
      </c>
      <c r="AA830" s="12" t="str">
        <f t="shared" si="40"/>
        <v/>
      </c>
    </row>
    <row r="831" spans="1:27" x14ac:dyDescent="0.4">
      <c r="A831" s="14">
        <f t="shared" si="39"/>
        <v>830</v>
      </c>
      <c r="B831" s="14"/>
      <c r="C831" s="18"/>
      <c r="D831" s="14"/>
      <c r="E831" s="14"/>
      <c r="G831" s="1">
        <f>_xlfn.XLOOKUP(B831,M_YT_LIVE!A:A,M_YT_LIVE!F:F,"ERROR",0,1)</f>
        <v>0</v>
      </c>
      <c r="W831" s="13" t="e">
        <f t="shared" si="38"/>
        <v>#VALUE!</v>
      </c>
      <c r="X831" s="12">
        <f>_xlfn.XLOOKUP($B831,M_YT_LIVE!$A:$A,M_YT_LIVE!$D:$D)</f>
        <v>0</v>
      </c>
      <c r="Z831" s="16" t="e">
        <f>HYPERLINK($X831&amp;SUBSTITUTE(マスタ!$C$3,"XXXXX",$W831))</f>
        <v>#VALUE!</v>
      </c>
      <c r="AA831" s="12" t="str">
        <f t="shared" si="40"/>
        <v/>
      </c>
    </row>
    <row r="832" spans="1:27" x14ac:dyDescent="0.4">
      <c r="A832" s="14">
        <f t="shared" si="39"/>
        <v>831</v>
      </c>
      <c r="B832" s="14"/>
      <c r="C832" s="18"/>
      <c r="D832" s="14"/>
      <c r="E832" s="14"/>
      <c r="G832" s="1">
        <f>_xlfn.XLOOKUP(B832,M_YT_LIVE!A:A,M_YT_LIVE!F:F,"ERROR",0,1)</f>
        <v>0</v>
      </c>
      <c r="W832" s="13" t="e">
        <f t="shared" si="38"/>
        <v>#VALUE!</v>
      </c>
      <c r="X832" s="12">
        <f>_xlfn.XLOOKUP($B832,M_YT_LIVE!$A:$A,M_YT_LIVE!$D:$D)</f>
        <v>0</v>
      </c>
      <c r="Z832" s="16" t="e">
        <f>HYPERLINK($X832&amp;SUBSTITUTE(マスタ!$C$3,"XXXXX",$W832))</f>
        <v>#VALUE!</v>
      </c>
      <c r="AA832" s="12" t="str">
        <f t="shared" si="40"/>
        <v/>
      </c>
    </row>
    <row r="833" spans="1:27" x14ac:dyDescent="0.4">
      <c r="A833" s="14">
        <f t="shared" si="39"/>
        <v>832</v>
      </c>
      <c r="B833" s="14"/>
      <c r="C833" s="18"/>
      <c r="D833" s="14"/>
      <c r="E833" s="14"/>
      <c r="G833" s="1">
        <f>_xlfn.XLOOKUP(B833,M_YT_LIVE!A:A,M_YT_LIVE!F:F,"ERROR",0,1)</f>
        <v>0</v>
      </c>
      <c r="W833" s="13" t="e">
        <f t="shared" si="38"/>
        <v>#VALUE!</v>
      </c>
      <c r="X833" s="12">
        <f>_xlfn.XLOOKUP($B833,M_YT_LIVE!$A:$A,M_YT_LIVE!$D:$D)</f>
        <v>0</v>
      </c>
      <c r="Z833" s="16" t="e">
        <f>HYPERLINK($X833&amp;SUBSTITUTE(マスタ!$C$3,"XXXXX",$W833))</f>
        <v>#VALUE!</v>
      </c>
      <c r="AA833" s="12" t="str">
        <f t="shared" si="40"/>
        <v/>
      </c>
    </row>
    <row r="834" spans="1:27" x14ac:dyDescent="0.4">
      <c r="A834" s="14">
        <f t="shared" si="39"/>
        <v>833</v>
      </c>
      <c r="B834" s="14"/>
      <c r="C834" s="18"/>
      <c r="D834" s="14"/>
      <c r="E834" s="14"/>
      <c r="G834" s="1">
        <f>_xlfn.XLOOKUP(B834,M_YT_LIVE!A:A,M_YT_LIVE!F:F,"ERROR",0,1)</f>
        <v>0</v>
      </c>
      <c r="W834" s="13" t="e">
        <f t="shared" si="38"/>
        <v>#VALUE!</v>
      </c>
      <c r="X834" s="12">
        <f>_xlfn.XLOOKUP($B834,M_YT_LIVE!$A:$A,M_YT_LIVE!$D:$D)</f>
        <v>0</v>
      </c>
      <c r="Z834" s="16" t="e">
        <f>HYPERLINK($X834&amp;SUBSTITUTE(マスタ!$C$3,"XXXXX",$W834))</f>
        <v>#VALUE!</v>
      </c>
      <c r="AA834" s="12" t="str">
        <f t="shared" si="40"/>
        <v/>
      </c>
    </row>
    <row r="835" spans="1:27" x14ac:dyDescent="0.4">
      <c r="A835" s="14">
        <f t="shared" si="39"/>
        <v>834</v>
      </c>
      <c r="B835" s="14"/>
      <c r="C835" s="18"/>
      <c r="D835" s="14"/>
      <c r="E835" s="14"/>
      <c r="G835" s="1">
        <f>_xlfn.XLOOKUP(B835,M_YT_LIVE!A:A,M_YT_LIVE!F:F,"ERROR",0,1)</f>
        <v>0</v>
      </c>
      <c r="W835" s="13" t="e">
        <f t="shared" si="38"/>
        <v>#VALUE!</v>
      </c>
      <c r="X835" s="12">
        <f>_xlfn.XLOOKUP($B835,M_YT_LIVE!$A:$A,M_YT_LIVE!$D:$D)</f>
        <v>0</v>
      </c>
      <c r="Z835" s="16" t="e">
        <f>HYPERLINK($X835&amp;SUBSTITUTE(マスタ!$C$3,"XXXXX",$W835))</f>
        <v>#VALUE!</v>
      </c>
      <c r="AA835" s="12" t="str">
        <f t="shared" si="40"/>
        <v/>
      </c>
    </row>
    <row r="836" spans="1:27" x14ac:dyDescent="0.4">
      <c r="A836" s="14">
        <f t="shared" si="39"/>
        <v>835</v>
      </c>
      <c r="B836" s="14"/>
      <c r="C836" s="18"/>
      <c r="D836" s="14"/>
      <c r="E836" s="14"/>
      <c r="G836" s="1">
        <f>_xlfn.XLOOKUP(B836,M_YT_LIVE!A:A,M_YT_LIVE!F:F,"ERROR",0,1)</f>
        <v>0</v>
      </c>
      <c r="W836" s="13" t="e">
        <f t="shared" ref="W836:W899" si="41">TIMEVALUE($C836)*86400</f>
        <v>#VALUE!</v>
      </c>
      <c r="X836" s="12">
        <f>_xlfn.XLOOKUP($B836,M_YT_LIVE!$A:$A,M_YT_LIVE!$D:$D)</f>
        <v>0</v>
      </c>
      <c r="Z836" s="16" t="e">
        <f>HYPERLINK($X836&amp;SUBSTITUTE(マスタ!$C$3,"XXXXX",$W836))</f>
        <v>#VALUE!</v>
      </c>
      <c r="AA836" s="12" t="str">
        <f t="shared" si="40"/>
        <v/>
      </c>
    </row>
    <row r="837" spans="1:27" x14ac:dyDescent="0.4">
      <c r="A837" s="14">
        <f t="shared" ref="A837:A900" si="42">ROW()-1</f>
        <v>836</v>
      </c>
      <c r="B837" s="14"/>
      <c r="C837" s="18"/>
      <c r="D837" s="14"/>
      <c r="E837" s="14"/>
      <c r="G837" s="1">
        <f>_xlfn.XLOOKUP(B837,M_YT_LIVE!A:A,M_YT_LIVE!F:F,"ERROR",0,1)</f>
        <v>0</v>
      </c>
      <c r="W837" s="13" t="e">
        <f t="shared" si="41"/>
        <v>#VALUE!</v>
      </c>
      <c r="X837" s="12">
        <f>_xlfn.XLOOKUP($B837,M_YT_LIVE!$A:$A,M_YT_LIVE!$D:$D)</f>
        <v>0</v>
      </c>
      <c r="Z837" s="16" t="e">
        <f>HYPERLINK($X837&amp;SUBSTITUTE(マスタ!$C$3,"XXXXX",$W837))</f>
        <v>#VALUE!</v>
      </c>
      <c r="AA837" s="12" t="str">
        <f t="shared" si="40"/>
        <v/>
      </c>
    </row>
    <row r="838" spans="1:27" x14ac:dyDescent="0.4">
      <c r="A838" s="14">
        <f t="shared" si="42"/>
        <v>837</v>
      </c>
      <c r="B838" s="14"/>
      <c r="C838" s="18"/>
      <c r="D838" s="14"/>
      <c r="E838" s="14"/>
      <c r="G838" s="1">
        <f>_xlfn.XLOOKUP(B838,M_YT_LIVE!A:A,M_YT_LIVE!F:F,"ERROR",0,1)</f>
        <v>0</v>
      </c>
      <c r="W838" s="13" t="e">
        <f t="shared" si="41"/>
        <v>#VALUE!</v>
      </c>
      <c r="X838" s="12">
        <f>_xlfn.XLOOKUP($B838,M_YT_LIVE!$A:$A,M_YT_LIVE!$D:$D)</f>
        <v>0</v>
      </c>
      <c r="Z838" s="16" t="e">
        <f>HYPERLINK($X838&amp;SUBSTITUTE(マスタ!$C$3,"XXXXX",$W838))</f>
        <v>#VALUE!</v>
      </c>
      <c r="AA838" s="12" t="str">
        <f t="shared" si="40"/>
        <v/>
      </c>
    </row>
    <row r="839" spans="1:27" x14ac:dyDescent="0.4">
      <c r="A839" s="14">
        <f t="shared" si="42"/>
        <v>838</v>
      </c>
      <c r="B839" s="14"/>
      <c r="C839" s="18"/>
      <c r="D839" s="14"/>
      <c r="E839" s="14"/>
      <c r="G839" s="1">
        <f>_xlfn.XLOOKUP(B839,M_YT_LIVE!A:A,M_YT_LIVE!F:F,"ERROR",0,1)</f>
        <v>0</v>
      </c>
      <c r="W839" s="13" t="e">
        <f t="shared" si="41"/>
        <v>#VALUE!</v>
      </c>
      <c r="X839" s="12">
        <f>_xlfn.XLOOKUP($B839,M_YT_LIVE!$A:$A,M_YT_LIVE!$D:$D)</f>
        <v>0</v>
      </c>
      <c r="Z839" s="16" t="e">
        <f>HYPERLINK($X839&amp;SUBSTITUTE(マスタ!$C$3,"XXXXX",$W839))</f>
        <v>#VALUE!</v>
      </c>
      <c r="AA839" s="12" t="str">
        <f t="shared" si="40"/>
        <v/>
      </c>
    </row>
    <row r="840" spans="1:27" x14ac:dyDescent="0.4">
      <c r="A840" s="14">
        <f t="shared" si="42"/>
        <v>839</v>
      </c>
      <c r="B840" s="14"/>
      <c r="C840" s="18"/>
      <c r="D840" s="14"/>
      <c r="E840" s="14"/>
      <c r="G840" s="1">
        <f>_xlfn.XLOOKUP(B840,M_YT_LIVE!A:A,M_YT_LIVE!F:F,"ERROR",0,1)</f>
        <v>0</v>
      </c>
      <c r="W840" s="13" t="e">
        <f t="shared" si="41"/>
        <v>#VALUE!</v>
      </c>
      <c r="X840" s="12">
        <f>_xlfn.XLOOKUP($B840,M_YT_LIVE!$A:$A,M_YT_LIVE!$D:$D)</f>
        <v>0</v>
      </c>
      <c r="Z840" s="16" t="e">
        <f>HYPERLINK($X840&amp;SUBSTITUTE(マスタ!$C$3,"XXXXX",$W840))</f>
        <v>#VALUE!</v>
      </c>
      <c r="AA840" s="12" t="str">
        <f t="shared" si="40"/>
        <v/>
      </c>
    </row>
    <row r="841" spans="1:27" x14ac:dyDescent="0.4">
      <c r="A841" s="14">
        <f t="shared" si="42"/>
        <v>840</v>
      </c>
      <c r="B841" s="14"/>
      <c r="C841" s="18"/>
      <c r="D841" s="14"/>
      <c r="E841" s="14"/>
      <c r="G841" s="1">
        <f>_xlfn.XLOOKUP(B841,M_YT_LIVE!A:A,M_YT_LIVE!F:F,"ERROR",0,1)</f>
        <v>0</v>
      </c>
      <c r="W841" s="13" t="e">
        <f t="shared" si="41"/>
        <v>#VALUE!</v>
      </c>
      <c r="X841" s="12">
        <f>_xlfn.XLOOKUP($B841,M_YT_LIVE!$A:$A,M_YT_LIVE!$D:$D)</f>
        <v>0</v>
      </c>
      <c r="Z841" s="16" t="e">
        <f>HYPERLINK($X841&amp;SUBSTITUTE(マスタ!$C$3,"XXXXX",$W841))</f>
        <v>#VALUE!</v>
      </c>
      <c r="AA841" s="12" t="str">
        <f t="shared" si="40"/>
        <v/>
      </c>
    </row>
    <row r="842" spans="1:27" x14ac:dyDescent="0.4">
      <c r="A842" s="14">
        <f t="shared" si="42"/>
        <v>841</v>
      </c>
      <c r="B842" s="14"/>
      <c r="C842" s="18"/>
      <c r="D842" s="14"/>
      <c r="E842" s="14"/>
      <c r="G842" s="1">
        <f>_xlfn.XLOOKUP(B842,M_YT_LIVE!A:A,M_YT_LIVE!F:F,"ERROR",0,1)</f>
        <v>0</v>
      </c>
      <c r="W842" s="13" t="e">
        <f t="shared" si="41"/>
        <v>#VALUE!</v>
      </c>
      <c r="X842" s="12">
        <f>_xlfn.XLOOKUP($B842,M_YT_LIVE!$A:$A,M_YT_LIVE!$D:$D)</f>
        <v>0</v>
      </c>
      <c r="Z842" s="16" t="e">
        <f>HYPERLINK($X842&amp;SUBSTITUTE(マスタ!$C$3,"XXXXX",$W842))</f>
        <v>#VALUE!</v>
      </c>
      <c r="AA842" s="12" t="str">
        <f t="shared" si="40"/>
        <v/>
      </c>
    </row>
    <row r="843" spans="1:27" x14ac:dyDescent="0.4">
      <c r="A843" s="14">
        <f t="shared" si="42"/>
        <v>842</v>
      </c>
      <c r="B843" s="14"/>
      <c r="C843" s="18"/>
      <c r="D843" s="14"/>
      <c r="E843" s="14"/>
      <c r="G843" s="1">
        <f>_xlfn.XLOOKUP(B843,M_YT_LIVE!A:A,M_YT_LIVE!F:F,"ERROR",0,1)</f>
        <v>0</v>
      </c>
      <c r="W843" s="13" t="e">
        <f t="shared" si="41"/>
        <v>#VALUE!</v>
      </c>
      <c r="X843" s="12">
        <f>_xlfn.XLOOKUP($B843,M_YT_LIVE!$A:$A,M_YT_LIVE!$D:$D)</f>
        <v>0</v>
      </c>
      <c r="Z843" s="16" t="e">
        <f>HYPERLINK($X843&amp;SUBSTITUTE(マスタ!$C$3,"XXXXX",$W843))</f>
        <v>#VALUE!</v>
      </c>
      <c r="AA843" s="12" t="str">
        <f t="shared" si="40"/>
        <v/>
      </c>
    </row>
    <row r="844" spans="1:27" x14ac:dyDescent="0.4">
      <c r="A844" s="14">
        <f t="shared" si="42"/>
        <v>843</v>
      </c>
      <c r="B844" s="14"/>
      <c r="C844" s="18"/>
      <c r="D844" s="14"/>
      <c r="E844" s="14"/>
      <c r="G844" s="1">
        <f>_xlfn.XLOOKUP(B844,M_YT_LIVE!A:A,M_YT_LIVE!F:F,"ERROR",0,1)</f>
        <v>0</v>
      </c>
      <c r="W844" s="13" t="e">
        <f t="shared" si="41"/>
        <v>#VALUE!</v>
      </c>
      <c r="X844" s="12">
        <f>_xlfn.XLOOKUP($B844,M_YT_LIVE!$A:$A,M_YT_LIVE!$D:$D)</f>
        <v>0</v>
      </c>
      <c r="Z844" s="16" t="e">
        <f>HYPERLINK($X844&amp;SUBSTITUTE(マスタ!$C$3,"XXXXX",$W844))</f>
        <v>#VALUE!</v>
      </c>
      <c r="AA844" s="12" t="str">
        <f t="shared" si="40"/>
        <v/>
      </c>
    </row>
    <row r="845" spans="1:27" x14ac:dyDescent="0.4">
      <c r="A845" s="14">
        <f t="shared" si="42"/>
        <v>844</v>
      </c>
      <c r="B845" s="14"/>
      <c r="C845" s="18"/>
      <c r="D845" s="14"/>
      <c r="E845" s="14"/>
      <c r="G845" s="1">
        <f>_xlfn.XLOOKUP(B845,M_YT_LIVE!A:A,M_YT_LIVE!F:F,"ERROR",0,1)</f>
        <v>0</v>
      </c>
      <c r="W845" s="13" t="e">
        <f t="shared" si="41"/>
        <v>#VALUE!</v>
      </c>
      <c r="X845" s="12">
        <f>_xlfn.XLOOKUP($B845,M_YT_LIVE!$A:$A,M_YT_LIVE!$D:$D)</f>
        <v>0</v>
      </c>
      <c r="Z845" s="16" t="e">
        <f>HYPERLINK($X845&amp;SUBSTITUTE(マスタ!$C$3,"XXXXX",$W845))</f>
        <v>#VALUE!</v>
      </c>
      <c r="AA845" s="12" t="str">
        <f t="shared" si="40"/>
        <v/>
      </c>
    </row>
    <row r="846" spans="1:27" x14ac:dyDescent="0.4">
      <c r="A846" s="14">
        <f t="shared" si="42"/>
        <v>845</v>
      </c>
      <c r="B846" s="14"/>
      <c r="C846" s="18"/>
      <c r="D846" s="14"/>
      <c r="E846" s="14"/>
      <c r="G846" s="1">
        <f>_xlfn.XLOOKUP(B846,M_YT_LIVE!A:A,M_YT_LIVE!F:F,"ERROR",0,1)</f>
        <v>0</v>
      </c>
      <c r="W846" s="13" t="e">
        <f t="shared" si="41"/>
        <v>#VALUE!</v>
      </c>
      <c r="X846" s="12">
        <f>_xlfn.XLOOKUP($B846,M_YT_LIVE!$A:$A,M_YT_LIVE!$D:$D)</f>
        <v>0</v>
      </c>
      <c r="Z846" s="16" t="e">
        <f>HYPERLINK($X846&amp;SUBSTITUTE(マスタ!$C$3,"XXXXX",$W846))</f>
        <v>#VALUE!</v>
      </c>
      <c r="AA846" s="12" t="str">
        <f t="shared" si="40"/>
        <v/>
      </c>
    </row>
    <row r="847" spans="1:27" x14ac:dyDescent="0.4">
      <c r="A847" s="14">
        <f t="shared" si="42"/>
        <v>846</v>
      </c>
      <c r="B847" s="14"/>
      <c r="C847" s="18"/>
      <c r="D847" s="14"/>
      <c r="E847" s="14"/>
      <c r="G847" s="1">
        <f>_xlfn.XLOOKUP(B847,M_YT_LIVE!A:A,M_YT_LIVE!F:F,"ERROR",0,1)</f>
        <v>0</v>
      </c>
      <c r="W847" s="13" t="e">
        <f t="shared" si="41"/>
        <v>#VALUE!</v>
      </c>
      <c r="X847" s="12">
        <f>_xlfn.XLOOKUP($B847,M_YT_LIVE!$A:$A,M_YT_LIVE!$D:$D)</f>
        <v>0</v>
      </c>
      <c r="Z847" s="16" t="e">
        <f>HYPERLINK($X847&amp;SUBSTITUTE(マスタ!$C$3,"XXXXX",$W847))</f>
        <v>#VALUE!</v>
      </c>
      <c r="AA847" s="12" t="str">
        <f t="shared" si="40"/>
        <v/>
      </c>
    </row>
    <row r="848" spans="1:27" x14ac:dyDescent="0.4">
      <c r="A848" s="14">
        <f t="shared" si="42"/>
        <v>847</v>
      </c>
      <c r="B848" s="14"/>
      <c r="C848" s="18"/>
      <c r="D848" s="14"/>
      <c r="E848" s="14"/>
      <c r="G848" s="1">
        <f>_xlfn.XLOOKUP(B848,M_YT_LIVE!A:A,M_YT_LIVE!F:F,"ERROR",0,1)</f>
        <v>0</v>
      </c>
      <c r="W848" s="13" t="e">
        <f t="shared" si="41"/>
        <v>#VALUE!</v>
      </c>
      <c r="X848" s="12">
        <f>_xlfn.XLOOKUP($B848,M_YT_LIVE!$A:$A,M_YT_LIVE!$D:$D)</f>
        <v>0</v>
      </c>
      <c r="Z848" s="16" t="e">
        <f>HYPERLINK($X848&amp;SUBSTITUTE(マスタ!$C$3,"XXXXX",$W848))</f>
        <v>#VALUE!</v>
      </c>
      <c r="AA848" s="12" t="str">
        <f t="shared" si="40"/>
        <v/>
      </c>
    </row>
    <row r="849" spans="1:27" x14ac:dyDescent="0.4">
      <c r="A849" s="14">
        <f t="shared" si="42"/>
        <v>848</v>
      </c>
      <c r="B849" s="14"/>
      <c r="C849" s="18"/>
      <c r="D849" s="14"/>
      <c r="E849" s="14"/>
      <c r="G849" s="1">
        <f>_xlfn.XLOOKUP(B849,M_YT_LIVE!A:A,M_YT_LIVE!F:F,"ERROR",0,1)</f>
        <v>0</v>
      </c>
      <c r="W849" s="13" t="e">
        <f t="shared" si="41"/>
        <v>#VALUE!</v>
      </c>
      <c r="X849" s="12">
        <f>_xlfn.XLOOKUP($B849,M_YT_LIVE!$A:$A,M_YT_LIVE!$D:$D)</f>
        <v>0</v>
      </c>
      <c r="Z849" s="16" t="e">
        <f>HYPERLINK($X849&amp;SUBSTITUTE(マスタ!$C$3,"XXXXX",$W849))</f>
        <v>#VALUE!</v>
      </c>
      <c r="AA849" s="12" t="str">
        <f t="shared" si="40"/>
        <v/>
      </c>
    </row>
    <row r="850" spans="1:27" x14ac:dyDescent="0.4">
      <c r="A850" s="14">
        <f t="shared" si="42"/>
        <v>849</v>
      </c>
      <c r="B850" s="14"/>
      <c r="C850" s="18"/>
      <c r="D850" s="14"/>
      <c r="E850" s="14"/>
      <c r="G850" s="1">
        <f>_xlfn.XLOOKUP(B850,M_YT_LIVE!A:A,M_YT_LIVE!F:F,"ERROR",0,1)</f>
        <v>0</v>
      </c>
      <c r="W850" s="13" t="e">
        <f t="shared" si="41"/>
        <v>#VALUE!</v>
      </c>
      <c r="X850" s="12">
        <f>_xlfn.XLOOKUP($B850,M_YT_LIVE!$A:$A,M_YT_LIVE!$D:$D)</f>
        <v>0</v>
      </c>
      <c r="Z850" s="16" t="e">
        <f>HYPERLINK($X850&amp;SUBSTITUTE(マスタ!$C$3,"XXXXX",$W850))</f>
        <v>#VALUE!</v>
      </c>
      <c r="AA850" s="12" t="str">
        <f t="shared" si="40"/>
        <v/>
      </c>
    </row>
    <row r="851" spans="1:27" x14ac:dyDescent="0.4">
      <c r="A851" s="14">
        <f t="shared" si="42"/>
        <v>850</v>
      </c>
      <c r="B851" s="14"/>
      <c r="C851" s="18"/>
      <c r="D851" s="14"/>
      <c r="E851" s="14"/>
      <c r="G851" s="1">
        <f>_xlfn.XLOOKUP(B851,M_YT_LIVE!A:A,M_YT_LIVE!F:F,"ERROR",0,1)</f>
        <v>0</v>
      </c>
      <c r="W851" s="13" t="e">
        <f t="shared" si="41"/>
        <v>#VALUE!</v>
      </c>
      <c r="X851" s="12">
        <f>_xlfn.XLOOKUP($B851,M_YT_LIVE!$A:$A,M_YT_LIVE!$D:$D)</f>
        <v>0</v>
      </c>
      <c r="Z851" s="16" t="e">
        <f>HYPERLINK($X851&amp;SUBSTITUTE(マスタ!$C$3,"XXXXX",$W851))</f>
        <v>#VALUE!</v>
      </c>
      <c r="AA851" s="12" t="str">
        <f t="shared" si="40"/>
        <v/>
      </c>
    </row>
    <row r="852" spans="1:27" x14ac:dyDescent="0.4">
      <c r="A852" s="14">
        <f t="shared" si="42"/>
        <v>851</v>
      </c>
      <c r="B852" s="14"/>
      <c r="C852" s="18"/>
      <c r="D852" s="14"/>
      <c r="E852" s="14"/>
      <c r="G852" s="1">
        <f>_xlfn.XLOOKUP(B852,M_YT_LIVE!A:A,M_YT_LIVE!F:F,"ERROR",0,1)</f>
        <v>0</v>
      </c>
      <c r="W852" s="13" t="e">
        <f t="shared" si="41"/>
        <v>#VALUE!</v>
      </c>
      <c r="X852" s="12">
        <f>_xlfn.XLOOKUP($B852,M_YT_LIVE!$A:$A,M_YT_LIVE!$D:$D)</f>
        <v>0</v>
      </c>
      <c r="Z852" s="16" t="e">
        <f>HYPERLINK($X852&amp;SUBSTITUTE(マスタ!$C$3,"XXXXX",$W852))</f>
        <v>#VALUE!</v>
      </c>
      <c r="AA852" s="12" t="str">
        <f t="shared" si="40"/>
        <v/>
      </c>
    </row>
    <row r="853" spans="1:27" x14ac:dyDescent="0.4">
      <c r="A853" s="14">
        <f t="shared" si="42"/>
        <v>852</v>
      </c>
      <c r="B853" s="14"/>
      <c r="C853" s="18"/>
      <c r="D853" s="14"/>
      <c r="E853" s="14"/>
      <c r="G853" s="1">
        <f>_xlfn.XLOOKUP(B853,M_YT_LIVE!A:A,M_YT_LIVE!F:F,"ERROR",0,1)</f>
        <v>0</v>
      </c>
      <c r="W853" s="13" t="e">
        <f t="shared" si="41"/>
        <v>#VALUE!</v>
      </c>
      <c r="X853" s="12">
        <f>_xlfn.XLOOKUP($B853,M_YT_LIVE!$A:$A,M_YT_LIVE!$D:$D)</f>
        <v>0</v>
      </c>
      <c r="Z853" s="16" t="e">
        <f>HYPERLINK($X853&amp;SUBSTITUTE(マスタ!$C$3,"XXXXX",$W853))</f>
        <v>#VALUE!</v>
      </c>
      <c r="AA853" s="12" t="str">
        <f t="shared" si="40"/>
        <v/>
      </c>
    </row>
    <row r="854" spans="1:27" x14ac:dyDescent="0.4">
      <c r="A854" s="14">
        <f t="shared" si="42"/>
        <v>853</v>
      </c>
      <c r="B854" s="14"/>
      <c r="C854" s="18"/>
      <c r="D854" s="14"/>
      <c r="E854" s="14"/>
      <c r="G854" s="1">
        <f>_xlfn.XLOOKUP(B854,M_YT_LIVE!A:A,M_YT_LIVE!F:F,"ERROR",0,1)</f>
        <v>0</v>
      </c>
      <c r="W854" s="13" t="e">
        <f t="shared" si="41"/>
        <v>#VALUE!</v>
      </c>
      <c r="X854" s="12">
        <f>_xlfn.XLOOKUP($B854,M_YT_LIVE!$A:$A,M_YT_LIVE!$D:$D)</f>
        <v>0</v>
      </c>
      <c r="Z854" s="16" t="e">
        <f>HYPERLINK($X854&amp;SUBSTITUTE(マスタ!$C$3,"XXXXX",$W854))</f>
        <v>#VALUE!</v>
      </c>
      <c r="AA854" s="12" t="str">
        <f t="shared" si="40"/>
        <v/>
      </c>
    </row>
    <row r="855" spans="1:27" x14ac:dyDescent="0.4">
      <c r="A855" s="14">
        <f t="shared" si="42"/>
        <v>854</v>
      </c>
      <c r="B855" s="14"/>
      <c r="C855" s="18"/>
      <c r="D855" s="14"/>
      <c r="E855" s="14"/>
      <c r="G855" s="1">
        <f>_xlfn.XLOOKUP(B855,M_YT_LIVE!A:A,M_YT_LIVE!F:F,"ERROR",0,1)</f>
        <v>0</v>
      </c>
      <c r="W855" s="13" t="e">
        <f t="shared" si="41"/>
        <v>#VALUE!</v>
      </c>
      <c r="X855" s="12">
        <f>_xlfn.XLOOKUP($B855,M_YT_LIVE!$A:$A,M_YT_LIVE!$D:$D)</f>
        <v>0</v>
      </c>
      <c r="Z855" s="16" t="e">
        <f>HYPERLINK($X855&amp;SUBSTITUTE(マスタ!$C$3,"XXXXX",$W855))</f>
        <v>#VALUE!</v>
      </c>
      <c r="AA855" s="12" t="str">
        <f t="shared" si="40"/>
        <v/>
      </c>
    </row>
    <row r="856" spans="1:27" x14ac:dyDescent="0.4">
      <c r="A856" s="14">
        <f t="shared" si="42"/>
        <v>855</v>
      </c>
      <c r="B856" s="14"/>
      <c r="C856" s="18"/>
      <c r="D856" s="14"/>
      <c r="E856" s="14"/>
      <c r="G856" s="1">
        <f>_xlfn.XLOOKUP(B856,M_YT_LIVE!A:A,M_YT_LIVE!F:F,"ERROR",0,1)</f>
        <v>0</v>
      </c>
      <c r="W856" s="13" t="e">
        <f t="shared" si="41"/>
        <v>#VALUE!</v>
      </c>
      <c r="X856" s="12">
        <f>_xlfn.XLOOKUP($B856,M_YT_LIVE!$A:$A,M_YT_LIVE!$D:$D)</f>
        <v>0</v>
      </c>
      <c r="Z856" s="16" t="e">
        <f>HYPERLINK($X856&amp;SUBSTITUTE(マスタ!$C$3,"XXXXX",$W856))</f>
        <v>#VALUE!</v>
      </c>
      <c r="AA856" s="12" t="str">
        <f t="shared" si="40"/>
        <v/>
      </c>
    </row>
    <row r="857" spans="1:27" x14ac:dyDescent="0.4">
      <c r="A857" s="14">
        <f t="shared" si="42"/>
        <v>856</v>
      </c>
      <c r="B857" s="14"/>
      <c r="C857" s="18"/>
      <c r="D857" s="14"/>
      <c r="E857" s="14"/>
      <c r="G857" s="1">
        <f>_xlfn.XLOOKUP(B857,M_YT_LIVE!A:A,M_YT_LIVE!F:F,"ERROR",0,1)</f>
        <v>0</v>
      </c>
      <c r="W857" s="13" t="e">
        <f t="shared" si="41"/>
        <v>#VALUE!</v>
      </c>
      <c r="X857" s="12">
        <f>_xlfn.XLOOKUP($B857,M_YT_LIVE!$A:$A,M_YT_LIVE!$D:$D)</f>
        <v>0</v>
      </c>
      <c r="Z857" s="16" t="e">
        <f>HYPERLINK($X857&amp;SUBSTITUTE(マスタ!$C$3,"XXXXX",$W857))</f>
        <v>#VALUE!</v>
      </c>
      <c r="AA857" s="12" t="str">
        <f t="shared" si="40"/>
        <v/>
      </c>
    </row>
    <row r="858" spans="1:27" x14ac:dyDescent="0.4">
      <c r="A858" s="14">
        <f t="shared" si="42"/>
        <v>857</v>
      </c>
      <c r="B858" s="14"/>
      <c r="C858" s="18"/>
      <c r="D858" s="14"/>
      <c r="E858" s="14"/>
      <c r="G858" s="1">
        <f>_xlfn.XLOOKUP(B858,M_YT_LIVE!A:A,M_YT_LIVE!F:F,"ERROR",0,1)</f>
        <v>0</v>
      </c>
      <c r="W858" s="13" t="e">
        <f t="shared" si="41"/>
        <v>#VALUE!</v>
      </c>
      <c r="X858" s="12">
        <f>_xlfn.XLOOKUP($B858,M_YT_LIVE!$A:$A,M_YT_LIVE!$D:$D)</f>
        <v>0</v>
      </c>
      <c r="Z858" s="16" t="e">
        <f>HYPERLINK($X858&amp;SUBSTITUTE(マスタ!$C$3,"XXXXX",$W858))</f>
        <v>#VALUE!</v>
      </c>
      <c r="AA858" s="12" t="str">
        <f t="shared" si="40"/>
        <v/>
      </c>
    </row>
    <row r="859" spans="1:27" x14ac:dyDescent="0.4">
      <c r="A859" s="14">
        <f t="shared" si="42"/>
        <v>858</v>
      </c>
      <c r="B859" s="14"/>
      <c r="C859" s="18"/>
      <c r="D859" s="14"/>
      <c r="E859" s="14"/>
      <c r="G859" s="1">
        <f>_xlfn.XLOOKUP(B859,M_YT_LIVE!A:A,M_YT_LIVE!F:F,"ERROR",0,1)</f>
        <v>0</v>
      </c>
      <c r="W859" s="13" t="e">
        <f t="shared" si="41"/>
        <v>#VALUE!</v>
      </c>
      <c r="X859" s="12">
        <f>_xlfn.XLOOKUP($B859,M_YT_LIVE!$A:$A,M_YT_LIVE!$D:$D)</f>
        <v>0</v>
      </c>
      <c r="Z859" s="16" t="e">
        <f>HYPERLINK($X859&amp;SUBSTITUTE(マスタ!$C$3,"XXXXX",$W859))</f>
        <v>#VALUE!</v>
      </c>
      <c r="AA859" s="12" t="str">
        <f t="shared" si="40"/>
        <v/>
      </c>
    </row>
    <row r="860" spans="1:27" x14ac:dyDescent="0.4">
      <c r="A860" s="14">
        <f t="shared" si="42"/>
        <v>859</v>
      </c>
      <c r="B860" s="14"/>
      <c r="C860" s="18"/>
      <c r="D860" s="14"/>
      <c r="E860" s="14"/>
      <c r="G860" s="1">
        <f>_xlfn.XLOOKUP(B860,M_YT_LIVE!A:A,M_YT_LIVE!F:F,"ERROR",0,1)</f>
        <v>0</v>
      </c>
      <c r="W860" s="13" t="e">
        <f t="shared" si="41"/>
        <v>#VALUE!</v>
      </c>
      <c r="X860" s="12">
        <f>_xlfn.XLOOKUP($B860,M_YT_LIVE!$A:$A,M_YT_LIVE!$D:$D)</f>
        <v>0</v>
      </c>
      <c r="Z860" s="16" t="e">
        <f>HYPERLINK($X860&amp;SUBSTITUTE(マスタ!$C$3,"XXXXX",$W860))</f>
        <v>#VALUE!</v>
      </c>
      <c r="AA860" s="12" t="str">
        <f t="shared" si="40"/>
        <v/>
      </c>
    </row>
    <row r="861" spans="1:27" x14ac:dyDescent="0.4">
      <c r="A861" s="14">
        <f t="shared" si="42"/>
        <v>860</v>
      </c>
      <c r="B861" s="14"/>
      <c r="C861" s="18"/>
      <c r="D861" s="14"/>
      <c r="E861" s="14"/>
      <c r="G861" s="1">
        <f>_xlfn.XLOOKUP(B861,M_YT_LIVE!A:A,M_YT_LIVE!F:F,"ERROR",0,1)</f>
        <v>0</v>
      </c>
      <c r="W861" s="13" t="e">
        <f t="shared" si="41"/>
        <v>#VALUE!</v>
      </c>
      <c r="X861" s="12">
        <f>_xlfn.XLOOKUP($B861,M_YT_LIVE!$A:$A,M_YT_LIVE!$D:$D)</f>
        <v>0</v>
      </c>
      <c r="Z861" s="16" t="e">
        <f>HYPERLINK($X861&amp;SUBSTITUTE(マスタ!$C$3,"XXXXX",$W861))</f>
        <v>#VALUE!</v>
      </c>
      <c r="AA861" s="12" t="str">
        <f t="shared" si="40"/>
        <v/>
      </c>
    </row>
    <row r="862" spans="1:27" x14ac:dyDescent="0.4">
      <c r="A862" s="14">
        <f t="shared" si="42"/>
        <v>861</v>
      </c>
      <c r="B862" s="14"/>
      <c r="C862" s="18"/>
      <c r="D862" s="14"/>
      <c r="E862" s="14"/>
      <c r="G862" s="1">
        <f>_xlfn.XLOOKUP(B862,M_YT_LIVE!A:A,M_YT_LIVE!F:F,"ERROR",0,1)</f>
        <v>0</v>
      </c>
      <c r="W862" s="13" t="e">
        <f t="shared" si="41"/>
        <v>#VALUE!</v>
      </c>
      <c r="X862" s="12">
        <f>_xlfn.XLOOKUP($B862,M_YT_LIVE!$A:$A,M_YT_LIVE!$D:$D)</f>
        <v>0</v>
      </c>
      <c r="Z862" s="16" t="e">
        <f>HYPERLINK($X862&amp;SUBSTITUTE(マスタ!$C$3,"XXXXX",$W862))</f>
        <v>#VALUE!</v>
      </c>
      <c r="AA862" s="12" t="str">
        <f t="shared" si="40"/>
        <v/>
      </c>
    </row>
    <row r="863" spans="1:27" x14ac:dyDescent="0.4">
      <c r="A863" s="14">
        <f t="shared" si="42"/>
        <v>862</v>
      </c>
      <c r="B863" s="14"/>
      <c r="C863" s="18"/>
      <c r="D863" s="14"/>
      <c r="E863" s="14"/>
      <c r="G863" s="1">
        <f>_xlfn.XLOOKUP(B863,M_YT_LIVE!A:A,M_YT_LIVE!F:F,"ERROR",0,1)</f>
        <v>0</v>
      </c>
      <c r="W863" s="13" t="e">
        <f t="shared" si="41"/>
        <v>#VALUE!</v>
      </c>
      <c r="X863" s="12">
        <f>_xlfn.XLOOKUP($B863,M_YT_LIVE!$A:$A,M_YT_LIVE!$D:$D)</f>
        <v>0</v>
      </c>
      <c r="Z863" s="16" t="e">
        <f>HYPERLINK($X863&amp;SUBSTITUTE(マスタ!$C$3,"XXXXX",$W863))</f>
        <v>#VALUE!</v>
      </c>
      <c r="AA863" s="12" t="str">
        <f t="shared" si="40"/>
        <v/>
      </c>
    </row>
    <row r="864" spans="1:27" x14ac:dyDescent="0.4">
      <c r="A864" s="14">
        <f t="shared" si="42"/>
        <v>863</v>
      </c>
      <c r="B864" s="14"/>
      <c r="C864" s="18"/>
      <c r="D864" s="14"/>
      <c r="E864" s="14"/>
      <c r="G864" s="1">
        <f>_xlfn.XLOOKUP(B864,M_YT_LIVE!A:A,M_YT_LIVE!F:F,"ERROR",0,1)</f>
        <v>0</v>
      </c>
      <c r="W864" s="13" t="e">
        <f t="shared" si="41"/>
        <v>#VALUE!</v>
      </c>
      <c r="X864" s="12">
        <f>_xlfn.XLOOKUP($B864,M_YT_LIVE!$A:$A,M_YT_LIVE!$D:$D)</f>
        <v>0</v>
      </c>
      <c r="Z864" s="16" t="e">
        <f>HYPERLINK($X864&amp;SUBSTITUTE(マスタ!$C$3,"XXXXX",$W864))</f>
        <v>#VALUE!</v>
      </c>
      <c r="AA864" s="12" t="str">
        <f t="shared" si="40"/>
        <v/>
      </c>
    </row>
    <row r="865" spans="1:27" x14ac:dyDescent="0.4">
      <c r="A865" s="14">
        <f t="shared" si="42"/>
        <v>864</v>
      </c>
      <c r="B865" s="14"/>
      <c r="C865" s="18"/>
      <c r="D865" s="14"/>
      <c r="E865" s="14"/>
      <c r="G865" s="1">
        <f>_xlfn.XLOOKUP(B865,M_YT_LIVE!A:A,M_YT_LIVE!F:F,"ERROR",0,1)</f>
        <v>0</v>
      </c>
      <c r="W865" s="13" t="e">
        <f t="shared" si="41"/>
        <v>#VALUE!</v>
      </c>
      <c r="X865" s="12">
        <f>_xlfn.XLOOKUP($B865,M_YT_LIVE!$A:$A,M_YT_LIVE!$D:$D)</f>
        <v>0</v>
      </c>
      <c r="Z865" s="16" t="e">
        <f>HYPERLINK($X865&amp;SUBSTITUTE(マスタ!$C$3,"XXXXX",$W865))</f>
        <v>#VALUE!</v>
      </c>
      <c r="AA865" s="12" t="str">
        <f t="shared" si="40"/>
        <v/>
      </c>
    </row>
    <row r="866" spans="1:27" x14ac:dyDescent="0.4">
      <c r="A866" s="14">
        <f t="shared" si="42"/>
        <v>865</v>
      </c>
      <c r="B866" s="14"/>
      <c r="C866" s="18"/>
      <c r="D866" s="14"/>
      <c r="E866" s="14"/>
      <c r="G866" s="1">
        <f>_xlfn.XLOOKUP(B866,M_YT_LIVE!A:A,M_YT_LIVE!F:F,"ERROR",0,1)</f>
        <v>0</v>
      </c>
      <c r="W866" s="13" t="e">
        <f t="shared" si="41"/>
        <v>#VALUE!</v>
      </c>
      <c r="X866" s="12">
        <f>_xlfn.XLOOKUP($B866,M_YT_LIVE!$A:$A,M_YT_LIVE!$D:$D)</f>
        <v>0</v>
      </c>
      <c r="Z866" s="16" t="e">
        <f>HYPERLINK($X866&amp;SUBSTITUTE(マスタ!$C$3,"XXXXX",$W866))</f>
        <v>#VALUE!</v>
      </c>
      <c r="AA866" s="12" t="str">
        <f t="shared" si="40"/>
        <v/>
      </c>
    </row>
    <row r="867" spans="1:27" x14ac:dyDescent="0.4">
      <c r="A867" s="14">
        <f t="shared" si="42"/>
        <v>866</v>
      </c>
      <c r="B867" s="14"/>
      <c r="C867" s="18"/>
      <c r="D867" s="14"/>
      <c r="E867" s="14"/>
      <c r="G867" s="1">
        <f>_xlfn.XLOOKUP(B867,M_YT_LIVE!A:A,M_YT_LIVE!F:F,"ERROR",0,1)</f>
        <v>0</v>
      </c>
      <c r="W867" s="13" t="e">
        <f t="shared" si="41"/>
        <v>#VALUE!</v>
      </c>
      <c r="X867" s="12">
        <f>_xlfn.XLOOKUP($B867,M_YT_LIVE!$A:$A,M_YT_LIVE!$D:$D)</f>
        <v>0</v>
      </c>
      <c r="Z867" s="16" t="e">
        <f>HYPERLINK($X867&amp;SUBSTITUTE(マスタ!$C$3,"XXXXX",$W867))</f>
        <v>#VALUE!</v>
      </c>
      <c r="AA867" s="12" t="str">
        <f t="shared" si="40"/>
        <v/>
      </c>
    </row>
    <row r="868" spans="1:27" x14ac:dyDescent="0.4">
      <c r="A868" s="14">
        <f t="shared" si="42"/>
        <v>867</v>
      </c>
      <c r="B868" s="14"/>
      <c r="C868" s="18"/>
      <c r="D868" s="14"/>
      <c r="E868" s="14"/>
      <c r="G868" s="1">
        <f>_xlfn.XLOOKUP(B868,M_YT_LIVE!A:A,M_YT_LIVE!F:F,"ERROR",0,1)</f>
        <v>0</v>
      </c>
      <c r="W868" s="13" t="e">
        <f t="shared" si="41"/>
        <v>#VALUE!</v>
      </c>
      <c r="X868" s="12">
        <f>_xlfn.XLOOKUP($B868,M_YT_LIVE!$A:$A,M_YT_LIVE!$D:$D)</f>
        <v>0</v>
      </c>
      <c r="Z868" s="16" t="e">
        <f>HYPERLINK($X868&amp;SUBSTITUTE(マスタ!$C$3,"XXXXX",$W868))</f>
        <v>#VALUE!</v>
      </c>
      <c r="AA868" s="12" t="str">
        <f t="shared" si="40"/>
        <v/>
      </c>
    </row>
    <row r="869" spans="1:27" x14ac:dyDescent="0.4">
      <c r="A869" s="14">
        <f t="shared" si="42"/>
        <v>868</v>
      </c>
      <c r="B869" s="14"/>
      <c r="C869" s="18"/>
      <c r="D869" s="14"/>
      <c r="E869" s="14"/>
      <c r="G869" s="1">
        <f>_xlfn.XLOOKUP(B869,M_YT_LIVE!A:A,M_YT_LIVE!F:F,"ERROR",0,1)</f>
        <v>0</v>
      </c>
      <c r="W869" s="13" t="e">
        <f t="shared" si="41"/>
        <v>#VALUE!</v>
      </c>
      <c r="X869" s="12">
        <f>_xlfn.XLOOKUP($B869,M_YT_LIVE!$A:$A,M_YT_LIVE!$D:$D)</f>
        <v>0</v>
      </c>
      <c r="Z869" s="16" t="e">
        <f>HYPERLINK($X869&amp;SUBSTITUTE(マスタ!$C$3,"XXXXX",$W869))</f>
        <v>#VALUE!</v>
      </c>
      <c r="AA869" s="12" t="str">
        <f t="shared" si="40"/>
        <v/>
      </c>
    </row>
    <row r="870" spans="1:27" x14ac:dyDescent="0.4">
      <c r="A870" s="14">
        <f t="shared" si="42"/>
        <v>869</v>
      </c>
      <c r="B870" s="14"/>
      <c r="C870" s="18"/>
      <c r="D870" s="14"/>
      <c r="E870" s="14"/>
      <c r="G870" s="1">
        <f>_xlfn.XLOOKUP(B870,M_YT_LIVE!A:A,M_YT_LIVE!F:F,"ERROR",0,1)</f>
        <v>0</v>
      </c>
      <c r="W870" s="13" t="e">
        <f t="shared" si="41"/>
        <v>#VALUE!</v>
      </c>
      <c r="X870" s="12">
        <f>_xlfn.XLOOKUP($B870,M_YT_LIVE!$A:$A,M_YT_LIVE!$D:$D)</f>
        <v>0</v>
      </c>
      <c r="Z870" s="16" t="e">
        <f>HYPERLINK($X870&amp;SUBSTITUTE(マスタ!$C$3,"XXXXX",$W870))</f>
        <v>#VALUE!</v>
      </c>
      <c r="AA870" s="12" t="str">
        <f t="shared" si="40"/>
        <v/>
      </c>
    </row>
    <row r="871" spans="1:27" x14ac:dyDescent="0.4">
      <c r="A871" s="14">
        <f t="shared" si="42"/>
        <v>870</v>
      </c>
      <c r="B871" s="14"/>
      <c r="C871" s="18"/>
      <c r="D871" s="14"/>
      <c r="E871" s="14"/>
      <c r="G871" s="1">
        <f>_xlfn.XLOOKUP(B871,M_YT_LIVE!A:A,M_YT_LIVE!F:F,"ERROR",0,1)</f>
        <v>0</v>
      </c>
      <c r="W871" s="13" t="e">
        <f t="shared" si="41"/>
        <v>#VALUE!</v>
      </c>
      <c r="X871" s="12">
        <f>_xlfn.XLOOKUP($B871,M_YT_LIVE!$A:$A,M_YT_LIVE!$D:$D)</f>
        <v>0</v>
      </c>
      <c r="Z871" s="16" t="e">
        <f>HYPERLINK($X871&amp;SUBSTITUTE(マスタ!$C$3,"XXXXX",$W871))</f>
        <v>#VALUE!</v>
      </c>
      <c r="AA871" s="12" t="str">
        <f t="shared" si="40"/>
        <v/>
      </c>
    </row>
    <row r="872" spans="1:27" x14ac:dyDescent="0.4">
      <c r="A872" s="14">
        <f t="shared" si="42"/>
        <v>871</v>
      </c>
      <c r="B872" s="14"/>
      <c r="C872" s="18"/>
      <c r="D872" s="14"/>
      <c r="E872" s="14"/>
      <c r="G872" s="1">
        <f>_xlfn.XLOOKUP(B872,M_YT_LIVE!A:A,M_YT_LIVE!F:F,"ERROR",0,1)</f>
        <v>0</v>
      </c>
      <c r="W872" s="13" t="e">
        <f t="shared" si="41"/>
        <v>#VALUE!</v>
      </c>
      <c r="X872" s="12">
        <f>_xlfn.XLOOKUP($B872,M_YT_LIVE!$A:$A,M_YT_LIVE!$D:$D)</f>
        <v>0</v>
      </c>
      <c r="Z872" s="16" t="e">
        <f>HYPERLINK($X872&amp;SUBSTITUTE(マスタ!$C$3,"XXXXX",$W872))</f>
        <v>#VALUE!</v>
      </c>
      <c r="AA872" s="12" t="str">
        <f t="shared" si="40"/>
        <v/>
      </c>
    </row>
    <row r="873" spans="1:27" x14ac:dyDescent="0.4">
      <c r="A873" s="14">
        <f t="shared" si="42"/>
        <v>872</v>
      </c>
      <c r="B873" s="14"/>
      <c r="C873" s="18"/>
      <c r="D873" s="14"/>
      <c r="E873" s="14"/>
      <c r="G873" s="1">
        <f>_xlfn.XLOOKUP(B873,M_YT_LIVE!A:A,M_YT_LIVE!F:F,"ERROR",0,1)</f>
        <v>0</v>
      </c>
      <c r="W873" s="13" t="e">
        <f t="shared" si="41"/>
        <v>#VALUE!</v>
      </c>
      <c r="X873" s="12">
        <f>_xlfn.XLOOKUP($B873,M_YT_LIVE!$A:$A,M_YT_LIVE!$D:$D)</f>
        <v>0</v>
      </c>
      <c r="Z873" s="16" t="e">
        <f>HYPERLINK($X873&amp;SUBSTITUTE(マスタ!$C$3,"XXXXX",$W873))</f>
        <v>#VALUE!</v>
      </c>
      <c r="AA873" s="12" t="str">
        <f t="shared" si="40"/>
        <v/>
      </c>
    </row>
    <row r="874" spans="1:27" x14ac:dyDescent="0.4">
      <c r="A874" s="14">
        <f t="shared" si="42"/>
        <v>873</v>
      </c>
      <c r="B874" s="14"/>
      <c r="C874" s="18"/>
      <c r="D874" s="14"/>
      <c r="E874" s="14"/>
      <c r="G874" s="1">
        <f>_xlfn.XLOOKUP(B874,M_YT_LIVE!A:A,M_YT_LIVE!F:F,"ERROR",0,1)</f>
        <v>0</v>
      </c>
      <c r="W874" s="13" t="e">
        <f t="shared" si="41"/>
        <v>#VALUE!</v>
      </c>
      <c r="X874" s="12">
        <f>_xlfn.XLOOKUP($B874,M_YT_LIVE!$A:$A,M_YT_LIVE!$D:$D)</f>
        <v>0</v>
      </c>
      <c r="Z874" s="16" t="e">
        <f>HYPERLINK($X874&amp;SUBSTITUTE(マスタ!$C$3,"XXXXX",$W874))</f>
        <v>#VALUE!</v>
      </c>
      <c r="AA874" s="12" t="str">
        <f t="shared" si="40"/>
        <v/>
      </c>
    </row>
    <row r="875" spans="1:27" x14ac:dyDescent="0.4">
      <c r="A875" s="14">
        <f t="shared" si="42"/>
        <v>874</v>
      </c>
      <c r="B875" s="14"/>
      <c r="C875" s="18"/>
      <c r="D875" s="14"/>
      <c r="E875" s="14"/>
      <c r="G875" s="1">
        <f>_xlfn.XLOOKUP(B875,M_YT_LIVE!A:A,M_YT_LIVE!F:F,"ERROR",0,1)</f>
        <v>0</v>
      </c>
      <c r="W875" s="13" t="e">
        <f t="shared" si="41"/>
        <v>#VALUE!</v>
      </c>
      <c r="X875" s="12">
        <f>_xlfn.XLOOKUP($B875,M_YT_LIVE!$A:$A,M_YT_LIVE!$D:$D)</f>
        <v>0</v>
      </c>
      <c r="Z875" s="16" t="e">
        <f>HYPERLINK($X875&amp;SUBSTITUTE(マスタ!$C$3,"XXXXX",$W875))</f>
        <v>#VALUE!</v>
      </c>
      <c r="AA875" s="12" t="str">
        <f t="shared" si="40"/>
        <v/>
      </c>
    </row>
    <row r="876" spans="1:27" x14ac:dyDescent="0.4">
      <c r="A876" s="14">
        <f t="shared" si="42"/>
        <v>875</v>
      </c>
      <c r="B876" s="14"/>
      <c r="C876" s="18"/>
      <c r="D876" s="14"/>
      <c r="E876" s="14"/>
      <c r="G876" s="1">
        <f>_xlfn.XLOOKUP(B876,M_YT_LIVE!A:A,M_YT_LIVE!F:F,"ERROR",0,1)</f>
        <v>0</v>
      </c>
      <c r="W876" s="13" t="e">
        <f t="shared" si="41"/>
        <v>#VALUE!</v>
      </c>
      <c r="X876" s="12">
        <f>_xlfn.XLOOKUP($B876,M_YT_LIVE!$A:$A,M_YT_LIVE!$D:$D)</f>
        <v>0</v>
      </c>
      <c r="Z876" s="16" t="e">
        <f>HYPERLINK($X876&amp;SUBSTITUTE(マスタ!$C$3,"XXXXX",$W876))</f>
        <v>#VALUE!</v>
      </c>
      <c r="AA876" s="12" t="str">
        <f t="shared" si="40"/>
        <v/>
      </c>
    </row>
    <row r="877" spans="1:27" x14ac:dyDescent="0.4">
      <c r="A877" s="14">
        <f t="shared" si="42"/>
        <v>876</v>
      </c>
      <c r="B877" s="14"/>
      <c r="C877" s="18"/>
      <c r="D877" s="14"/>
      <c r="E877" s="14"/>
      <c r="G877" s="1">
        <f>_xlfn.XLOOKUP(B877,M_YT_LIVE!A:A,M_YT_LIVE!F:F,"ERROR",0,1)</f>
        <v>0</v>
      </c>
      <c r="W877" s="13" t="e">
        <f t="shared" si="41"/>
        <v>#VALUE!</v>
      </c>
      <c r="X877" s="12">
        <f>_xlfn.XLOOKUP($B877,M_YT_LIVE!$A:$A,M_YT_LIVE!$D:$D)</f>
        <v>0</v>
      </c>
      <c r="Z877" s="16" t="e">
        <f>HYPERLINK($X877&amp;SUBSTITUTE(マスタ!$C$3,"XXXXX",$W877))</f>
        <v>#VALUE!</v>
      </c>
      <c r="AA877" s="12" t="str">
        <f t="shared" si="40"/>
        <v/>
      </c>
    </row>
    <row r="878" spans="1:27" x14ac:dyDescent="0.4">
      <c r="A878" s="14">
        <f t="shared" si="42"/>
        <v>877</v>
      </c>
      <c r="B878" s="14"/>
      <c r="C878" s="18"/>
      <c r="D878" s="14"/>
      <c r="E878" s="14"/>
      <c r="G878" s="1">
        <f>_xlfn.XLOOKUP(B878,M_YT_LIVE!A:A,M_YT_LIVE!F:F,"ERROR",0,1)</f>
        <v>0</v>
      </c>
      <c r="W878" s="13" t="e">
        <f t="shared" si="41"/>
        <v>#VALUE!</v>
      </c>
      <c r="X878" s="12">
        <f>_xlfn.XLOOKUP($B878,M_YT_LIVE!$A:$A,M_YT_LIVE!$D:$D)</f>
        <v>0</v>
      </c>
      <c r="Z878" s="16" t="e">
        <f>HYPERLINK($X878&amp;SUBSTITUTE(マスタ!$C$3,"XXXXX",$W878))</f>
        <v>#VALUE!</v>
      </c>
      <c r="AA878" s="12" t="str">
        <f t="shared" si="40"/>
        <v/>
      </c>
    </row>
    <row r="879" spans="1:27" x14ac:dyDescent="0.4">
      <c r="A879" s="14">
        <f t="shared" si="42"/>
        <v>878</v>
      </c>
      <c r="B879" s="14"/>
      <c r="C879" s="18"/>
      <c r="D879" s="14"/>
      <c r="E879" s="14"/>
      <c r="G879" s="1">
        <f>_xlfn.XLOOKUP(B879,M_YT_LIVE!A:A,M_YT_LIVE!F:F,"ERROR",0,1)</f>
        <v>0</v>
      </c>
      <c r="W879" s="13" t="e">
        <f t="shared" si="41"/>
        <v>#VALUE!</v>
      </c>
      <c r="X879" s="12">
        <f>_xlfn.XLOOKUP($B879,M_YT_LIVE!$A:$A,M_YT_LIVE!$D:$D)</f>
        <v>0</v>
      </c>
      <c r="Z879" s="16" t="e">
        <f>HYPERLINK($X879&amp;SUBSTITUTE(マスタ!$C$3,"XXXXX",$W879))</f>
        <v>#VALUE!</v>
      </c>
      <c r="AA879" s="12" t="str">
        <f t="shared" si="40"/>
        <v/>
      </c>
    </row>
    <row r="880" spans="1:27" x14ac:dyDescent="0.4">
      <c r="A880" s="14">
        <f t="shared" si="42"/>
        <v>879</v>
      </c>
      <c r="B880" s="14"/>
      <c r="C880" s="18"/>
      <c r="D880" s="14"/>
      <c r="E880" s="14"/>
      <c r="G880" s="1">
        <f>_xlfn.XLOOKUP(B880,M_YT_LIVE!A:A,M_YT_LIVE!F:F,"ERROR",0,1)</f>
        <v>0</v>
      </c>
      <c r="W880" s="13" t="e">
        <f t="shared" si="41"/>
        <v>#VALUE!</v>
      </c>
      <c r="X880" s="12">
        <f>_xlfn.XLOOKUP($B880,M_YT_LIVE!$A:$A,M_YT_LIVE!$D:$D)</f>
        <v>0</v>
      </c>
      <c r="Z880" s="16" t="e">
        <f>HYPERLINK($X880&amp;SUBSTITUTE(マスタ!$C$3,"XXXXX",$W880))</f>
        <v>#VALUE!</v>
      </c>
      <c r="AA880" s="12" t="str">
        <f t="shared" si="40"/>
        <v/>
      </c>
    </row>
    <row r="881" spans="1:27" x14ac:dyDescent="0.4">
      <c r="A881" s="14">
        <f t="shared" si="42"/>
        <v>880</v>
      </c>
      <c r="B881" s="14"/>
      <c r="C881" s="18"/>
      <c r="D881" s="14"/>
      <c r="E881" s="14"/>
      <c r="G881" s="1">
        <f>_xlfn.XLOOKUP(B881,M_YT_LIVE!A:A,M_YT_LIVE!F:F,"ERROR",0,1)</f>
        <v>0</v>
      </c>
      <c r="W881" s="13" t="e">
        <f t="shared" si="41"/>
        <v>#VALUE!</v>
      </c>
      <c r="X881" s="12">
        <f>_xlfn.XLOOKUP($B881,M_YT_LIVE!$A:$A,M_YT_LIVE!$D:$D)</f>
        <v>0</v>
      </c>
      <c r="Z881" s="16" t="e">
        <f>HYPERLINK($X881&amp;SUBSTITUTE(マスタ!$C$3,"XXXXX",$W881))</f>
        <v>#VALUE!</v>
      </c>
      <c r="AA881" s="12" t="str">
        <f t="shared" si="40"/>
        <v/>
      </c>
    </row>
    <row r="882" spans="1:27" x14ac:dyDescent="0.4">
      <c r="A882" s="14">
        <f t="shared" si="42"/>
        <v>881</v>
      </c>
      <c r="B882" s="14"/>
      <c r="C882" s="18"/>
      <c r="D882" s="14"/>
      <c r="E882" s="14"/>
      <c r="G882" s="1">
        <f>_xlfn.XLOOKUP(B882,M_YT_LIVE!A:A,M_YT_LIVE!F:F,"ERROR",0,1)</f>
        <v>0</v>
      </c>
      <c r="W882" s="13" t="e">
        <f t="shared" si="41"/>
        <v>#VALUE!</v>
      </c>
      <c r="X882" s="12">
        <f>_xlfn.XLOOKUP($B882,M_YT_LIVE!$A:$A,M_YT_LIVE!$D:$D)</f>
        <v>0</v>
      </c>
      <c r="Z882" s="16" t="e">
        <f>HYPERLINK($X882&amp;SUBSTITUTE(マスタ!$C$3,"XXXXX",$W882))</f>
        <v>#VALUE!</v>
      </c>
      <c r="AA882" s="12" t="str">
        <f t="shared" si="40"/>
        <v/>
      </c>
    </row>
    <row r="883" spans="1:27" x14ac:dyDescent="0.4">
      <c r="A883" s="14">
        <f t="shared" si="42"/>
        <v>882</v>
      </c>
      <c r="B883" s="14"/>
      <c r="C883" s="18"/>
      <c r="D883" s="14"/>
      <c r="E883" s="14"/>
      <c r="G883" s="1">
        <f>_xlfn.XLOOKUP(B883,M_YT_LIVE!A:A,M_YT_LIVE!F:F,"ERROR",0,1)</f>
        <v>0</v>
      </c>
      <c r="W883" s="13" t="e">
        <f t="shared" si="41"/>
        <v>#VALUE!</v>
      </c>
      <c r="X883" s="12">
        <f>_xlfn.XLOOKUP($B883,M_YT_LIVE!$A:$A,M_YT_LIVE!$D:$D)</f>
        <v>0</v>
      </c>
      <c r="Z883" s="16" t="e">
        <f>HYPERLINK($X883&amp;SUBSTITUTE(マスタ!$C$3,"XXXXX",$W883))</f>
        <v>#VALUE!</v>
      </c>
      <c r="AA883" s="12" t="str">
        <f t="shared" si="40"/>
        <v/>
      </c>
    </row>
    <row r="884" spans="1:27" x14ac:dyDescent="0.4">
      <c r="A884" s="14">
        <f t="shared" si="42"/>
        <v>883</v>
      </c>
      <c r="B884" s="14"/>
      <c r="C884" s="18"/>
      <c r="D884" s="14"/>
      <c r="E884" s="14"/>
      <c r="G884" s="1">
        <f>_xlfn.XLOOKUP(B884,M_YT_LIVE!A:A,M_YT_LIVE!F:F,"ERROR",0,1)</f>
        <v>0</v>
      </c>
      <c r="W884" s="13" t="e">
        <f t="shared" si="41"/>
        <v>#VALUE!</v>
      </c>
      <c r="X884" s="12">
        <f>_xlfn.XLOOKUP($B884,M_YT_LIVE!$A:$A,M_YT_LIVE!$D:$D)</f>
        <v>0</v>
      </c>
      <c r="Z884" s="16" t="e">
        <f>HYPERLINK($X884&amp;SUBSTITUTE(マスタ!$C$3,"XXXXX",$W884))</f>
        <v>#VALUE!</v>
      </c>
      <c r="AA884" s="12" t="str">
        <f t="shared" si="40"/>
        <v/>
      </c>
    </row>
    <row r="885" spans="1:27" x14ac:dyDescent="0.4">
      <c r="A885" s="14">
        <f t="shared" si="42"/>
        <v>884</v>
      </c>
      <c r="B885" s="14"/>
      <c r="C885" s="18"/>
      <c r="D885" s="14"/>
      <c r="E885" s="14"/>
      <c r="G885" s="1">
        <f>_xlfn.XLOOKUP(B885,M_YT_LIVE!A:A,M_YT_LIVE!F:F,"ERROR",0,1)</f>
        <v>0</v>
      </c>
      <c r="W885" s="13" t="e">
        <f t="shared" si="41"/>
        <v>#VALUE!</v>
      </c>
      <c r="X885" s="12">
        <f>_xlfn.XLOOKUP($B885,M_YT_LIVE!$A:$A,M_YT_LIVE!$D:$D)</f>
        <v>0</v>
      </c>
      <c r="Z885" s="16" t="e">
        <f>HYPERLINK($X885&amp;SUBSTITUTE(マスタ!$C$3,"XXXXX",$W885))</f>
        <v>#VALUE!</v>
      </c>
      <c r="AA885" s="12" t="str">
        <f t="shared" si="40"/>
        <v/>
      </c>
    </row>
    <row r="886" spans="1:27" x14ac:dyDescent="0.4">
      <c r="A886" s="14">
        <f t="shared" si="42"/>
        <v>885</v>
      </c>
      <c r="B886" s="14"/>
      <c r="C886" s="18"/>
      <c r="D886" s="14"/>
      <c r="E886" s="14"/>
      <c r="G886" s="1">
        <f>_xlfn.XLOOKUP(B886,M_YT_LIVE!A:A,M_YT_LIVE!F:F,"ERROR",0,1)</f>
        <v>0</v>
      </c>
      <c r="W886" s="13" t="e">
        <f t="shared" si="41"/>
        <v>#VALUE!</v>
      </c>
      <c r="X886" s="12">
        <f>_xlfn.XLOOKUP($B886,M_YT_LIVE!$A:$A,M_YT_LIVE!$D:$D)</f>
        <v>0</v>
      </c>
      <c r="Z886" s="16" t="e">
        <f>HYPERLINK($X886&amp;SUBSTITUTE(マスタ!$C$3,"XXXXX",$W886))</f>
        <v>#VALUE!</v>
      </c>
      <c r="AA886" s="12" t="str">
        <f t="shared" si="40"/>
        <v/>
      </c>
    </row>
    <row r="887" spans="1:27" x14ac:dyDescent="0.4">
      <c r="A887" s="14">
        <f t="shared" si="42"/>
        <v>886</v>
      </c>
      <c r="B887" s="14"/>
      <c r="C887" s="18"/>
      <c r="D887" s="14"/>
      <c r="E887" s="14"/>
      <c r="G887" s="1">
        <f>_xlfn.XLOOKUP(B887,M_YT_LIVE!A:A,M_YT_LIVE!F:F,"ERROR",0,1)</f>
        <v>0</v>
      </c>
      <c r="W887" s="13" t="e">
        <f t="shared" si="41"/>
        <v>#VALUE!</v>
      </c>
      <c r="X887" s="12">
        <f>_xlfn.XLOOKUP($B887,M_YT_LIVE!$A:$A,M_YT_LIVE!$D:$D)</f>
        <v>0</v>
      </c>
      <c r="Z887" s="16" t="e">
        <f>HYPERLINK($X887&amp;SUBSTITUTE(マスタ!$C$3,"XXXXX",$W887))</f>
        <v>#VALUE!</v>
      </c>
      <c r="AA887" s="12" t="str">
        <f t="shared" si="40"/>
        <v/>
      </c>
    </row>
    <row r="888" spans="1:27" x14ac:dyDescent="0.4">
      <c r="A888" s="14">
        <f t="shared" si="42"/>
        <v>887</v>
      </c>
      <c r="B888" s="14"/>
      <c r="C888" s="18"/>
      <c r="D888" s="14"/>
      <c r="E888" s="14"/>
      <c r="G888" s="1">
        <f>_xlfn.XLOOKUP(B888,M_YT_LIVE!A:A,M_YT_LIVE!F:F,"ERROR",0,1)</f>
        <v>0</v>
      </c>
      <c r="W888" s="13" t="e">
        <f t="shared" si="41"/>
        <v>#VALUE!</v>
      </c>
      <c r="X888" s="12">
        <f>_xlfn.XLOOKUP($B888,M_YT_LIVE!$A:$A,M_YT_LIVE!$D:$D)</f>
        <v>0</v>
      </c>
      <c r="Z888" s="16" t="e">
        <f>HYPERLINK($X888&amp;SUBSTITUTE(マスタ!$C$3,"XXXXX",$W888))</f>
        <v>#VALUE!</v>
      </c>
      <c r="AA888" s="12" t="str">
        <f t="shared" si="40"/>
        <v/>
      </c>
    </row>
    <row r="889" spans="1:27" x14ac:dyDescent="0.4">
      <c r="A889" s="14">
        <f t="shared" si="42"/>
        <v>888</v>
      </c>
      <c r="B889" s="14"/>
      <c r="C889" s="18"/>
      <c r="D889" s="14"/>
      <c r="E889" s="14"/>
      <c r="G889" s="1">
        <f>_xlfn.XLOOKUP(B889,M_YT_LIVE!A:A,M_YT_LIVE!F:F,"ERROR",0,1)</f>
        <v>0</v>
      </c>
      <c r="W889" s="13" t="e">
        <f t="shared" si="41"/>
        <v>#VALUE!</v>
      </c>
      <c r="X889" s="12">
        <f>_xlfn.XLOOKUP($B889,M_YT_LIVE!$A:$A,M_YT_LIVE!$D:$D)</f>
        <v>0</v>
      </c>
      <c r="Z889" s="16" t="e">
        <f>HYPERLINK($X889&amp;SUBSTITUTE(マスタ!$C$3,"XXXXX",$W889))</f>
        <v>#VALUE!</v>
      </c>
      <c r="AA889" s="12" t="str">
        <f t="shared" si="40"/>
        <v/>
      </c>
    </row>
    <row r="890" spans="1:27" x14ac:dyDescent="0.4">
      <c r="A890" s="14">
        <f t="shared" si="42"/>
        <v>889</v>
      </c>
      <c r="B890" s="14"/>
      <c r="C890" s="18"/>
      <c r="D890" s="14"/>
      <c r="E890" s="14"/>
      <c r="G890" s="1">
        <f>_xlfn.XLOOKUP(B890,M_YT_LIVE!A:A,M_YT_LIVE!F:F,"ERROR",0,1)</f>
        <v>0</v>
      </c>
      <c r="W890" s="13" t="e">
        <f t="shared" si="41"/>
        <v>#VALUE!</v>
      </c>
      <c r="X890" s="12">
        <f>_xlfn.XLOOKUP($B890,M_YT_LIVE!$A:$A,M_YT_LIVE!$D:$D)</f>
        <v>0</v>
      </c>
      <c r="Z890" s="16" t="e">
        <f>HYPERLINK($X890&amp;SUBSTITUTE(マスタ!$C$3,"XXXXX",$W890))</f>
        <v>#VALUE!</v>
      </c>
      <c r="AA890" s="12" t="str">
        <f t="shared" si="40"/>
        <v/>
      </c>
    </row>
    <row r="891" spans="1:27" x14ac:dyDescent="0.4">
      <c r="A891" s="14">
        <f t="shared" si="42"/>
        <v>890</v>
      </c>
      <c r="B891" s="14"/>
      <c r="C891" s="18"/>
      <c r="D891" s="14"/>
      <c r="E891" s="14"/>
      <c r="G891" s="1">
        <f>_xlfn.XLOOKUP(B891,M_YT_LIVE!A:A,M_YT_LIVE!F:F,"ERROR",0,1)</f>
        <v>0</v>
      </c>
      <c r="W891" s="13" t="e">
        <f t="shared" si="41"/>
        <v>#VALUE!</v>
      </c>
      <c r="X891" s="12">
        <f>_xlfn.XLOOKUP($B891,M_YT_LIVE!$A:$A,M_YT_LIVE!$D:$D)</f>
        <v>0</v>
      </c>
      <c r="Z891" s="16" t="e">
        <f>HYPERLINK($X891&amp;SUBSTITUTE(マスタ!$C$3,"XXXXX",$W891))</f>
        <v>#VALUE!</v>
      </c>
      <c r="AA891" s="12" t="str">
        <f t="shared" si="40"/>
        <v/>
      </c>
    </row>
    <row r="892" spans="1:27" x14ac:dyDescent="0.4">
      <c r="A892" s="14">
        <f t="shared" si="42"/>
        <v>891</v>
      </c>
      <c r="B892" s="14"/>
      <c r="C892" s="18"/>
      <c r="D892" s="14"/>
      <c r="E892" s="14"/>
      <c r="G892" s="1">
        <f>_xlfn.XLOOKUP(B892,M_YT_LIVE!A:A,M_YT_LIVE!F:F,"ERROR",0,1)</f>
        <v>0</v>
      </c>
      <c r="W892" s="13" t="e">
        <f t="shared" si="41"/>
        <v>#VALUE!</v>
      </c>
      <c r="X892" s="12">
        <f>_xlfn.XLOOKUP($B892,M_YT_LIVE!$A:$A,M_YT_LIVE!$D:$D)</f>
        <v>0</v>
      </c>
      <c r="Z892" s="16" t="e">
        <f>HYPERLINK($X892&amp;SUBSTITUTE(マスタ!$C$3,"XXXXX",$W892))</f>
        <v>#VALUE!</v>
      </c>
      <c r="AA892" s="12" t="str">
        <f t="shared" si="40"/>
        <v/>
      </c>
    </row>
    <row r="893" spans="1:27" x14ac:dyDescent="0.4">
      <c r="A893" s="14">
        <f t="shared" si="42"/>
        <v>892</v>
      </c>
      <c r="B893" s="14"/>
      <c r="C893" s="18"/>
      <c r="D893" s="14"/>
      <c r="E893" s="14"/>
      <c r="G893" s="1">
        <f>_xlfn.XLOOKUP(B893,M_YT_LIVE!A:A,M_YT_LIVE!F:F,"ERROR",0,1)</f>
        <v>0</v>
      </c>
      <c r="W893" s="13" t="e">
        <f t="shared" si="41"/>
        <v>#VALUE!</v>
      </c>
      <c r="X893" s="12">
        <f>_xlfn.XLOOKUP($B893,M_YT_LIVE!$A:$A,M_YT_LIVE!$D:$D)</f>
        <v>0</v>
      </c>
      <c r="Z893" s="16" t="e">
        <f>HYPERLINK($X893&amp;SUBSTITUTE(マスタ!$C$3,"XXXXX",$W893))</f>
        <v>#VALUE!</v>
      </c>
      <c r="AA893" s="12" t="str">
        <f t="shared" ref="AA893:AA900" si="43">TRIM(E893)&amp;TRIM(D893)</f>
        <v/>
      </c>
    </row>
    <row r="894" spans="1:27" x14ac:dyDescent="0.4">
      <c r="A894" s="14">
        <f t="shared" si="42"/>
        <v>893</v>
      </c>
      <c r="B894" s="14"/>
      <c r="C894" s="18"/>
      <c r="D894" s="14"/>
      <c r="E894" s="14"/>
      <c r="G894" s="1">
        <f>_xlfn.XLOOKUP(B894,M_YT_LIVE!A:A,M_YT_LIVE!F:F,"ERROR",0,1)</f>
        <v>0</v>
      </c>
      <c r="W894" s="13" t="e">
        <f t="shared" si="41"/>
        <v>#VALUE!</v>
      </c>
      <c r="X894" s="12">
        <f>_xlfn.XLOOKUP($B894,M_YT_LIVE!$A:$A,M_YT_LIVE!$D:$D)</f>
        <v>0</v>
      </c>
      <c r="Z894" s="16" t="e">
        <f>HYPERLINK($X894&amp;SUBSTITUTE(マスタ!$C$3,"XXXXX",$W894))</f>
        <v>#VALUE!</v>
      </c>
      <c r="AA894" s="12" t="str">
        <f t="shared" si="43"/>
        <v/>
      </c>
    </row>
    <row r="895" spans="1:27" x14ac:dyDescent="0.4">
      <c r="A895" s="14">
        <f t="shared" si="42"/>
        <v>894</v>
      </c>
      <c r="B895" s="14"/>
      <c r="C895" s="18"/>
      <c r="D895" s="14"/>
      <c r="E895" s="14"/>
      <c r="G895" s="1">
        <f>_xlfn.XLOOKUP(B895,M_YT_LIVE!A:A,M_YT_LIVE!F:F,"ERROR",0,1)</f>
        <v>0</v>
      </c>
      <c r="W895" s="13" t="e">
        <f t="shared" si="41"/>
        <v>#VALUE!</v>
      </c>
      <c r="X895" s="12">
        <f>_xlfn.XLOOKUP($B895,M_YT_LIVE!$A:$A,M_YT_LIVE!$D:$D)</f>
        <v>0</v>
      </c>
      <c r="Z895" s="16" t="e">
        <f>HYPERLINK($X895&amp;SUBSTITUTE(マスタ!$C$3,"XXXXX",$W895))</f>
        <v>#VALUE!</v>
      </c>
      <c r="AA895" s="12" t="str">
        <f t="shared" si="43"/>
        <v/>
      </c>
    </row>
    <row r="896" spans="1:27" x14ac:dyDescent="0.4">
      <c r="A896" s="14">
        <f t="shared" si="42"/>
        <v>895</v>
      </c>
      <c r="B896" s="14"/>
      <c r="C896" s="18"/>
      <c r="D896" s="14"/>
      <c r="E896" s="14"/>
      <c r="G896" s="1">
        <f>_xlfn.XLOOKUP(B896,M_YT_LIVE!A:A,M_YT_LIVE!F:F,"ERROR",0,1)</f>
        <v>0</v>
      </c>
      <c r="W896" s="13" t="e">
        <f t="shared" si="41"/>
        <v>#VALUE!</v>
      </c>
      <c r="X896" s="12">
        <f>_xlfn.XLOOKUP($B896,M_YT_LIVE!$A:$A,M_YT_LIVE!$D:$D)</f>
        <v>0</v>
      </c>
      <c r="Z896" s="16" t="e">
        <f>HYPERLINK($X896&amp;SUBSTITUTE(マスタ!$C$3,"XXXXX",$W896))</f>
        <v>#VALUE!</v>
      </c>
      <c r="AA896" s="12" t="str">
        <f t="shared" si="43"/>
        <v/>
      </c>
    </row>
    <row r="897" spans="1:27" x14ac:dyDescent="0.4">
      <c r="A897" s="14">
        <f t="shared" si="42"/>
        <v>896</v>
      </c>
      <c r="B897" s="14"/>
      <c r="C897" s="18"/>
      <c r="D897" s="14"/>
      <c r="E897" s="14"/>
      <c r="G897" s="1">
        <f>_xlfn.XLOOKUP(B897,M_YT_LIVE!A:A,M_YT_LIVE!F:F,"ERROR",0,1)</f>
        <v>0</v>
      </c>
      <c r="W897" s="13" t="e">
        <f t="shared" si="41"/>
        <v>#VALUE!</v>
      </c>
      <c r="X897" s="12">
        <f>_xlfn.XLOOKUP($B897,M_YT_LIVE!$A:$A,M_YT_LIVE!$D:$D)</f>
        <v>0</v>
      </c>
      <c r="Z897" s="16" t="e">
        <f>HYPERLINK($X897&amp;SUBSTITUTE(マスタ!$C$3,"XXXXX",$W897))</f>
        <v>#VALUE!</v>
      </c>
      <c r="AA897" s="12" t="str">
        <f t="shared" si="43"/>
        <v/>
      </c>
    </row>
    <row r="898" spans="1:27" x14ac:dyDescent="0.4">
      <c r="A898" s="14">
        <f t="shared" si="42"/>
        <v>897</v>
      </c>
      <c r="B898" s="14"/>
      <c r="C898" s="18"/>
      <c r="D898" s="14"/>
      <c r="E898" s="14"/>
      <c r="G898" s="1">
        <f>_xlfn.XLOOKUP(B898,M_YT_LIVE!A:A,M_YT_LIVE!F:F,"ERROR",0,1)</f>
        <v>0</v>
      </c>
      <c r="W898" s="13" t="e">
        <f t="shared" si="41"/>
        <v>#VALUE!</v>
      </c>
      <c r="X898" s="12">
        <f>_xlfn.XLOOKUP($B898,M_YT_LIVE!$A:$A,M_YT_LIVE!$D:$D)</f>
        <v>0</v>
      </c>
      <c r="Z898" s="16" t="e">
        <f>HYPERLINK($X898&amp;SUBSTITUTE(マスタ!$C$3,"XXXXX",$W898))</f>
        <v>#VALUE!</v>
      </c>
      <c r="AA898" s="12" t="str">
        <f t="shared" si="43"/>
        <v/>
      </c>
    </row>
    <row r="899" spans="1:27" x14ac:dyDescent="0.4">
      <c r="A899" s="14">
        <f t="shared" si="42"/>
        <v>898</v>
      </c>
      <c r="B899" s="14"/>
      <c r="C899" s="18"/>
      <c r="D899" s="14"/>
      <c r="E899" s="14"/>
      <c r="G899" s="1">
        <f>_xlfn.XLOOKUP(B899,M_YT_LIVE!A:A,M_YT_LIVE!F:F,"ERROR",0,1)</f>
        <v>0</v>
      </c>
      <c r="W899" s="13" t="e">
        <f t="shared" si="41"/>
        <v>#VALUE!</v>
      </c>
      <c r="X899" s="12">
        <f>_xlfn.XLOOKUP($B899,M_YT_LIVE!$A:$A,M_YT_LIVE!$D:$D)</f>
        <v>0</v>
      </c>
      <c r="Z899" s="16" t="e">
        <f>HYPERLINK($X899&amp;SUBSTITUTE(マスタ!$C$3,"XXXXX",$W899))</f>
        <v>#VALUE!</v>
      </c>
      <c r="AA899" s="12" t="str">
        <f t="shared" si="43"/>
        <v/>
      </c>
    </row>
    <row r="900" spans="1:27" x14ac:dyDescent="0.4">
      <c r="A900" s="14">
        <f t="shared" si="42"/>
        <v>899</v>
      </c>
      <c r="B900" s="14"/>
      <c r="C900" s="18"/>
      <c r="D900" s="14"/>
      <c r="E900" s="14"/>
      <c r="G900" s="1">
        <f>_xlfn.XLOOKUP(B900,M_YT_LIVE!A:A,M_YT_LIVE!F:F,"ERROR",0,1)</f>
        <v>0</v>
      </c>
      <c r="W900" s="13" t="e">
        <f t="shared" ref="W900" si="44">TIMEVALUE($C900)*86400</f>
        <v>#VALUE!</v>
      </c>
      <c r="X900" s="12">
        <f>_xlfn.XLOOKUP($B900,M_YT_LIVE!$A:$A,M_YT_LIVE!$D:$D)</f>
        <v>0</v>
      </c>
      <c r="Z900" s="16" t="e">
        <f>HYPERLINK($X900&amp;SUBSTITUTE(マスタ!$C$3,"XXXXX",$W900))</f>
        <v>#VALUE!</v>
      </c>
      <c r="AA900" s="12" t="str">
        <f t="shared" si="43"/>
        <v/>
      </c>
    </row>
  </sheetData>
  <autoFilter ref="A1:G400" xr:uid="{AA9EE97A-02BC-4A54-8308-AB1F0F780731}"/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28E08-453A-41A8-AA38-767164AE2961}">
  <dimension ref="A1:AD1300"/>
  <sheetViews>
    <sheetView zoomScale="70" zoomScaleNormal="70" workbookViewId="0">
      <selection activeCell="AA441" sqref="AA1:AD441"/>
    </sheetView>
  </sheetViews>
  <sheetFormatPr defaultColWidth="2.5" defaultRowHeight="15.75" x14ac:dyDescent="0.4"/>
  <cols>
    <col min="1" max="3" width="2.625" style="12" customWidth="1"/>
    <col min="4" max="26" width="2.5" style="1"/>
    <col min="27" max="27" width="70" style="1" bestFit="1" customWidth="1"/>
    <col min="28" max="28" width="70" style="1" customWidth="1"/>
    <col min="29" max="29" width="38.75" style="1" bestFit="1" customWidth="1"/>
    <col min="30" max="30" width="80.625" style="1" bestFit="1" customWidth="1"/>
    <col min="31" max="16384" width="2.5" style="1"/>
  </cols>
  <sheetData>
    <row r="1" spans="1:30" x14ac:dyDescent="0.4">
      <c r="C1" s="12" t="s">
        <v>1217</v>
      </c>
      <c r="AA1" s="7" t="s">
        <v>1218</v>
      </c>
      <c r="AB1" s="7" t="s">
        <v>1233</v>
      </c>
      <c r="AC1" s="7" t="s">
        <v>1219</v>
      </c>
      <c r="AD1" s="7" t="s">
        <v>1220</v>
      </c>
    </row>
    <row r="2" spans="1:30" x14ac:dyDescent="0.4">
      <c r="A2" s="12" t="str" cm="1">
        <f t="array" ref="A2:B475">_xlfn._xlws.SORT(_xlfn.UNIQUE(_xlfn._xlws.FILTER(M_YT_LIVE_TIMESTAMP!D:E, (ISERROR(SEARCH("-", M_YT_LIVE_TIMESTAMP!E:E)))*(M_YT_LIVE_TIMESTAMP!D:D&lt;&gt;0)*(M_YT_LIVE_TIMESTAMP!E:E&lt;&gt;"アーティスト")*(M_YT_LIVE_TIMESTAMP!D:D&lt;&gt;"曲名")*(M_YT_LIVE_TIMESTAMP!E:E&lt;&gt;0))), {2,1}, 1)</f>
        <v>Harvest</v>
      </c>
      <c r="B2" s="12" t="str">
        <v>(K)NoW_NAME</v>
      </c>
      <c r="C2" s="12" t="str">
        <f>TRIM(B2)&amp;TRIM(A2)</f>
        <v>(K)NoW_NAMEHarvest</v>
      </c>
      <c r="AA2" s="14" t="str">
        <f>B2</f>
        <v>(K)NoW_NAME</v>
      </c>
      <c r="AB2" s="14" t="str">
        <f>_xlfn.XLOOKUP(AA2,M_ARTIST!A:A,M_ARTIST!B:B,"★★★",0,1)</f>
        <v>K NoW_NAME</v>
      </c>
      <c r="AC2" s="14" t="str">
        <f>A2</f>
        <v>Harvest</v>
      </c>
      <c r="AD2" s="19" t="str">
        <f>HYPERLINK(_xlfn.XLOOKUP(C2,M_YT_LIVE_TIMESTAMP!AA:AA,M_YT_LIVE_TIMESTAMP!Z:Z,"★",0,-1))</f>
        <v>https://www.youtube.com/live/r7Bwk1jHwnc?si=YSwS6uQI_0X3Y91g&amp;t=6080s</v>
      </c>
    </row>
    <row r="3" spans="1:30" x14ac:dyDescent="0.4">
      <c r="A3" s="12" t="str">
        <v>Heal Me</v>
      </c>
      <c r="B3" s="12" t="str">
        <v>*Luna feat.マクネナナ</v>
      </c>
      <c r="C3" s="12" t="str">
        <f t="shared" ref="C3:C66" si="0">TRIM(B3)&amp;TRIM(A3)</f>
        <v>*Luna feat.マクネナナHeal Me</v>
      </c>
      <c r="AA3" s="14" t="str">
        <f t="shared" ref="AA3:AA66" si="1">B3</f>
        <v>*Luna feat.マクネナナ</v>
      </c>
      <c r="AB3" s="14" t="str">
        <f>_xlfn.XLOOKUP(AA3,M_ARTIST!A:A,M_ARTIST!B:B,"★★★",0,1)</f>
        <v>Luna feat.まくねなな</v>
      </c>
      <c r="AC3" s="14" t="str">
        <f t="shared" ref="AC3:AC66" si="2">A3</f>
        <v>Heal Me</v>
      </c>
      <c r="AD3" s="19" t="str">
        <f>HYPERLINK(_xlfn.XLOOKUP(C3,M_YT_LIVE_TIMESTAMP!AA:AA,M_YT_LIVE_TIMESTAMP!Z:Z,"★",0,-1))</f>
        <v>https://www.youtube.com/live/w8cj1TZhgIM?si=jSw7OZzFwM2n4KKP&amp;t=1214s</v>
      </c>
    </row>
    <row r="4" spans="1:30" x14ac:dyDescent="0.4">
      <c r="A4" s="12" t="str">
        <v>SNOW SOUND</v>
      </c>
      <c r="B4" s="12" t="str">
        <v>[Alexandros]</v>
      </c>
      <c r="C4" s="12" t="str">
        <f t="shared" si="0"/>
        <v>[Alexandros]SNOW SOUND</v>
      </c>
      <c r="AA4" s="14" t="str">
        <f t="shared" si="1"/>
        <v>[Alexandros]</v>
      </c>
      <c r="AB4" s="14" t="str">
        <f>_xlfn.XLOOKUP(AA4,M_ARTIST!A:A,M_ARTIST!B:B,"★★★",0,1)</f>
        <v>Alexandros</v>
      </c>
      <c r="AC4" s="14" t="str">
        <f t="shared" si="2"/>
        <v>SNOW SOUND</v>
      </c>
      <c r="AD4" s="19" t="str">
        <f>HYPERLINK(_xlfn.XLOOKUP(C4,M_YT_LIVE_TIMESTAMP!AA:AA,M_YT_LIVE_TIMESTAMP!Z:Z,"★",0,-1))</f>
        <v>https://www.youtube.com/live/w3oM0fDmwz4?si=VVO-ga6uipBLMrpR&amp;t=6550s</v>
      </c>
    </row>
    <row r="5" spans="1:30" x14ac:dyDescent="0.4">
      <c r="A5" s="12" t="str">
        <v>ワタリドリ</v>
      </c>
      <c r="B5" s="12" t="str">
        <v>[Alexandros]</v>
      </c>
      <c r="C5" s="12" t="str">
        <f t="shared" si="0"/>
        <v>[Alexandros]ワタリドリ</v>
      </c>
      <c r="AA5" s="14" t="str">
        <f t="shared" si="1"/>
        <v>[Alexandros]</v>
      </c>
      <c r="AB5" s="14" t="str">
        <f>_xlfn.XLOOKUP(AA5,M_ARTIST!A:A,M_ARTIST!B:B,"★★★",0,1)</f>
        <v>Alexandros</v>
      </c>
      <c r="AC5" s="14" t="str">
        <f t="shared" si="2"/>
        <v>ワタリドリ</v>
      </c>
      <c r="AD5" s="19" t="str">
        <f>HYPERLINK(_xlfn.XLOOKUP(C5,M_YT_LIVE_TIMESTAMP!AA:AA,M_YT_LIVE_TIMESTAMP!Z:Z,"★",0,-1))</f>
        <v>https://www.youtube.com/live/rowkHJneOgY?si=dzvDO_qNHD4fLHMQ&amp;t=5138s</v>
      </c>
    </row>
    <row r="6" spans="1:30" x14ac:dyDescent="0.4">
      <c r="A6" s="12" t="str">
        <v>天ノ弱</v>
      </c>
      <c r="B6" s="12" t="str">
        <v>164P feat.GUMI</v>
      </c>
      <c r="C6" s="12" t="str">
        <f t="shared" si="0"/>
        <v>164P feat.GUMI天ノ弱</v>
      </c>
      <c r="AA6" s="14" t="str">
        <f t="shared" si="1"/>
        <v>164P feat.GUMI</v>
      </c>
      <c r="AB6" s="14" t="str">
        <f>_xlfn.XLOOKUP(AA6,M_ARTIST!A:A,M_ARTIST!B:B,"★★★",0,1)</f>
        <v>164P feat.GUMI</v>
      </c>
      <c r="AC6" s="14" t="str">
        <f t="shared" si="2"/>
        <v>天ノ弱</v>
      </c>
      <c r="AD6" s="19" t="str">
        <f>HYPERLINK(_xlfn.XLOOKUP(C6,M_YT_LIVE_TIMESTAMP!AA:AA,M_YT_LIVE_TIMESTAMP!Z:Z,"★",0,-1))</f>
        <v>https://www.youtube.com/live/OYaf_O-6WRs?si=20Zo4VVa8PxJbw_X&amp;t=3788s</v>
      </c>
    </row>
    <row r="7" spans="1:30" x14ac:dyDescent="0.4">
      <c r="A7" s="12" t="str">
        <v>化けの花</v>
      </c>
      <c r="B7" s="12" t="str">
        <v>25時、ナイトコードで。×KAITO</v>
      </c>
      <c r="C7" s="12" t="str">
        <f t="shared" si="0"/>
        <v>25時、ナイトコードで。×KAITO化けの花</v>
      </c>
      <c r="AA7" s="14" t="str">
        <f t="shared" si="1"/>
        <v>25時、ナイトコードで。×KAITO</v>
      </c>
      <c r="AB7" s="14" t="str">
        <f>_xlfn.XLOOKUP(AA7,M_ARTIST!A:A,M_ARTIST!B:B,"★★★",0,1)</f>
        <v>25じ、ないとこーどで。x KAITO</v>
      </c>
      <c r="AC7" s="14" t="str">
        <f t="shared" si="2"/>
        <v>化けの花</v>
      </c>
      <c r="AD7" s="19" t="str">
        <f>HYPERLINK(_xlfn.XLOOKUP(C7,M_YT_LIVE_TIMESTAMP!AA:AA,M_YT_LIVE_TIMESTAMP!Z:Z,"★",0,-1))</f>
        <v>https://www.youtube.com/live/b0qPGU0sZn4?si=C5mabzVl6bhK7mp0&amp;t=6558s</v>
      </c>
    </row>
    <row r="8" spans="1:30" x14ac:dyDescent="0.4">
      <c r="A8" s="12" t="str">
        <v>化けの花(1chorus)</v>
      </c>
      <c r="B8" s="12" t="str">
        <v>25時、ナイトコードで。×KAITO</v>
      </c>
      <c r="C8" s="12" t="str">
        <f t="shared" si="0"/>
        <v>25時、ナイトコードで。×KAITO化けの花(1chorus)</v>
      </c>
      <c r="AA8" s="14" t="str">
        <f t="shared" si="1"/>
        <v>25時、ナイトコードで。×KAITO</v>
      </c>
      <c r="AB8" s="14" t="str">
        <f>_xlfn.XLOOKUP(AA8,M_ARTIST!A:A,M_ARTIST!B:B,"★★★",0,1)</f>
        <v>25じ、ないとこーどで。x KAITO</v>
      </c>
      <c r="AC8" s="14" t="str">
        <f t="shared" si="2"/>
        <v>化けの花(1chorus)</v>
      </c>
      <c r="AD8" s="19" t="str">
        <f>HYPERLINK(_xlfn.XLOOKUP(C8,M_YT_LIVE_TIMESTAMP!AA:AA,M_YT_LIVE_TIMESTAMP!Z:Z,"★",0,-1))</f>
        <v>https://www.youtube.com/live/OEtLBen9pLM?si=M4WDMSGkkHfWLvDr&amp;t=4372s</v>
      </c>
    </row>
    <row r="9" spans="1:30" x14ac:dyDescent="0.4">
      <c r="A9" s="12" t="str">
        <v>からくりピエロ</v>
      </c>
      <c r="B9" s="12" t="str">
        <v>40mP feat.初音ミク</v>
      </c>
      <c r="C9" s="12" t="str">
        <f t="shared" si="0"/>
        <v>40mP feat.初音ミクからくりピエロ</v>
      </c>
      <c r="AA9" s="14" t="str">
        <f t="shared" si="1"/>
        <v>40mP feat.初音ミク</v>
      </c>
      <c r="AB9" s="14" t="str">
        <f>_xlfn.XLOOKUP(AA9,M_ARTIST!A:A,M_ARTIST!B:B,"★★★",0,1)</f>
        <v>40mP feat.はつねみく</v>
      </c>
      <c r="AC9" s="14" t="str">
        <f t="shared" si="2"/>
        <v>からくりピエロ</v>
      </c>
      <c r="AD9" s="19" t="str">
        <f>HYPERLINK(_xlfn.XLOOKUP(C9,M_YT_LIVE_TIMESTAMP!AA:AA,M_YT_LIVE_TIMESTAMP!Z:Z,"★",0,-1))</f>
        <v>https://www.youtube.com/live/i7euCqiwzl4?si=Gvd-dBAI4nZ9HDpv&amp;t=325s</v>
      </c>
    </row>
    <row r="10" spans="1:30" x14ac:dyDescent="0.4">
      <c r="A10" s="12" t="str">
        <v>トリノコシティ</v>
      </c>
      <c r="B10" s="12" t="str">
        <v>40mP feat.初音ミク</v>
      </c>
      <c r="C10" s="12" t="str">
        <f t="shared" si="0"/>
        <v>40mP feat.初音ミクトリノコシティ</v>
      </c>
      <c r="AA10" s="14" t="str">
        <f t="shared" si="1"/>
        <v>40mP feat.初音ミク</v>
      </c>
      <c r="AB10" s="14" t="str">
        <f>_xlfn.XLOOKUP(AA10,M_ARTIST!A:A,M_ARTIST!B:B,"★★★",0,1)</f>
        <v>40mP feat.はつねみく</v>
      </c>
      <c r="AC10" s="14" t="str">
        <f t="shared" si="2"/>
        <v>トリノコシティ</v>
      </c>
      <c r="AD10" s="19" t="str">
        <f>HYPERLINK(_xlfn.XLOOKUP(C10,M_YT_LIVE_TIMESTAMP!AA:AA,M_YT_LIVE_TIMESTAMP!Z:Z,"★",0,-1))</f>
        <v>https://www.youtube.com/live/w3oM0fDmwz4?si=VVO-ga6uipBLMrpR&amp;t=3567s</v>
      </c>
    </row>
    <row r="11" spans="1:30" x14ac:dyDescent="0.4">
      <c r="A11" s="12" t="str">
        <v>純情スカート</v>
      </c>
      <c r="B11" s="12" t="str">
        <v>40mP feat.初音ミク</v>
      </c>
      <c r="C11" s="12" t="str">
        <f t="shared" si="0"/>
        <v>40mP feat.初音ミク純情スカート</v>
      </c>
      <c r="AA11" s="14" t="str">
        <f t="shared" si="1"/>
        <v>40mP feat.初音ミク</v>
      </c>
      <c r="AB11" s="14" t="str">
        <f>_xlfn.XLOOKUP(AA11,M_ARTIST!A:A,M_ARTIST!B:B,"★★★",0,1)</f>
        <v>40mP feat.はつねみく</v>
      </c>
      <c r="AC11" s="14" t="str">
        <f t="shared" si="2"/>
        <v>純情スカート</v>
      </c>
      <c r="AD11" s="19" t="str">
        <f>HYPERLINK(_xlfn.XLOOKUP(C11,M_YT_LIVE_TIMESTAMP!AA:AA,M_YT_LIVE_TIMESTAMP!Z:Z,"★",0,-1))</f>
        <v>https://www.youtube.com/live/bXG5ottJZas?si=VsjzjU8RreUrJGd3&amp;t=4397s</v>
      </c>
    </row>
    <row r="12" spans="1:30" x14ac:dyDescent="0.4">
      <c r="A12" s="12" t="str">
        <v>恋愛裁判</v>
      </c>
      <c r="B12" s="12" t="str">
        <v>40mP feat.初音ミク</v>
      </c>
      <c r="C12" s="12" t="str">
        <f t="shared" si="0"/>
        <v>40mP feat.初音ミク恋愛裁判</v>
      </c>
      <c r="AA12" s="14" t="str">
        <f t="shared" si="1"/>
        <v>40mP feat.初音ミク</v>
      </c>
      <c r="AB12" s="14" t="str">
        <f>_xlfn.XLOOKUP(AA12,M_ARTIST!A:A,M_ARTIST!B:B,"★★★",0,1)</f>
        <v>40mP feat.はつねみく</v>
      </c>
      <c r="AC12" s="14" t="str">
        <f t="shared" si="2"/>
        <v>恋愛裁判</v>
      </c>
      <c r="AD12" s="19" t="str">
        <f>HYPERLINK(_xlfn.XLOOKUP(C12,M_YT_LIVE_TIMESTAMP!AA:AA,M_YT_LIVE_TIMESTAMP!Z:Z,"★",0,-1))</f>
        <v>https://www.youtube.com/live/EIV2fME4Fec?si=lkzDtJEJ9agzd2Md&amp;t=4734s</v>
      </c>
    </row>
    <row r="13" spans="1:30" x14ac:dyDescent="0.4">
      <c r="A13" s="12" t="str">
        <v>フタリボシ</v>
      </c>
      <c r="B13" s="12" t="str">
        <v>40mP feat.初音ミク&amp;GUMI</v>
      </c>
      <c r="C13" s="12" t="str">
        <f t="shared" si="0"/>
        <v>40mP feat.初音ミク&amp;GUMIフタリボシ</v>
      </c>
      <c r="AA13" s="14" t="str">
        <f t="shared" si="1"/>
        <v>40mP feat.初音ミク&amp;GUMI</v>
      </c>
      <c r="AB13" s="14" t="str">
        <f>_xlfn.XLOOKUP(AA13,M_ARTIST!A:A,M_ARTIST!B:B,"★★★",0,1)</f>
        <v>40mP feat.はつねみく&amp;GUMI</v>
      </c>
      <c r="AC13" s="14" t="str">
        <f t="shared" si="2"/>
        <v>フタリボシ</v>
      </c>
      <c r="AD13" s="19" t="str">
        <f>HYPERLINK(_xlfn.XLOOKUP(C13,M_YT_LIVE_TIMESTAMP!AA:AA,M_YT_LIVE_TIMESTAMP!Z:Z,"★",0,-1))</f>
        <v>https://www.youtube.com/live/keSRwH4Zr7g?si=RPmDxNZjQB1dZWSK&amp;t=611s</v>
      </c>
    </row>
    <row r="14" spans="1:30" x14ac:dyDescent="0.4">
      <c r="A14" s="12" t="str">
        <v>うっせぇわ</v>
      </c>
      <c r="B14" s="12" t="str">
        <v>Ado</v>
      </c>
      <c r="C14" s="12" t="str">
        <f t="shared" si="0"/>
        <v>Adoうっせぇわ</v>
      </c>
      <c r="AA14" s="14" t="str">
        <f t="shared" si="1"/>
        <v>Ado</v>
      </c>
      <c r="AB14" s="14" t="str">
        <f>_xlfn.XLOOKUP(AA14,M_ARTIST!A:A,M_ARTIST!B:B,"★★★",0,1)</f>
        <v>Ado</v>
      </c>
      <c r="AC14" s="14" t="str">
        <f t="shared" si="2"/>
        <v>うっせぇわ</v>
      </c>
      <c r="AD14" s="19" t="str">
        <f>HYPERLINK(_xlfn.XLOOKUP(C14,M_YT_LIVE_TIMESTAMP!AA:AA,M_YT_LIVE_TIMESTAMP!Z:Z,"★",0,-1))</f>
        <v>https://www.youtube.com/live/Yti72SsHzxs?si=qlI2gfa0I0wWYoH4&amp;t=2350s</v>
      </c>
    </row>
    <row r="15" spans="1:30" x14ac:dyDescent="0.4">
      <c r="A15" s="12" t="str">
        <v>ギラギラ</v>
      </c>
      <c r="B15" s="12" t="str">
        <v>Ado</v>
      </c>
      <c r="C15" s="12" t="str">
        <f t="shared" si="0"/>
        <v>Adoギラギラ</v>
      </c>
      <c r="AA15" s="14" t="str">
        <f t="shared" si="1"/>
        <v>Ado</v>
      </c>
      <c r="AB15" s="14" t="str">
        <f>_xlfn.XLOOKUP(AA15,M_ARTIST!A:A,M_ARTIST!B:B,"★★★",0,1)</f>
        <v>Ado</v>
      </c>
      <c r="AC15" s="14" t="str">
        <f t="shared" si="2"/>
        <v>ギラギラ</v>
      </c>
      <c r="AD15" s="19" t="str">
        <f>HYPERLINK(_xlfn.XLOOKUP(C15,M_YT_LIVE_TIMESTAMP!AA:AA,M_YT_LIVE_TIMESTAMP!Z:Z,"★",0,-1))</f>
        <v>https://www.youtube.com/live/AHfCHGope8I?si=qrXuqYy-tTqldtt4&amp;t=2826s</v>
      </c>
    </row>
    <row r="16" spans="1:30" x14ac:dyDescent="0.4">
      <c r="A16" s="12" t="str">
        <v>私は最強</v>
      </c>
      <c r="B16" s="12" t="str">
        <v>Ado</v>
      </c>
      <c r="C16" s="12" t="str">
        <f t="shared" si="0"/>
        <v>Ado私は最強</v>
      </c>
      <c r="AA16" s="14" t="str">
        <f t="shared" si="1"/>
        <v>Ado</v>
      </c>
      <c r="AB16" s="14" t="str">
        <f>_xlfn.XLOOKUP(AA16,M_ARTIST!A:A,M_ARTIST!B:B,"★★★",0,1)</f>
        <v>Ado</v>
      </c>
      <c r="AC16" s="14" t="str">
        <f t="shared" si="2"/>
        <v>私は最強</v>
      </c>
      <c r="AD16" s="19" t="str">
        <f>HYPERLINK(_xlfn.XLOOKUP(C16,M_YT_LIVE_TIMESTAMP!AA:AA,M_YT_LIVE_TIMESTAMP!Z:Z,"★",0,-1))</f>
        <v>https://www.youtube.com/live/nyXzxG79mwQ?si=kGuFyOuc0o-yNPOU&amp;t=1867s</v>
      </c>
    </row>
    <row r="17" spans="1:30" x14ac:dyDescent="0.4">
      <c r="A17" s="12" t="str">
        <v>心という名の不可解</v>
      </c>
      <c r="B17" s="12" t="str">
        <v>Ado</v>
      </c>
      <c r="C17" s="12" t="str">
        <f t="shared" si="0"/>
        <v>Ado心という名の不可解</v>
      </c>
      <c r="AA17" s="14" t="str">
        <f t="shared" si="1"/>
        <v>Ado</v>
      </c>
      <c r="AB17" s="14" t="str">
        <f>_xlfn.XLOOKUP(AA17,M_ARTIST!A:A,M_ARTIST!B:B,"★★★",0,1)</f>
        <v>Ado</v>
      </c>
      <c r="AC17" s="14" t="str">
        <f t="shared" si="2"/>
        <v>心という名の不可解</v>
      </c>
      <c r="AD17" s="19" t="str">
        <f>HYPERLINK(_xlfn.XLOOKUP(C17,M_YT_LIVE_TIMESTAMP!AA:AA,M_YT_LIVE_TIMESTAMP!Z:Z,"★",0,-1))</f>
        <v>https://www.youtube.com/live/lrLQ6akH23w?si=aC5HLJK6UZYwu-Yn&amp;t=4912s</v>
      </c>
    </row>
    <row r="18" spans="1:30" x14ac:dyDescent="0.4">
      <c r="A18" s="12" t="str">
        <v>新時代</v>
      </c>
      <c r="B18" s="12" t="str">
        <v>Ado</v>
      </c>
      <c r="C18" s="12" t="str">
        <f t="shared" si="0"/>
        <v>Ado新時代</v>
      </c>
      <c r="AA18" s="14" t="str">
        <f t="shared" si="1"/>
        <v>Ado</v>
      </c>
      <c r="AB18" s="14" t="str">
        <f>_xlfn.XLOOKUP(AA18,M_ARTIST!A:A,M_ARTIST!B:B,"★★★",0,1)</f>
        <v>Ado</v>
      </c>
      <c r="AC18" s="14" t="str">
        <f t="shared" si="2"/>
        <v>新時代</v>
      </c>
      <c r="AD18" s="19" t="str">
        <f>HYPERLINK(_xlfn.XLOOKUP(C18,M_YT_LIVE_TIMESTAMP!AA:AA,M_YT_LIVE_TIMESTAMP!Z:Z,"★",0,-1))</f>
        <v>https://www.youtube.com/live/nyXzxG79mwQ?si=kGuFyOuc0o-yNPOU&amp;t=2149s</v>
      </c>
    </row>
    <row r="19" spans="1:30" x14ac:dyDescent="0.4">
      <c r="A19" s="12" t="str">
        <v>milk</v>
      </c>
      <c r="B19" s="12" t="str">
        <v>aiko</v>
      </c>
      <c r="C19" s="12" t="str">
        <f t="shared" si="0"/>
        <v>aikomilk</v>
      </c>
      <c r="AA19" s="14" t="str">
        <f t="shared" si="1"/>
        <v>aiko</v>
      </c>
      <c r="AB19" s="14" t="str">
        <f>_xlfn.XLOOKUP(AA19,M_ARTIST!A:A,M_ARTIST!B:B,"★★★",0,1)</f>
        <v>aiko</v>
      </c>
      <c r="AC19" s="14" t="str">
        <f t="shared" si="2"/>
        <v>milk</v>
      </c>
      <c r="AD19" s="19" t="str">
        <f>HYPERLINK(_xlfn.XLOOKUP(C19,M_YT_LIVE_TIMESTAMP!AA:AA,M_YT_LIVE_TIMESTAMP!Z:Z,"★",0,-1))</f>
        <v>https://www.youtube.com/live/BjWSIm9kSZs?si=1oMuQyZMLWArIABK&amp;t=3679s</v>
      </c>
    </row>
    <row r="20" spans="1:30" x14ac:dyDescent="0.4">
      <c r="A20" s="12" t="str">
        <v>カブトムシ</v>
      </c>
      <c r="B20" s="12" t="str">
        <v>aiko</v>
      </c>
      <c r="C20" s="12" t="str">
        <f t="shared" si="0"/>
        <v>aikoカブトムシ</v>
      </c>
      <c r="AA20" s="14" t="str">
        <f t="shared" si="1"/>
        <v>aiko</v>
      </c>
      <c r="AB20" s="14" t="str">
        <f>_xlfn.XLOOKUP(AA20,M_ARTIST!A:A,M_ARTIST!B:B,"★★★",0,1)</f>
        <v>aiko</v>
      </c>
      <c r="AC20" s="14" t="str">
        <f t="shared" si="2"/>
        <v>カブトムシ</v>
      </c>
      <c r="AD20" s="19" t="str">
        <f>HYPERLINK(_xlfn.XLOOKUP(C20,M_YT_LIVE_TIMESTAMP!AA:AA,M_YT_LIVE_TIMESTAMP!Z:Z,"★",0,-1))</f>
        <v>https://www.youtube.com/live/N0Tp3auhZ54?si=TUAMJQ8TqFkAVZ1r&amp;t=2589s</v>
      </c>
    </row>
    <row r="21" spans="1:30" x14ac:dyDescent="0.4">
      <c r="A21" s="12" t="str">
        <v>花火</v>
      </c>
      <c r="B21" s="12" t="str">
        <v>aiko</v>
      </c>
      <c r="C21" s="12" t="str">
        <f t="shared" si="0"/>
        <v>aiko花火</v>
      </c>
      <c r="AA21" s="14" t="str">
        <f t="shared" si="1"/>
        <v>aiko</v>
      </c>
      <c r="AB21" s="14" t="str">
        <f>_xlfn.XLOOKUP(AA21,M_ARTIST!A:A,M_ARTIST!B:B,"★★★",0,1)</f>
        <v>aiko</v>
      </c>
      <c r="AC21" s="14" t="str">
        <f t="shared" si="2"/>
        <v>花火</v>
      </c>
      <c r="AD21" s="19" t="str">
        <f>HYPERLINK(_xlfn.XLOOKUP(C21,M_YT_LIVE_TIMESTAMP!AA:AA,M_YT_LIVE_TIMESTAMP!Z:Z,"★",0,-1))</f>
        <v>https://www.youtube.com/live/6wh0qjbo6K4?si=vntI9mYE52ZplV6U&amp;t=5498s</v>
      </c>
    </row>
    <row r="22" spans="1:30" x14ac:dyDescent="0.4">
      <c r="A22" s="12" t="str">
        <v>I beg you</v>
      </c>
      <c r="B22" s="12" t="str">
        <v>Aimer</v>
      </c>
      <c r="C22" s="12" t="str">
        <f t="shared" si="0"/>
        <v>AimerI beg you</v>
      </c>
      <c r="AA22" s="14" t="str">
        <f t="shared" si="1"/>
        <v>Aimer</v>
      </c>
      <c r="AB22" s="14" t="str">
        <f>_xlfn.XLOOKUP(AA22,M_ARTIST!A:A,M_ARTIST!B:B,"★★★",0,1)</f>
        <v>Aimer</v>
      </c>
      <c r="AC22" s="14" t="str">
        <f t="shared" si="2"/>
        <v>I beg you</v>
      </c>
      <c r="AD22" s="19" t="str">
        <f>HYPERLINK(_xlfn.XLOOKUP(C22,M_YT_LIVE_TIMESTAMP!AA:AA,M_YT_LIVE_TIMESTAMP!Z:Z,"★",0,-1))</f>
        <v>https://www.youtube.com/live/GvGh24EJfGg?si=QLYBryRLPz4v_Qdl&amp;t=4053s</v>
      </c>
    </row>
    <row r="23" spans="1:30" x14ac:dyDescent="0.4">
      <c r="A23" s="12" t="str">
        <v>Ref:rain</v>
      </c>
      <c r="B23" s="12" t="str">
        <v>Aimer</v>
      </c>
      <c r="C23" s="12" t="str">
        <f t="shared" si="0"/>
        <v>AimerRef:rain</v>
      </c>
      <c r="AA23" s="14" t="str">
        <f t="shared" si="1"/>
        <v>Aimer</v>
      </c>
      <c r="AB23" s="14" t="str">
        <f>_xlfn.XLOOKUP(AA23,M_ARTIST!A:A,M_ARTIST!B:B,"★★★",0,1)</f>
        <v>Aimer</v>
      </c>
      <c r="AC23" s="14" t="str">
        <f t="shared" si="2"/>
        <v>Ref:rain</v>
      </c>
      <c r="AD23" s="19" t="str">
        <f>HYPERLINK(_xlfn.XLOOKUP(C23,M_YT_LIVE_TIMESTAMP!AA:AA,M_YT_LIVE_TIMESTAMP!Z:Z,"★",0,-1))</f>
        <v>https://www.youtube.com/live/ac4RYGdoGfw?si=XYuojmcqpJZOLb9x&amp;t=3258s</v>
      </c>
    </row>
    <row r="24" spans="1:30" x14ac:dyDescent="0.4">
      <c r="A24" s="12" t="str">
        <v>カタオモイ</v>
      </c>
      <c r="B24" s="12" t="str">
        <v>Aimer</v>
      </c>
      <c r="C24" s="12" t="str">
        <f t="shared" si="0"/>
        <v>Aimerカタオモイ</v>
      </c>
      <c r="AA24" s="14" t="str">
        <f t="shared" si="1"/>
        <v>Aimer</v>
      </c>
      <c r="AB24" s="14" t="str">
        <f>_xlfn.XLOOKUP(AA24,M_ARTIST!A:A,M_ARTIST!B:B,"★★★",0,1)</f>
        <v>Aimer</v>
      </c>
      <c r="AC24" s="14" t="str">
        <f t="shared" si="2"/>
        <v>カタオモイ</v>
      </c>
      <c r="AD24" s="19" t="str">
        <f>HYPERLINK(_xlfn.XLOOKUP(C24,M_YT_LIVE_TIMESTAMP!AA:AA,M_YT_LIVE_TIMESTAMP!Z:Z,"★",0,-1))</f>
        <v>https://www.youtube.com/live/TDYlHpN4h0s?si=ysSy7YIPSXU6T0nx&amp;t=3033s</v>
      </c>
    </row>
    <row r="25" spans="1:30" x14ac:dyDescent="0.4">
      <c r="A25" s="12" t="str">
        <v>残響散歌</v>
      </c>
      <c r="B25" s="12" t="str">
        <v>Aimer</v>
      </c>
      <c r="C25" s="12" t="str">
        <f t="shared" si="0"/>
        <v>Aimer残響散歌</v>
      </c>
      <c r="AA25" s="14" t="str">
        <f t="shared" si="1"/>
        <v>Aimer</v>
      </c>
      <c r="AB25" s="14" t="str">
        <f>_xlfn.XLOOKUP(AA25,M_ARTIST!A:A,M_ARTIST!B:B,"★★★",0,1)</f>
        <v>Aimer</v>
      </c>
      <c r="AC25" s="14" t="str">
        <f t="shared" si="2"/>
        <v>残響散歌</v>
      </c>
      <c r="AD25" s="19" t="str">
        <f>HYPERLINK(_xlfn.XLOOKUP(C25,M_YT_LIVE_TIMESTAMP!AA:AA,M_YT_LIVE_TIMESTAMP!Z:Z,"★",0,-1))</f>
        <v>https://www.youtube.com/live/nyXzxG79mwQ?si=kGuFyOuc0o-yNPOU&amp;t=815s</v>
      </c>
    </row>
    <row r="26" spans="1:30" x14ac:dyDescent="0.4">
      <c r="A26" s="12" t="str">
        <v>星が消えた夜に</v>
      </c>
      <c r="B26" s="12" t="str">
        <v>Aimer</v>
      </c>
      <c r="C26" s="12" t="str">
        <f t="shared" si="0"/>
        <v>Aimer星が消えた夜に</v>
      </c>
      <c r="AA26" s="14" t="str">
        <f t="shared" si="1"/>
        <v>Aimer</v>
      </c>
      <c r="AB26" s="14" t="str">
        <f>_xlfn.XLOOKUP(AA26,M_ARTIST!A:A,M_ARTIST!B:B,"★★★",0,1)</f>
        <v>Aimer</v>
      </c>
      <c r="AC26" s="14" t="str">
        <f t="shared" si="2"/>
        <v>星が消えた夜に</v>
      </c>
      <c r="AD26" s="19" t="str">
        <f>HYPERLINK(_xlfn.XLOOKUP(C26,M_YT_LIVE_TIMESTAMP!AA:AA,M_YT_LIVE_TIMESTAMP!Z:Z,"★",0,-1))</f>
        <v>https://www.youtube.com/live/BjWSIm9kSZs?si=1oMuQyZMLWArIABK&amp;t=6488s</v>
      </c>
    </row>
    <row r="27" spans="1:30" x14ac:dyDescent="0.4">
      <c r="A27" s="12" t="str">
        <v>愛♡スクリ〜ム!</v>
      </c>
      <c r="B27" s="12" t="str">
        <v>AiScReam(ラブライブ!)</v>
      </c>
      <c r="C27" s="12" t="str">
        <f t="shared" si="0"/>
        <v>AiScReam(ラブライブ!)愛♡スクリ〜ム!</v>
      </c>
      <c r="AA27" s="14" t="str">
        <f t="shared" si="1"/>
        <v>AiScReam(ラブライブ!)</v>
      </c>
      <c r="AB27" s="14" t="str">
        <f>_xlfn.XLOOKUP(AA27,M_ARTIST!A:A,M_ARTIST!B:B,"★★★",0,1)</f>
        <v>★★★</v>
      </c>
      <c r="AC27" s="14" t="str">
        <f t="shared" si="2"/>
        <v>愛♡スクリ〜ム!</v>
      </c>
      <c r="AD27" s="19" t="str">
        <f>HYPERLINK(_xlfn.XLOOKUP(C27,M_YT_LIVE_TIMESTAMP!AA:AA,M_YT_LIVE_TIMESTAMP!Z:Z,"★",0,-1))</f>
        <v>https://www.youtube.com/live/orkAkFl798M?si=7tK-YB5J1dGoAFWq&amp;t=2145s</v>
      </c>
    </row>
    <row r="28" spans="1:30" x14ac:dyDescent="0.4">
      <c r="A28" s="12" t="str">
        <v>フライングゲット</v>
      </c>
      <c r="B28" s="12" t="str">
        <v>AKB48</v>
      </c>
      <c r="C28" s="12" t="str">
        <f t="shared" si="0"/>
        <v>AKB48フライングゲット</v>
      </c>
      <c r="AA28" s="14" t="str">
        <f t="shared" si="1"/>
        <v>AKB48</v>
      </c>
      <c r="AB28" s="14" t="str">
        <f>_xlfn.XLOOKUP(AA28,M_ARTIST!A:A,M_ARTIST!B:B,"★★★",0,1)</f>
        <v>★★★</v>
      </c>
      <c r="AC28" s="14" t="str">
        <f t="shared" si="2"/>
        <v>フライングゲット</v>
      </c>
      <c r="AD28" s="19" t="str">
        <f>HYPERLINK(_xlfn.XLOOKUP(C28,M_YT_LIVE_TIMESTAMP!AA:AA,M_YT_LIVE_TIMESTAMP!Z:Z,"★",0,-1))</f>
        <v>https://www.youtube.com/live/orkAkFl798M?si=7tK-YB5J1dGoAFWq&amp;t=4229s</v>
      </c>
    </row>
    <row r="29" spans="1:30" x14ac:dyDescent="0.4">
      <c r="A29" s="12" t="str">
        <v>創聖のアクエリオン</v>
      </c>
      <c r="B29" s="12" t="str">
        <v>AKINO</v>
      </c>
      <c r="C29" s="12" t="str">
        <f t="shared" si="0"/>
        <v>AKINO創聖のアクエリオン</v>
      </c>
      <c r="AA29" s="14" t="str">
        <f t="shared" si="1"/>
        <v>AKINO</v>
      </c>
      <c r="AB29" s="14" t="str">
        <f>_xlfn.XLOOKUP(AA29,M_ARTIST!A:A,M_ARTIST!B:B,"★★★",0,1)</f>
        <v>AKINO</v>
      </c>
      <c r="AC29" s="14" t="str">
        <f t="shared" si="2"/>
        <v>創聖のアクエリオン</v>
      </c>
      <c r="AD29" s="19" t="str">
        <f>HYPERLINK(_xlfn.XLOOKUP(C29,M_YT_LIVE_TIMESTAMP!AA:AA,M_YT_LIVE_TIMESTAMP!Z:Z,"★",0,-1))</f>
        <v>https://www.youtube.com/live/nyXzxG79mwQ?si=kGuFyOuc0o-yNPOU&amp;t=16039s</v>
      </c>
    </row>
    <row r="30" spans="1:30" x14ac:dyDescent="0.4">
      <c r="A30" s="12" t="str">
        <v>Yeah! Yeah! Yeah!</v>
      </c>
      <c r="B30" s="12" t="str">
        <v>androp</v>
      </c>
      <c r="C30" s="12" t="str">
        <f t="shared" si="0"/>
        <v>andropYeah! Yeah! Yeah!</v>
      </c>
      <c r="AA30" s="14" t="str">
        <f t="shared" si="1"/>
        <v>androp</v>
      </c>
      <c r="AB30" s="14" t="str">
        <f>_xlfn.XLOOKUP(AA30,M_ARTIST!A:A,M_ARTIST!B:B,"★★★",0,1)</f>
        <v>androp</v>
      </c>
      <c r="AC30" s="14" t="str">
        <f t="shared" si="2"/>
        <v>Yeah! Yeah! Yeah!</v>
      </c>
      <c r="AD30" s="19" t="str">
        <f>HYPERLINK(_xlfn.XLOOKUP(C30,M_YT_LIVE_TIMESTAMP!AA:AA,M_YT_LIVE_TIMESTAMP!Z:Z,"★",0,-1))</f>
        <v>https://www.youtube.com/live/rowkHJneOgY?si=dzvDO_qNHD4fLHMQ&amp;t=3395s</v>
      </c>
    </row>
    <row r="31" spans="1:30" x14ac:dyDescent="0.4">
      <c r="A31" s="12" t="str">
        <v>ラムネ</v>
      </c>
      <c r="B31" s="12" t="str">
        <v>Aqu3ra feat.flower</v>
      </c>
      <c r="C31" s="12" t="str">
        <f t="shared" si="0"/>
        <v>Aqu3ra feat.flowerラムネ</v>
      </c>
      <c r="AA31" s="14" t="str">
        <f t="shared" si="1"/>
        <v>Aqu3ra feat.flower</v>
      </c>
      <c r="AB31" s="14" t="str">
        <f>_xlfn.XLOOKUP(AA31,M_ARTIST!A:A,M_ARTIST!B:B,"★★★",0,1)</f>
        <v>Aqu3ra feat.flower</v>
      </c>
      <c r="AC31" s="14" t="str">
        <f t="shared" si="2"/>
        <v>ラムネ</v>
      </c>
      <c r="AD31" s="19" t="str">
        <f>HYPERLINK(_xlfn.XLOOKUP(C31,M_YT_LIVE_TIMESTAMP!AA:AA,M_YT_LIVE_TIMESTAMP!Z:Z,"★",0,-1))</f>
        <v>https://www.youtube.com/live/JAK2m4FWxF0?si=Xy-B8lpcz7dX_b5n&amp;t=7464s</v>
      </c>
    </row>
    <row r="32" spans="1:30" x14ac:dyDescent="0.4">
      <c r="A32" s="12" t="str">
        <v>シニカルナイトプラン</v>
      </c>
      <c r="B32" s="12" t="str">
        <v>Ayase feat.初音ミク</v>
      </c>
      <c r="C32" s="12" t="str">
        <f t="shared" si="0"/>
        <v>Ayase feat.初音ミクシニカルナイトプラン</v>
      </c>
      <c r="AA32" s="14" t="str">
        <f t="shared" si="1"/>
        <v>Ayase feat.初音ミク</v>
      </c>
      <c r="AB32" s="14" t="str">
        <f>_xlfn.XLOOKUP(AA32,M_ARTIST!A:A,M_ARTIST!B:B,"★★★",0,1)</f>
        <v>Ayase feat.はつねみく</v>
      </c>
      <c r="AC32" s="14" t="str">
        <f t="shared" si="2"/>
        <v>シニカルナイトプラン</v>
      </c>
      <c r="AD32" s="19" t="str">
        <f>HYPERLINK(_xlfn.XLOOKUP(C32,M_YT_LIVE_TIMESTAMP!AA:AA,M_YT_LIVE_TIMESTAMP!Z:Z,"★",0,-1))</f>
        <v>https://www.youtube.com/live/AHfCHGope8I?si=qrXuqYy-tTqldtt4&amp;t=4874s</v>
      </c>
    </row>
    <row r="33" spans="1:30" x14ac:dyDescent="0.4">
      <c r="A33" s="12" t="str">
        <v>幽霊東京</v>
      </c>
      <c r="B33" s="12" t="str">
        <v>Ayase feat.初音ミク</v>
      </c>
      <c r="C33" s="12" t="str">
        <f t="shared" si="0"/>
        <v>Ayase feat.初音ミク幽霊東京</v>
      </c>
      <c r="AA33" s="14" t="str">
        <f t="shared" si="1"/>
        <v>Ayase feat.初音ミク</v>
      </c>
      <c r="AB33" s="14" t="str">
        <f>_xlfn.XLOOKUP(AA33,M_ARTIST!A:A,M_ARTIST!B:B,"★★★",0,1)</f>
        <v>Ayase feat.はつねみく</v>
      </c>
      <c r="AC33" s="14" t="str">
        <f t="shared" si="2"/>
        <v>幽霊東京</v>
      </c>
      <c r="AD33" s="19" t="str">
        <f>HYPERLINK(_xlfn.XLOOKUP(C33,M_YT_LIVE_TIMESTAMP!AA:AA,M_YT_LIVE_TIMESTAMP!Z:Z,"★",0,-1))</f>
        <v>https://www.youtube.com/live/rjOy6A4c68o?si=Q07K-470tlYbzNHk&amp;t=628s</v>
      </c>
    </row>
    <row r="34" spans="1:30" x14ac:dyDescent="0.4">
      <c r="A34" s="12" t="str">
        <v>Help!(1chorus)</v>
      </c>
      <c r="B34" s="12" t="str">
        <v>Beatles</v>
      </c>
      <c r="C34" s="12" t="str">
        <f t="shared" si="0"/>
        <v>BeatlesHelp!(1chorus)</v>
      </c>
      <c r="AA34" s="14" t="str">
        <f t="shared" si="1"/>
        <v>Beatles</v>
      </c>
      <c r="AB34" s="14" t="str">
        <f>_xlfn.XLOOKUP(AA34,M_ARTIST!A:A,M_ARTIST!B:B,"★★★",0,1)</f>
        <v>Beatles</v>
      </c>
      <c r="AC34" s="14" t="str">
        <f t="shared" si="2"/>
        <v>Help!(1chorus)</v>
      </c>
      <c r="AD34" s="19" t="str">
        <f>HYPERLINK(_xlfn.XLOOKUP(C34,M_YT_LIVE_TIMESTAMP!AA:AA,M_YT_LIVE_TIMESTAMP!Z:Z,"★",0,-1))</f>
        <v>https://www.youtube.com/live/OYaf_O-6WRs?si=20Zo4VVa8PxJbw_X&amp;t=4520s</v>
      </c>
    </row>
    <row r="35" spans="1:30" x14ac:dyDescent="0.4">
      <c r="A35" s="12" t="str">
        <v>可惜夜</v>
      </c>
      <c r="B35" s="12" t="str">
        <v>Beatsea feat.初音ミク</v>
      </c>
      <c r="C35" s="12" t="str">
        <f t="shared" si="0"/>
        <v>Beatsea feat.初音ミク可惜夜</v>
      </c>
      <c r="AA35" s="14" t="str">
        <f t="shared" si="1"/>
        <v>Beatsea feat.初音ミク</v>
      </c>
      <c r="AB35" s="14" t="str">
        <f>_xlfn.XLOOKUP(AA35,M_ARTIST!A:A,M_ARTIST!B:B,"★★★",0,1)</f>
        <v>Beatsea feat.はつねみく</v>
      </c>
      <c r="AC35" s="14" t="str">
        <f t="shared" si="2"/>
        <v>可惜夜</v>
      </c>
      <c r="AD35" s="19" t="str">
        <f>HYPERLINK(_xlfn.XLOOKUP(C35,M_YT_LIVE_TIMESTAMP!AA:AA,M_YT_LIVE_TIMESTAMP!Z:Z,"★",0,-1))</f>
        <v>https://www.youtube.com/live/Dm-WC5w7K8Y?si=Pph-3uJ8wVrF5vc0&amp;t=4512s</v>
      </c>
    </row>
    <row r="36" spans="1:30" x14ac:dyDescent="0.4">
      <c r="A36" s="12" t="str">
        <v>プロミスザスター</v>
      </c>
      <c r="B36" s="12" t="str">
        <v>BiSH</v>
      </c>
      <c r="C36" s="12" t="str">
        <f t="shared" si="0"/>
        <v>BiSHプロミスザスター</v>
      </c>
      <c r="AA36" s="14" t="str">
        <f t="shared" si="1"/>
        <v>BiSH</v>
      </c>
      <c r="AB36" s="14" t="str">
        <f>_xlfn.XLOOKUP(AA36,M_ARTIST!A:A,M_ARTIST!B:B,"★★★",0,1)</f>
        <v>BiSH</v>
      </c>
      <c r="AC36" s="14" t="str">
        <f t="shared" si="2"/>
        <v>プロミスザスター</v>
      </c>
      <c r="AD36" s="19" t="str">
        <f>HYPERLINK(_xlfn.XLOOKUP(C36,M_YT_LIVE_TIMESTAMP!AA:AA,M_YT_LIVE_TIMESTAMP!Z:Z,"★",0,-1))</f>
        <v>https://www.youtube.com/live/rowkHJneOgY?si=dzvDO_qNHD4fLHMQ&amp;t=5470s</v>
      </c>
    </row>
    <row r="37" spans="1:30" x14ac:dyDescent="0.4">
      <c r="A37" s="12" t="str">
        <v>天体観測</v>
      </c>
      <c r="B37" s="12" t="str">
        <v>BUMP OF CHICKEN</v>
      </c>
      <c r="C37" s="12" t="str">
        <f t="shared" si="0"/>
        <v>BUMP OF CHICKEN天体観測</v>
      </c>
      <c r="AA37" s="14" t="str">
        <f t="shared" si="1"/>
        <v>BUMP OF CHICKEN</v>
      </c>
      <c r="AB37" s="14" t="str">
        <f>_xlfn.XLOOKUP(AA37,M_ARTIST!A:A,M_ARTIST!B:B,"★★★",0,1)</f>
        <v>BUMP OF CHICKEN</v>
      </c>
      <c r="AC37" s="14" t="str">
        <f t="shared" si="2"/>
        <v>天体観測</v>
      </c>
      <c r="AD37" s="19" t="str">
        <f>HYPERLINK(_xlfn.XLOOKUP(C37,M_YT_LIVE_TIMESTAMP!AA:AA,M_YT_LIVE_TIMESTAMP!Z:Z,"★",0,-1))</f>
        <v>https://www.youtube.com/live/BTi31luRntI?si=HKZA9dD6UF6pnPvq&amp;t=10353s</v>
      </c>
    </row>
    <row r="38" spans="1:30" x14ac:dyDescent="0.4">
      <c r="A38" s="12" t="str">
        <v>カヌレ</v>
      </c>
      <c r="B38" s="12" t="str">
        <v>CHiCO with HoneyWorks</v>
      </c>
      <c r="C38" s="12" t="str">
        <f t="shared" si="0"/>
        <v>CHiCO with HoneyWorksカヌレ</v>
      </c>
      <c r="AA38" s="14" t="str">
        <f t="shared" si="1"/>
        <v>CHiCO with HoneyWorks</v>
      </c>
      <c r="AB38" s="14" t="str">
        <f>_xlfn.XLOOKUP(AA38,M_ARTIST!A:A,M_ARTIST!B:B,"★★★",0,1)</f>
        <v>CHiCO with HoneyWorks</v>
      </c>
      <c r="AC38" s="14" t="str">
        <f t="shared" si="2"/>
        <v>カヌレ</v>
      </c>
      <c r="AD38" s="19" t="str">
        <f>HYPERLINK(_xlfn.XLOOKUP(C38,M_YT_LIVE_TIMESTAMP!AA:AA,M_YT_LIVE_TIMESTAMP!Z:Z,"★",0,-1))</f>
        <v>https://www.youtube.com/live/wY3z5W9B8N0?si=FVqBjyoCdmcOKFxz&amp;t=7072s</v>
      </c>
    </row>
    <row r="39" spans="1:30" x14ac:dyDescent="0.4">
      <c r="A39" s="12" t="str">
        <v>プライド革命</v>
      </c>
      <c r="B39" s="12" t="str">
        <v>CHiCO with HoneyWorks</v>
      </c>
      <c r="C39" s="12" t="str">
        <f t="shared" si="0"/>
        <v>CHiCO with HoneyWorksプライド革命</v>
      </c>
      <c r="AA39" s="14" t="str">
        <f t="shared" si="1"/>
        <v>CHiCO with HoneyWorks</v>
      </c>
      <c r="AB39" s="14" t="str">
        <f>_xlfn.XLOOKUP(AA39,M_ARTIST!A:A,M_ARTIST!B:B,"★★★",0,1)</f>
        <v>CHiCO with HoneyWorks</v>
      </c>
      <c r="AC39" s="14" t="str">
        <f t="shared" si="2"/>
        <v>プライド革命</v>
      </c>
      <c r="AD39" s="19" t="str">
        <f>HYPERLINK(_xlfn.XLOOKUP(C39,M_YT_LIVE_TIMESTAMP!AA:AA,M_YT_LIVE_TIMESTAMP!Z:Z,"★",0,-1))</f>
        <v>https://www.youtube.com/live/nyXzxG79mwQ?si=kGuFyOuc0o-yNPOU&amp;t=11497s</v>
      </c>
    </row>
    <row r="40" spans="1:30" x14ac:dyDescent="0.4">
      <c r="A40" s="12" t="str">
        <v>世界は恋に落ちている</v>
      </c>
      <c r="B40" s="12" t="str">
        <v>CHiCO with HoneyWorks</v>
      </c>
      <c r="C40" s="12" t="str">
        <f t="shared" si="0"/>
        <v>CHiCO with HoneyWorks世界は恋に落ちている</v>
      </c>
      <c r="AA40" s="14" t="str">
        <f t="shared" si="1"/>
        <v>CHiCO with HoneyWorks</v>
      </c>
      <c r="AB40" s="14" t="str">
        <f>_xlfn.XLOOKUP(AA40,M_ARTIST!A:A,M_ARTIST!B:B,"★★★",0,1)</f>
        <v>CHiCO with HoneyWorks</v>
      </c>
      <c r="AC40" s="14" t="str">
        <f t="shared" si="2"/>
        <v>世界は恋に落ちている</v>
      </c>
      <c r="AD40" s="19" t="str">
        <f>HYPERLINK(_xlfn.XLOOKUP(C40,M_YT_LIVE_TIMESTAMP!AA:AA,M_YT_LIVE_TIMESTAMP!Z:Z,"★",0,-1))</f>
        <v>https://www.youtube.com/live/nyXzxG79mwQ?si=kGuFyOuc0o-yNPOU&amp;t=10655s</v>
      </c>
    </row>
    <row r="41" spans="1:30" x14ac:dyDescent="0.4">
      <c r="A41" s="12" t="str">
        <v>グッバイ宣言</v>
      </c>
      <c r="B41" s="12" t="str">
        <v>chizono feat.FlowerR</v>
      </c>
      <c r="C41" s="12" t="str">
        <f t="shared" si="0"/>
        <v>chizono feat.FlowerRグッバイ宣言</v>
      </c>
      <c r="AA41" s="14" t="str">
        <f t="shared" si="1"/>
        <v>chizono feat.FlowerR</v>
      </c>
      <c r="AB41" s="14" t="str">
        <f>_xlfn.XLOOKUP(AA41,M_ARTIST!A:A,M_ARTIST!B:B,"★★★",0,1)</f>
        <v>chizono feat.FlowerR</v>
      </c>
      <c r="AC41" s="14" t="str">
        <f t="shared" si="2"/>
        <v>グッバイ宣言</v>
      </c>
      <c r="AD41" s="19" t="str">
        <f>HYPERLINK(_xlfn.XLOOKUP(C41,M_YT_LIVE_TIMESTAMP!AA:AA,M_YT_LIVE_TIMESTAMP!Z:Z,"★",0,-1))</f>
        <v>https://www.youtube.com/live/Yti72SsHzxs?si=qlI2gfa0I0wWYoH4&amp;t=2111s</v>
      </c>
    </row>
    <row r="42" spans="1:30" x14ac:dyDescent="0.4">
      <c r="A42" s="12" t="str">
        <v>グッバイ宣言(1chorus)</v>
      </c>
      <c r="B42" s="12" t="str">
        <v>chizono feat.FlowerR</v>
      </c>
      <c r="C42" s="12" t="str">
        <f t="shared" si="0"/>
        <v>chizono feat.FlowerRグッバイ宣言(1chorus)</v>
      </c>
      <c r="AA42" s="14" t="str">
        <f t="shared" si="1"/>
        <v>chizono feat.FlowerR</v>
      </c>
      <c r="AB42" s="14" t="str">
        <f>_xlfn.XLOOKUP(AA42,M_ARTIST!A:A,M_ARTIST!B:B,"★★★",0,1)</f>
        <v>chizono feat.FlowerR</v>
      </c>
      <c r="AC42" s="14" t="str">
        <f t="shared" si="2"/>
        <v>グッバイ宣言(1chorus)</v>
      </c>
      <c r="AD42" s="19" t="str">
        <f>HYPERLINK(_xlfn.XLOOKUP(C42,M_YT_LIVE_TIMESTAMP!AA:AA,M_YT_LIVE_TIMESTAMP!Z:Z,"★",0,-1))</f>
        <v>https://www.youtube.com/live/Yti72SsHzxs?si=qlI2gfa0I0wWYoH4&amp;t=2032s</v>
      </c>
    </row>
    <row r="43" spans="1:30" x14ac:dyDescent="0.4">
      <c r="A43" s="12" t="str">
        <v>カワルミライ</v>
      </c>
      <c r="B43" s="12" t="str">
        <v>ChouCho</v>
      </c>
      <c r="C43" s="12" t="str">
        <f t="shared" si="0"/>
        <v>ChouChoカワルミライ</v>
      </c>
      <c r="AA43" s="14" t="str">
        <f t="shared" si="1"/>
        <v>ChouCho</v>
      </c>
      <c r="AB43" s="14" t="str">
        <f>_xlfn.XLOOKUP(AA43,M_ARTIST!A:A,M_ARTIST!B:B,"★★★",0,1)</f>
        <v>ChouCho</v>
      </c>
      <c r="AC43" s="14" t="str">
        <f t="shared" si="2"/>
        <v>カワルミライ</v>
      </c>
      <c r="AD43" s="19" t="str">
        <f>HYPERLINK(_xlfn.XLOOKUP(C43,M_YT_LIVE_TIMESTAMP!AA:AA,M_YT_LIVE_TIMESTAMP!Z:Z,"★",0,-1))</f>
        <v>https://www.youtube.com/live/JAK2m4FWxF0?si=Xy-B8lpcz7dX_b5n&amp;t=4556s</v>
      </c>
    </row>
    <row r="44" spans="1:30" x14ac:dyDescent="0.4">
      <c r="A44" s="12" t="str">
        <v>優しさの理由</v>
      </c>
      <c r="B44" s="12" t="str">
        <v>ChouCho</v>
      </c>
      <c r="C44" s="12" t="str">
        <f t="shared" si="0"/>
        <v>ChouCho優しさの理由</v>
      </c>
      <c r="AA44" s="14" t="str">
        <f t="shared" si="1"/>
        <v>ChouCho</v>
      </c>
      <c r="AB44" s="14" t="str">
        <f>_xlfn.XLOOKUP(AA44,M_ARTIST!A:A,M_ARTIST!B:B,"★★★",0,1)</f>
        <v>ChouCho</v>
      </c>
      <c r="AC44" s="14" t="str">
        <f t="shared" si="2"/>
        <v>優しさの理由</v>
      </c>
      <c r="AD44" s="19" t="str">
        <f>HYPERLINK(_xlfn.XLOOKUP(C44,M_YT_LIVE_TIMESTAMP!AA:AA,M_YT_LIVE_TIMESTAMP!Z:Z,"★",0,-1))</f>
        <v>https://www.youtube.com/live/JAK2m4FWxF0?si=Xy-B8lpcz7dX_b5n&amp;t=4238s</v>
      </c>
    </row>
    <row r="45" spans="1:30" x14ac:dyDescent="0.4">
      <c r="A45" s="12" t="str">
        <v>コネクト</v>
      </c>
      <c r="B45" s="12" t="str">
        <v>ClariS</v>
      </c>
      <c r="C45" s="12" t="str">
        <f t="shared" si="0"/>
        <v>ClariSコネクト</v>
      </c>
      <c r="AA45" s="14" t="str">
        <f t="shared" si="1"/>
        <v>ClariS</v>
      </c>
      <c r="AB45" s="14" t="str">
        <f>_xlfn.XLOOKUP(AA45,M_ARTIST!A:A,M_ARTIST!B:B,"★★★",0,1)</f>
        <v>ClariS</v>
      </c>
      <c r="AC45" s="14" t="str">
        <f t="shared" si="2"/>
        <v>コネクト</v>
      </c>
      <c r="AD45" s="19" t="str">
        <f>HYPERLINK(_xlfn.XLOOKUP(C45,M_YT_LIVE_TIMESTAMP!AA:AA,M_YT_LIVE_TIMESTAMP!Z:Z,"★",0,-1))</f>
        <v>https://www.youtube.com/live/NkjXzUMUZpw?si=EmGBj6Hh6tIlwjGQ&amp;t=2806s</v>
      </c>
    </row>
    <row r="46" spans="1:30" x14ac:dyDescent="0.4">
      <c r="A46" s="12" t="str">
        <v>asphyxia</v>
      </c>
      <c r="B46" s="12" t="str">
        <v>Cö shu Nie</v>
      </c>
      <c r="C46" s="12" t="str">
        <f t="shared" si="0"/>
        <v>Cö shu Nieasphyxia</v>
      </c>
      <c r="AA46" s="14" t="str">
        <f t="shared" si="1"/>
        <v>Cö shu Nie</v>
      </c>
      <c r="AB46" s="14" t="str">
        <f>_xlfn.XLOOKUP(AA46,M_ARTIST!A:A,M_ARTIST!B:B,"★★★",0,1)</f>
        <v>Cö shu Nie</v>
      </c>
      <c r="AC46" s="14" t="str">
        <f t="shared" si="2"/>
        <v>asphyxia</v>
      </c>
      <c r="AD46" s="19" t="str">
        <f>HYPERLINK(_xlfn.XLOOKUP(C46,M_YT_LIVE_TIMESTAMP!AA:AA,M_YT_LIVE_TIMESTAMP!Z:Z,"★",0,-1))</f>
        <v>https://www.youtube.com/live/5-PHEYq6a-Y?si=i1qN4inKhZc0prZ-&amp;t=2465s</v>
      </c>
    </row>
    <row r="47" spans="1:30" x14ac:dyDescent="0.4">
      <c r="A47" s="12" t="str">
        <v>ファジーネーブル</v>
      </c>
      <c r="B47" s="12" t="str">
        <v>Conton Candy</v>
      </c>
      <c r="C47" s="12" t="str">
        <f t="shared" si="0"/>
        <v>Conton Candyファジーネーブル</v>
      </c>
      <c r="AA47" s="14" t="str">
        <f t="shared" si="1"/>
        <v>Conton Candy</v>
      </c>
      <c r="AB47" s="14" t="str">
        <f>_xlfn.XLOOKUP(AA47,M_ARTIST!A:A,M_ARTIST!B:B,"★★★",0,1)</f>
        <v>Conton Candy</v>
      </c>
      <c r="AC47" s="14" t="str">
        <f t="shared" si="2"/>
        <v>ファジーネーブル</v>
      </c>
      <c r="AD47" s="19" t="str">
        <f>HYPERLINK(_xlfn.XLOOKUP(C47,M_YT_LIVE_TIMESTAMP!AA:AA,M_YT_LIVE_TIMESTAMP!Z:Z,"★",0,-1))</f>
        <v>https://www.youtube.com/live/nyXzxG79mwQ?si=kGuFyOuc0o-yNPOU&amp;t=5056s</v>
      </c>
    </row>
    <row r="48" spans="1:30" x14ac:dyDescent="0.4">
      <c r="A48" s="12" t="str">
        <v>初音ミクの消失 -DEAD END-</v>
      </c>
      <c r="B48" s="12" t="str">
        <v>cosMo(暴走P) feat.初音ミク</v>
      </c>
      <c r="C48" s="12" t="str">
        <f t="shared" si="0"/>
        <v>cosMo(暴走P) feat.初音ミク初音ミクの消失 -DEAD END-</v>
      </c>
      <c r="AA48" s="14" t="str">
        <f t="shared" si="1"/>
        <v>cosMo(暴走P) feat.初音ミク</v>
      </c>
      <c r="AB48" s="14" t="str">
        <f>_xlfn.XLOOKUP(AA48,M_ARTIST!A:A,M_ARTIST!B:B,"★★★",0,1)</f>
        <v>cosMo(ぼうそうP) feat.はつねみく</v>
      </c>
      <c r="AC48" s="14" t="str">
        <f t="shared" si="2"/>
        <v>初音ミクの消失 -DEAD END-</v>
      </c>
      <c r="AD48" s="19" t="str">
        <f>HYPERLINK(_xlfn.XLOOKUP(C48,M_YT_LIVE_TIMESTAMP!AA:AA,M_YT_LIVE_TIMESTAMP!Z:Z,"★",0,-1))</f>
        <v>https://www.youtube.com/live/AHfCHGope8I?si=qrXuqYy-tTqldtt4&amp;t=4039s</v>
      </c>
    </row>
    <row r="49" spans="1:30" x14ac:dyDescent="0.4">
      <c r="A49" s="12" t="str">
        <v>Bling-Bang-Bang-Born</v>
      </c>
      <c r="B49" s="12" t="str">
        <v>Creepy Nuts</v>
      </c>
      <c r="C49" s="12" t="str">
        <f t="shared" si="0"/>
        <v>Creepy NutsBling-Bang-Bang-Born</v>
      </c>
      <c r="AA49" s="14" t="str">
        <f t="shared" si="1"/>
        <v>Creepy Nuts</v>
      </c>
      <c r="AB49" s="14" t="str">
        <f>_xlfn.XLOOKUP(AA49,M_ARTIST!A:A,M_ARTIST!B:B,"★★★",0,1)</f>
        <v>Creepy Nuts</v>
      </c>
      <c r="AC49" s="14" t="str">
        <f t="shared" si="2"/>
        <v>Bling-Bang-Bang-Born</v>
      </c>
      <c r="AD49" s="19" t="str">
        <f>HYPERLINK(_xlfn.XLOOKUP(C49,M_YT_LIVE_TIMESTAMP!AA:AA,M_YT_LIVE_TIMESTAMP!Z:Z,"★",0,-1))</f>
        <v>https://www.youtube.com/live/nyXzxG79mwQ?si=kGuFyOuc0o-yNPOU&amp;t=12983s</v>
      </c>
    </row>
    <row r="50" spans="1:30" x14ac:dyDescent="0.4">
      <c r="A50" s="12" t="str">
        <v>打上花火</v>
      </c>
      <c r="B50" s="12" t="str">
        <v>DAOKO×米津玄師</v>
      </c>
      <c r="C50" s="12" t="str">
        <f t="shared" si="0"/>
        <v>DAOKO×米津玄師打上花火</v>
      </c>
      <c r="AA50" s="14" t="str">
        <f t="shared" si="1"/>
        <v>DAOKO×米津玄師</v>
      </c>
      <c r="AB50" s="14" t="str">
        <f>_xlfn.XLOOKUP(AA50,M_ARTIST!A:A,M_ARTIST!B:B,"★★★",0,1)</f>
        <v>DAOKO×よねづけんし</v>
      </c>
      <c r="AC50" s="14" t="str">
        <f t="shared" si="2"/>
        <v>打上花火</v>
      </c>
      <c r="AD50" s="19" t="str">
        <f>HYPERLINK(_xlfn.XLOOKUP(C50,M_YT_LIVE_TIMESTAMP!AA:AA,M_YT_LIVE_TIMESTAMP!Z:Z,"★",0,-1))</f>
        <v>https://www.youtube.com/live/nyXzxG79mwQ?si=kGuFyOuc0o-yNPOU&amp;t=3227s</v>
      </c>
    </row>
    <row r="51" spans="1:30" x14ac:dyDescent="0.4">
      <c r="A51" s="12" t="str">
        <v>弱虫モンブラン</v>
      </c>
      <c r="B51" s="12" t="str">
        <v>DECO*27 feat.GUMI</v>
      </c>
      <c r="C51" s="12" t="str">
        <f t="shared" si="0"/>
        <v>DECO*27 feat.GUMI弱虫モンブラン</v>
      </c>
      <c r="AA51" s="14" t="str">
        <f t="shared" si="1"/>
        <v>DECO*27 feat.GUMI</v>
      </c>
      <c r="AB51" s="14" t="str">
        <f>_xlfn.XLOOKUP(AA51,M_ARTIST!A:A,M_ARTIST!B:B,"★★★",0,1)</f>
        <v>DECO27 feat.GUMI</v>
      </c>
      <c r="AC51" s="14" t="str">
        <f t="shared" si="2"/>
        <v>弱虫モンブラン</v>
      </c>
      <c r="AD51" s="19" t="str">
        <f>HYPERLINK(_xlfn.XLOOKUP(C51,M_YT_LIVE_TIMESTAMP!AA:AA,M_YT_LIVE_TIMESTAMP!Z:Z,"★",0,-1))</f>
        <v>https://www.youtube.com/live/gtzKshYmOXY?si=1Gz8lwbOe32zbbqo&amp;t=3785s</v>
      </c>
    </row>
    <row r="52" spans="1:30" x14ac:dyDescent="0.4">
      <c r="A52" s="12" t="str">
        <v>ゴーストルール</v>
      </c>
      <c r="B52" s="12" t="str">
        <v>DECO*27 feat.初音ミク</v>
      </c>
      <c r="C52" s="12" t="str">
        <f t="shared" si="0"/>
        <v>DECO*27 feat.初音ミクゴーストルール</v>
      </c>
      <c r="AA52" s="14" t="str">
        <f t="shared" si="1"/>
        <v>DECO*27 feat.初音ミク</v>
      </c>
      <c r="AB52" s="14" t="str">
        <f>_xlfn.XLOOKUP(AA52,M_ARTIST!A:A,M_ARTIST!B:B,"★★★",0,1)</f>
        <v>DECO27 feat.はつねみく</v>
      </c>
      <c r="AC52" s="14" t="str">
        <f t="shared" si="2"/>
        <v>ゴーストルール</v>
      </c>
      <c r="AD52" s="19" t="str">
        <f>HYPERLINK(_xlfn.XLOOKUP(C52,M_YT_LIVE_TIMESTAMP!AA:AA,M_YT_LIVE_TIMESTAMP!Z:Z,"★",0,-1))</f>
        <v>https://www.youtube.com/live/EIV2fME4Fec?si=lkzDtJEJ9agzd2Md&amp;t=5460s</v>
      </c>
    </row>
    <row r="53" spans="1:30" x14ac:dyDescent="0.4">
      <c r="A53" s="12" t="str">
        <v>ストリーミングハート</v>
      </c>
      <c r="B53" s="12" t="str">
        <v>DECO*27 feat.初音ミク</v>
      </c>
      <c r="C53" s="12" t="str">
        <f t="shared" si="0"/>
        <v>DECO*27 feat.初音ミクストリーミングハート</v>
      </c>
      <c r="AA53" s="14" t="str">
        <f t="shared" si="1"/>
        <v>DECO*27 feat.初音ミク</v>
      </c>
      <c r="AB53" s="14" t="str">
        <f>_xlfn.XLOOKUP(AA53,M_ARTIST!A:A,M_ARTIST!B:B,"★★★",0,1)</f>
        <v>DECO27 feat.はつねみく</v>
      </c>
      <c r="AC53" s="14" t="str">
        <f t="shared" si="2"/>
        <v>ストリーミングハート</v>
      </c>
      <c r="AD53" s="19" t="str">
        <f>HYPERLINK(_xlfn.XLOOKUP(C53,M_YT_LIVE_TIMESTAMP!AA:AA,M_YT_LIVE_TIMESTAMP!Z:Z,"★",0,-1))</f>
        <v>https://www.youtube.com/live/E8l1nOoKLLI?si=9GMtlAOzsgHxbniX&amp;t=604s</v>
      </c>
    </row>
    <row r="54" spans="1:30" x14ac:dyDescent="0.4">
      <c r="A54" s="12" t="str">
        <v>ライアーダンス</v>
      </c>
      <c r="B54" s="12" t="str">
        <v>DECO*27 feat.初音ミク</v>
      </c>
      <c r="C54" s="12" t="str">
        <f t="shared" si="0"/>
        <v>DECO*27 feat.初音ミクライアーダンス</v>
      </c>
      <c r="AA54" s="14" t="str">
        <f t="shared" si="1"/>
        <v>DECO*27 feat.初音ミク</v>
      </c>
      <c r="AB54" s="14" t="str">
        <f>_xlfn.XLOOKUP(AA54,M_ARTIST!A:A,M_ARTIST!B:B,"★★★",0,1)</f>
        <v>DECO27 feat.はつねみく</v>
      </c>
      <c r="AC54" s="14" t="str">
        <f t="shared" si="2"/>
        <v>ライアーダンス</v>
      </c>
      <c r="AD54" s="19" t="str">
        <f>HYPERLINK(_xlfn.XLOOKUP(C54,M_YT_LIVE_TIMESTAMP!AA:AA,M_YT_LIVE_TIMESTAMP!Z:Z,"★",0,-1))</f>
        <v>https://www.youtube.com/live/AHfCHGope8I?si=qrXuqYy-tTqldtt4&amp;t=676s</v>
      </c>
    </row>
    <row r="55" spans="1:30" x14ac:dyDescent="0.4">
      <c r="A55" s="12" t="str">
        <v>リバーシブル・キャンペーン</v>
      </c>
      <c r="B55" s="12" t="str">
        <v>DECO*27 feat.初音ミク</v>
      </c>
      <c r="C55" s="12" t="str">
        <f t="shared" si="0"/>
        <v>DECO*27 feat.初音ミクリバーシブル・キャンペーン</v>
      </c>
      <c r="AA55" s="14" t="str">
        <f t="shared" si="1"/>
        <v>DECO*27 feat.初音ミク</v>
      </c>
      <c r="AB55" s="14" t="str">
        <f>_xlfn.XLOOKUP(AA55,M_ARTIST!A:A,M_ARTIST!B:B,"★★★",0,1)</f>
        <v>DECO27 feat.はつねみく</v>
      </c>
      <c r="AC55" s="14" t="str">
        <f t="shared" si="2"/>
        <v>リバーシブル・キャンペーン</v>
      </c>
      <c r="AD55" s="19" t="str">
        <f>HYPERLINK(_xlfn.XLOOKUP(C55,M_YT_LIVE_TIMESTAMP!AA:AA,M_YT_LIVE_TIMESTAMP!Z:Z,"★",0,-1))</f>
        <v>https://www.youtube.com/live/AHfCHGope8I?si=qrXuqYy-tTqldtt4&amp;t=343s</v>
      </c>
    </row>
    <row r="56" spans="1:30" x14ac:dyDescent="0.4">
      <c r="A56" s="12" t="str">
        <v>妄想感傷代償連盟</v>
      </c>
      <c r="B56" s="12" t="str">
        <v>DECO*27 feat.初音ミク</v>
      </c>
      <c r="C56" s="12" t="str">
        <f t="shared" si="0"/>
        <v>DECO*27 feat.初音ミク妄想感傷代償連盟</v>
      </c>
      <c r="AA56" s="14" t="str">
        <f t="shared" si="1"/>
        <v>DECO*27 feat.初音ミク</v>
      </c>
      <c r="AB56" s="14" t="str">
        <f>_xlfn.XLOOKUP(AA56,M_ARTIST!A:A,M_ARTIST!B:B,"★★★",0,1)</f>
        <v>DECO27 feat.はつねみく</v>
      </c>
      <c r="AC56" s="14" t="str">
        <f t="shared" si="2"/>
        <v>妄想感傷代償連盟</v>
      </c>
      <c r="AD56" s="19" t="str">
        <f>HYPERLINK(_xlfn.XLOOKUP(C56,M_YT_LIVE_TIMESTAMP!AA:AA,M_YT_LIVE_TIMESTAMP!Z:Z,"★",0,-1))</f>
        <v>https://www.youtube.com/live/B1g4NIZAKqo?si=v8CWAz6GBo-vVIKK&amp;t=3009s</v>
      </c>
    </row>
    <row r="57" spans="1:30" x14ac:dyDescent="0.4">
      <c r="A57" s="12" t="str">
        <v>Just Be Friends</v>
      </c>
      <c r="B57" s="12" t="str">
        <v>Dixie Flatline feat.巡音ルカ</v>
      </c>
      <c r="C57" s="12" t="str">
        <f t="shared" si="0"/>
        <v>Dixie Flatline feat.巡音ルカJust Be Friends</v>
      </c>
      <c r="AA57" s="14" t="str">
        <f t="shared" si="1"/>
        <v>Dixie Flatline feat.巡音ルカ</v>
      </c>
      <c r="AB57" s="14" t="str">
        <f>_xlfn.XLOOKUP(AA57,M_ARTIST!A:A,M_ARTIST!B:B,"★★★",0,1)</f>
        <v>Dixie Flatline feat.めぐりねるか</v>
      </c>
      <c r="AC57" s="14" t="str">
        <f t="shared" si="2"/>
        <v>Just Be Friends</v>
      </c>
      <c r="AD57" s="19" t="str">
        <f>HYPERLINK(_xlfn.XLOOKUP(C57,M_YT_LIVE_TIMESTAMP!AA:AA,M_YT_LIVE_TIMESTAMP!Z:Z,"★",0,-1))</f>
        <v>https://www.youtube.com/live/Cs48limSzrE?si=n8CFockH4OVXGSvE&amp;t=1645s</v>
      </c>
    </row>
    <row r="58" spans="1:30" x14ac:dyDescent="0.4">
      <c r="A58" s="12" t="str">
        <v>何度でも</v>
      </c>
      <c r="B58" s="12" t="str">
        <v>DREAMS COME TRUE</v>
      </c>
      <c r="C58" s="12" t="str">
        <f t="shared" si="0"/>
        <v>DREAMS COME TRUE何度でも</v>
      </c>
      <c r="AA58" s="14" t="str">
        <f t="shared" si="1"/>
        <v>DREAMS COME TRUE</v>
      </c>
      <c r="AB58" s="14" t="str">
        <f>_xlfn.XLOOKUP(AA58,M_ARTIST!A:A,M_ARTIST!B:B,"★★★",0,1)</f>
        <v>DREAMS COME TRUE</v>
      </c>
      <c r="AC58" s="14" t="str">
        <f t="shared" si="2"/>
        <v>何度でも</v>
      </c>
      <c r="AD58" s="19" t="str">
        <f>HYPERLINK(_xlfn.XLOOKUP(C58,M_YT_LIVE_TIMESTAMP!AA:AA,M_YT_LIVE_TIMESTAMP!Z:Z,"★",0,-1))</f>
        <v>https://www.youtube.com/live/DX8misWhJuA?si=x9BqkZPlvHen5SCl&amp;t=5654s</v>
      </c>
    </row>
    <row r="59" spans="1:30" x14ac:dyDescent="0.4">
      <c r="A59" s="12" t="str">
        <v>All Alone With You</v>
      </c>
      <c r="B59" s="12" t="str">
        <v>EGOIST</v>
      </c>
      <c r="C59" s="12" t="str">
        <f t="shared" si="0"/>
        <v>EGOISTAll Alone With You</v>
      </c>
      <c r="AA59" s="14" t="str">
        <f t="shared" si="1"/>
        <v>EGOIST</v>
      </c>
      <c r="AB59" s="14" t="str">
        <f>_xlfn.XLOOKUP(AA59,M_ARTIST!A:A,M_ARTIST!B:B,"★★★",0,1)</f>
        <v>EGOIST</v>
      </c>
      <c r="AC59" s="14" t="str">
        <f t="shared" si="2"/>
        <v>All Alone With You</v>
      </c>
      <c r="AD59" s="19" t="str">
        <f>HYPERLINK(_xlfn.XLOOKUP(C59,M_YT_LIVE_TIMESTAMP!AA:AA,M_YT_LIVE_TIMESTAMP!Z:Z,"★",0,-1))</f>
        <v>https://www.youtube.com/live/GvGh24EJfGg?si=QLYBryRLPz4v_Qdl&amp;t=1808s</v>
      </c>
    </row>
    <row r="60" spans="1:30" x14ac:dyDescent="0.4">
      <c r="A60" s="12" t="str">
        <v>Departures 〜あなたにおくるアイの歌〜</v>
      </c>
      <c r="B60" s="12" t="str">
        <v>EGOIST</v>
      </c>
      <c r="C60" s="12" t="str">
        <f t="shared" si="0"/>
        <v>EGOISTDepartures 〜あなたにおくるアイの歌〜</v>
      </c>
      <c r="AA60" s="14" t="str">
        <f t="shared" si="1"/>
        <v>EGOIST</v>
      </c>
      <c r="AB60" s="14" t="str">
        <f>_xlfn.XLOOKUP(AA60,M_ARTIST!A:A,M_ARTIST!B:B,"★★★",0,1)</f>
        <v>EGOIST</v>
      </c>
      <c r="AC60" s="14" t="str">
        <f t="shared" si="2"/>
        <v>Departures 〜あなたにおくるアイの歌〜</v>
      </c>
      <c r="AD60" s="19" t="str">
        <f>HYPERLINK(_xlfn.XLOOKUP(C60,M_YT_LIVE_TIMESTAMP!AA:AA,M_YT_LIVE_TIMESTAMP!Z:Z,"★",0,-1))</f>
        <v>https://www.youtube.com/live/w3oM0fDmwz4?si=VVO-ga6uipBLMrpR&amp;t=7781s</v>
      </c>
    </row>
    <row r="61" spans="1:30" x14ac:dyDescent="0.4">
      <c r="A61" s="12" t="str">
        <v>Fallen</v>
      </c>
      <c r="B61" s="12" t="str">
        <v>EGOIST</v>
      </c>
      <c r="C61" s="12" t="str">
        <f t="shared" si="0"/>
        <v>EGOISTFallen</v>
      </c>
      <c r="AA61" s="14" t="str">
        <f t="shared" si="1"/>
        <v>EGOIST</v>
      </c>
      <c r="AB61" s="14" t="str">
        <f>_xlfn.XLOOKUP(AA61,M_ARTIST!A:A,M_ARTIST!B:B,"★★★",0,1)</f>
        <v>EGOIST</v>
      </c>
      <c r="AC61" s="14" t="str">
        <f t="shared" si="2"/>
        <v>Fallen</v>
      </c>
      <c r="AD61" s="19" t="str">
        <f>HYPERLINK(_xlfn.XLOOKUP(C61,M_YT_LIVE_TIMESTAMP!AA:AA,M_YT_LIVE_TIMESTAMP!Z:Z,"★",0,-1))</f>
        <v>https://www.youtube.com/live/FuJDk5I3Oyo?si=KP6eEuJrPYERUqMb&amp;t=2557s</v>
      </c>
    </row>
    <row r="62" spans="1:30" x14ac:dyDescent="0.4">
      <c r="A62" s="12" t="str">
        <v>Ghost of a smile</v>
      </c>
      <c r="B62" s="12" t="str">
        <v>EGOIST</v>
      </c>
      <c r="C62" s="12" t="str">
        <f t="shared" si="0"/>
        <v>EGOISTGhost of a smile</v>
      </c>
      <c r="AA62" s="14" t="str">
        <f t="shared" si="1"/>
        <v>EGOIST</v>
      </c>
      <c r="AB62" s="14" t="str">
        <f>_xlfn.XLOOKUP(AA62,M_ARTIST!A:A,M_ARTIST!B:B,"★★★",0,1)</f>
        <v>EGOIST</v>
      </c>
      <c r="AC62" s="14" t="str">
        <f t="shared" si="2"/>
        <v>Ghost of a smile</v>
      </c>
      <c r="AD62" s="19" t="str">
        <f>HYPERLINK(_xlfn.XLOOKUP(C62,M_YT_LIVE_TIMESTAMP!AA:AA,M_YT_LIVE_TIMESTAMP!Z:Z,"★",0,-1))</f>
        <v>https://www.youtube.com/live/keSRwH4Zr7g?si=RPmDxNZjQB1dZWSK&amp;t=1533s</v>
      </c>
    </row>
    <row r="63" spans="1:30" x14ac:dyDescent="0.4">
      <c r="A63" s="12" t="str">
        <v>LoveStruck</v>
      </c>
      <c r="B63" s="12" t="str">
        <v>EGOIST</v>
      </c>
      <c r="C63" s="12" t="str">
        <f t="shared" si="0"/>
        <v>EGOISTLoveStruck</v>
      </c>
      <c r="AA63" s="14" t="str">
        <f t="shared" si="1"/>
        <v>EGOIST</v>
      </c>
      <c r="AB63" s="14" t="str">
        <f>_xlfn.XLOOKUP(AA63,M_ARTIST!A:A,M_ARTIST!B:B,"★★★",0,1)</f>
        <v>EGOIST</v>
      </c>
      <c r="AC63" s="14" t="str">
        <f t="shared" si="2"/>
        <v>LoveStruck</v>
      </c>
      <c r="AD63" s="19" t="str">
        <f>HYPERLINK(_xlfn.XLOOKUP(C63,M_YT_LIVE_TIMESTAMP!AA:AA,M_YT_LIVE_TIMESTAMP!Z:Z,"★",0,-1))</f>
        <v>https://www.youtube.com/live/FuJDk5I3Oyo?si=KP6eEuJrPYERUqMb&amp;t=4618s</v>
      </c>
    </row>
    <row r="64" spans="1:30" x14ac:dyDescent="0.4">
      <c r="A64" s="12" t="str">
        <v>Planetes</v>
      </c>
      <c r="B64" s="12" t="str">
        <v>EGOIST</v>
      </c>
      <c r="C64" s="12" t="str">
        <f t="shared" si="0"/>
        <v>EGOISTPlanetes</v>
      </c>
      <c r="AA64" s="14" t="str">
        <f t="shared" si="1"/>
        <v>EGOIST</v>
      </c>
      <c r="AB64" s="14" t="str">
        <f>_xlfn.XLOOKUP(AA64,M_ARTIST!A:A,M_ARTIST!B:B,"★★★",0,1)</f>
        <v>EGOIST</v>
      </c>
      <c r="AC64" s="14" t="str">
        <f t="shared" si="2"/>
        <v>Planetes</v>
      </c>
      <c r="AD64" s="19" t="str">
        <f>HYPERLINK(_xlfn.XLOOKUP(C64,M_YT_LIVE_TIMESTAMP!AA:AA,M_YT_LIVE_TIMESTAMP!Z:Z,"★",0,-1))</f>
        <v>https://www.youtube.com/live/7AO0pzyJtLE?si=5iKHGNjfGH8OxSY8&amp;t=5704s</v>
      </c>
    </row>
    <row r="65" spans="1:30" x14ac:dyDescent="0.4">
      <c r="A65" s="12" t="str">
        <v>The Everlasting Guilty Crown</v>
      </c>
      <c r="B65" s="12" t="str">
        <v>EGOIST</v>
      </c>
      <c r="C65" s="12" t="str">
        <f t="shared" si="0"/>
        <v>EGOISTThe Everlasting Guilty Crown</v>
      </c>
      <c r="AA65" s="14" t="str">
        <f t="shared" si="1"/>
        <v>EGOIST</v>
      </c>
      <c r="AB65" s="14" t="str">
        <f>_xlfn.XLOOKUP(AA65,M_ARTIST!A:A,M_ARTIST!B:B,"★★★",0,1)</f>
        <v>EGOIST</v>
      </c>
      <c r="AC65" s="14" t="str">
        <f t="shared" si="2"/>
        <v>The Everlasting Guilty Crown</v>
      </c>
      <c r="AD65" s="19" t="str">
        <f>HYPERLINK(_xlfn.XLOOKUP(C65,M_YT_LIVE_TIMESTAMP!AA:AA,M_YT_LIVE_TIMESTAMP!Z:Z,"★",0,-1))</f>
        <v>https://www.youtube.com/live/FuJDk5I3Oyo?si=KP6eEuJrPYERUqMb&amp;t=1134s</v>
      </c>
    </row>
    <row r="66" spans="1:30" x14ac:dyDescent="0.4">
      <c r="A66" s="12" t="str">
        <v>リローデッド</v>
      </c>
      <c r="B66" s="12" t="str">
        <v>EGOIST</v>
      </c>
      <c r="C66" s="12" t="str">
        <f t="shared" si="0"/>
        <v>EGOISTリローデッド</v>
      </c>
      <c r="AA66" s="14" t="str">
        <f t="shared" si="1"/>
        <v>EGOIST</v>
      </c>
      <c r="AB66" s="14" t="str">
        <f>_xlfn.XLOOKUP(AA66,M_ARTIST!A:A,M_ARTIST!B:B,"★★★",0,1)</f>
        <v>EGOIST</v>
      </c>
      <c r="AC66" s="14" t="str">
        <f t="shared" si="2"/>
        <v>リローデッド</v>
      </c>
      <c r="AD66" s="19" t="str">
        <f>HYPERLINK(_xlfn.XLOOKUP(C66,M_YT_LIVE_TIMESTAMP!AA:AA,M_YT_LIVE_TIMESTAMP!Z:Z,"★",0,-1))</f>
        <v>https://www.youtube.com/live/GvGh24EJfGg?si=QLYBryRLPz4v_Qdl&amp;t=2238s</v>
      </c>
    </row>
    <row r="67" spans="1:30" x14ac:dyDescent="0.4">
      <c r="A67" s="12" t="str">
        <v>雨、キミを連れて</v>
      </c>
      <c r="B67" s="12" t="str">
        <v>EGOIST</v>
      </c>
      <c r="C67" s="12" t="str">
        <f t="shared" ref="C67:C130" si="3">TRIM(B67)&amp;TRIM(A67)</f>
        <v>EGOIST雨、キミを連れて</v>
      </c>
      <c r="AA67" s="14" t="str">
        <f t="shared" ref="AA67:AA130" si="4">B67</f>
        <v>EGOIST</v>
      </c>
      <c r="AB67" s="14" t="str">
        <f>_xlfn.XLOOKUP(AA67,M_ARTIST!A:A,M_ARTIST!B:B,"★★★",0,1)</f>
        <v>EGOIST</v>
      </c>
      <c r="AC67" s="14" t="str">
        <f t="shared" ref="AC67:AC130" si="5">A67</f>
        <v>雨、キミを連れて</v>
      </c>
      <c r="AD67" s="19" t="str">
        <f>HYPERLINK(_xlfn.XLOOKUP(C67,M_YT_LIVE_TIMESTAMP!AA:AA,M_YT_LIVE_TIMESTAMP!Z:Z,"★",0,-1))</f>
        <v>https://www.youtube.com/live/keSRwH4Zr7g?si=RPmDxNZjQB1dZWSK&amp;t=2855s</v>
      </c>
    </row>
    <row r="68" spans="1:30" x14ac:dyDescent="0.4">
      <c r="A68" s="12" t="str">
        <v>名前のない怪物</v>
      </c>
      <c r="B68" s="12" t="str">
        <v>EGOIST</v>
      </c>
      <c r="C68" s="12" t="str">
        <f t="shared" si="3"/>
        <v>EGOIST名前のない怪物</v>
      </c>
      <c r="AA68" s="14" t="str">
        <f t="shared" si="4"/>
        <v>EGOIST</v>
      </c>
      <c r="AB68" s="14" t="str">
        <f>_xlfn.XLOOKUP(AA68,M_ARTIST!A:A,M_ARTIST!B:B,"★★★",0,1)</f>
        <v>EGOIST</v>
      </c>
      <c r="AC68" s="14" t="str">
        <f t="shared" si="5"/>
        <v>名前のない怪物</v>
      </c>
      <c r="AD68" s="19" t="str">
        <f>HYPERLINK(_xlfn.XLOOKUP(C68,M_YT_LIVE_TIMESTAMP!AA:AA,M_YT_LIVE_TIMESTAMP!Z:Z,"★",0,-1))</f>
        <v>https://www.youtube.com/live/FuJDk5I3Oyo?si=KP6eEuJrPYERUqMb&amp;t=2110s</v>
      </c>
    </row>
    <row r="69" spans="1:30" x14ac:dyDescent="0.4">
      <c r="A69" s="12" t="str">
        <v>お気に召すまま</v>
      </c>
      <c r="B69" s="12" t="str">
        <v>Eve</v>
      </c>
      <c r="C69" s="12" t="str">
        <f t="shared" si="3"/>
        <v>Eveお気に召すまま</v>
      </c>
      <c r="AA69" s="14" t="str">
        <f t="shared" si="4"/>
        <v>Eve</v>
      </c>
      <c r="AB69" s="14" t="str">
        <f>_xlfn.XLOOKUP(AA69,M_ARTIST!A:A,M_ARTIST!B:B,"★★★",0,1)</f>
        <v>★★★</v>
      </c>
      <c r="AC69" s="14" t="str">
        <f t="shared" si="5"/>
        <v>お気に召すまま</v>
      </c>
      <c r="AD69" s="19" t="str">
        <f>HYPERLINK(_xlfn.XLOOKUP(C69,M_YT_LIVE_TIMESTAMP!AA:AA,M_YT_LIVE_TIMESTAMP!Z:Z,"★",0,-1))</f>
        <v>https://www.youtube.com/live/hkpPXWM6LDY?si=pgl-HW7-u6yZjLAi&amp;t=639s</v>
      </c>
    </row>
    <row r="70" spans="1:30" x14ac:dyDescent="0.4">
      <c r="A70" s="12" t="str">
        <v>お気に召すまま</v>
      </c>
      <c r="B70" s="12" t="str">
        <v>Eve feat.初音ミク</v>
      </c>
      <c r="C70" s="12" t="str">
        <f t="shared" si="3"/>
        <v>Eve feat.初音ミクお気に召すまま</v>
      </c>
      <c r="AA70" s="14" t="str">
        <f t="shared" si="4"/>
        <v>Eve feat.初音ミク</v>
      </c>
      <c r="AB70" s="14" t="str">
        <f>_xlfn.XLOOKUP(AA70,M_ARTIST!A:A,M_ARTIST!B:B,"★★★",0,1)</f>
        <v>Eve feat.はつねみく</v>
      </c>
      <c r="AC70" s="14" t="str">
        <f t="shared" si="5"/>
        <v>お気に召すまま</v>
      </c>
      <c r="AD70" s="19" t="str">
        <f>HYPERLINK(_xlfn.XLOOKUP(C70,M_YT_LIVE_TIMESTAMP!AA:AA,M_YT_LIVE_TIMESTAMP!Z:Z,"★",0,-1))</f>
        <v>https://www.youtube.com/live/lQQh4G5up3Y?si=U2BJIBIs-2OZdL6R&amp;t=2210s</v>
      </c>
    </row>
    <row r="71" spans="1:30" x14ac:dyDescent="0.4">
      <c r="A71" s="12" t="str">
        <v>ナンセンス文学</v>
      </c>
      <c r="B71" s="12" t="str">
        <v>Eve feat.初音ミク</v>
      </c>
      <c r="C71" s="12" t="str">
        <f t="shared" si="3"/>
        <v>Eve feat.初音ミクナンセンス文学</v>
      </c>
      <c r="AA71" s="14" t="str">
        <f t="shared" si="4"/>
        <v>Eve feat.初音ミク</v>
      </c>
      <c r="AB71" s="14" t="str">
        <f>_xlfn.XLOOKUP(AA71,M_ARTIST!A:A,M_ARTIST!B:B,"★★★",0,1)</f>
        <v>Eve feat.はつねみく</v>
      </c>
      <c r="AC71" s="14" t="str">
        <f t="shared" si="5"/>
        <v>ナンセンス文学</v>
      </c>
      <c r="AD71" s="19" t="str">
        <f>HYPERLINK(_xlfn.XLOOKUP(C71,M_YT_LIVE_TIMESTAMP!AA:AA,M_YT_LIVE_TIMESTAMP!Z:Z,"★",0,-1))</f>
        <v>https://www.youtube.com/live/hkpPXWM6LDY?si=pgl-HW7-u6yZjLAi&amp;t=1365s</v>
      </c>
    </row>
    <row r="72" spans="1:30" x14ac:dyDescent="0.4">
      <c r="A72" s="12" t="str">
        <v>青空のラプソディ</v>
      </c>
      <c r="B72" s="12" t="str">
        <v>fhána</v>
      </c>
      <c r="C72" s="12" t="str">
        <f t="shared" si="3"/>
        <v>fhána青空のラプソディ</v>
      </c>
      <c r="AA72" s="14" t="str">
        <f t="shared" si="4"/>
        <v>fhána</v>
      </c>
      <c r="AB72" s="14" t="str">
        <f>_xlfn.XLOOKUP(AA72,M_ARTIST!A:A,M_ARTIST!B:B,"★★★",0,1)</f>
        <v>fhána</v>
      </c>
      <c r="AC72" s="14" t="str">
        <f t="shared" si="5"/>
        <v>青空のラプソディ</v>
      </c>
      <c r="AD72" s="19" t="str">
        <f>HYPERLINK(_xlfn.XLOOKUP(C72,M_YT_LIVE_TIMESTAMP!AA:AA,M_YT_LIVE_TIMESTAMP!Z:Z,"★",0,-1))</f>
        <v>https://www.youtube.com/live/GvGh24EJfGg?si=QLYBryRLPz4v_Qdl&amp;t=6054s</v>
      </c>
    </row>
    <row r="73" spans="1:30" x14ac:dyDescent="0.4">
      <c r="A73" s="12" t="str">
        <v>君に届け</v>
      </c>
      <c r="B73" s="12" t="str">
        <v>Flumpool</v>
      </c>
      <c r="C73" s="12" t="str">
        <f t="shared" si="3"/>
        <v>Flumpool君に届け</v>
      </c>
      <c r="AA73" s="14" t="str">
        <f t="shared" si="4"/>
        <v>Flumpool</v>
      </c>
      <c r="AB73" s="14" t="str">
        <f>_xlfn.XLOOKUP(AA73,M_ARTIST!A:A,M_ARTIST!B:B,"★★★",0,1)</f>
        <v>Flumpool</v>
      </c>
      <c r="AC73" s="14" t="str">
        <f t="shared" si="5"/>
        <v>君に届け</v>
      </c>
      <c r="AD73" s="19" t="str">
        <f>HYPERLINK(_xlfn.XLOOKUP(C73,M_YT_LIVE_TIMESTAMP!AA:AA,M_YT_LIVE_TIMESTAMP!Z:Z,"★",0,-1))</f>
        <v>https://www.youtube.com/live/Yti72SsHzxs?si=qlI2gfa0I0wWYoH4&amp;t=5386s</v>
      </c>
    </row>
    <row r="74" spans="1:30" x14ac:dyDescent="0.4">
      <c r="A74" s="12" t="str">
        <v>星に願いを</v>
      </c>
      <c r="B74" s="12" t="str">
        <v>flumpool</v>
      </c>
      <c r="C74" s="12" t="str">
        <f t="shared" si="3"/>
        <v>flumpool星に願いを</v>
      </c>
      <c r="AA74" s="14" t="str">
        <f t="shared" si="4"/>
        <v>flumpool</v>
      </c>
      <c r="AB74" s="14" t="str">
        <f>_xlfn.XLOOKUP(AA74,M_ARTIST!A:A,M_ARTIST!B:B,"★★★",0,1)</f>
        <v>Flumpool</v>
      </c>
      <c r="AC74" s="14" t="str">
        <f t="shared" si="5"/>
        <v>星に願いを</v>
      </c>
      <c r="AD74" s="19" t="str">
        <f>HYPERLINK(_xlfn.XLOOKUP(C74,M_YT_LIVE_TIMESTAMP!AA:AA,M_YT_LIVE_TIMESTAMP!Z:Z,"★",0,-1))</f>
        <v>https://www.youtube.com/live/5-PHEYq6a-Y?si=i1qN4inKhZc0prZ-&amp;t=3401s</v>
      </c>
    </row>
    <row r="75" spans="1:30" x14ac:dyDescent="0.4">
      <c r="A75" s="12" t="str">
        <v>only my railgun</v>
      </c>
      <c r="B75" s="12" t="str">
        <v>fripSide</v>
      </c>
      <c r="C75" s="12" t="str">
        <f t="shared" si="3"/>
        <v>fripSideonly my railgun</v>
      </c>
      <c r="AA75" s="14" t="str">
        <f t="shared" si="4"/>
        <v>fripSide</v>
      </c>
      <c r="AB75" s="14" t="str">
        <f>_xlfn.XLOOKUP(AA75,M_ARTIST!A:A,M_ARTIST!B:B,"★★★",0,1)</f>
        <v>fripSide</v>
      </c>
      <c r="AC75" s="14" t="str">
        <f t="shared" si="5"/>
        <v>only my railgun</v>
      </c>
      <c r="AD75" s="19" t="str">
        <f>HYPERLINK(_xlfn.XLOOKUP(C75,M_YT_LIVE_TIMESTAMP!AA:AA,M_YT_LIVE_TIMESTAMP!Z:Z,"★",0,-1))</f>
        <v>https://www.youtube.com/live/Yti72SsHzxs?si=qlI2gfa0I0wWYoH4&amp;t=1340s</v>
      </c>
    </row>
    <row r="76" spans="1:30" x14ac:dyDescent="0.4">
      <c r="A76" s="12" t="str">
        <v>青い栞</v>
      </c>
      <c r="B76" s="12" t="str">
        <v>Galileo Galilei</v>
      </c>
      <c r="C76" s="12" t="str">
        <f t="shared" si="3"/>
        <v>Galileo Galilei青い栞</v>
      </c>
      <c r="AA76" s="14" t="str">
        <f t="shared" si="4"/>
        <v>Galileo Galilei</v>
      </c>
      <c r="AB76" s="14" t="str">
        <f>_xlfn.XLOOKUP(AA76,M_ARTIST!A:A,M_ARTIST!B:B,"★★★",0,1)</f>
        <v>Galileo Galilei</v>
      </c>
      <c r="AC76" s="14" t="str">
        <f t="shared" si="5"/>
        <v>青い栞</v>
      </c>
      <c r="AD76" s="19" t="str">
        <f>HYPERLINK(_xlfn.XLOOKUP(C76,M_YT_LIVE_TIMESTAMP!AA:AA,M_YT_LIVE_TIMESTAMP!Z:Z,"★",0,-1))</f>
        <v>https://www.youtube.com/live/7AO0pzyJtLE?si=5iKHGNjfGH8OxSY8&amp;t=3611s</v>
      </c>
    </row>
    <row r="77" spans="1:30" x14ac:dyDescent="0.4">
      <c r="A77" s="12" t="str">
        <v>恋の寿命</v>
      </c>
      <c r="B77" s="12" t="str">
        <v>Galileo Galilei</v>
      </c>
      <c r="C77" s="12" t="str">
        <f t="shared" si="3"/>
        <v>Galileo Galilei恋の寿命</v>
      </c>
      <c r="AA77" s="14" t="str">
        <f t="shared" si="4"/>
        <v>Galileo Galilei</v>
      </c>
      <c r="AB77" s="14" t="str">
        <f>_xlfn.XLOOKUP(AA77,M_ARTIST!A:A,M_ARTIST!B:B,"★★★",0,1)</f>
        <v>Galileo Galilei</v>
      </c>
      <c r="AC77" s="14" t="str">
        <f t="shared" si="5"/>
        <v>恋の寿命</v>
      </c>
      <c r="AD77" s="19" t="str">
        <f>HYPERLINK(_xlfn.XLOOKUP(C77,M_YT_LIVE_TIMESTAMP!AA:AA,M_YT_LIVE_TIMESTAMP!Z:Z,"★",0,-1))</f>
        <v>https://www.youtube.com/live/BjWSIm9kSZs?si=1oMuQyZMLWArIABK&amp;t=1686s</v>
      </c>
    </row>
    <row r="78" spans="1:30" x14ac:dyDescent="0.4">
      <c r="A78" s="12" t="str">
        <v>一番の宝物</v>
      </c>
      <c r="B78" s="12" t="str">
        <v>Girls Dead Monster</v>
      </c>
      <c r="C78" s="12" t="str">
        <f t="shared" si="3"/>
        <v>Girls Dead Monster一番の宝物</v>
      </c>
      <c r="AA78" s="14" t="str">
        <f t="shared" si="4"/>
        <v>Girls Dead Monster</v>
      </c>
      <c r="AB78" s="14" t="str">
        <f>_xlfn.XLOOKUP(AA78,M_ARTIST!A:A,M_ARTIST!B:B,"★★★",0,1)</f>
        <v>Girls Dead Monster</v>
      </c>
      <c r="AC78" s="14" t="str">
        <f t="shared" si="5"/>
        <v>一番の宝物</v>
      </c>
      <c r="AD78" s="19" t="str">
        <f>HYPERLINK(_xlfn.XLOOKUP(C78,M_YT_LIVE_TIMESTAMP!AA:AA,M_YT_LIVE_TIMESTAMP!Z:Z,"★",0,-1))</f>
        <v>https://www.youtube.com/live/8yfLYQayxQg?si=O0Q0AXQXC39nd7WJ&amp;t=290s</v>
      </c>
    </row>
    <row r="79" spans="1:30" x14ac:dyDescent="0.4">
      <c r="A79" s="12" t="str">
        <v>キセキ</v>
      </c>
      <c r="B79" s="12" t="str">
        <v>GRe4N BOYZ(GReeeeN)</v>
      </c>
      <c r="C79" s="12" t="str">
        <f t="shared" si="3"/>
        <v>GRe4N BOYZ(GReeeeN)キセキ</v>
      </c>
      <c r="AA79" s="14" t="str">
        <f t="shared" si="4"/>
        <v>GRe4N BOYZ(GReeeeN)</v>
      </c>
      <c r="AB79" s="14" t="str">
        <f>_xlfn.XLOOKUP(AA79,M_ARTIST!A:A,M_ARTIST!B:B,"★★★",0,1)</f>
        <v>GRe4N BOYZ(GReeeeN)</v>
      </c>
      <c r="AC79" s="14" t="str">
        <f t="shared" si="5"/>
        <v>キセキ</v>
      </c>
      <c r="AD79" s="19" t="str">
        <f>HYPERLINK(_xlfn.XLOOKUP(C79,M_YT_LIVE_TIMESTAMP!AA:AA,M_YT_LIVE_TIMESTAMP!Z:Z,"★",0,-1))</f>
        <v>https://www.youtube.com/live/OEtLBen9pLM?si=M4WDMSGkkHfWLvDr&amp;t=6100s</v>
      </c>
    </row>
    <row r="80" spans="1:30" x14ac:dyDescent="0.4">
      <c r="A80" s="12" t="str">
        <v>ネハン</v>
      </c>
      <c r="B80" s="12" t="str">
        <v>Guiano</v>
      </c>
      <c r="C80" s="12" t="str">
        <f t="shared" si="3"/>
        <v>Guianoネハン</v>
      </c>
      <c r="AA80" s="14" t="str">
        <f t="shared" si="4"/>
        <v>Guiano</v>
      </c>
      <c r="AB80" s="14" t="str">
        <f>_xlfn.XLOOKUP(AA80,M_ARTIST!A:A,M_ARTIST!B:B,"★★★",0,1)</f>
        <v>Guiano</v>
      </c>
      <c r="AC80" s="14" t="str">
        <f t="shared" si="5"/>
        <v>ネハン</v>
      </c>
      <c r="AD80" s="19" t="str">
        <f>HYPERLINK(_xlfn.XLOOKUP(C80,M_YT_LIVE_TIMESTAMP!AA:AA,M_YT_LIVE_TIMESTAMP!Z:Z,"★",0,-1))</f>
        <v>https://www.youtube.com/live/b0qPGU0sZn4?si=C5mabzVl6bhK7mp0&amp;t=4500s</v>
      </c>
    </row>
    <row r="81" spans="1:30" x14ac:dyDescent="0.4">
      <c r="A81" s="12" t="str">
        <v>晴れるなら</v>
      </c>
      <c r="B81" s="12" t="str">
        <v>Guiano</v>
      </c>
      <c r="C81" s="12" t="str">
        <f t="shared" si="3"/>
        <v>Guiano晴れるなら</v>
      </c>
      <c r="AA81" s="14" t="str">
        <f t="shared" si="4"/>
        <v>Guiano</v>
      </c>
      <c r="AB81" s="14" t="str">
        <f>_xlfn.XLOOKUP(AA81,M_ARTIST!A:A,M_ARTIST!B:B,"★★★",0,1)</f>
        <v>Guiano</v>
      </c>
      <c r="AC81" s="14" t="str">
        <f t="shared" si="5"/>
        <v>晴れるなら</v>
      </c>
      <c r="AD81" s="19" t="str">
        <f>HYPERLINK(_xlfn.XLOOKUP(C81,M_YT_LIVE_TIMESTAMP!AA:AA,M_YT_LIVE_TIMESTAMP!Z:Z,"★",0,-1))</f>
        <v>https://www.youtube.com/live/B1g4NIZAKqo?si=v8CWAz6GBo-vVIKK&amp;t=5501s</v>
      </c>
    </row>
    <row r="82" spans="1:30" x14ac:dyDescent="0.4">
      <c r="A82" s="12" t="str">
        <v>死んでしまったのだろうか</v>
      </c>
      <c r="B82" s="12" t="str">
        <v>Guiano feat.flower</v>
      </c>
      <c r="C82" s="12" t="str">
        <f t="shared" si="3"/>
        <v>Guiano feat.flower死んでしまったのだろうか</v>
      </c>
      <c r="AA82" s="14" t="str">
        <f t="shared" si="4"/>
        <v>Guiano feat.flower</v>
      </c>
      <c r="AB82" s="14" t="str">
        <f>_xlfn.XLOOKUP(AA82,M_ARTIST!A:A,M_ARTIST!B:B,"★★★",0,1)</f>
        <v>Guiano feat.flower</v>
      </c>
      <c r="AC82" s="14" t="str">
        <f t="shared" si="5"/>
        <v>死んでしまったのだろうか</v>
      </c>
      <c r="AD82" s="19" t="str">
        <f>HYPERLINK(_xlfn.XLOOKUP(C82,M_YT_LIVE_TIMESTAMP!AA:AA,M_YT_LIVE_TIMESTAMP!Z:Z,"★",0,-1))</f>
        <v>https://www.youtube.com/live/i7euCqiwzl4?si=Gvd-dBAI4nZ9HDpv&amp;t=2031s</v>
      </c>
    </row>
    <row r="83" spans="1:30" x14ac:dyDescent="0.4">
      <c r="A83" s="12" t="str">
        <v>鳥</v>
      </c>
      <c r="B83" s="12" t="str">
        <v>Guiano feat.可不</v>
      </c>
      <c r="C83" s="12" t="str">
        <f t="shared" si="3"/>
        <v>Guiano feat.可不鳥</v>
      </c>
      <c r="AA83" s="14" t="str">
        <f t="shared" si="4"/>
        <v>Guiano feat.可不</v>
      </c>
      <c r="AB83" s="14" t="str">
        <f>_xlfn.XLOOKUP(AA83,M_ARTIST!A:A,M_ARTIST!B:B,"★★★",0,1)</f>
        <v>Guiano feat.かふ</v>
      </c>
      <c r="AC83" s="14" t="str">
        <f t="shared" si="5"/>
        <v>鳥</v>
      </c>
      <c r="AD83" s="19" t="str">
        <f>HYPERLINK(_xlfn.XLOOKUP(C83,M_YT_LIVE_TIMESTAMP!AA:AA,M_YT_LIVE_TIMESTAMP!Z:Z,"★",0,-1))</f>
        <v>https://www.youtube.com/live/i7euCqiwzl4?si=Gvd-dBAI4nZ9HDpv&amp;t=2389s</v>
      </c>
    </row>
    <row r="84" spans="1:30" x14ac:dyDescent="0.4">
      <c r="A84" s="12" t="str">
        <v>KING</v>
      </c>
      <c r="B84" s="12" t="str">
        <v>GUMI feat.kanaria</v>
      </c>
      <c r="C84" s="12" t="str">
        <f t="shared" si="3"/>
        <v>GUMI feat.kanariaKING</v>
      </c>
      <c r="AA84" s="14" t="str">
        <f t="shared" si="4"/>
        <v>GUMI feat.kanaria</v>
      </c>
      <c r="AB84" s="14" t="str">
        <f>_xlfn.XLOOKUP(AA84,M_ARTIST!A:A,M_ARTIST!B:B,"★★★",0,1)</f>
        <v>GUMI feat.kanaria</v>
      </c>
      <c r="AC84" s="14" t="str">
        <f t="shared" si="5"/>
        <v>KING</v>
      </c>
      <c r="AD84" s="19" t="str">
        <f>HYPERLINK(_xlfn.XLOOKUP(C84,M_YT_LIVE_TIMESTAMP!AA:AA,M_YT_LIVE_TIMESTAMP!Z:Z,"★",0,-1))</f>
        <v>https://www.youtube.com/live/nyXzxG79mwQ?si=kGuFyOuc0o-yNPOU&amp;t=13209s</v>
      </c>
    </row>
    <row r="85" spans="1:30" x14ac:dyDescent="0.4">
      <c r="A85" s="12" t="str">
        <v>Fire◎Flower</v>
      </c>
      <c r="B85" s="12" t="str">
        <v>halyosy feat.鏡音レン</v>
      </c>
      <c r="C85" s="12" t="str">
        <f t="shared" si="3"/>
        <v>halyosy feat.鏡音レンFire◎Flower</v>
      </c>
      <c r="AA85" s="14" t="str">
        <f t="shared" si="4"/>
        <v>halyosy feat.鏡音レン</v>
      </c>
      <c r="AB85" s="14" t="str">
        <f>_xlfn.XLOOKUP(AA85,M_ARTIST!A:A,M_ARTIST!B:B,"★★★",0,1)</f>
        <v>halyosy feat.かがみねれん</v>
      </c>
      <c r="AC85" s="14" t="str">
        <f t="shared" si="5"/>
        <v>Fire◎Flower</v>
      </c>
      <c r="AD85" s="19" t="str">
        <f>HYPERLINK(_xlfn.XLOOKUP(C85,M_YT_LIVE_TIMESTAMP!AA:AA,M_YT_LIVE_TIMESTAMP!Z:Z,"★",0,-1))</f>
        <v>https://www.youtube.com/live/Dm-WC5w7K8Y?si=Pph-3uJ8wVrF5vc0&amp;t=1969s</v>
      </c>
    </row>
    <row r="86" spans="1:30" x14ac:dyDescent="0.4">
      <c r="A86" s="12" t="str">
        <v>┗|∵|┓金曜日のおはよう-another story-</v>
      </c>
      <c r="B86" s="12" t="str">
        <v>Honey Works feat.初音ミク</v>
      </c>
      <c r="C86" s="12" t="str">
        <f t="shared" si="3"/>
        <v>Honey Works feat.初音ミク┗|∵|┓金曜日のおはよう-another story-</v>
      </c>
      <c r="AA86" s="14" t="str">
        <f t="shared" si="4"/>
        <v>Honey Works feat.初音ミク</v>
      </c>
      <c r="AB86" s="14" t="str">
        <f>_xlfn.XLOOKUP(AA86,M_ARTIST!A:A,M_ARTIST!B:B,"★★★",0,1)</f>
        <v>Honey Works feat.はつねみく</v>
      </c>
      <c r="AC86" s="14" t="str">
        <f t="shared" si="5"/>
        <v>┗|∵|┓金曜日のおはよう-another story-</v>
      </c>
      <c r="AD86" s="19" t="str">
        <f>HYPERLINK(_xlfn.XLOOKUP(C86,M_YT_LIVE_TIMESTAMP!AA:AA,M_YT_LIVE_TIMESTAMP!Z:Z,"★",0,-1))</f>
        <v>https://www.youtube.com/live/PDfzdlcsxB4?si=NS72teYqyxrgmxUE&amp;t=1455s</v>
      </c>
    </row>
    <row r="87" spans="1:30" x14ac:dyDescent="0.4">
      <c r="A87" s="12" t="str">
        <v>ファンサ</v>
      </c>
      <c r="B87" s="12" t="str">
        <v>HoneyWorks</v>
      </c>
      <c r="C87" s="12" t="str">
        <f t="shared" si="3"/>
        <v>HoneyWorksファンサ</v>
      </c>
      <c r="AA87" s="14" t="str">
        <f t="shared" si="4"/>
        <v>HoneyWorks</v>
      </c>
      <c r="AB87" s="14" t="str">
        <f>_xlfn.XLOOKUP(AA87,M_ARTIST!A:A,M_ARTIST!B:B,"★★★",0,1)</f>
        <v>HoneyWorks</v>
      </c>
      <c r="AC87" s="14" t="str">
        <f t="shared" si="5"/>
        <v>ファンサ</v>
      </c>
      <c r="AD87" s="19" t="str">
        <f>HYPERLINK(_xlfn.XLOOKUP(C87,M_YT_LIVE_TIMESTAMP!AA:AA,M_YT_LIVE_TIMESTAMP!Z:Z,"★",0,-1))</f>
        <v>https://www.youtube.com/live/FGNU1iQLiNM?si=B75Oqj0tjRBiyl5j&amp;t=4790s</v>
      </c>
    </row>
    <row r="88" spans="1:30" x14ac:dyDescent="0.4">
      <c r="A88" s="12" t="str">
        <v>金曜日のおはよう</v>
      </c>
      <c r="B88" s="12" t="str">
        <v>HoneyWorks</v>
      </c>
      <c r="C88" s="12" t="str">
        <f t="shared" si="3"/>
        <v>HoneyWorks金曜日のおはよう</v>
      </c>
      <c r="AA88" s="14" t="str">
        <f t="shared" si="4"/>
        <v>HoneyWorks</v>
      </c>
      <c r="AB88" s="14" t="str">
        <f>_xlfn.XLOOKUP(AA88,M_ARTIST!A:A,M_ARTIST!B:B,"★★★",0,1)</f>
        <v>HoneyWorks</v>
      </c>
      <c r="AC88" s="14" t="str">
        <f t="shared" si="5"/>
        <v>金曜日のおはよう</v>
      </c>
      <c r="AD88" s="19" t="str">
        <f>HYPERLINK(_xlfn.XLOOKUP(C88,M_YT_LIVE_TIMESTAMP!AA:AA,M_YT_LIVE_TIMESTAMP!Z:Z,"★",0,-1))</f>
        <v>https://www.youtube.com/live/wY3z5W9B8N0?si=FVqBjyoCdmcOKFxz&amp;t=6075s</v>
      </c>
    </row>
    <row r="89" spans="1:30" x14ac:dyDescent="0.4">
      <c r="A89" s="12" t="str">
        <v>東京サマーセッション</v>
      </c>
      <c r="B89" s="12" t="str">
        <v>HoneyWorks</v>
      </c>
      <c r="C89" s="12" t="str">
        <f t="shared" si="3"/>
        <v>HoneyWorks東京サマーセッション</v>
      </c>
      <c r="AA89" s="14" t="str">
        <f t="shared" si="4"/>
        <v>HoneyWorks</v>
      </c>
      <c r="AB89" s="14" t="str">
        <f>_xlfn.XLOOKUP(AA89,M_ARTIST!A:A,M_ARTIST!B:B,"★★★",0,1)</f>
        <v>HoneyWorks</v>
      </c>
      <c r="AC89" s="14" t="str">
        <f t="shared" si="5"/>
        <v>東京サマーセッション</v>
      </c>
      <c r="AD89" s="19" t="str">
        <f>HYPERLINK(_xlfn.XLOOKUP(C89,M_YT_LIVE_TIMESTAMP!AA:AA,M_YT_LIVE_TIMESTAMP!Z:Z,"★",0,-1))</f>
        <v>https://www.youtube.com/live/wY3z5W9B8N0?si=FVqBjyoCdmcOKFxz&amp;t=6534s</v>
      </c>
    </row>
    <row r="90" spans="1:30" x14ac:dyDescent="0.4">
      <c r="A90" s="12" t="str">
        <v>┗|∵|┓ロメオ</v>
      </c>
      <c r="B90" s="12" t="str">
        <v>HoneyWorks feat.LIP×LIP(CV:内山昂輝&amp;島﨑信長)</v>
      </c>
      <c r="C90" s="12" t="str">
        <f t="shared" si="3"/>
        <v>HoneyWorks feat.LIP×LIP(CV:内山昂輝&amp;島﨑信長)┗|∵|┓ロメオ</v>
      </c>
      <c r="AA90" s="14" t="str">
        <f t="shared" si="4"/>
        <v>HoneyWorks feat.LIP×LIP(CV:内山昂輝&amp;島﨑信長)</v>
      </c>
      <c r="AB90" s="14" t="str">
        <f>_xlfn.XLOOKUP(AA90,M_ARTIST!A:A,M_ARTIST!B:B,"★★★",0,1)</f>
        <v>HoneyWorks feat.LIP×LIP(CV:うちやまこうき&amp;しまざきのぶなが)</v>
      </c>
      <c r="AC90" s="14" t="str">
        <f t="shared" si="5"/>
        <v>┗|∵|┓ロメオ</v>
      </c>
      <c r="AD90" s="19" t="str">
        <f>HYPERLINK(_xlfn.XLOOKUP(C90,M_YT_LIVE_TIMESTAMP!AA:AA,M_YT_LIVE_TIMESTAMP!Z:Z,"★",0,-1))</f>
        <v>https://www.youtube.com/live/NkjXzUMUZpw?si=EmGBj6Hh6tIlwjGQ&amp;t=415s</v>
      </c>
    </row>
    <row r="91" spans="1:30" x14ac:dyDescent="0.4">
      <c r="A91" s="12" t="str">
        <v>拝啓、少年よ</v>
      </c>
      <c r="B91" s="12" t="str">
        <v>Hump Back</v>
      </c>
      <c r="C91" s="12" t="str">
        <f t="shared" si="3"/>
        <v>Hump Back拝啓、少年よ</v>
      </c>
      <c r="AA91" s="14" t="str">
        <f t="shared" si="4"/>
        <v>Hump Back</v>
      </c>
      <c r="AB91" s="14" t="str">
        <f>_xlfn.XLOOKUP(AA91,M_ARTIST!A:A,M_ARTIST!B:B,"★★★",0,1)</f>
        <v>Hump Back</v>
      </c>
      <c r="AC91" s="14" t="str">
        <f t="shared" si="5"/>
        <v>拝啓、少年よ</v>
      </c>
      <c r="AD91" s="19" t="str">
        <f>HYPERLINK(_xlfn.XLOOKUP(C91,M_YT_LIVE_TIMESTAMP!AA:AA,M_YT_LIVE_TIMESTAMP!Z:Z,"★",0,-1))</f>
        <v>https://www.youtube.com/live/7AO0pzyJtLE?si=5iKHGNjfGH8OxSY8&amp;t=5173s</v>
      </c>
    </row>
    <row r="92" spans="1:30" x14ac:dyDescent="0.4">
      <c r="A92" s="12" t="str">
        <v>366日</v>
      </c>
      <c r="B92" s="12" t="str">
        <v>HY</v>
      </c>
      <c r="C92" s="12" t="str">
        <f t="shared" si="3"/>
        <v>HY366日</v>
      </c>
      <c r="AA92" s="14" t="str">
        <f t="shared" si="4"/>
        <v>HY</v>
      </c>
      <c r="AB92" s="14" t="str">
        <f>_xlfn.XLOOKUP(AA92,M_ARTIST!A:A,M_ARTIST!B:B,"★★★",0,1)</f>
        <v>HY</v>
      </c>
      <c r="AC92" s="14" t="str">
        <f t="shared" si="5"/>
        <v>366日</v>
      </c>
      <c r="AD92" s="19" t="str">
        <f>HYPERLINK(_xlfn.XLOOKUP(C92,M_YT_LIVE_TIMESTAMP!AA:AA,M_YT_LIVE_TIMESTAMP!Z:Z,"★",0,-1))</f>
        <v>https://www.youtube.com/live/Yti72SsHzxs?si=qlI2gfa0I0wWYoH4&amp;t=5879s</v>
      </c>
    </row>
    <row r="93" spans="1:30" x14ac:dyDescent="0.4">
      <c r="A93" s="12" t="str">
        <v>Magnetic (チャレンジ)</v>
      </c>
      <c r="B93" s="12" t="str">
        <v>ILLIT</v>
      </c>
      <c r="C93" s="12" t="str">
        <f t="shared" si="3"/>
        <v>ILLITMagnetic (チャレンジ)</v>
      </c>
      <c r="AA93" s="14" t="str">
        <f t="shared" si="4"/>
        <v>ILLIT</v>
      </c>
      <c r="AB93" s="14" t="str">
        <f>_xlfn.XLOOKUP(AA93,M_ARTIST!A:A,M_ARTIST!B:B,"★★★",0,1)</f>
        <v>★★★</v>
      </c>
      <c r="AC93" s="14" t="str">
        <f t="shared" si="5"/>
        <v>Magnetic (チャレンジ)</v>
      </c>
      <c r="AD93" s="19" t="str">
        <f>HYPERLINK(_xlfn.XLOOKUP(C93,M_YT_LIVE_TIMESTAMP!AA:AA,M_YT_LIVE_TIMESTAMP!Z:Z,"★",0,-1))</f>
        <v>https://www.youtube.com/live/orkAkFl798M?si=7tK-YB5J1dGoAFWq&amp;t=1840s</v>
      </c>
    </row>
    <row r="94" spans="1:30" x14ac:dyDescent="0.4">
      <c r="A94" s="12" t="str">
        <v>夏祭り</v>
      </c>
      <c r="B94" s="12" t="str">
        <v>JITTERIN'JINN</v>
      </c>
      <c r="C94" s="12" t="str">
        <f t="shared" si="3"/>
        <v>JITTERIN'JINN夏祭り</v>
      </c>
      <c r="AA94" s="14" t="str">
        <f t="shared" si="4"/>
        <v>JITTERIN'JINN</v>
      </c>
      <c r="AB94" s="14" t="str">
        <f>_xlfn.XLOOKUP(AA94,M_ARTIST!A:A,M_ARTIST!B:B,"★★★",0,1)</f>
        <v>JITTERIN'JINN</v>
      </c>
      <c r="AC94" s="14" t="str">
        <f t="shared" si="5"/>
        <v>夏祭り</v>
      </c>
      <c r="AD94" s="19" t="str">
        <f>HYPERLINK(_xlfn.XLOOKUP(C94,M_YT_LIVE_TIMESTAMP!AA:AA,M_YT_LIVE_TIMESTAMP!Z:Z,"★",0,-1))</f>
        <v>https://www.youtube.com/live/BTi31luRntI?si=HKZA9dD6UF6pnPvq&amp;t=8919s</v>
      </c>
    </row>
    <row r="95" spans="1:30" x14ac:dyDescent="0.4">
      <c r="A95" s="12" t="str">
        <v>酔いどれ知らず</v>
      </c>
      <c r="B95" s="12" t="str">
        <v>kanaria.GUMI</v>
      </c>
      <c r="C95" s="12" t="str">
        <f t="shared" si="3"/>
        <v>kanaria.GUMI酔いどれ知らず</v>
      </c>
      <c r="AA95" s="14" t="str">
        <f t="shared" si="4"/>
        <v>kanaria.GUMI</v>
      </c>
      <c r="AB95" s="14" t="str">
        <f>_xlfn.XLOOKUP(AA95,M_ARTIST!A:A,M_ARTIST!B:B,"★★★",0,1)</f>
        <v>kanaria.GUMI</v>
      </c>
      <c r="AC95" s="14" t="str">
        <f t="shared" si="5"/>
        <v>酔いどれ知らず</v>
      </c>
      <c r="AD95" s="19" t="str">
        <f>HYPERLINK(_xlfn.XLOOKUP(C95,M_YT_LIVE_TIMESTAMP!AA:AA,M_YT_LIVE_TIMESTAMP!Z:Z,"★",0,-1))</f>
        <v>https://www.youtube.com/live/nyXzxG79mwQ?si=kGuFyOuc0o-yNPOU&amp;t=4500s</v>
      </c>
    </row>
    <row r="96" spans="1:30" x14ac:dyDescent="0.4">
      <c r="A96" s="12" t="str">
        <v>Hello, Worker</v>
      </c>
      <c r="B96" s="12" t="str">
        <v>KEI feat.巡音ルカ</v>
      </c>
      <c r="C96" s="12" t="str">
        <f t="shared" si="3"/>
        <v>KEI feat.巡音ルカHello, Worker</v>
      </c>
      <c r="AA96" s="14" t="str">
        <f t="shared" si="4"/>
        <v>KEI feat.巡音ルカ</v>
      </c>
      <c r="AB96" s="14" t="str">
        <f>_xlfn.XLOOKUP(AA96,M_ARTIST!A:A,M_ARTIST!B:B,"★★★",0,1)</f>
        <v>KEI feat.めぐりねるか</v>
      </c>
      <c r="AC96" s="14" t="str">
        <f t="shared" si="5"/>
        <v>Hello, Worker</v>
      </c>
      <c r="AD96" s="19" t="str">
        <f>HYPERLINK(_xlfn.XLOOKUP(C96,M_YT_LIVE_TIMESTAMP!AA:AA,M_YT_LIVE_TIMESTAMP!Z:Z,"★",0,-1))</f>
        <v>https://www.youtube.com/live/bXG5ottJZas?si=VsjzjU8RreUrJGd3&amp;t=4034s</v>
      </c>
    </row>
    <row r="97" spans="1:30" x14ac:dyDescent="0.4">
      <c r="A97" s="12" t="str">
        <v>地球最後の告白を</v>
      </c>
      <c r="B97" s="12" t="str">
        <v>Kemu feat.Gumi</v>
      </c>
      <c r="C97" s="12" t="str">
        <f t="shared" si="3"/>
        <v>Kemu feat.Gumi地球最後の告白を</v>
      </c>
      <c r="AA97" s="14" t="str">
        <f t="shared" si="4"/>
        <v>Kemu feat.Gumi</v>
      </c>
      <c r="AB97" s="14" t="str">
        <f>_xlfn.XLOOKUP(AA97,M_ARTIST!A:A,M_ARTIST!B:B,"★★★",0,1)</f>
        <v>Kemu feat.Gumi</v>
      </c>
      <c r="AC97" s="14" t="str">
        <f t="shared" si="5"/>
        <v>地球最後の告白を</v>
      </c>
      <c r="AD97" s="19" t="str">
        <f>HYPERLINK(_xlfn.XLOOKUP(C97,M_YT_LIVE_TIMESTAMP!AA:AA,M_YT_LIVE_TIMESTAMP!Z:Z,"★",0,-1))</f>
        <v>https://www.youtube.com/live/nyXzxG79mwQ?si=kGuFyOuc0o-yNPOU&amp;t=8387s</v>
      </c>
    </row>
    <row r="98" spans="1:30" x14ac:dyDescent="0.4">
      <c r="A98" s="12" t="str">
        <v>インビジブル</v>
      </c>
      <c r="B98" s="12" t="str">
        <v>kemu feat.GUMI&amp;鏡音リン</v>
      </c>
      <c r="C98" s="12" t="str">
        <f t="shared" si="3"/>
        <v>kemu feat.GUMI&amp;鏡音リンインビジブル</v>
      </c>
      <c r="AA98" s="14" t="str">
        <f t="shared" si="4"/>
        <v>kemu feat.GUMI&amp;鏡音リン</v>
      </c>
      <c r="AB98" s="14" t="str">
        <f>_xlfn.XLOOKUP(AA98,M_ARTIST!A:A,M_ARTIST!B:B,"★★★",0,1)</f>
        <v>kemu feat.GUMI&amp;かがみねりん</v>
      </c>
      <c r="AC98" s="14" t="str">
        <f t="shared" si="5"/>
        <v>インビジブル</v>
      </c>
      <c r="AD98" s="19" t="str">
        <f>HYPERLINK(_xlfn.XLOOKUP(C98,M_YT_LIVE_TIMESTAMP!AA:AA,M_YT_LIVE_TIMESTAMP!Z:Z,"★",0,-1))</f>
        <v>https://www.youtube.com/live/EIV2fME4Fec?si=lkzDtJEJ9agzd2Md&amp;t=2410s</v>
      </c>
    </row>
    <row r="99" spans="1:30" x14ac:dyDescent="0.4">
      <c r="A99" s="12" t="str">
        <v>六兆年と一夜物語</v>
      </c>
      <c r="B99" s="12" t="str">
        <v>kemu feat.IA</v>
      </c>
      <c r="C99" s="12" t="str">
        <f t="shared" si="3"/>
        <v>kemu feat.IA六兆年と一夜物語</v>
      </c>
      <c r="AA99" s="14" t="str">
        <f t="shared" si="4"/>
        <v>kemu feat.IA</v>
      </c>
      <c r="AB99" s="14" t="str">
        <f>_xlfn.XLOOKUP(AA99,M_ARTIST!A:A,M_ARTIST!B:B,"★★★",0,1)</f>
        <v>kemu feat.IA</v>
      </c>
      <c r="AC99" s="14" t="str">
        <f t="shared" si="5"/>
        <v>六兆年と一夜物語</v>
      </c>
      <c r="AD99" s="19" t="str">
        <f>HYPERLINK(_xlfn.XLOOKUP(C99,M_YT_LIVE_TIMESTAMP!AA:AA,M_YT_LIVE_TIMESTAMP!Z:Z,"★",0,-1))</f>
        <v>https://www.youtube.com/live/EIV2fME4Fec?si=lkzDtJEJ9agzd2Md&amp;t=2689s</v>
      </c>
    </row>
    <row r="100" spans="1:30" x14ac:dyDescent="0.4">
      <c r="A100" s="12" t="str">
        <v>白日</v>
      </c>
      <c r="B100" s="12" t="str">
        <v>King Gnu</v>
      </c>
      <c r="C100" s="12" t="str">
        <f t="shared" si="3"/>
        <v>King Gnu白日</v>
      </c>
      <c r="AA100" s="14" t="str">
        <f t="shared" si="4"/>
        <v>King Gnu</v>
      </c>
      <c r="AB100" s="14" t="str">
        <f>_xlfn.XLOOKUP(AA100,M_ARTIST!A:A,M_ARTIST!B:B,"★★★",0,1)</f>
        <v>King Gnu</v>
      </c>
      <c r="AC100" s="14" t="str">
        <f t="shared" si="5"/>
        <v>白日</v>
      </c>
      <c r="AD100" s="19" t="str">
        <f>HYPERLINK(_xlfn.XLOOKUP(C100,M_YT_LIVE_TIMESTAMP!AA:AA,M_YT_LIVE_TIMESTAMP!Z:Z,"★",0,-1))</f>
        <v>https://www.youtube.com/live/w3oM0fDmwz4?si=VVO-ga6uipBLMrpR&amp;t=5048s</v>
      </c>
    </row>
    <row r="101" spans="1:30" x14ac:dyDescent="0.4">
      <c r="A101" s="12" t="str">
        <v>独りんぼエンヴィー</v>
      </c>
      <c r="B101" s="12" t="str">
        <v>koyori(電ポルP) feat.初音ミク</v>
      </c>
      <c r="C101" s="12" t="str">
        <f t="shared" si="3"/>
        <v>koyori(電ポルP) feat.初音ミク独りんぼエンヴィー</v>
      </c>
      <c r="AA101" s="14" t="str">
        <f t="shared" si="4"/>
        <v>koyori(電ポルP) feat.初音ミク</v>
      </c>
      <c r="AB101" s="14" t="str">
        <f>_xlfn.XLOOKUP(AA101,M_ARTIST!A:A,M_ARTIST!B:B,"★★★",0,1)</f>
        <v>koyori(でんぽるP) feat.はつねみく</v>
      </c>
      <c r="AC101" s="14" t="str">
        <f t="shared" si="5"/>
        <v>独りんぼエンヴィー</v>
      </c>
      <c r="AD101" s="19" t="str">
        <f>HYPERLINK(_xlfn.XLOOKUP(C101,M_YT_LIVE_TIMESTAMP!AA:AA,M_YT_LIVE_TIMESTAMP!Z:Z,"★",0,-1))</f>
        <v>https://www.youtube.com/live/w3oM0fDmwz4?si=VVO-ga6uipBLMrpR&amp;t=3917s</v>
      </c>
    </row>
    <row r="102" spans="1:30" x14ac:dyDescent="0.4">
      <c r="A102" s="12" t="str">
        <v>セツナトリップ</v>
      </c>
      <c r="B102" s="12" t="str">
        <v>Last Note. feat.GUMI</v>
      </c>
      <c r="C102" s="12" t="str">
        <f t="shared" si="3"/>
        <v>Last Note. feat.GUMIセツナトリップ</v>
      </c>
      <c r="AA102" s="14" t="str">
        <f t="shared" si="4"/>
        <v>Last Note. feat.GUMI</v>
      </c>
      <c r="AB102" s="14" t="str">
        <f>_xlfn.XLOOKUP(AA102,M_ARTIST!A:A,M_ARTIST!B:B,"★★★",0,1)</f>
        <v>Last Note. feat.GUMI</v>
      </c>
      <c r="AC102" s="14" t="str">
        <f t="shared" si="5"/>
        <v>セツナトリップ</v>
      </c>
      <c r="AD102" s="19" t="str">
        <f>HYPERLINK(_xlfn.XLOOKUP(C102,M_YT_LIVE_TIMESTAMP!AA:AA,M_YT_LIVE_TIMESTAMP!Z:Z,"★",0,-1))</f>
        <v>https://www.youtube.com/live/bXG5ottJZas?si=VsjzjU8RreUrJGd3&amp;t=5630s</v>
      </c>
    </row>
    <row r="103" spans="1:30" x14ac:dyDescent="0.4">
      <c r="A103" s="12" t="str">
        <v>My Soul Your Beats!</v>
      </c>
      <c r="B103" s="12" t="str">
        <v>Lia</v>
      </c>
      <c r="C103" s="12" t="str">
        <f t="shared" si="3"/>
        <v>LiaMy Soul Your Beats!</v>
      </c>
      <c r="AA103" s="14" t="str">
        <f t="shared" si="4"/>
        <v>Lia</v>
      </c>
      <c r="AB103" s="14" t="str">
        <f>_xlfn.XLOOKUP(AA103,M_ARTIST!A:A,M_ARTIST!B:B,"★★★",0,1)</f>
        <v>Lia</v>
      </c>
      <c r="AC103" s="14" t="str">
        <f t="shared" si="5"/>
        <v>My Soul Your Beats!</v>
      </c>
      <c r="AD103" s="19" t="str">
        <f>HYPERLINK(_xlfn.XLOOKUP(C103,M_YT_LIVE_TIMESTAMP!AA:AA,M_YT_LIVE_TIMESTAMP!Z:Z,"★",0,-1))</f>
        <v>https://www.youtube.com/live/8yfLYQayxQg?si=O0Q0AXQXC39nd7WJ&amp;t=715s</v>
      </c>
    </row>
    <row r="104" spans="1:30" x14ac:dyDescent="0.4">
      <c r="A104" s="12" t="str">
        <v>Catch the Moment</v>
      </c>
      <c r="B104" s="12" t="str">
        <v>LiSA</v>
      </c>
      <c r="C104" s="12" t="str">
        <f t="shared" si="3"/>
        <v>LiSACatch the Moment</v>
      </c>
      <c r="AA104" s="14" t="str">
        <f t="shared" si="4"/>
        <v>LiSA</v>
      </c>
      <c r="AB104" s="14" t="str">
        <f>_xlfn.XLOOKUP(AA104,M_ARTIST!A:A,M_ARTIST!B:B,"★★★",0,1)</f>
        <v>LiSA</v>
      </c>
      <c r="AC104" s="14" t="str">
        <f t="shared" si="5"/>
        <v>Catch the Moment</v>
      </c>
      <c r="AD104" s="19" t="str">
        <f>HYPERLINK(_xlfn.XLOOKUP(C104,M_YT_LIVE_TIMESTAMP!AA:AA,M_YT_LIVE_TIMESTAMP!Z:Z,"★",0,-1))</f>
        <v>https://www.youtube.com/live/nyXzxG79mwQ?si=kGuFyOuc0o-yNPOU&amp;t=11867s</v>
      </c>
    </row>
    <row r="105" spans="1:30" x14ac:dyDescent="0.4">
      <c r="A105" s="12" t="str">
        <v>crossing field</v>
      </c>
      <c r="B105" s="12" t="str">
        <v>LiSA</v>
      </c>
      <c r="C105" s="12" t="str">
        <f t="shared" si="3"/>
        <v>LiSAcrossing field</v>
      </c>
      <c r="AA105" s="14" t="str">
        <f t="shared" si="4"/>
        <v>LiSA</v>
      </c>
      <c r="AB105" s="14" t="str">
        <f>_xlfn.XLOOKUP(AA105,M_ARTIST!A:A,M_ARTIST!B:B,"★★★",0,1)</f>
        <v>LiSA</v>
      </c>
      <c r="AC105" s="14" t="str">
        <f t="shared" si="5"/>
        <v>crossing field</v>
      </c>
      <c r="AD105" s="19" t="str">
        <f>HYPERLINK(_xlfn.XLOOKUP(C105,M_YT_LIVE_TIMESTAMP!AA:AA,M_YT_LIVE_TIMESTAMP!Z:Z,"★",0,-1))</f>
        <v>https://www.youtube.com/live/wY3z5W9B8N0?si=FVqBjyoCdmcOKFxz&amp;t=1200s</v>
      </c>
    </row>
    <row r="106" spans="1:30" x14ac:dyDescent="0.4">
      <c r="A106" s="12" t="str">
        <v>Rising Hope</v>
      </c>
      <c r="B106" s="12" t="str">
        <v>LiSA</v>
      </c>
      <c r="C106" s="12" t="str">
        <f t="shared" si="3"/>
        <v>LiSARising Hope</v>
      </c>
      <c r="AA106" s="14" t="str">
        <f t="shared" si="4"/>
        <v>LiSA</v>
      </c>
      <c r="AB106" s="14" t="str">
        <f>_xlfn.XLOOKUP(AA106,M_ARTIST!A:A,M_ARTIST!B:B,"★★★",0,1)</f>
        <v>LiSA</v>
      </c>
      <c r="AC106" s="14" t="str">
        <f t="shared" si="5"/>
        <v>Rising Hope</v>
      </c>
      <c r="AD106" s="19" t="str">
        <f>HYPERLINK(_xlfn.XLOOKUP(C106,M_YT_LIVE_TIMESTAMP!AA:AA,M_YT_LIVE_TIMESTAMP!Z:Z,"★",0,-1))</f>
        <v>https://www.youtube.com/live/nyXzxG79mwQ?si=kGuFyOuc0o-yNPOU&amp;t=7946s</v>
      </c>
    </row>
    <row r="107" spans="1:30" x14ac:dyDescent="0.4">
      <c r="A107" s="12" t="str">
        <v>träumerei</v>
      </c>
      <c r="B107" s="12" t="str">
        <v>LiSA</v>
      </c>
      <c r="C107" s="12" t="str">
        <f t="shared" si="3"/>
        <v>LiSAträumerei</v>
      </c>
      <c r="AA107" s="14" t="str">
        <f t="shared" si="4"/>
        <v>LiSA</v>
      </c>
      <c r="AB107" s="14" t="str">
        <f>_xlfn.XLOOKUP(AA107,M_ARTIST!A:A,M_ARTIST!B:B,"★★★",0,1)</f>
        <v>LiSA</v>
      </c>
      <c r="AC107" s="14" t="str">
        <f t="shared" si="5"/>
        <v>träumerei</v>
      </c>
      <c r="AD107" s="19" t="str">
        <f>HYPERLINK(_xlfn.XLOOKUP(C107,M_YT_LIVE_TIMESTAMP!AA:AA,M_YT_LIVE_TIMESTAMP!Z:Z,"★",0,-1))</f>
        <v>https://www.youtube.com/live/5-PHEYq6a-Y?si=i1qN4inKhZc0prZ-&amp;t=7636s</v>
      </c>
    </row>
    <row r="108" spans="1:30" x14ac:dyDescent="0.4">
      <c r="A108" s="12" t="str">
        <v>unlasting</v>
      </c>
      <c r="B108" s="12" t="str">
        <v>LiSA</v>
      </c>
      <c r="C108" s="12" t="str">
        <f t="shared" si="3"/>
        <v>LiSAunlasting</v>
      </c>
      <c r="AA108" s="14" t="str">
        <f t="shared" si="4"/>
        <v>LiSA</v>
      </c>
      <c r="AB108" s="14" t="str">
        <f>_xlfn.XLOOKUP(AA108,M_ARTIST!A:A,M_ARTIST!B:B,"★★★",0,1)</f>
        <v>LiSA</v>
      </c>
      <c r="AC108" s="14" t="str">
        <f t="shared" si="5"/>
        <v>unlasting</v>
      </c>
      <c r="AD108" s="19" t="str">
        <f>HYPERLINK(_xlfn.XLOOKUP(C108,M_YT_LIVE_TIMESTAMP!AA:AA,M_YT_LIVE_TIMESTAMP!Z:Z,"★",0,-1))</f>
        <v>https://www.youtube.com/live/GvGh24EJfGg?si=QLYBryRLPz4v_Qdl&amp;t=5670s</v>
      </c>
    </row>
    <row r="109" spans="1:30" x14ac:dyDescent="0.4">
      <c r="A109" s="12" t="str">
        <v>シルシ</v>
      </c>
      <c r="B109" s="12" t="str">
        <v>LiSA</v>
      </c>
      <c r="C109" s="12" t="str">
        <f t="shared" si="3"/>
        <v>LiSAシルシ</v>
      </c>
      <c r="AA109" s="14" t="str">
        <f t="shared" si="4"/>
        <v>LiSA</v>
      </c>
      <c r="AB109" s="14" t="str">
        <f>_xlfn.XLOOKUP(AA109,M_ARTIST!A:A,M_ARTIST!B:B,"★★★",0,1)</f>
        <v>LiSA</v>
      </c>
      <c r="AC109" s="14" t="str">
        <f t="shared" si="5"/>
        <v>シルシ</v>
      </c>
      <c r="AD109" s="19" t="str">
        <f>HYPERLINK(_xlfn.XLOOKUP(C109,M_YT_LIVE_TIMESTAMP!AA:AA,M_YT_LIVE_TIMESTAMP!Z:Z,"★",0,-1))</f>
        <v>https://www.youtube.com/live/Z1v3sT_d6uU?si=epz4SGbUtnFLtw2-&amp;t=6332s</v>
      </c>
    </row>
    <row r="110" spans="1:30" x14ac:dyDescent="0.4">
      <c r="A110" s="12" t="str">
        <v>炎</v>
      </c>
      <c r="B110" s="12" t="str">
        <v>LiSA</v>
      </c>
      <c r="C110" s="12" t="str">
        <f t="shared" si="3"/>
        <v>LiSA炎</v>
      </c>
      <c r="AA110" s="14" t="str">
        <f t="shared" si="4"/>
        <v>LiSA</v>
      </c>
      <c r="AB110" s="14" t="str">
        <f>_xlfn.XLOOKUP(AA110,M_ARTIST!A:A,M_ARTIST!B:B,"★★★",0,1)</f>
        <v>LiSA</v>
      </c>
      <c r="AC110" s="14" t="str">
        <f t="shared" si="5"/>
        <v>炎</v>
      </c>
      <c r="AD110" s="19" t="str">
        <f>HYPERLINK(_xlfn.XLOOKUP(C110,M_YT_LIVE_TIMESTAMP!AA:AA,M_YT_LIVE_TIMESTAMP!Z:Z,"★",0,-1))</f>
        <v>https://www.youtube.com/live/NkjXzUMUZpw?si=EmGBj6Hh6tIlwjGQ&amp;t=3261s</v>
      </c>
    </row>
    <row r="111" spans="1:30" x14ac:dyDescent="0.4">
      <c r="A111" s="12" t="str">
        <v>紅蓮華</v>
      </c>
      <c r="B111" s="12" t="str">
        <v>LiSA</v>
      </c>
      <c r="C111" s="12" t="str">
        <f t="shared" si="3"/>
        <v>LiSA紅蓮華</v>
      </c>
      <c r="AA111" s="14" t="str">
        <f t="shared" si="4"/>
        <v>LiSA</v>
      </c>
      <c r="AB111" s="14" t="str">
        <f>_xlfn.XLOOKUP(AA111,M_ARTIST!A:A,M_ARTIST!B:B,"★★★",0,1)</f>
        <v>LiSA</v>
      </c>
      <c r="AC111" s="14" t="str">
        <f t="shared" si="5"/>
        <v>紅蓮華</v>
      </c>
      <c r="AD111" s="19" t="str">
        <f>HYPERLINK(_xlfn.XLOOKUP(C111,M_YT_LIVE_TIMESTAMP!AA:AA,M_YT_LIVE_TIMESTAMP!Z:Z,"★",0,-1))</f>
        <v>https://www.youtube.com/live/nyXzxG79mwQ?si=kGuFyOuc0o-yNPOU&amp;t=2434s</v>
      </c>
    </row>
    <row r="112" spans="1:30" x14ac:dyDescent="0.4">
      <c r="A112" s="12" t="str">
        <v>可惜夜</v>
      </c>
      <c r="B112" s="12" t="str">
        <v>lslet feat.倚水</v>
      </c>
      <c r="C112" s="12" t="str">
        <f t="shared" si="3"/>
        <v>lslet feat.倚水可惜夜</v>
      </c>
      <c r="AA112" s="14" t="str">
        <f t="shared" si="4"/>
        <v>lslet feat.倚水</v>
      </c>
      <c r="AB112" s="14" t="str">
        <f>_xlfn.XLOOKUP(AA112,M_ARTIST!A:A,M_ARTIST!B:B,"★★★",0,1)</f>
        <v>lslet feat.いすい</v>
      </c>
      <c r="AC112" s="14" t="str">
        <f t="shared" si="5"/>
        <v>可惜夜</v>
      </c>
      <c r="AD112" s="19" t="str">
        <f>HYPERLINK(_xlfn.XLOOKUP(C112,M_YT_LIVE_TIMESTAMP!AA:AA,M_YT_LIVE_TIMESTAMP!Z:Z,"★",0,-1))</f>
        <v>https://www.youtube.com/live/b0qPGU0sZn4?si=C5mabzVl6bhK7mp0&amp;t=5650s</v>
      </c>
    </row>
    <row r="113" spans="1:30" x14ac:dyDescent="0.4">
      <c r="A113" s="12" t="str">
        <v>春を待つ</v>
      </c>
      <c r="B113" s="12" t="str">
        <v>lslet feat.倚水</v>
      </c>
      <c r="C113" s="12" t="str">
        <f t="shared" si="3"/>
        <v>lslet feat.倚水春を待つ</v>
      </c>
      <c r="AA113" s="14" t="str">
        <f t="shared" si="4"/>
        <v>lslet feat.倚水</v>
      </c>
      <c r="AB113" s="14" t="str">
        <f>_xlfn.XLOOKUP(AA113,M_ARTIST!A:A,M_ARTIST!B:B,"★★★",0,1)</f>
        <v>lslet feat.いすい</v>
      </c>
      <c r="AC113" s="14" t="str">
        <f t="shared" si="5"/>
        <v>春を待つ</v>
      </c>
      <c r="AD113" s="19" t="str">
        <f>HYPERLINK(_xlfn.XLOOKUP(C113,M_YT_LIVE_TIMESTAMP!AA:AA,M_YT_LIVE_TIMESTAMP!Z:Z,"★",0,-1))</f>
        <v>https://www.youtube.com/live/b0qPGU0sZn4?si=C5mabzVl6bhK7mp0&amp;t=3518s</v>
      </c>
    </row>
    <row r="114" spans="1:30" x14ac:dyDescent="0.4">
      <c r="A114" s="12" t="str">
        <v>白日夢</v>
      </c>
      <c r="B114" s="12" t="str">
        <v>lslet feat.倚水</v>
      </c>
      <c r="C114" s="12" t="str">
        <f t="shared" si="3"/>
        <v>lslet feat.倚水白日夢</v>
      </c>
      <c r="AA114" s="14" t="str">
        <f t="shared" si="4"/>
        <v>lslet feat.倚水</v>
      </c>
      <c r="AB114" s="14" t="str">
        <f>_xlfn.XLOOKUP(AA114,M_ARTIST!A:A,M_ARTIST!B:B,"★★★",0,1)</f>
        <v>lslet feat.いすい</v>
      </c>
      <c r="AC114" s="14" t="str">
        <f t="shared" si="5"/>
        <v>白日夢</v>
      </c>
      <c r="AD114" s="19" t="str">
        <f>HYPERLINK(_xlfn.XLOOKUP(C114,M_YT_LIVE_TIMESTAMP!AA:AA,M_YT_LIVE_TIMESTAMP!Z:Z,"★",0,-1))</f>
        <v>https://www.youtube.com/live/b0qPGU0sZn4?si=C5mabzVl6bhK7mp0&amp;t=6187s</v>
      </c>
    </row>
    <row r="115" spans="1:30" x14ac:dyDescent="0.4">
      <c r="A115" s="12" t="str">
        <v>可惜夜</v>
      </c>
      <c r="B115" s="12" t="str">
        <v>lslet feat.倚水(tayori)</v>
      </c>
      <c r="C115" s="12" t="str">
        <f t="shared" si="3"/>
        <v>lslet feat.倚水(tayori)可惜夜</v>
      </c>
      <c r="AA115" s="14" t="str">
        <f t="shared" si="4"/>
        <v>lslet feat.倚水(tayori)</v>
      </c>
      <c r="AB115" s="14" t="str">
        <f>_xlfn.XLOOKUP(AA115,M_ARTIST!A:A,M_ARTIST!B:B,"★★★",0,1)</f>
        <v>★★★</v>
      </c>
      <c r="AC115" s="14" t="str">
        <f t="shared" si="5"/>
        <v>可惜夜</v>
      </c>
      <c r="AD115" s="19" t="str">
        <f>HYPERLINK(_xlfn.XLOOKUP(C115,M_YT_LIVE_TIMESTAMP!AA:AA,M_YT_LIVE_TIMESTAMP!Z:Z,"★",0,-1))</f>
        <v>https://www.youtube.com/live/TDYlHpN4h0s?si=ysSy7YIPSXU6T0nx&amp;t=865s</v>
      </c>
    </row>
    <row r="116" spans="1:30" x14ac:dyDescent="0.4">
      <c r="A116" s="12" t="str">
        <v>ハッピー・ジャムジャム</v>
      </c>
      <c r="B116" s="12" t="str">
        <v>M.S.J</v>
      </c>
      <c r="C116" s="12" t="str">
        <f t="shared" si="3"/>
        <v>M.S.Jハッピー・ジャムジャム</v>
      </c>
      <c r="AA116" s="14" t="str">
        <f t="shared" si="4"/>
        <v>M.S.J</v>
      </c>
      <c r="AB116" s="14" t="str">
        <f>_xlfn.XLOOKUP(AA116,M_ARTIST!A:A,M_ARTIST!B:B,"★★★",0,1)</f>
        <v>MSJ</v>
      </c>
      <c r="AC116" s="14" t="str">
        <f t="shared" si="5"/>
        <v>ハッピー・ジャムジャム</v>
      </c>
      <c r="AD116" s="19" t="str">
        <f>HYPERLINK(_xlfn.XLOOKUP(C116,M_YT_LIVE_TIMESTAMP!AA:AA,M_YT_LIVE_TIMESTAMP!Z:Z,"★",0,-1))</f>
        <v>https://www.youtube.com/live/cHLqE4AOOjI?si=heDnYTUAoUpLyQ_J&amp;t=873s</v>
      </c>
    </row>
    <row r="117" spans="1:30" x14ac:dyDescent="0.4">
      <c r="A117" s="12" t="str">
        <v>トウキョウ・シャンディ・ランデヴ</v>
      </c>
      <c r="B117" s="12" t="str">
        <v>MAISONdes</v>
      </c>
      <c r="C117" s="12" t="str">
        <f t="shared" si="3"/>
        <v>MAISONdesトウキョウ・シャンディ・ランデヴ</v>
      </c>
      <c r="AA117" s="14" t="str">
        <f t="shared" si="4"/>
        <v>MAISONdes</v>
      </c>
      <c r="AB117" s="14" t="str">
        <f>_xlfn.XLOOKUP(AA117,M_ARTIST!A:A,M_ARTIST!B:B,"★★★",0,1)</f>
        <v>MAISONdes</v>
      </c>
      <c r="AC117" s="14" t="str">
        <f t="shared" si="5"/>
        <v>トウキョウ・シャンディ・ランデヴ</v>
      </c>
      <c r="AD117" s="19" t="str">
        <f>HYPERLINK(_xlfn.XLOOKUP(C117,M_YT_LIVE_TIMESTAMP!AA:AA,M_YT_LIVE_TIMESTAMP!Z:Z,"★",0,-1))</f>
        <v>https://www.youtube.com/live/lrLQ6akH23w?si=aC5HLJK6UZYwu-Yn&amp;t=704s</v>
      </c>
    </row>
    <row r="118" spans="1:30" x14ac:dyDescent="0.4">
      <c r="A118" s="12" t="str">
        <v>ラブ&amp;デストロイ</v>
      </c>
      <c r="B118" s="12" t="str">
        <v>MI8k feat.GUMI</v>
      </c>
      <c r="C118" s="12" t="str">
        <f t="shared" si="3"/>
        <v>MI8k feat.GUMIラブ&amp;デストロイ</v>
      </c>
      <c r="AA118" s="14" t="str">
        <f t="shared" si="4"/>
        <v>MI8k feat.GUMI</v>
      </c>
      <c r="AB118" s="14" t="str">
        <f>_xlfn.XLOOKUP(AA118,M_ARTIST!A:A,M_ARTIST!B:B,"★★★",0,1)</f>
        <v>★★★</v>
      </c>
      <c r="AC118" s="14" t="str">
        <f t="shared" si="5"/>
        <v>ラブ&amp;デストロイ</v>
      </c>
      <c r="AD118" s="19" t="str">
        <f>HYPERLINK(_xlfn.XLOOKUP(C118,M_YT_LIVE_TIMESTAMP!AA:AA,M_YT_LIVE_TIMESTAMP!Z:Z,"★",0,-1))</f>
        <v>https://www.youtube.com/live/TDYlHpN4h0s?si=ysSy7YIPSXU6T0nx&amp;t=6694s</v>
      </c>
    </row>
    <row r="119" spans="1:30" x14ac:dyDescent="0.4">
      <c r="A119" s="12" t="str">
        <v>ラベンダー</v>
      </c>
      <c r="B119" s="12" t="str">
        <v>MIMI feat.Saewool</v>
      </c>
      <c r="C119" s="12" t="str">
        <f t="shared" si="3"/>
        <v>MIMI feat.Saewoolラベンダー</v>
      </c>
      <c r="AA119" s="14" t="str">
        <f t="shared" si="4"/>
        <v>MIMI feat.Saewool</v>
      </c>
      <c r="AB119" s="14" t="str">
        <f>_xlfn.XLOOKUP(AA119,M_ARTIST!A:A,M_ARTIST!B:B,"★★★",0,1)</f>
        <v>★★★</v>
      </c>
      <c r="AC119" s="14" t="str">
        <f t="shared" si="5"/>
        <v>ラベンダー</v>
      </c>
      <c r="AD119" s="19" t="str">
        <f>HYPERLINK(_xlfn.XLOOKUP(C119,M_YT_LIVE_TIMESTAMP!AA:AA,M_YT_LIVE_TIMESTAMP!Z:Z,"★",0,-1))</f>
        <v>https://www.youtube.com/live/FGNU1iQLiNM?si=B75Oqj0tjRBiyl5j&amp;t=3880s</v>
      </c>
    </row>
    <row r="120" spans="1:30" x14ac:dyDescent="0.4">
      <c r="A120" s="12" t="str">
        <v>ビバハピ</v>
      </c>
      <c r="B120" s="12" t="str">
        <v>Mitchie M feat.初音ミク</v>
      </c>
      <c r="C120" s="12" t="str">
        <f t="shared" si="3"/>
        <v>Mitchie M feat.初音ミクビバハピ</v>
      </c>
      <c r="AA120" s="14" t="str">
        <f t="shared" si="4"/>
        <v>Mitchie M feat.初音ミク</v>
      </c>
      <c r="AB120" s="14" t="str">
        <f>_xlfn.XLOOKUP(AA120,M_ARTIST!A:A,M_ARTIST!B:B,"★★★",0,1)</f>
        <v>Mitchie M feat.はつねみく</v>
      </c>
      <c r="AC120" s="14" t="str">
        <f t="shared" si="5"/>
        <v>ビバハピ</v>
      </c>
      <c r="AD120" s="19" t="str">
        <f>HYPERLINK(_xlfn.XLOOKUP(C120,M_YT_LIVE_TIMESTAMP!AA:AA,M_YT_LIVE_TIMESTAMP!Z:Z,"★",0,-1))</f>
        <v>https://www.youtube.com/live/E8l1nOoKLLI?si=9GMtlAOzsgHxbniX&amp;t=4998s</v>
      </c>
    </row>
    <row r="121" spans="1:30" x14ac:dyDescent="0.4">
      <c r="A121" s="12" t="str">
        <v>ヒカリヘ</v>
      </c>
      <c r="B121" s="12" t="str">
        <v>miwa</v>
      </c>
      <c r="C121" s="12" t="str">
        <f t="shared" si="3"/>
        <v>miwaヒカリヘ</v>
      </c>
      <c r="AA121" s="14" t="str">
        <f t="shared" si="4"/>
        <v>miwa</v>
      </c>
      <c r="AB121" s="14" t="str">
        <f>_xlfn.XLOOKUP(AA121,M_ARTIST!A:A,M_ARTIST!B:B,"★★★",0,1)</f>
        <v>miwa</v>
      </c>
      <c r="AC121" s="14" t="str">
        <f t="shared" si="5"/>
        <v>ヒカリヘ</v>
      </c>
      <c r="AD121" s="19" t="str">
        <f>HYPERLINK(_xlfn.XLOOKUP(C121,M_YT_LIVE_TIMESTAMP!AA:AA,M_YT_LIVE_TIMESTAMP!Z:Z,"★",0,-1))</f>
        <v>https://www.youtube.com/live/BjWSIm9kSZs?si=1oMuQyZMLWArIABK&amp;t=2513s</v>
      </c>
    </row>
    <row r="122" spans="1:30" x14ac:dyDescent="0.4">
      <c r="A122" s="12" t="str">
        <v>HANABI</v>
      </c>
      <c r="B122" s="12" t="str">
        <v>Mr.Children</v>
      </c>
      <c r="C122" s="12" t="str">
        <f t="shared" si="3"/>
        <v>Mr.ChildrenHANABI</v>
      </c>
      <c r="AA122" s="14" t="str">
        <f t="shared" si="4"/>
        <v>Mr.Children</v>
      </c>
      <c r="AB122" s="14" t="str">
        <f>_xlfn.XLOOKUP(AA122,M_ARTIST!A:A,M_ARTIST!B:B,"★★★",0,1)</f>
        <v>Mr.Children</v>
      </c>
      <c r="AC122" s="14" t="str">
        <f t="shared" si="5"/>
        <v>HANABI</v>
      </c>
      <c r="AD122" s="19" t="str">
        <f>HYPERLINK(_xlfn.XLOOKUP(C122,M_YT_LIVE_TIMESTAMP!AA:AA,M_YT_LIVE_TIMESTAMP!Z:Z,"★",0,-1))</f>
        <v>https://www.youtube.com/live/Yti72SsHzxs?si=qlI2gfa0I0wWYoH4&amp;t=7067s</v>
      </c>
    </row>
    <row r="123" spans="1:30" x14ac:dyDescent="0.4">
      <c r="A123" s="12" t="str">
        <v>Tomorrow never knows</v>
      </c>
      <c r="B123" s="12" t="str">
        <v>Mr.Children</v>
      </c>
      <c r="C123" s="12" t="str">
        <f t="shared" si="3"/>
        <v>Mr.ChildrenTomorrow never knows</v>
      </c>
      <c r="AA123" s="14" t="str">
        <f t="shared" si="4"/>
        <v>Mr.Children</v>
      </c>
      <c r="AB123" s="14" t="str">
        <f>_xlfn.XLOOKUP(AA123,M_ARTIST!A:A,M_ARTIST!B:B,"★★★",0,1)</f>
        <v>Mr.Children</v>
      </c>
      <c r="AC123" s="14" t="str">
        <f t="shared" si="5"/>
        <v>Tomorrow never knows</v>
      </c>
      <c r="AD123" s="19" t="str">
        <f>HYPERLINK(_xlfn.XLOOKUP(C123,M_YT_LIVE_TIMESTAMP!AA:AA,M_YT_LIVE_TIMESTAMP!Z:Z,"★",0,-1))</f>
        <v>https://www.youtube.com/live/Yti72SsHzxs?si=qlI2gfa0I0wWYoH4&amp;t=7637s</v>
      </c>
    </row>
    <row r="124" spans="1:30" x14ac:dyDescent="0.4">
      <c r="A124" s="12" t="str">
        <v>ライラック</v>
      </c>
      <c r="B124" s="12" t="str">
        <v>Mrs. GREEN APPLE</v>
      </c>
      <c r="C124" s="12" t="str">
        <f t="shared" si="3"/>
        <v>Mrs. GREEN APPLEライラック</v>
      </c>
      <c r="AA124" s="14" t="str">
        <f t="shared" si="4"/>
        <v>Mrs. GREEN APPLE</v>
      </c>
      <c r="AB124" s="14" t="str">
        <f>_xlfn.XLOOKUP(AA124,M_ARTIST!A:A,M_ARTIST!B:B,"★★★",0,1)</f>
        <v>Mrs. GREEN APPLE</v>
      </c>
      <c r="AC124" s="14" t="str">
        <f t="shared" si="5"/>
        <v>ライラック</v>
      </c>
      <c r="AD124" s="19" t="str">
        <f>HYPERLINK(_xlfn.XLOOKUP(C124,M_YT_LIVE_TIMESTAMP!AA:AA,M_YT_LIVE_TIMESTAMP!Z:Z,"★",0,-1))</f>
        <v>https://www.youtube.com/live/nyXzxG79mwQ?si=kGuFyOuc0o-yNPOU&amp;t=4123s</v>
      </c>
    </row>
    <row r="125" spans="1:30" x14ac:dyDescent="0.4">
      <c r="A125" s="12" t="str">
        <v>青と夏</v>
      </c>
      <c r="B125" s="12" t="str">
        <v>Mrs. GREEN APPLE</v>
      </c>
      <c r="C125" s="12" t="str">
        <f t="shared" si="3"/>
        <v>Mrs. GREEN APPLE青と夏</v>
      </c>
      <c r="AA125" s="14" t="str">
        <f t="shared" si="4"/>
        <v>Mrs. GREEN APPLE</v>
      </c>
      <c r="AB125" s="14" t="str">
        <f>_xlfn.XLOOKUP(AA125,M_ARTIST!A:A,M_ARTIST!B:B,"★★★",0,1)</f>
        <v>Mrs. GREEN APPLE</v>
      </c>
      <c r="AC125" s="14" t="str">
        <f t="shared" si="5"/>
        <v>青と夏</v>
      </c>
      <c r="AD125" s="19" t="str">
        <f>HYPERLINK(_xlfn.XLOOKUP(C125,M_YT_LIVE_TIMESTAMP!AA:AA,M_YT_LIVE_TIMESTAMP!Z:Z,"★",0,-1))</f>
        <v>https://www.youtube.com/live/cHLqE4AOOjI?si=heDnYTUAoUpLyQ_J&amp;t=430s</v>
      </c>
    </row>
    <row r="126" spans="1:30" x14ac:dyDescent="0.4">
      <c r="A126" s="12" t="str">
        <v>点描の唄</v>
      </c>
      <c r="B126" s="12" t="str">
        <v>Mrs. GREEN APPLE feat.井上苑子</v>
      </c>
      <c r="C126" s="12" t="str">
        <f t="shared" si="3"/>
        <v>Mrs. GREEN APPLE feat.井上苑子点描の唄</v>
      </c>
      <c r="AA126" s="14" t="str">
        <f t="shared" si="4"/>
        <v>Mrs. GREEN APPLE feat.井上苑子</v>
      </c>
      <c r="AB126" s="14" t="str">
        <f>_xlfn.XLOOKUP(AA126,M_ARTIST!A:A,M_ARTIST!B:B,"★★★",0,1)</f>
        <v>Mrs. GREEN APPLE feat.いのうえそのこ</v>
      </c>
      <c r="AC126" s="14" t="str">
        <f t="shared" si="5"/>
        <v>点描の唄</v>
      </c>
      <c r="AD126" s="19" t="str">
        <f>HYPERLINK(_xlfn.XLOOKUP(C126,M_YT_LIVE_TIMESTAMP!AA:AA,M_YT_LIVE_TIMESTAMP!Z:Z,"★",0,-1))</f>
        <v>https://www.youtube.com/live/w8cj1TZhgIM?si=jSw7OZzFwM2n4KKP&amp;t=2251s</v>
      </c>
    </row>
    <row r="127" spans="1:30" x14ac:dyDescent="0.4">
      <c r="A127" s="12" t="str">
        <v>ロストワンの号哭</v>
      </c>
      <c r="B127" s="12" t="str">
        <v>Neru feat.鏡音リン</v>
      </c>
      <c r="C127" s="12" t="str">
        <f t="shared" si="3"/>
        <v>Neru feat.鏡音リンロストワンの号哭</v>
      </c>
      <c r="AA127" s="14" t="str">
        <f t="shared" si="4"/>
        <v>Neru feat.鏡音リン</v>
      </c>
      <c r="AB127" s="14" t="str">
        <f>_xlfn.XLOOKUP(AA127,M_ARTIST!A:A,M_ARTIST!B:B,"★★★",0,1)</f>
        <v>Neru feat.かがみねりん</v>
      </c>
      <c r="AC127" s="14" t="str">
        <f t="shared" si="5"/>
        <v>ロストワンの号哭</v>
      </c>
      <c r="AD127" s="19" t="str">
        <f>HYPERLINK(_xlfn.XLOOKUP(C127,M_YT_LIVE_TIMESTAMP!AA:AA,M_YT_LIVE_TIMESTAMP!Z:Z,"★",0,-1))</f>
        <v>https://www.youtube.com/live/E8l1nOoKLLI?si=9GMtlAOzsgHxbniX&amp;t=876s</v>
      </c>
    </row>
    <row r="128" spans="1:30" x14ac:dyDescent="0.4">
      <c r="A128" s="12" t="str">
        <v>脱法ロック</v>
      </c>
      <c r="B128" s="12" t="str">
        <v>Neru feat.鏡音レン</v>
      </c>
      <c r="C128" s="12" t="str">
        <f t="shared" si="3"/>
        <v>Neru feat.鏡音レン脱法ロック</v>
      </c>
      <c r="AA128" s="14" t="str">
        <f t="shared" si="4"/>
        <v>Neru feat.鏡音レン</v>
      </c>
      <c r="AB128" s="14" t="str">
        <f>_xlfn.XLOOKUP(AA128,M_ARTIST!A:A,M_ARTIST!B:B,"★★★",0,1)</f>
        <v>Neru feat.かがみねれん</v>
      </c>
      <c r="AC128" s="14" t="str">
        <f t="shared" si="5"/>
        <v>脱法ロック</v>
      </c>
      <c r="AD128" s="19" t="str">
        <f>HYPERLINK(_xlfn.XLOOKUP(C128,M_YT_LIVE_TIMESTAMP!AA:AA,M_YT_LIVE_TIMESTAMP!Z:Z,"★",0,-1))</f>
        <v>https://www.youtube.com/live/EIV2fME4Fec?si=lkzDtJEJ9agzd2Md&amp;t=6942s</v>
      </c>
    </row>
    <row r="129" spans="1:30" x14ac:dyDescent="0.4">
      <c r="A129" s="12" t="str">
        <v>ココロオドル</v>
      </c>
      <c r="B129" s="12" t="str">
        <v>nobodyknows+</v>
      </c>
      <c r="C129" s="12" t="str">
        <f t="shared" si="3"/>
        <v>nobodyknows+ココロオドル</v>
      </c>
      <c r="AA129" s="14" t="str">
        <f t="shared" si="4"/>
        <v>nobodyknows+</v>
      </c>
      <c r="AB129" s="14" t="str">
        <f>_xlfn.XLOOKUP(AA129,M_ARTIST!A:A,M_ARTIST!B:B,"★★★",0,1)</f>
        <v>nobodyknows+</v>
      </c>
      <c r="AC129" s="14" t="str">
        <f t="shared" si="5"/>
        <v>ココロオドル</v>
      </c>
      <c r="AD129" s="19" t="str">
        <f>HYPERLINK(_xlfn.XLOOKUP(C129,M_YT_LIVE_TIMESTAMP!AA:AA,M_YT_LIVE_TIMESTAMP!Z:Z,"★",0,-1))</f>
        <v>https://www.youtube.com/live/nyXzxG79mwQ?si=kGuFyOuc0o-yNPOU&amp;t=13769s</v>
      </c>
    </row>
    <row r="130" spans="1:30" x14ac:dyDescent="0.4">
      <c r="A130" s="12" t="str">
        <v>Pretender</v>
      </c>
      <c r="B130" s="12" t="str">
        <v>Official髭男dism</v>
      </c>
      <c r="C130" s="12" t="str">
        <f t="shared" si="3"/>
        <v>Official髭男dismPretender</v>
      </c>
      <c r="AA130" s="14" t="str">
        <f t="shared" si="4"/>
        <v>Official髭男dism</v>
      </c>
      <c r="AB130" s="14" t="str">
        <f>_xlfn.XLOOKUP(AA130,M_ARTIST!A:A,M_ARTIST!B:B,"★★★",0,1)</f>
        <v>Officialひげだんでぃずむ</v>
      </c>
      <c r="AC130" s="14" t="str">
        <f t="shared" si="5"/>
        <v>Pretender</v>
      </c>
      <c r="AD130" s="19" t="str">
        <f>HYPERLINK(_xlfn.XLOOKUP(C130,M_YT_LIVE_TIMESTAMP!AA:AA,M_YT_LIVE_TIMESTAMP!Z:Z,"★",0,-1))</f>
        <v>https://www.youtube.com/live/B1g4NIZAKqo?si=v8CWAz6GBo-vVIKK&amp;t=641s</v>
      </c>
    </row>
    <row r="131" spans="1:30" x14ac:dyDescent="0.4">
      <c r="A131" s="12" t="str">
        <v>ノーダウト</v>
      </c>
      <c r="B131" s="12" t="str">
        <v>Official髭男dism</v>
      </c>
      <c r="C131" s="12" t="str">
        <f t="shared" ref="C131:C194" si="6">TRIM(B131)&amp;TRIM(A131)</f>
        <v>Official髭男dismノーダウト</v>
      </c>
      <c r="AA131" s="14" t="str">
        <f t="shared" ref="AA131:AA194" si="7">B131</f>
        <v>Official髭男dism</v>
      </c>
      <c r="AB131" s="14" t="str">
        <f>_xlfn.XLOOKUP(AA131,M_ARTIST!A:A,M_ARTIST!B:B,"★★★",0,1)</f>
        <v>Officialひげだんでぃずむ</v>
      </c>
      <c r="AC131" s="14" t="str">
        <f t="shared" ref="AC131:AC194" si="8">A131</f>
        <v>ノーダウト</v>
      </c>
      <c r="AD131" s="19" t="str">
        <f>HYPERLINK(_xlfn.XLOOKUP(C131,M_YT_LIVE_TIMESTAMP!AA:AA,M_YT_LIVE_TIMESTAMP!Z:Z,"★",0,-1))</f>
        <v>https://www.youtube.com/live/nyXzxG79mwQ?si=kGuFyOuc0o-yNPOU&amp;t=12312s</v>
      </c>
    </row>
    <row r="132" spans="1:30" x14ac:dyDescent="0.4">
      <c r="A132" s="12" t="str">
        <v>The Beginning</v>
      </c>
      <c r="B132" s="12" t="str">
        <v>ONE OK ROCK</v>
      </c>
      <c r="C132" s="12" t="str">
        <f t="shared" si="6"/>
        <v>ONE OK ROCKThe Beginning</v>
      </c>
      <c r="AA132" s="14" t="str">
        <f t="shared" si="7"/>
        <v>ONE OK ROCK</v>
      </c>
      <c r="AB132" s="14" t="str">
        <f>_xlfn.XLOOKUP(AA132,M_ARTIST!A:A,M_ARTIST!B:B,"★★★",0,1)</f>
        <v>ONE OK ROCK</v>
      </c>
      <c r="AC132" s="14" t="str">
        <f t="shared" si="8"/>
        <v>The Beginning</v>
      </c>
      <c r="AD132" s="19" t="str">
        <f>HYPERLINK(_xlfn.XLOOKUP(C132,M_YT_LIVE_TIMESTAMP!AA:AA,M_YT_LIVE_TIMESTAMP!Z:Z,"★",0,-1))</f>
        <v>https://www.youtube.com/live/E8l1nOoKLLI?si=9GMtlAOzsgHxbniX&amp;t=1626s</v>
      </c>
    </row>
    <row r="133" spans="1:30" x14ac:dyDescent="0.4">
      <c r="A133" s="12" t="str">
        <v>完全感覚Dreamer</v>
      </c>
      <c r="B133" s="12" t="str">
        <v>ONE OK ROCK</v>
      </c>
      <c r="C133" s="12" t="str">
        <f t="shared" si="6"/>
        <v>ONE OK ROCK完全感覚Dreamer</v>
      </c>
      <c r="AA133" s="14" t="str">
        <f t="shared" si="7"/>
        <v>ONE OK ROCK</v>
      </c>
      <c r="AB133" s="14" t="str">
        <f>_xlfn.XLOOKUP(AA133,M_ARTIST!A:A,M_ARTIST!B:B,"★★★",0,1)</f>
        <v>ONE OK ROCK</v>
      </c>
      <c r="AC133" s="14" t="str">
        <f t="shared" si="8"/>
        <v>完全感覚Dreamer</v>
      </c>
      <c r="AD133" s="19" t="str">
        <f>HYPERLINK(_xlfn.XLOOKUP(C133,M_YT_LIVE_TIMESTAMP!AA:AA,M_YT_LIVE_TIMESTAMP!Z:Z,"★",0,-1))</f>
        <v>https://www.youtube.com/live/Yti72SsHzxs?si=qlI2gfa0I0wWYoH4&amp;t=2655s</v>
      </c>
    </row>
    <row r="134" spans="1:30" x14ac:dyDescent="0.4">
      <c r="A134" s="12" t="str">
        <v>Alice in 冷凍庫</v>
      </c>
      <c r="B134" s="12" t="str">
        <v>Orangestar feat.IA</v>
      </c>
      <c r="C134" s="12" t="str">
        <f t="shared" si="6"/>
        <v>Orangestar feat.IAAlice in 冷凍庫</v>
      </c>
      <c r="AA134" s="14" t="str">
        <f t="shared" si="7"/>
        <v>Orangestar feat.IA</v>
      </c>
      <c r="AB134" s="14" t="str">
        <f>_xlfn.XLOOKUP(AA134,M_ARTIST!A:A,M_ARTIST!B:B,"★★★",0,1)</f>
        <v>Orangestar feat.IA</v>
      </c>
      <c r="AC134" s="14" t="str">
        <f t="shared" si="8"/>
        <v>Alice in 冷凍庫</v>
      </c>
      <c r="AD134" s="19" t="str">
        <f>HYPERLINK(_xlfn.XLOOKUP(C134,M_YT_LIVE_TIMESTAMP!AA:AA,M_YT_LIVE_TIMESTAMP!Z:Z,"★",0,-1))</f>
        <v>https://www.youtube.com/live/B1g4NIZAKqo?si=v8CWAz6GBo-vVIKK&amp;t=6774s</v>
      </c>
    </row>
    <row r="135" spans="1:30" x14ac:dyDescent="0.4">
      <c r="A135" s="12" t="str">
        <v>DAYBREAK FRONTLINE</v>
      </c>
      <c r="B135" s="12" t="str">
        <v>Orangestar feat.IA</v>
      </c>
      <c r="C135" s="12" t="str">
        <f t="shared" si="6"/>
        <v>Orangestar feat.IADAYBREAK FRONTLINE</v>
      </c>
      <c r="AA135" s="14" t="str">
        <f t="shared" si="7"/>
        <v>Orangestar feat.IA</v>
      </c>
      <c r="AB135" s="14" t="str">
        <f>_xlfn.XLOOKUP(AA135,M_ARTIST!A:A,M_ARTIST!B:B,"★★★",0,1)</f>
        <v>Orangestar feat.IA</v>
      </c>
      <c r="AC135" s="14" t="str">
        <f t="shared" si="8"/>
        <v>DAYBREAK FRONTLINE</v>
      </c>
      <c r="AD135" s="19" t="str">
        <f>HYPERLINK(_xlfn.XLOOKUP(C135,M_YT_LIVE_TIMESTAMP!AA:AA,M_YT_LIVE_TIMESTAMP!Z:Z,"★",0,-1))</f>
        <v>https://www.youtube.com/live/5-PHEYq6a-Y?si=i1qN4inKhZc0prZ-&amp;t=1545s</v>
      </c>
    </row>
    <row r="136" spans="1:30" x14ac:dyDescent="0.4">
      <c r="A136" s="12" t="str">
        <v>Henceforth</v>
      </c>
      <c r="B136" s="12" t="str">
        <v>Orangestar feat.IA</v>
      </c>
      <c r="C136" s="12" t="str">
        <f t="shared" si="6"/>
        <v>Orangestar feat.IAHenceforth</v>
      </c>
      <c r="AA136" s="14" t="str">
        <f t="shared" si="7"/>
        <v>Orangestar feat.IA</v>
      </c>
      <c r="AB136" s="14" t="str">
        <f>_xlfn.XLOOKUP(AA136,M_ARTIST!A:A,M_ARTIST!B:B,"★★★",0,1)</f>
        <v>Orangestar feat.IA</v>
      </c>
      <c r="AC136" s="14" t="str">
        <f t="shared" si="8"/>
        <v>Henceforth</v>
      </c>
      <c r="AD136" s="19" t="str">
        <f>HYPERLINK(_xlfn.XLOOKUP(C136,M_YT_LIVE_TIMESTAMP!AA:AA,M_YT_LIVE_TIMESTAMP!Z:Z,"★",0,-1))</f>
        <v>https://www.youtube.com/live/rjOy6A4c68o?si=Q07K-470tlYbzNHk&amp;t=9460s</v>
      </c>
    </row>
    <row r="137" spans="1:30" x14ac:dyDescent="0.4">
      <c r="A137" s="12" t="str">
        <v>イヤホンと蝉時雨</v>
      </c>
      <c r="B137" s="12" t="str">
        <v>Orangestar feat.IA</v>
      </c>
      <c r="C137" s="12" t="str">
        <f t="shared" si="6"/>
        <v>Orangestar feat.IAイヤホンと蝉時雨</v>
      </c>
      <c r="AA137" s="14" t="str">
        <f t="shared" si="7"/>
        <v>Orangestar feat.IA</v>
      </c>
      <c r="AB137" s="14" t="str">
        <f>_xlfn.XLOOKUP(AA137,M_ARTIST!A:A,M_ARTIST!B:B,"★★★",0,1)</f>
        <v>Orangestar feat.IA</v>
      </c>
      <c r="AC137" s="14" t="str">
        <f t="shared" si="8"/>
        <v>イヤホンと蝉時雨</v>
      </c>
      <c r="AD137" s="19" t="str">
        <f>HYPERLINK(_xlfn.XLOOKUP(C137,M_YT_LIVE_TIMESTAMP!AA:AA,M_YT_LIVE_TIMESTAMP!Z:Z,"★",0,-1))</f>
        <v>https://www.youtube.com/live/rjOy6A4c68o?si=Q07K-470tlYbzNHk&amp;t=7530s</v>
      </c>
    </row>
    <row r="138" spans="1:30" x14ac:dyDescent="0.4">
      <c r="A138" s="12" t="str">
        <v>ノクティルーカ</v>
      </c>
      <c r="B138" s="12" t="str">
        <v>Orangestar feat.IA</v>
      </c>
      <c r="C138" s="12" t="str">
        <f t="shared" si="6"/>
        <v>Orangestar feat.IAノクティルーカ</v>
      </c>
      <c r="AA138" s="14" t="str">
        <f t="shared" si="7"/>
        <v>Orangestar feat.IA</v>
      </c>
      <c r="AB138" s="14" t="str">
        <f>_xlfn.XLOOKUP(AA138,M_ARTIST!A:A,M_ARTIST!B:B,"★★★",0,1)</f>
        <v>Orangestar feat.IA</v>
      </c>
      <c r="AC138" s="14" t="str">
        <f t="shared" si="8"/>
        <v>ノクティルーカ</v>
      </c>
      <c r="AD138" s="19" t="str">
        <f>HYPERLINK(_xlfn.XLOOKUP(C138,M_YT_LIVE_TIMESTAMP!AA:AA,M_YT_LIVE_TIMESTAMP!Z:Z,"★",0,-1))</f>
        <v>https://www.youtube.com/live/r7Bwk1jHwnc?si=YSwS6uQI_0X3Y91g&amp;t=3657s</v>
      </c>
    </row>
    <row r="139" spans="1:30" x14ac:dyDescent="0.4">
      <c r="A139" s="12" t="str">
        <v>雨き声残響</v>
      </c>
      <c r="B139" s="12" t="str">
        <v>Orangestar feat.IA</v>
      </c>
      <c r="C139" s="12" t="str">
        <f t="shared" si="6"/>
        <v>Orangestar feat.IA雨き声残響</v>
      </c>
      <c r="AA139" s="14" t="str">
        <f t="shared" si="7"/>
        <v>Orangestar feat.IA</v>
      </c>
      <c r="AB139" s="14" t="str">
        <f>_xlfn.XLOOKUP(AA139,M_ARTIST!A:A,M_ARTIST!B:B,"★★★",0,1)</f>
        <v>Orangestar feat.IA</v>
      </c>
      <c r="AC139" s="14" t="str">
        <f t="shared" si="8"/>
        <v>雨き声残響</v>
      </c>
      <c r="AD139" s="19" t="str">
        <f>HYPERLINK(_xlfn.XLOOKUP(C139,M_YT_LIVE_TIMESTAMP!AA:AA,M_YT_LIVE_TIMESTAMP!Z:Z,"★",0,-1))</f>
        <v>https://www.youtube.com/live/B1g4NIZAKqo?si=v8CWAz6GBo-vVIKK&amp;t=7131s</v>
      </c>
    </row>
    <row r="140" spans="1:30" x14ac:dyDescent="0.4">
      <c r="A140" s="12" t="str">
        <v>快晴</v>
      </c>
      <c r="B140" s="12" t="str">
        <v>Orangestar feat.IA</v>
      </c>
      <c r="C140" s="12" t="str">
        <f t="shared" si="6"/>
        <v>Orangestar feat.IA快晴</v>
      </c>
      <c r="AA140" s="14" t="str">
        <f t="shared" si="7"/>
        <v>Orangestar feat.IA</v>
      </c>
      <c r="AB140" s="14" t="str">
        <f>_xlfn.XLOOKUP(AA140,M_ARTIST!A:A,M_ARTIST!B:B,"★★★",0,1)</f>
        <v>Orangestar feat.IA</v>
      </c>
      <c r="AC140" s="14" t="str">
        <f t="shared" si="8"/>
        <v>快晴</v>
      </c>
      <c r="AD140" s="19" t="str">
        <f>HYPERLINK(_xlfn.XLOOKUP(C140,M_YT_LIVE_TIMESTAMP!AA:AA,M_YT_LIVE_TIMESTAMP!Z:Z,"★",0,-1))</f>
        <v>https://www.youtube.com/live/cHLqE4AOOjI?si=heDnYTUAoUpLyQ_J&amp;t=3832s</v>
      </c>
    </row>
    <row r="141" spans="1:30" x14ac:dyDescent="0.4">
      <c r="A141" s="12" t="str">
        <v>surges</v>
      </c>
      <c r="B141" s="12" t="str">
        <v>Orangestar feat.IA＆初音ミク</v>
      </c>
      <c r="C141" s="12" t="str">
        <f t="shared" si="6"/>
        <v>Orangestar feat.IA＆初音ミクsurges</v>
      </c>
      <c r="AA141" s="14" t="str">
        <f t="shared" si="7"/>
        <v>Orangestar feat.IA＆初音ミク</v>
      </c>
      <c r="AB141" s="14" t="str">
        <f>_xlfn.XLOOKUP(AA141,M_ARTIST!A:A,M_ARTIST!B:B,"★★★",0,1)</f>
        <v>Orangestar feat.IA＆はつねみく</v>
      </c>
      <c r="AC141" s="14" t="str">
        <f t="shared" si="8"/>
        <v>surges</v>
      </c>
      <c r="AD141" s="19" t="str">
        <f>HYPERLINK(_xlfn.XLOOKUP(C141,M_YT_LIVE_TIMESTAMP!AA:AA,M_YT_LIVE_TIMESTAMP!Z:Z,"★",0,-1))</f>
        <v>https://www.youtube.com/live/wEZHgaS4eCg?si=_Rpt2MlexrsFC7dZ&amp;t=4450s</v>
      </c>
    </row>
    <row r="142" spans="1:30" x14ac:dyDescent="0.4">
      <c r="A142" s="12" t="str">
        <v>アスノヨゾラ哨戒班</v>
      </c>
      <c r="B142" s="12" t="str">
        <v>Orangestar feat.初音ミク</v>
      </c>
      <c r="C142" s="12" t="str">
        <f t="shared" si="6"/>
        <v>Orangestar feat.初音ミクアスノヨゾラ哨戒班</v>
      </c>
      <c r="AA142" s="14" t="str">
        <f t="shared" si="7"/>
        <v>Orangestar feat.初音ミク</v>
      </c>
      <c r="AB142" s="14" t="str">
        <f>_xlfn.XLOOKUP(AA142,M_ARTIST!A:A,M_ARTIST!B:B,"★★★",0,1)</f>
        <v>Orangestar feat.はつねみく</v>
      </c>
      <c r="AC142" s="14" t="str">
        <f t="shared" si="8"/>
        <v>アスノヨゾラ哨戒班</v>
      </c>
      <c r="AD142" s="19" t="str">
        <f>HYPERLINK(_xlfn.XLOOKUP(C142,M_YT_LIVE_TIMESTAMP!AA:AA,M_YT_LIVE_TIMESTAMP!Z:Z,"★",0,-1))</f>
        <v>https://www.youtube.com/live/Yti72SsHzxs?si=qlI2gfa0I0wWYoH4&amp;t=702s</v>
      </c>
    </row>
    <row r="143" spans="1:30" x14ac:dyDescent="0.4">
      <c r="A143" s="12" t="str">
        <v>回る空うさぎ</v>
      </c>
      <c r="B143" s="12" t="str">
        <v>Orangestar feat.初音ミク</v>
      </c>
      <c r="C143" s="12" t="str">
        <f t="shared" si="6"/>
        <v>Orangestar feat.初音ミク回る空うさぎ</v>
      </c>
      <c r="AA143" s="14" t="str">
        <f t="shared" si="7"/>
        <v>Orangestar feat.初音ミク</v>
      </c>
      <c r="AB143" s="14" t="str">
        <f>_xlfn.XLOOKUP(AA143,M_ARTIST!A:A,M_ARTIST!B:B,"★★★",0,1)</f>
        <v>Orangestar feat.はつねみく</v>
      </c>
      <c r="AC143" s="14" t="str">
        <f t="shared" si="8"/>
        <v>回る空うさぎ</v>
      </c>
      <c r="AD143" s="19" t="str">
        <f>HYPERLINK(_xlfn.XLOOKUP(C143,M_YT_LIVE_TIMESTAMP!AA:AA,M_YT_LIVE_TIMESTAMP!Z:Z,"★",0,-1))</f>
        <v>https://www.youtube.com/live/B1g4NIZAKqo?si=v8CWAz6GBo-vVIKK&amp;t=6135s</v>
      </c>
    </row>
    <row r="144" spans="1:30" x14ac:dyDescent="0.4">
      <c r="A144" s="12" t="str">
        <v>快晴</v>
      </c>
      <c r="B144" s="12" t="str">
        <v>Orangestar feat.初音ミク</v>
      </c>
      <c r="C144" s="12" t="str">
        <f t="shared" si="6"/>
        <v>Orangestar feat.初音ミク快晴</v>
      </c>
      <c r="AA144" s="14" t="str">
        <f t="shared" si="7"/>
        <v>Orangestar feat.初音ミク</v>
      </c>
      <c r="AB144" s="14" t="str">
        <f>_xlfn.XLOOKUP(AA144,M_ARTIST!A:A,M_ARTIST!B:B,"★★★",0,1)</f>
        <v>Orangestar feat.はつねみく</v>
      </c>
      <c r="AC144" s="14" t="str">
        <f t="shared" si="8"/>
        <v>快晴</v>
      </c>
      <c r="AD144" s="19" t="str">
        <f>HYPERLINK(_xlfn.XLOOKUP(C144,M_YT_LIVE_TIMESTAMP!AA:AA,M_YT_LIVE_TIMESTAMP!Z:Z,"★",0,-1))</f>
        <v>https://www.youtube.com/live/BIOCmyo4mQU?si=mUE7u0kM5d94T-4A&amp;t=2887s</v>
      </c>
    </row>
    <row r="145" spans="1:30" x14ac:dyDescent="0.4">
      <c r="A145" s="12" t="str">
        <v>残灯花火</v>
      </c>
      <c r="B145" s="12" t="str">
        <v>Orangestar feat.初音ミク</v>
      </c>
      <c r="C145" s="12" t="str">
        <f t="shared" si="6"/>
        <v>Orangestar feat.初音ミク残灯花火</v>
      </c>
      <c r="AA145" s="14" t="str">
        <f t="shared" si="7"/>
        <v>Orangestar feat.初音ミク</v>
      </c>
      <c r="AB145" s="14" t="str">
        <f>_xlfn.XLOOKUP(AA145,M_ARTIST!A:A,M_ARTIST!B:B,"★★★",0,1)</f>
        <v>Orangestar feat.はつねみく</v>
      </c>
      <c r="AC145" s="14" t="str">
        <f t="shared" si="8"/>
        <v>残灯花火</v>
      </c>
      <c r="AD145" s="19" t="str">
        <f>HYPERLINK(_xlfn.XLOOKUP(C145,M_YT_LIVE_TIMESTAMP!AA:AA,M_YT_LIVE_TIMESTAMP!Z:Z,"★",0,-1))</f>
        <v>https://www.youtube.com/live/B1g4NIZAKqo?si=v8CWAz6GBo-vVIKK&amp;t=7435s</v>
      </c>
    </row>
    <row r="146" spans="1:30" x14ac:dyDescent="0.4">
      <c r="A146" s="12" t="str">
        <v>霽れを待つ</v>
      </c>
      <c r="B146" s="12" t="str">
        <v>Orangestar feat.初音ミク</v>
      </c>
      <c r="C146" s="12" t="str">
        <f t="shared" si="6"/>
        <v>Orangestar feat.初音ミク霽れを待つ</v>
      </c>
      <c r="AA146" s="14" t="str">
        <f t="shared" si="7"/>
        <v>Orangestar feat.初音ミク</v>
      </c>
      <c r="AB146" s="14" t="str">
        <f>_xlfn.XLOOKUP(AA146,M_ARTIST!A:A,M_ARTIST!B:B,"★★★",0,1)</f>
        <v>Orangestar feat.はつねみく</v>
      </c>
      <c r="AC146" s="14" t="str">
        <f t="shared" si="8"/>
        <v>霽れを待つ</v>
      </c>
      <c r="AD146" s="19" t="str">
        <f>HYPERLINK(_xlfn.XLOOKUP(C146,M_YT_LIVE_TIMESTAMP!AA:AA,M_YT_LIVE_TIMESTAMP!Z:Z,"★",0,-1))</f>
        <v>https://www.youtube.com/live/i7euCqiwzl4?si=Gvd-dBAI4nZ9HDpv&amp;t=1633s</v>
      </c>
    </row>
    <row r="147" spans="1:30" x14ac:dyDescent="0.4">
      <c r="A147" s="12" t="str">
        <v>空奏列車</v>
      </c>
      <c r="B147" s="12" t="str">
        <v>Orangestar feat.初音ミク&amp;IA</v>
      </c>
      <c r="C147" s="12" t="str">
        <f t="shared" si="6"/>
        <v>Orangestar feat.初音ミク&amp;IA空奏列車</v>
      </c>
      <c r="AA147" s="14" t="str">
        <f t="shared" si="7"/>
        <v>Orangestar feat.初音ミク&amp;IA</v>
      </c>
      <c r="AB147" s="14" t="str">
        <f>_xlfn.XLOOKUP(AA147,M_ARTIST!A:A,M_ARTIST!B:B,"★★★",0,1)</f>
        <v>Orangestar feat.はつねみく&amp;IA</v>
      </c>
      <c r="AC147" s="14" t="str">
        <f t="shared" si="8"/>
        <v>空奏列車</v>
      </c>
      <c r="AD147" s="19" t="str">
        <f>HYPERLINK(_xlfn.XLOOKUP(C147,M_YT_LIVE_TIMESTAMP!AA:AA,M_YT_LIVE_TIMESTAMP!Z:Z,"★",0,-1))</f>
        <v>https://www.youtube.com/live/B1g4NIZAKqo?si=v8CWAz6GBo-vVIKK&amp;t=6452s</v>
      </c>
    </row>
    <row r="148" spans="1:30" x14ac:dyDescent="0.4">
      <c r="A148" s="12" t="str">
        <v>A Whole New World</v>
      </c>
      <c r="B148" s="12" t="str">
        <v>Peabo Bryson&amp;Regina Belle</v>
      </c>
      <c r="C148" s="12" t="str">
        <f t="shared" si="6"/>
        <v>Peabo Bryson&amp;Regina BelleA Whole New World</v>
      </c>
      <c r="AA148" s="14" t="str">
        <f t="shared" si="7"/>
        <v>Peabo Bryson&amp;Regina Belle</v>
      </c>
      <c r="AB148" s="14" t="str">
        <f>_xlfn.XLOOKUP(AA148,M_ARTIST!A:A,M_ARTIST!B:B,"★★★",0,1)</f>
        <v>Peabo Bryson&amp;Regina Belle</v>
      </c>
      <c r="AC148" s="14" t="str">
        <f t="shared" si="8"/>
        <v>A Whole New World</v>
      </c>
      <c r="AD148" s="19" t="str">
        <f>HYPERLINK(_xlfn.XLOOKUP(C148,M_YT_LIVE_TIMESTAMP!AA:AA,M_YT_LIVE_TIMESTAMP!Z:Z,"★",0,-1))</f>
        <v>https://www.youtube.com/live/nyXzxG79mwQ?si=kGuFyOuc0o-yNPOU&amp;t=14169s</v>
      </c>
    </row>
    <row r="149" spans="1:30" x14ac:dyDescent="0.4">
      <c r="A149" s="12" t="str">
        <v>チョコレイト・ディスコ</v>
      </c>
      <c r="B149" s="12" t="str">
        <v>Perfume</v>
      </c>
      <c r="C149" s="12" t="str">
        <f t="shared" si="6"/>
        <v>Perfumeチョコレイト・ディスコ</v>
      </c>
      <c r="AA149" s="14" t="str">
        <f t="shared" si="7"/>
        <v>Perfume</v>
      </c>
      <c r="AB149" s="14" t="str">
        <f>_xlfn.XLOOKUP(AA149,M_ARTIST!A:A,M_ARTIST!B:B,"★★★",0,1)</f>
        <v>Perfume</v>
      </c>
      <c r="AC149" s="14" t="str">
        <f t="shared" si="8"/>
        <v>チョコレイト・ディスコ</v>
      </c>
      <c r="AD149" s="19" t="str">
        <f>HYPERLINK(_xlfn.XLOOKUP(C149,M_YT_LIVE_TIMESTAMP!AA:AA,M_YT_LIVE_TIMESTAMP!Z:Z,"★",0,-1))</f>
        <v>https://www.youtube.com/live/nyXzxG79mwQ?si=kGuFyOuc0o-yNPOU&amp;t=6864s</v>
      </c>
    </row>
    <row r="150" spans="1:30" x14ac:dyDescent="0.4">
      <c r="A150" s="12" t="str">
        <v>ツキヨミ</v>
      </c>
      <c r="B150" s="12" t="str">
        <v>phatmans after school</v>
      </c>
      <c r="C150" s="12" t="str">
        <f t="shared" si="6"/>
        <v>phatmans after schoolツキヨミ</v>
      </c>
      <c r="AA150" s="14" t="str">
        <f t="shared" si="7"/>
        <v>phatmans after school</v>
      </c>
      <c r="AB150" s="14" t="str">
        <f>_xlfn.XLOOKUP(AA150,M_ARTIST!A:A,M_ARTIST!B:B,"★★★",0,1)</f>
        <v>phatmans after school</v>
      </c>
      <c r="AC150" s="14" t="str">
        <f t="shared" si="8"/>
        <v>ツキヨミ</v>
      </c>
      <c r="AD150" s="19" t="str">
        <f>HYPERLINK(_xlfn.XLOOKUP(C150,M_YT_LIVE_TIMESTAMP!AA:AA,M_YT_LIVE_TIMESTAMP!Z:Z,"★",0,-1))</f>
        <v>https://www.youtube.com/live/rjOy6A4c68o?si=Q07K-470tlYbzNHk&amp;t=1484s</v>
      </c>
    </row>
    <row r="151" spans="1:30" x14ac:dyDescent="0.4">
      <c r="A151" s="12" t="str">
        <v>シル・ヴ・プレジデント</v>
      </c>
      <c r="B151" s="12" t="str">
        <v>P丸様。</v>
      </c>
      <c r="C151" s="12" t="str">
        <f t="shared" si="6"/>
        <v>P丸様。シル・ヴ・プレジデント</v>
      </c>
      <c r="AA151" s="14" t="str">
        <f t="shared" si="7"/>
        <v>P丸様。</v>
      </c>
      <c r="AB151" s="14" t="str">
        <f>_xlfn.XLOOKUP(AA151,M_ARTIST!A:A,M_ARTIST!B:B,"★★★",0,1)</f>
        <v>Pまるさま。</v>
      </c>
      <c r="AC151" s="14" t="str">
        <f t="shared" si="8"/>
        <v>シル・ヴ・プレジデント</v>
      </c>
      <c r="AD151" s="19" t="str">
        <f>HYPERLINK(_xlfn.XLOOKUP(C151,M_YT_LIVE_TIMESTAMP!AA:AA,M_YT_LIVE_TIMESTAMP!Z:Z,"★",0,-1))</f>
        <v>https://www.youtube.com/live/nyXzxG79mwQ?si=kGuFyOuc0o-yNPOU&amp;t=7552s</v>
      </c>
    </row>
    <row r="152" spans="1:30" x14ac:dyDescent="0.4">
      <c r="A152" s="12" t="str">
        <v>レトロポリス</v>
      </c>
      <c r="B152" s="12" t="str">
        <v>R Sound Design feat.可不</v>
      </c>
      <c r="C152" s="12" t="str">
        <f t="shared" si="6"/>
        <v>R Sound Design feat.可不レトロポリス</v>
      </c>
      <c r="AA152" s="14" t="str">
        <f t="shared" si="7"/>
        <v>R Sound Design feat.可不</v>
      </c>
      <c r="AB152" s="14" t="str">
        <f>_xlfn.XLOOKUP(AA152,M_ARTIST!A:A,M_ARTIST!B:B,"★★★",0,1)</f>
        <v>R Sound Design feat.かふ</v>
      </c>
      <c r="AC152" s="14" t="str">
        <f t="shared" si="8"/>
        <v>レトロポリス</v>
      </c>
      <c r="AD152" s="19" t="str">
        <f>HYPERLINK(_xlfn.XLOOKUP(C152,M_YT_LIVE_TIMESTAMP!AA:AA,M_YT_LIVE_TIMESTAMP!Z:Z,"★",0,-1))</f>
        <v>https://www.youtube.com/live/i7euCqiwzl4?si=Gvd-dBAI4nZ9HDpv&amp;t=2666s</v>
      </c>
    </row>
    <row r="153" spans="1:30" x14ac:dyDescent="0.4">
      <c r="A153" s="12" t="str">
        <v>flos</v>
      </c>
      <c r="B153" s="12" t="str">
        <v>R Sound Design feat.初音ミク</v>
      </c>
      <c r="C153" s="12" t="str">
        <f t="shared" si="6"/>
        <v>R Sound Design feat.初音ミクflos</v>
      </c>
      <c r="AA153" s="14" t="str">
        <f t="shared" si="7"/>
        <v>R Sound Design feat.初音ミク</v>
      </c>
      <c r="AB153" s="14" t="str">
        <f>_xlfn.XLOOKUP(AA153,M_ARTIST!A:A,M_ARTIST!B:B,"★★★",0,1)</f>
        <v>R Sound Design feat.はつねみく</v>
      </c>
      <c r="AC153" s="14" t="str">
        <f t="shared" si="8"/>
        <v>flos</v>
      </c>
      <c r="AD153" s="19" t="str">
        <f>HYPERLINK(_xlfn.XLOOKUP(C153,M_YT_LIVE_TIMESTAMP!AA:AA,M_YT_LIVE_TIMESTAMP!Z:Z,"★",0,-1))</f>
        <v>https://www.youtube.com/live/B1g4NIZAKqo?si=v8CWAz6GBo-vVIKK&amp;t=3483s</v>
      </c>
    </row>
    <row r="154" spans="1:30" x14ac:dyDescent="0.4">
      <c r="A154" s="12" t="str">
        <v>帝国少女</v>
      </c>
      <c r="B154" s="12" t="str">
        <v>R Sound Design feat.初音ミク</v>
      </c>
      <c r="C154" s="12" t="str">
        <f t="shared" si="6"/>
        <v>R Sound Design feat.初音ミク帝国少女</v>
      </c>
      <c r="AA154" s="14" t="str">
        <f t="shared" si="7"/>
        <v>R Sound Design feat.初音ミク</v>
      </c>
      <c r="AB154" s="14" t="str">
        <f>_xlfn.XLOOKUP(AA154,M_ARTIST!A:A,M_ARTIST!B:B,"★★★",0,1)</f>
        <v>R Sound Design feat.はつねみく</v>
      </c>
      <c r="AC154" s="14" t="str">
        <f t="shared" si="8"/>
        <v>帝国少女</v>
      </c>
      <c r="AD154" s="19" t="str">
        <f>HYPERLINK(_xlfn.XLOOKUP(C154,M_YT_LIVE_TIMESTAMP!AA:AA,M_YT_LIVE_TIMESTAMP!Z:Z,"★",0,-1))</f>
        <v>https://www.youtube.com/live/Cs48limSzrE?si=n8CFockH4OVXGSvE&amp;t=772s</v>
      </c>
    </row>
    <row r="155" spans="1:30" x14ac:dyDescent="0.4">
      <c r="A155" s="12" t="str">
        <v>スパークル</v>
      </c>
      <c r="B155" s="12" t="str">
        <v>RADWIMPS</v>
      </c>
      <c r="C155" s="12" t="str">
        <f t="shared" si="6"/>
        <v>RADWIMPSスパークル</v>
      </c>
      <c r="AA155" s="14" t="str">
        <f t="shared" si="7"/>
        <v>RADWIMPS</v>
      </c>
      <c r="AB155" s="14" t="str">
        <f>_xlfn.XLOOKUP(AA155,M_ARTIST!A:A,M_ARTIST!B:B,"★★★",0,1)</f>
        <v>RADWIMPS</v>
      </c>
      <c r="AC155" s="14" t="str">
        <f t="shared" si="8"/>
        <v>スパークル</v>
      </c>
      <c r="AD155" s="19" t="str">
        <f>HYPERLINK(_xlfn.XLOOKUP(C155,M_YT_LIVE_TIMESTAMP!AA:AA,M_YT_LIVE_TIMESTAMP!Z:Z,"★",0,-1))</f>
        <v>https://www.youtube.com/live/nyXzxG79mwQ?si=kGuFyOuc0o-yNPOU&amp;t=16754s</v>
      </c>
    </row>
    <row r="156" spans="1:30" x14ac:dyDescent="0.4">
      <c r="A156" s="12" t="str">
        <v>なんでもないや</v>
      </c>
      <c r="B156" s="12" t="str">
        <v>RADWIMPS</v>
      </c>
      <c r="C156" s="12" t="str">
        <f t="shared" si="6"/>
        <v>RADWIMPSなんでもないや</v>
      </c>
      <c r="AA156" s="14" t="str">
        <f t="shared" si="7"/>
        <v>RADWIMPS</v>
      </c>
      <c r="AB156" s="14" t="str">
        <f>_xlfn.XLOOKUP(AA156,M_ARTIST!A:A,M_ARTIST!B:B,"★★★",0,1)</f>
        <v>RADWIMPS</v>
      </c>
      <c r="AC156" s="14" t="str">
        <f t="shared" si="8"/>
        <v>なんでもないや</v>
      </c>
      <c r="AD156" s="19" t="str">
        <f>HYPERLINK(_xlfn.XLOOKUP(C156,M_YT_LIVE_TIMESTAMP!AA:AA,M_YT_LIVE_TIMESTAMP!Z:Z,"★",0,-1))</f>
        <v>https://www.youtube.com/live/6wh0qjbo6K4?si=vntI9mYE52ZplV6U&amp;t=4979s</v>
      </c>
    </row>
    <row r="157" spans="1:30" x14ac:dyDescent="0.4">
      <c r="A157" s="12" t="str">
        <v>前前前世</v>
      </c>
      <c r="B157" s="12" t="str">
        <v>RADWIMPS</v>
      </c>
      <c r="C157" s="12" t="str">
        <f t="shared" si="6"/>
        <v>RADWIMPS前前前世</v>
      </c>
      <c r="AA157" s="14" t="str">
        <f t="shared" si="7"/>
        <v>RADWIMPS</v>
      </c>
      <c r="AB157" s="14" t="str">
        <f>_xlfn.XLOOKUP(AA157,M_ARTIST!A:A,M_ARTIST!B:B,"★★★",0,1)</f>
        <v>RADWIMPS</v>
      </c>
      <c r="AC157" s="14" t="str">
        <f t="shared" si="8"/>
        <v>前前前世</v>
      </c>
      <c r="AD157" s="19" t="str">
        <f>HYPERLINK(_xlfn.XLOOKUP(C157,M_YT_LIVE_TIMESTAMP!AA:AA,M_YT_LIVE_TIMESTAMP!Z:Z,"★",0,-1))</f>
        <v>https://www.youtube.com/live/rowkHJneOgY?si=dzvDO_qNHD4fLHMQ&amp;t=7091s</v>
      </c>
    </row>
    <row r="158" spans="1:30" x14ac:dyDescent="0.4">
      <c r="A158" s="12" t="str">
        <v>夢灯篭</v>
      </c>
      <c r="B158" s="12" t="str">
        <v>RADWIMPS</v>
      </c>
      <c r="C158" s="12" t="str">
        <f t="shared" si="6"/>
        <v>RADWIMPS夢灯篭</v>
      </c>
      <c r="AA158" s="14" t="str">
        <f t="shared" si="7"/>
        <v>RADWIMPS</v>
      </c>
      <c r="AB158" s="14" t="str">
        <f>_xlfn.XLOOKUP(AA158,M_ARTIST!A:A,M_ARTIST!B:B,"★★★",0,1)</f>
        <v>RADWIMPS</v>
      </c>
      <c r="AC158" s="14" t="str">
        <f t="shared" si="8"/>
        <v>夢灯篭</v>
      </c>
      <c r="AD158" s="19" t="str">
        <f>HYPERLINK(_xlfn.XLOOKUP(C158,M_YT_LIVE_TIMESTAMP!AA:AA,M_YT_LIVE_TIMESTAMP!Z:Z,"★",0,-1))</f>
        <v>https://www.youtube.com/live/b0qPGU0sZn4?si=C5mabzVl6bhK7mp0&amp;t=1189s</v>
      </c>
    </row>
    <row r="159" spans="1:30" x14ac:dyDescent="0.4">
      <c r="A159" s="12" t="str">
        <v>ebb and flow</v>
      </c>
      <c r="B159" s="12" t="str">
        <v>Ray</v>
      </c>
      <c r="C159" s="12" t="str">
        <f t="shared" si="6"/>
        <v>Rayebb and flow</v>
      </c>
      <c r="AA159" s="14" t="str">
        <f t="shared" si="7"/>
        <v>Ray</v>
      </c>
      <c r="AB159" s="14" t="str">
        <f>_xlfn.XLOOKUP(AA159,M_ARTIST!A:A,M_ARTIST!B:B,"★★★",0,1)</f>
        <v>Ray</v>
      </c>
      <c r="AC159" s="14" t="str">
        <f t="shared" si="8"/>
        <v>ebb and flow</v>
      </c>
      <c r="AD159" s="19" t="str">
        <f>HYPERLINK(_xlfn.XLOOKUP(C159,M_YT_LIVE_TIMESTAMP!AA:AA,M_YT_LIVE_TIMESTAMP!Z:Z,"★",0,-1))</f>
        <v>https://www.youtube.com/live/Dm-WC5w7K8Y?si=Pph-3uJ8wVrF5vc0&amp;t=6610s</v>
      </c>
    </row>
    <row r="160" spans="1:30" x14ac:dyDescent="0.4">
      <c r="A160" s="12" t="str">
        <v>ANIMA</v>
      </c>
      <c r="B160" s="12" t="str">
        <v>ReoNa</v>
      </c>
      <c r="C160" s="12" t="str">
        <f t="shared" si="6"/>
        <v>ReoNaANIMA</v>
      </c>
      <c r="AA160" s="14" t="str">
        <f t="shared" si="7"/>
        <v>ReoNa</v>
      </c>
      <c r="AB160" s="14" t="str">
        <f>_xlfn.XLOOKUP(AA160,M_ARTIST!A:A,M_ARTIST!B:B,"★★★",0,1)</f>
        <v>ReoNa</v>
      </c>
      <c r="AC160" s="14" t="str">
        <f t="shared" si="8"/>
        <v>ANIMA</v>
      </c>
      <c r="AD160" s="19" t="str">
        <f>HYPERLINK(_xlfn.XLOOKUP(C160,M_YT_LIVE_TIMESTAMP!AA:AA,M_YT_LIVE_TIMESTAMP!Z:Z,"★",0,-1))</f>
        <v>https://www.youtube.com/live/nyXzxG79mwQ?si=kGuFyOuc0o-yNPOU&amp;t=10330s</v>
      </c>
    </row>
    <row r="161" spans="1:30" x14ac:dyDescent="0.4">
      <c r="A161" s="12" t="str">
        <v>Great distance</v>
      </c>
      <c r="B161" s="12" t="str">
        <v>ryo feat.chelly</v>
      </c>
      <c r="C161" s="12" t="str">
        <f t="shared" si="6"/>
        <v>ryo feat.chellyGreat distance</v>
      </c>
      <c r="AA161" s="14" t="str">
        <f t="shared" si="7"/>
        <v>ryo feat.chelly</v>
      </c>
      <c r="AB161" s="14" t="str">
        <f>_xlfn.XLOOKUP(AA161,M_ARTIST!A:A,M_ARTIST!B:B,"★★★",0,1)</f>
        <v>ryo feat.chelly</v>
      </c>
      <c r="AC161" s="14" t="str">
        <f t="shared" si="8"/>
        <v>Great distance</v>
      </c>
      <c r="AD161" s="19" t="str">
        <f>HYPERLINK(_xlfn.XLOOKUP(C161,M_YT_LIVE_TIMESTAMP!AA:AA,M_YT_LIVE_TIMESTAMP!Z:Z,"★",0,-1))</f>
        <v>https://www.youtube.com/live/FuJDk5I3Oyo?si=KP6eEuJrPYERUqMb&amp;t=3519s</v>
      </c>
    </row>
    <row r="162" spans="1:30" x14ac:dyDescent="0.4">
      <c r="A162" s="12" t="str">
        <v>ワールドイズマイン</v>
      </c>
      <c r="B162" s="12" t="str">
        <v>ryo feat.初音ミク</v>
      </c>
      <c r="C162" s="12" t="str">
        <f t="shared" si="6"/>
        <v>ryo feat.初音ミクワールドイズマイン</v>
      </c>
      <c r="AA162" s="14" t="str">
        <f t="shared" si="7"/>
        <v>ryo feat.初音ミク</v>
      </c>
      <c r="AB162" s="14" t="str">
        <f>_xlfn.XLOOKUP(AA162,M_ARTIST!A:A,M_ARTIST!B:B,"★★★",0,1)</f>
        <v>ryo feat.はつねみく</v>
      </c>
      <c r="AC162" s="14" t="str">
        <f t="shared" si="8"/>
        <v>ワールドイズマイン</v>
      </c>
      <c r="AD162" s="19" t="str">
        <f>HYPERLINK(_xlfn.XLOOKUP(C162,M_YT_LIVE_TIMESTAMP!AA:AA,M_YT_LIVE_TIMESTAMP!Z:Z,"★",0,-1))</f>
        <v>https://www.youtube.com/live/EIV2fME4Fec?si=lkzDtJEJ9agzd2Md&amp;t=6401s</v>
      </c>
    </row>
    <row r="163" spans="1:30" x14ac:dyDescent="0.4">
      <c r="A163" s="12" t="str">
        <v>メルト</v>
      </c>
      <c r="B163" s="12" t="str">
        <v>ryo(supercell) feat.初音ミク</v>
      </c>
      <c r="C163" s="12" t="str">
        <f t="shared" si="6"/>
        <v>ryo(supercell) feat.初音ミクメルト</v>
      </c>
      <c r="AA163" s="14" t="str">
        <f t="shared" si="7"/>
        <v>ryo(supercell) feat.初音ミク</v>
      </c>
      <c r="AB163" s="14" t="str">
        <f>_xlfn.XLOOKUP(AA163,M_ARTIST!A:A,M_ARTIST!B:B,"★★★",0,1)</f>
        <v>ryo(supercell) feat.はつねみく</v>
      </c>
      <c r="AC163" s="14" t="str">
        <f t="shared" si="8"/>
        <v>メルト</v>
      </c>
      <c r="AD163" s="19" t="str">
        <f>HYPERLINK(_xlfn.XLOOKUP(C163,M_YT_LIVE_TIMESTAMP!AA:AA,M_YT_LIVE_TIMESTAMP!Z:Z,"★",0,-1))</f>
        <v>https://www.youtube.com/live/nyXzxG79mwQ?si=kGuFyOuc0o-yNPOU&amp;t=5717s</v>
      </c>
    </row>
    <row r="164" spans="1:30" x14ac:dyDescent="0.4">
      <c r="A164" s="12" t="str">
        <v>シンデレラボーイ</v>
      </c>
      <c r="B164" s="12" t="str">
        <v>Saucy Dog</v>
      </c>
      <c r="C164" s="12" t="str">
        <f t="shared" si="6"/>
        <v>Saucy Dogシンデレラボーイ</v>
      </c>
      <c r="AA164" s="14" t="str">
        <f t="shared" si="7"/>
        <v>Saucy Dog</v>
      </c>
      <c r="AB164" s="14" t="str">
        <f>_xlfn.XLOOKUP(AA164,M_ARTIST!A:A,M_ARTIST!B:B,"★★★",0,1)</f>
        <v>Saucy Dog</v>
      </c>
      <c r="AC164" s="14" t="str">
        <f t="shared" si="8"/>
        <v>シンデレラボーイ</v>
      </c>
      <c r="AD164" s="19" t="str">
        <f>HYPERLINK(_xlfn.XLOOKUP(C164,M_YT_LIVE_TIMESTAMP!AA:AA,M_YT_LIVE_TIMESTAMP!Z:Z,"★",0,-1))</f>
        <v>https://www.youtube.com/live/BjWSIm9kSZs?si=1oMuQyZMLWArIABK&amp;t=847s</v>
      </c>
    </row>
    <row r="165" spans="1:30" x14ac:dyDescent="0.4">
      <c r="A165" s="12" t="str">
        <v>バンドマン(1chorus)</v>
      </c>
      <c r="B165" s="12" t="str">
        <v>SHISHAMO</v>
      </c>
      <c r="C165" s="12" t="str">
        <f t="shared" si="6"/>
        <v>SHISHAMOバンドマン(1chorus)</v>
      </c>
      <c r="AA165" s="14" t="str">
        <f t="shared" si="7"/>
        <v>SHISHAMO</v>
      </c>
      <c r="AB165" s="14" t="str">
        <f>_xlfn.XLOOKUP(AA165,M_ARTIST!A:A,M_ARTIST!B:B,"★★★",0,1)</f>
        <v>★★★</v>
      </c>
      <c r="AC165" s="14" t="str">
        <f t="shared" si="8"/>
        <v>バンドマン(1chorus)</v>
      </c>
      <c r="AD165" s="19" t="str">
        <f>HYPERLINK(_xlfn.XLOOKUP(C165,M_YT_LIVE_TIMESTAMP!AA:AA,M_YT_LIVE_TIMESTAMP!Z:Z,"★",0,-1))</f>
        <v>https://www.youtube.com/live/5-PHEYq6a-Y?si=i1qN4inKhZc0prZ-&amp;t=4974s</v>
      </c>
    </row>
    <row r="166" spans="1:30" x14ac:dyDescent="0.4">
      <c r="A166" s="12" t="str">
        <v>熱帯夜</v>
      </c>
      <c r="B166" s="12" t="str">
        <v>SHISHAMO</v>
      </c>
      <c r="C166" s="12" t="str">
        <f t="shared" si="6"/>
        <v>SHISHAMO熱帯夜</v>
      </c>
      <c r="AA166" s="14" t="str">
        <f t="shared" si="7"/>
        <v>SHISHAMO</v>
      </c>
      <c r="AB166" s="14" t="str">
        <f>_xlfn.XLOOKUP(AA166,M_ARTIST!A:A,M_ARTIST!B:B,"★★★",0,1)</f>
        <v>★★★</v>
      </c>
      <c r="AC166" s="14" t="str">
        <f t="shared" si="8"/>
        <v>熱帯夜</v>
      </c>
      <c r="AD166" s="19" t="str">
        <f>HYPERLINK(_xlfn.XLOOKUP(C166,M_YT_LIVE_TIMESTAMP!AA:AA,M_YT_LIVE_TIMESTAMP!Z:Z,"★",0,-1))</f>
        <v>https://www.youtube.com/live/5-PHEYq6a-Y?si=i1qN4inKhZc0prZ-&amp;t=4662s</v>
      </c>
    </row>
    <row r="167" spans="1:30" x14ac:dyDescent="0.4">
      <c r="A167" s="12" t="str">
        <v>世界に一つだけの花</v>
      </c>
      <c r="B167" s="12" t="str">
        <v>SMAP</v>
      </c>
      <c r="C167" s="12" t="str">
        <f t="shared" si="6"/>
        <v>SMAP世界に一つだけの花</v>
      </c>
      <c r="AA167" s="14" t="str">
        <f t="shared" si="7"/>
        <v>SMAP</v>
      </c>
      <c r="AB167" s="14" t="str">
        <f>_xlfn.XLOOKUP(AA167,M_ARTIST!A:A,M_ARTIST!B:B,"★★★",0,1)</f>
        <v>SMAP</v>
      </c>
      <c r="AC167" s="14" t="str">
        <f t="shared" si="8"/>
        <v>世界に一つだけの花</v>
      </c>
      <c r="AD167" s="19" t="str">
        <f>HYPERLINK(_xlfn.XLOOKUP(C167,M_YT_LIVE_TIMESTAMP!AA:AA,M_YT_LIVE_TIMESTAMP!Z:Z,"★",0,-1))</f>
        <v>https://www.youtube.com/live/DX8misWhJuA?si=x9BqkZPlvHen5SCl&amp;t=5247s</v>
      </c>
    </row>
    <row r="168" spans="1:30" x14ac:dyDescent="0.4">
      <c r="A168" s="12" t="str">
        <v>サムライハート(Some Like It Hot!!)</v>
      </c>
      <c r="B168" s="12" t="str">
        <v>SPYAIR</v>
      </c>
      <c r="C168" s="12" t="str">
        <f t="shared" si="6"/>
        <v>SPYAIRサムライハート(Some Like It Hot!!)</v>
      </c>
      <c r="AA168" s="14" t="str">
        <f t="shared" si="7"/>
        <v>SPYAIR</v>
      </c>
      <c r="AB168" s="14" t="str">
        <f>_xlfn.XLOOKUP(AA168,M_ARTIST!A:A,M_ARTIST!B:B,"★★★",0,1)</f>
        <v>SPYAIR</v>
      </c>
      <c r="AC168" s="14" t="str">
        <f t="shared" si="8"/>
        <v>サムライハート(Some Like It Hot!!)</v>
      </c>
      <c r="AD168" s="19" t="str">
        <f>HYPERLINK(_xlfn.XLOOKUP(C168,M_YT_LIVE_TIMESTAMP!AA:AA,M_YT_LIVE_TIMESTAMP!Z:Z,"★",0,-1))</f>
        <v>https://www.youtube.com/live/cHLqE4AOOjI?si=heDnYTUAoUpLyQ_J&amp;t=1484s</v>
      </c>
    </row>
    <row r="169" spans="1:30" x14ac:dyDescent="0.4">
      <c r="A169" s="12" t="str">
        <v>Love&amp;Roll</v>
      </c>
      <c r="B169" s="12" t="str">
        <v>supercell</v>
      </c>
      <c r="C169" s="12" t="str">
        <f t="shared" si="6"/>
        <v>supercellLove&amp;Roll</v>
      </c>
      <c r="AA169" s="14" t="str">
        <f t="shared" si="7"/>
        <v>supercell</v>
      </c>
      <c r="AB169" s="14" t="str">
        <f>_xlfn.XLOOKUP(AA169,M_ARTIST!A:A,M_ARTIST!B:B,"★★★",0,1)</f>
        <v>supercell</v>
      </c>
      <c r="AC169" s="14" t="str">
        <f t="shared" si="8"/>
        <v>Love&amp;Roll</v>
      </c>
      <c r="AD169" s="19" t="str">
        <f>HYPERLINK(_xlfn.XLOOKUP(C169,M_YT_LIVE_TIMESTAMP!AA:AA,M_YT_LIVE_TIMESTAMP!Z:Z,"★",0,-1))</f>
        <v>https://www.youtube.com/live/FuJDk5I3Oyo?si=KP6eEuJrPYERUqMb&amp;t=3080s</v>
      </c>
    </row>
    <row r="170" spans="1:30" x14ac:dyDescent="0.4">
      <c r="A170" s="12" t="str">
        <v>My Dearest</v>
      </c>
      <c r="B170" s="12" t="str">
        <v>supercell</v>
      </c>
      <c r="C170" s="12" t="str">
        <f t="shared" si="6"/>
        <v>supercellMy Dearest</v>
      </c>
      <c r="AA170" s="14" t="str">
        <f t="shared" si="7"/>
        <v>supercell</v>
      </c>
      <c r="AB170" s="14" t="str">
        <f>_xlfn.XLOOKUP(AA170,M_ARTIST!A:A,M_ARTIST!B:B,"★★★",0,1)</f>
        <v>supercell</v>
      </c>
      <c r="AC170" s="14" t="str">
        <f t="shared" si="8"/>
        <v>My Dearest</v>
      </c>
      <c r="AD170" s="19" t="str">
        <f>HYPERLINK(_xlfn.XLOOKUP(C170,M_YT_LIVE_TIMESTAMP!AA:AA,M_YT_LIVE_TIMESTAMP!Z:Z,"★",0,-1))</f>
        <v>https://www.youtube.com/live/keSRwH4Zr7g?si=RPmDxNZjQB1dZWSK&amp;t=4353s</v>
      </c>
    </row>
    <row r="171" spans="1:30" x14ac:dyDescent="0.4">
      <c r="A171" s="12" t="str">
        <v>Perfect Day</v>
      </c>
      <c r="B171" s="12" t="str">
        <v>supercell</v>
      </c>
      <c r="C171" s="12" t="str">
        <f t="shared" si="6"/>
        <v>supercellPerfect Day</v>
      </c>
      <c r="AA171" s="14" t="str">
        <f t="shared" si="7"/>
        <v>supercell</v>
      </c>
      <c r="AB171" s="14" t="str">
        <f>_xlfn.XLOOKUP(AA171,M_ARTIST!A:A,M_ARTIST!B:B,"★★★",0,1)</f>
        <v>supercell</v>
      </c>
      <c r="AC171" s="14" t="str">
        <f t="shared" si="8"/>
        <v>Perfect Day</v>
      </c>
      <c r="AD171" s="19" t="str">
        <f>HYPERLINK(_xlfn.XLOOKUP(C171,M_YT_LIVE_TIMESTAMP!AA:AA,M_YT_LIVE_TIMESTAMP!Z:Z,"★",0,-1))</f>
        <v>https://www.youtube.com/live/keSRwH4Zr7g?si=RPmDxNZjQB1dZWSK&amp;t=2455s</v>
      </c>
    </row>
    <row r="172" spans="1:30" x14ac:dyDescent="0.4">
      <c r="A172" s="12" t="str">
        <v>The Bravery</v>
      </c>
      <c r="B172" s="12" t="str">
        <v>supercell</v>
      </c>
      <c r="C172" s="12" t="str">
        <f t="shared" si="6"/>
        <v>supercellThe Bravery</v>
      </c>
      <c r="AA172" s="14" t="str">
        <f t="shared" si="7"/>
        <v>supercell</v>
      </c>
      <c r="AB172" s="14" t="str">
        <f>_xlfn.XLOOKUP(AA172,M_ARTIST!A:A,M_ARTIST!B:B,"★★★",0,1)</f>
        <v>supercell</v>
      </c>
      <c r="AC172" s="14" t="str">
        <f t="shared" si="8"/>
        <v>The Bravery</v>
      </c>
      <c r="AD172" s="19" t="str">
        <f>HYPERLINK(_xlfn.XLOOKUP(C172,M_YT_LIVE_TIMESTAMP!AA:AA,M_YT_LIVE_TIMESTAMP!Z:Z,"★",0,-1))</f>
        <v>https://www.youtube.com/live/FuJDk5I3Oyo?si=KP6eEuJrPYERUqMb&amp;t=6386s</v>
      </c>
    </row>
    <row r="173" spans="1:30" x14ac:dyDescent="0.4">
      <c r="A173" s="12" t="str">
        <v>The Bravery(1chorus)</v>
      </c>
      <c r="B173" s="12" t="str">
        <v>supercell</v>
      </c>
      <c r="C173" s="12" t="str">
        <f t="shared" si="6"/>
        <v>supercellThe Bravery(1chorus)</v>
      </c>
      <c r="AA173" s="14" t="str">
        <f t="shared" si="7"/>
        <v>supercell</v>
      </c>
      <c r="AB173" s="14" t="str">
        <f>_xlfn.XLOOKUP(AA173,M_ARTIST!A:A,M_ARTIST!B:B,"★★★",0,1)</f>
        <v>supercell</v>
      </c>
      <c r="AC173" s="14" t="str">
        <f t="shared" si="8"/>
        <v>The Bravery(1chorus)</v>
      </c>
      <c r="AD173" s="19" t="str">
        <f>HYPERLINK(_xlfn.XLOOKUP(C173,M_YT_LIVE_TIMESTAMP!AA:AA,M_YT_LIVE_TIMESTAMP!Z:Z,"★",0,-1))</f>
        <v>https://www.youtube.com/live/8yfLYQayxQg?si=O0Q0AXQXC39nd7WJ&amp;t=6257s</v>
      </c>
    </row>
    <row r="174" spans="1:30" x14ac:dyDescent="0.4">
      <c r="A174" s="12" t="str">
        <v>うたかた花火</v>
      </c>
      <c r="B174" s="12" t="str">
        <v>supercell</v>
      </c>
      <c r="C174" s="12" t="str">
        <f t="shared" si="6"/>
        <v>supercellうたかた花火</v>
      </c>
      <c r="AA174" s="14" t="str">
        <f t="shared" si="7"/>
        <v>supercell</v>
      </c>
      <c r="AB174" s="14" t="str">
        <f>_xlfn.XLOOKUP(AA174,M_ARTIST!A:A,M_ARTIST!B:B,"★★★",0,1)</f>
        <v>supercell</v>
      </c>
      <c r="AC174" s="14" t="str">
        <f t="shared" si="8"/>
        <v>うたかた花火</v>
      </c>
      <c r="AD174" s="19" t="str">
        <f>HYPERLINK(_xlfn.XLOOKUP(C174,M_YT_LIVE_TIMESTAMP!AA:AA,M_YT_LIVE_TIMESTAMP!Z:Z,"★",0,-1))</f>
        <v>https://www.youtube.com/live/r7Bwk1jHwnc?si=YSwS6uQI_0X3Y91g&amp;t=1134s</v>
      </c>
    </row>
    <row r="175" spans="1:30" x14ac:dyDescent="0.4">
      <c r="A175" s="12" t="str">
        <v>さよならメモリーズ</v>
      </c>
      <c r="B175" s="12" t="str">
        <v>supercell</v>
      </c>
      <c r="C175" s="12" t="str">
        <f t="shared" si="6"/>
        <v>supercellさよならメモリーズ</v>
      </c>
      <c r="AA175" s="14" t="str">
        <f t="shared" si="7"/>
        <v>supercell</v>
      </c>
      <c r="AB175" s="14" t="str">
        <f>_xlfn.XLOOKUP(AA175,M_ARTIST!A:A,M_ARTIST!B:B,"★★★",0,1)</f>
        <v>supercell</v>
      </c>
      <c r="AC175" s="14" t="str">
        <f t="shared" si="8"/>
        <v>さよならメモリーズ</v>
      </c>
      <c r="AD175" s="19" t="str">
        <f>HYPERLINK(_xlfn.XLOOKUP(C175,M_YT_LIVE_TIMESTAMP!AA:AA,M_YT_LIVE_TIMESTAMP!Z:Z,"★",0,-1))</f>
        <v>https://www.youtube.com/live/FuJDk5I3Oyo?si=KP6eEuJrPYERUqMb&amp;t=5165s</v>
      </c>
    </row>
    <row r="176" spans="1:30" x14ac:dyDescent="0.4">
      <c r="A176" s="12" t="str">
        <v>ヒーロー</v>
      </c>
      <c r="B176" s="12" t="str">
        <v>supercell</v>
      </c>
      <c r="C176" s="12" t="str">
        <f t="shared" si="6"/>
        <v>supercellヒーロー</v>
      </c>
      <c r="AA176" s="14" t="str">
        <f t="shared" si="7"/>
        <v>supercell</v>
      </c>
      <c r="AB176" s="14" t="str">
        <f>_xlfn.XLOOKUP(AA176,M_ARTIST!A:A,M_ARTIST!B:B,"★★★",0,1)</f>
        <v>supercell</v>
      </c>
      <c r="AC176" s="14" t="str">
        <f t="shared" si="8"/>
        <v>ヒーロー</v>
      </c>
      <c r="AD176" s="19" t="str">
        <f>HYPERLINK(_xlfn.XLOOKUP(C176,M_YT_LIVE_TIMESTAMP!AA:AA,M_YT_LIVE_TIMESTAMP!Z:Z,"★",0,-1))</f>
        <v>https://www.youtube.com/live/Us_EP0LuOUI?si=QKfLbi9NsZLi9sIi&amp;t=5449s</v>
      </c>
    </row>
    <row r="177" spans="1:30" x14ac:dyDescent="0.4">
      <c r="A177" s="12" t="str">
        <v>ヒーロー(1chorus)</v>
      </c>
      <c r="B177" s="12" t="str">
        <v>supercell</v>
      </c>
      <c r="C177" s="12" t="str">
        <f t="shared" si="6"/>
        <v>supercellヒーロー(1chorus)</v>
      </c>
      <c r="AA177" s="14" t="str">
        <f t="shared" si="7"/>
        <v>supercell</v>
      </c>
      <c r="AB177" s="14" t="str">
        <f>_xlfn.XLOOKUP(AA177,M_ARTIST!A:A,M_ARTIST!B:B,"★★★",0,1)</f>
        <v>supercell</v>
      </c>
      <c r="AC177" s="14" t="str">
        <f t="shared" si="8"/>
        <v>ヒーロー(1chorus)</v>
      </c>
      <c r="AD177" s="19" t="str">
        <f>HYPERLINK(_xlfn.XLOOKUP(C177,M_YT_LIVE_TIMESTAMP!AA:AA,M_YT_LIVE_TIMESTAMP!Z:Z,"★",0,-1))</f>
        <v>https://www.youtube.com/live/8yfLYQayxQg?si=O0Q0AXQXC39nd7WJ&amp;t=6036s</v>
      </c>
    </row>
    <row r="178" spans="1:30" x14ac:dyDescent="0.4">
      <c r="A178" s="12" t="str">
        <v>リルモア</v>
      </c>
      <c r="B178" s="12" t="str">
        <v>supercell</v>
      </c>
      <c r="C178" s="12" t="str">
        <f t="shared" si="6"/>
        <v>supercellリルモア</v>
      </c>
      <c r="AA178" s="14" t="str">
        <f t="shared" si="7"/>
        <v>supercell</v>
      </c>
      <c r="AB178" s="14" t="str">
        <f>_xlfn.XLOOKUP(AA178,M_ARTIST!A:A,M_ARTIST!B:B,"★★★",0,1)</f>
        <v>supercell</v>
      </c>
      <c r="AC178" s="14" t="str">
        <f t="shared" si="8"/>
        <v>リルモア</v>
      </c>
      <c r="AD178" s="19" t="str">
        <f>HYPERLINK(_xlfn.XLOOKUP(C178,M_YT_LIVE_TIMESTAMP!AA:AA,M_YT_LIVE_TIMESTAMP!Z:Z,"★",0,-1))</f>
        <v>https://www.youtube.com/live/keSRwH4Zr7g?si=RPmDxNZjQB1dZWSK&amp;t=1990s</v>
      </c>
    </row>
    <row r="179" spans="1:30" x14ac:dyDescent="0.4">
      <c r="A179" s="12" t="str">
        <v>銀色飛行船</v>
      </c>
      <c r="B179" s="12" t="str">
        <v>supercell</v>
      </c>
      <c r="C179" s="12" t="str">
        <f t="shared" si="6"/>
        <v>supercell銀色飛行船</v>
      </c>
      <c r="AA179" s="14" t="str">
        <f t="shared" si="7"/>
        <v>supercell</v>
      </c>
      <c r="AB179" s="14" t="str">
        <f>_xlfn.XLOOKUP(AA179,M_ARTIST!A:A,M_ARTIST!B:B,"★★★",0,1)</f>
        <v>supercell</v>
      </c>
      <c r="AC179" s="14" t="str">
        <f t="shared" si="8"/>
        <v>銀色飛行船</v>
      </c>
      <c r="AD179" s="19" t="str">
        <f>HYPERLINK(_xlfn.XLOOKUP(C179,M_YT_LIVE_TIMESTAMP!AA:AA,M_YT_LIVE_TIMESTAMP!Z:Z,"★",0,-1))</f>
        <v>https://www.youtube.com/live/r7Bwk1jHwnc?si=YSwS6uQI_0X3Y91g&amp;t=2367s</v>
      </c>
    </row>
    <row r="180" spans="1:30" x14ac:dyDescent="0.4">
      <c r="A180" s="12" t="str">
        <v>君の知らない物語</v>
      </c>
      <c r="B180" s="12" t="str">
        <v>supercell</v>
      </c>
      <c r="C180" s="12" t="str">
        <f t="shared" si="6"/>
        <v>supercell君の知らない物語</v>
      </c>
      <c r="AA180" s="14" t="str">
        <f t="shared" si="7"/>
        <v>supercell</v>
      </c>
      <c r="AB180" s="14" t="str">
        <f>_xlfn.XLOOKUP(AA180,M_ARTIST!A:A,M_ARTIST!B:B,"★★★",0,1)</f>
        <v>supercell</v>
      </c>
      <c r="AC180" s="14" t="str">
        <f t="shared" si="8"/>
        <v>君の知らない物語</v>
      </c>
      <c r="AD180" s="19" t="str">
        <f>HYPERLINK(_xlfn.XLOOKUP(C180,M_YT_LIVE_TIMESTAMP!AA:AA,M_YT_LIVE_TIMESTAMP!Z:Z,"★",0,-1))</f>
        <v>https://www.youtube.com/live/r7Bwk1jHwnc?si=YSwS6uQI_0X3Y91g&amp;t=1861s</v>
      </c>
    </row>
    <row r="181" spans="1:30" x14ac:dyDescent="0.4">
      <c r="A181" s="12" t="str">
        <v>星が瞬くこんな夜に</v>
      </c>
      <c r="B181" s="12" t="str">
        <v>supercell</v>
      </c>
      <c r="C181" s="12" t="str">
        <f t="shared" si="6"/>
        <v>supercell星が瞬くこんな夜に</v>
      </c>
      <c r="AA181" s="14" t="str">
        <f t="shared" si="7"/>
        <v>supercell</v>
      </c>
      <c r="AB181" s="14" t="str">
        <f>_xlfn.XLOOKUP(AA181,M_ARTIST!A:A,M_ARTIST!B:B,"★★★",0,1)</f>
        <v>supercell</v>
      </c>
      <c r="AC181" s="14" t="str">
        <f t="shared" si="8"/>
        <v>星が瞬くこんな夜に</v>
      </c>
      <c r="AD181" s="19" t="str">
        <f>HYPERLINK(_xlfn.XLOOKUP(C181,M_YT_LIVE_TIMESTAMP!AA:AA,M_YT_LIVE_TIMESTAMP!Z:Z,"★",0,-1))</f>
        <v>https://www.youtube.com/live/nyXzxG79mwQ?si=kGuFyOuc0o-yNPOU&amp;t=11118s</v>
      </c>
    </row>
    <row r="182" spans="1:30" x14ac:dyDescent="0.4">
      <c r="A182" s="12" t="str">
        <v>愛をこめて花束を</v>
      </c>
      <c r="B182" s="12" t="str">
        <v>Superfly</v>
      </c>
      <c r="C182" s="12" t="str">
        <f t="shared" si="6"/>
        <v>Superfly愛をこめて花束を</v>
      </c>
      <c r="AA182" s="14" t="str">
        <f t="shared" si="7"/>
        <v>Superfly</v>
      </c>
      <c r="AB182" s="14" t="str">
        <f>_xlfn.XLOOKUP(AA182,M_ARTIST!A:A,M_ARTIST!B:B,"★★★",0,1)</f>
        <v>Superfly</v>
      </c>
      <c r="AC182" s="14" t="str">
        <f t="shared" si="8"/>
        <v>愛をこめて花束を</v>
      </c>
      <c r="AD182" s="19" t="str">
        <f>HYPERLINK(_xlfn.XLOOKUP(C182,M_YT_LIVE_TIMESTAMP!AA:AA,M_YT_LIVE_TIMESTAMP!Z:Z,"★",0,-1))</f>
        <v>https://www.youtube.com/live/DX8misWhJuA?si=x9BqkZPlvHen5SCl&amp;t=6075s</v>
      </c>
    </row>
    <row r="183" spans="1:30" x14ac:dyDescent="0.4">
      <c r="A183" s="12" t="str">
        <v>雪解け</v>
      </c>
      <c r="B183" s="12" t="str">
        <v>tayori</v>
      </c>
      <c r="C183" s="12" t="str">
        <f t="shared" si="6"/>
        <v>tayori雪解け</v>
      </c>
      <c r="AA183" s="14" t="str">
        <f t="shared" si="7"/>
        <v>tayori</v>
      </c>
      <c r="AB183" s="14" t="str">
        <f>_xlfn.XLOOKUP(AA183,M_ARTIST!A:A,M_ARTIST!B:B,"★★★",0,1)</f>
        <v>★★★</v>
      </c>
      <c r="AC183" s="14" t="str">
        <f t="shared" si="8"/>
        <v>雪解け</v>
      </c>
      <c r="AD183" s="19" t="str">
        <f>HYPERLINK(_xlfn.XLOOKUP(C183,M_YT_LIVE_TIMESTAMP!AA:AA,M_YT_LIVE_TIMESTAMP!Z:Z,"★",0,-1))</f>
        <v>https://www.youtube.com/live/FGNU1iQLiNM?si=B75Oqj0tjRBiyl5j&amp;t=4217s</v>
      </c>
    </row>
    <row r="184" spans="1:30" x14ac:dyDescent="0.4">
      <c r="A184" s="12" t="str">
        <v>狂乱 Hey Kids!!</v>
      </c>
      <c r="B184" s="12" t="str">
        <v>THE ORAL CIGARETTES</v>
      </c>
      <c r="C184" s="12" t="str">
        <f t="shared" si="6"/>
        <v>THE ORAL CIGARETTES狂乱 Hey Kids!!</v>
      </c>
      <c r="AA184" s="14" t="str">
        <f t="shared" si="7"/>
        <v>THE ORAL CIGARETTES</v>
      </c>
      <c r="AB184" s="14" t="str">
        <f>_xlfn.XLOOKUP(AA184,M_ARTIST!A:A,M_ARTIST!B:B,"★★★",0,1)</f>
        <v>THE ORAL CIGARETTES</v>
      </c>
      <c r="AC184" s="14" t="str">
        <f t="shared" si="8"/>
        <v>狂乱 Hey Kids!!</v>
      </c>
      <c r="AD184" s="19" t="str">
        <f>HYPERLINK(_xlfn.XLOOKUP(C184,M_YT_LIVE_TIMESTAMP!AA:AA,M_YT_LIVE_TIMESTAMP!Z:Z,"★",0,-1))</f>
        <v>https://www.youtube.com/live/rowkHJneOgY?si=dzvDO_qNHD4fLHMQ&amp;t=6740s</v>
      </c>
    </row>
    <row r="185" spans="1:30" x14ac:dyDescent="0.4">
      <c r="A185" s="12" t="str">
        <v>君のせい</v>
      </c>
      <c r="B185" s="12" t="str">
        <v>the peggies</v>
      </c>
      <c r="C185" s="12" t="str">
        <f t="shared" si="6"/>
        <v>the peggies君のせい</v>
      </c>
      <c r="AA185" s="14" t="str">
        <f t="shared" si="7"/>
        <v>the peggies</v>
      </c>
      <c r="AB185" s="14" t="str">
        <f>_xlfn.XLOOKUP(AA185,M_ARTIST!A:A,M_ARTIST!B:B,"★★★",0,1)</f>
        <v>the peggies</v>
      </c>
      <c r="AC185" s="14" t="str">
        <f t="shared" si="8"/>
        <v>君のせい</v>
      </c>
      <c r="AD185" s="19" t="str">
        <f>HYPERLINK(_xlfn.XLOOKUP(C185,M_YT_LIVE_TIMESTAMP!AA:AA,M_YT_LIVE_TIMESTAMP!Z:Z,"★",0,-1))</f>
        <v>https://www.youtube.com/live/bXG5ottJZas?si=VsjzjU8RreUrJGd3&amp;t=1600s</v>
      </c>
    </row>
    <row r="186" spans="1:30" x14ac:dyDescent="0.4">
      <c r="A186" s="12" t="str">
        <v>unravel</v>
      </c>
      <c r="B186" s="12" t="str">
        <v>TK from 凛</v>
      </c>
      <c r="C186" s="12" t="str">
        <f t="shared" si="6"/>
        <v>TK from 凛unravel</v>
      </c>
      <c r="AA186" s="14" t="str">
        <f t="shared" si="7"/>
        <v>TK from 凛</v>
      </c>
      <c r="AB186" s="14" t="str">
        <f>_xlfn.XLOOKUP(AA186,M_ARTIST!A:A,M_ARTIST!B:B,"★★★",0,1)</f>
        <v>TK from りんとしてしぐれ</v>
      </c>
      <c r="AC186" s="14" t="str">
        <f t="shared" si="8"/>
        <v>unravel</v>
      </c>
      <c r="AD186" s="19" t="str">
        <f>HYPERLINK(_xlfn.XLOOKUP(C186,M_YT_LIVE_TIMESTAMP!AA:AA,M_YT_LIVE_TIMESTAMP!Z:Z,"★",0,-1))</f>
        <v>https://www.youtube.com/live/rjOy6A4c68o?si=Q07K-470tlYbzNHk&amp;t=8114s</v>
      </c>
    </row>
    <row r="187" spans="1:30" x14ac:dyDescent="0.4">
      <c r="A187" s="12" t="str">
        <v>夜もすがら君想ふ</v>
      </c>
      <c r="B187" s="12" t="str">
        <v>TOKOTOKO feat.GUMI</v>
      </c>
      <c r="C187" s="12" t="str">
        <f t="shared" si="6"/>
        <v>TOKOTOKO feat.GUMI夜もすがら君想ふ</v>
      </c>
      <c r="AA187" s="14" t="str">
        <f t="shared" si="7"/>
        <v>TOKOTOKO feat.GUMI</v>
      </c>
      <c r="AB187" s="14" t="str">
        <f>_xlfn.XLOOKUP(AA187,M_ARTIST!A:A,M_ARTIST!B:B,"★★★",0,1)</f>
        <v>TOKOTOKO feat.GUMI</v>
      </c>
      <c r="AC187" s="14" t="str">
        <f t="shared" si="8"/>
        <v>夜もすがら君想ふ</v>
      </c>
      <c r="AD187" s="19" t="str">
        <f>HYPERLINK(_xlfn.XLOOKUP(C187,M_YT_LIVE_TIMESTAMP!AA:AA,M_YT_LIVE_TIMESTAMP!Z:Z,"★",0,-1))</f>
        <v>https://www.youtube.com/live/nyXzxG79mwQ?si=kGuFyOuc0o-yNPOU&amp;t=288s</v>
      </c>
    </row>
    <row r="188" spans="1:30" x14ac:dyDescent="0.4">
      <c r="A188" s="12" t="str">
        <v>innocent promise</v>
      </c>
      <c r="B188" s="12" t="str">
        <v>TRUSTRICK</v>
      </c>
      <c r="C188" s="12" t="str">
        <f t="shared" si="6"/>
        <v>TRUSTRICKinnocent promise</v>
      </c>
      <c r="AA188" s="14" t="str">
        <f t="shared" si="7"/>
        <v>TRUSTRICK</v>
      </c>
      <c r="AB188" s="14" t="str">
        <f>_xlfn.XLOOKUP(AA188,M_ARTIST!A:A,M_ARTIST!B:B,"★★★",0,1)</f>
        <v>TRUSTRICK</v>
      </c>
      <c r="AC188" s="14" t="str">
        <f t="shared" si="8"/>
        <v>innocent promise</v>
      </c>
      <c r="AD188" s="19" t="str">
        <f>HYPERLINK(_xlfn.XLOOKUP(C188,M_YT_LIVE_TIMESTAMP!AA:AA,M_YT_LIVE_TIMESTAMP!Z:Z,"★",0,-1))</f>
        <v>https://www.youtube.com/live/JAK2m4FWxF0?si=Xy-B8lpcz7dX_b5n&amp;t=4990s</v>
      </c>
    </row>
    <row r="189" spans="1:30" x14ac:dyDescent="0.4">
      <c r="A189" s="12" t="str">
        <v>晩餐歌</v>
      </c>
      <c r="B189" s="12" t="str">
        <v>tuki.</v>
      </c>
      <c r="C189" s="12" t="str">
        <f t="shared" si="6"/>
        <v>tuki.晩餐歌</v>
      </c>
      <c r="AA189" s="14" t="str">
        <f t="shared" si="7"/>
        <v>tuki.</v>
      </c>
      <c r="AB189" s="14" t="str">
        <f>_xlfn.XLOOKUP(AA189,M_ARTIST!A:A,M_ARTIST!B:B,"★★★",0,1)</f>
        <v>tuki.</v>
      </c>
      <c r="AC189" s="14" t="str">
        <f t="shared" si="8"/>
        <v>晩餐歌</v>
      </c>
      <c r="AD189" s="19" t="str">
        <f>HYPERLINK(_xlfn.XLOOKUP(C189,M_YT_LIVE_TIMESTAMP!AA:AA,M_YT_LIVE_TIMESTAMP!Z:Z,"★",0,-1))</f>
        <v>https://www.youtube.com/live/T2z_BAhLZz0?si=FZhoxASjxucX4Rxr&amp;t=272s</v>
      </c>
    </row>
    <row r="190" spans="1:30" x14ac:dyDescent="0.4">
      <c r="A190" s="12" t="str">
        <v>シュガーソングとビターステップ</v>
      </c>
      <c r="B190" s="12" t="str">
        <v>UNISON SQUARE GARDEN</v>
      </c>
      <c r="C190" s="12" t="str">
        <f t="shared" si="6"/>
        <v>UNISON SQUARE GARDENシュガーソングとビターステップ</v>
      </c>
      <c r="AA190" s="14" t="str">
        <f t="shared" si="7"/>
        <v>UNISON SQUARE GARDEN</v>
      </c>
      <c r="AB190" s="14" t="str">
        <f>_xlfn.XLOOKUP(AA190,M_ARTIST!A:A,M_ARTIST!B:B,"★★★",0,1)</f>
        <v>UNISON SQUARE GARDEN</v>
      </c>
      <c r="AC190" s="14" t="str">
        <f t="shared" si="8"/>
        <v>シュガーソングとビターステップ</v>
      </c>
      <c r="AD190" s="19" t="str">
        <f>HYPERLINK(_xlfn.XLOOKUP(C190,M_YT_LIVE_TIMESTAMP!AA:AA,M_YT_LIVE_TIMESTAMP!Z:Z,"★",0,-1))</f>
        <v>https://www.youtube.com/live/nyXzxG79mwQ?si=kGuFyOuc0o-yNPOU&amp;t=15053s</v>
      </c>
    </row>
    <row r="191" spans="1:30" x14ac:dyDescent="0.4">
      <c r="A191" s="12" t="str">
        <v>napori</v>
      </c>
      <c r="B191" s="12" t="str">
        <v>Vaundy</v>
      </c>
      <c r="C191" s="12" t="str">
        <f t="shared" si="6"/>
        <v>Vaundynapori</v>
      </c>
      <c r="AA191" s="14" t="str">
        <f t="shared" si="7"/>
        <v>Vaundy</v>
      </c>
      <c r="AB191" s="14" t="str">
        <f>_xlfn.XLOOKUP(AA191,M_ARTIST!A:A,M_ARTIST!B:B,"★★★",0,1)</f>
        <v>Vaundy</v>
      </c>
      <c r="AC191" s="14" t="str">
        <f t="shared" si="8"/>
        <v>napori</v>
      </c>
      <c r="AD191" s="19" t="str">
        <f>HYPERLINK(_xlfn.XLOOKUP(C191,M_YT_LIVE_TIMESTAMP!AA:AA,M_YT_LIVE_TIMESTAMP!Z:Z,"★",0,-1))</f>
        <v>https://www.youtube.com/live/7AO0pzyJtLE?si=5iKHGNjfGH8OxSY8&amp;t=394s</v>
      </c>
    </row>
    <row r="192" spans="1:30" x14ac:dyDescent="0.4">
      <c r="A192" s="12" t="str">
        <v>花占い</v>
      </c>
      <c r="B192" s="12" t="str">
        <v>Vaundy</v>
      </c>
      <c r="C192" s="12" t="str">
        <f t="shared" si="6"/>
        <v>Vaundy花占い</v>
      </c>
      <c r="AA192" s="14" t="str">
        <f t="shared" si="7"/>
        <v>Vaundy</v>
      </c>
      <c r="AB192" s="14" t="str">
        <f>_xlfn.XLOOKUP(AA192,M_ARTIST!A:A,M_ARTIST!B:B,"★★★",0,1)</f>
        <v>Vaundy</v>
      </c>
      <c r="AC192" s="14" t="str">
        <f t="shared" si="8"/>
        <v>花占い</v>
      </c>
      <c r="AD192" s="19" t="str">
        <f>HYPERLINK(_xlfn.XLOOKUP(C192,M_YT_LIVE_TIMESTAMP!AA:AA,M_YT_LIVE_TIMESTAMP!Z:Z,"★",0,-1))</f>
        <v>https://www.youtube.com/live/hkpPXWM6LDY?si=pgl-HW7-u6yZjLAi&amp;t=4108s</v>
      </c>
    </row>
    <row r="193" spans="1:30" x14ac:dyDescent="0.4">
      <c r="A193" s="12" t="str">
        <v>怪獣の花唄</v>
      </c>
      <c r="B193" s="12" t="str">
        <v>Vaundy</v>
      </c>
      <c r="C193" s="12" t="str">
        <f t="shared" si="6"/>
        <v>Vaundy怪獣の花唄</v>
      </c>
      <c r="AA193" s="14" t="str">
        <f t="shared" si="7"/>
        <v>Vaundy</v>
      </c>
      <c r="AB193" s="14" t="str">
        <f>_xlfn.XLOOKUP(AA193,M_ARTIST!A:A,M_ARTIST!B:B,"★★★",0,1)</f>
        <v>Vaundy</v>
      </c>
      <c r="AC193" s="14" t="str">
        <f t="shared" si="8"/>
        <v>怪獣の花唄</v>
      </c>
      <c r="AD193" s="19" t="str">
        <f>HYPERLINK(_xlfn.XLOOKUP(C193,M_YT_LIVE_TIMESTAMP!AA:AA,M_YT_LIVE_TIMESTAMP!Z:Z,"★",0,-1))</f>
        <v>https://www.youtube.com/live/NkjXzUMUZpw?si=EmGBj6Hh6tIlwjGQ&amp;t=4131s</v>
      </c>
    </row>
    <row r="194" spans="1:30" x14ac:dyDescent="0.4">
      <c r="A194" s="12" t="str">
        <v>置き手紙</v>
      </c>
      <c r="B194" s="12" t="str">
        <v>Vaundy</v>
      </c>
      <c r="C194" s="12" t="str">
        <f t="shared" si="6"/>
        <v>Vaundy置き手紙</v>
      </c>
      <c r="AA194" s="14" t="str">
        <f t="shared" si="7"/>
        <v>Vaundy</v>
      </c>
      <c r="AB194" s="14" t="str">
        <f>_xlfn.XLOOKUP(AA194,M_ARTIST!A:A,M_ARTIST!B:B,"★★★",0,1)</f>
        <v>Vaundy</v>
      </c>
      <c r="AC194" s="14" t="str">
        <f t="shared" si="8"/>
        <v>置き手紙</v>
      </c>
      <c r="AD194" s="19" t="str">
        <f>HYPERLINK(_xlfn.XLOOKUP(C194,M_YT_LIVE_TIMESTAMP!AA:AA,M_YT_LIVE_TIMESTAMP!Z:Z,"★",0,-1))</f>
        <v>https://www.youtube.com/live/BjWSIm9kSZs?si=1oMuQyZMLWArIABK&amp;t=1290s</v>
      </c>
    </row>
    <row r="195" spans="1:30" x14ac:dyDescent="0.4">
      <c r="A195" s="12" t="str">
        <v>東京フラッシュ</v>
      </c>
      <c r="B195" s="12" t="str">
        <v>Vaundy</v>
      </c>
      <c r="C195" s="12" t="str">
        <f t="shared" ref="C195:C258" si="9">TRIM(B195)&amp;TRIM(A195)</f>
        <v>Vaundy東京フラッシュ</v>
      </c>
      <c r="AA195" s="14" t="str">
        <f t="shared" ref="AA195:AA258" si="10">B195</f>
        <v>Vaundy</v>
      </c>
      <c r="AB195" s="14" t="str">
        <f>_xlfn.XLOOKUP(AA195,M_ARTIST!A:A,M_ARTIST!B:B,"★★★",0,1)</f>
        <v>Vaundy</v>
      </c>
      <c r="AC195" s="14" t="str">
        <f t="shared" ref="AC195:AC258" si="11">A195</f>
        <v>東京フラッシュ</v>
      </c>
      <c r="AD195" s="19" t="str">
        <f>HYPERLINK(_xlfn.XLOOKUP(C195,M_YT_LIVE_TIMESTAMP!AA:AA,M_YT_LIVE_TIMESTAMP!Z:Z,"★",0,-1))</f>
        <v>https://www.youtube.com/live/5-PHEYq6a-Y?si=i1qN4inKhZc0prZ-&amp;t=3802s</v>
      </c>
    </row>
    <row r="196" spans="1:30" x14ac:dyDescent="0.4">
      <c r="A196" s="12" t="str">
        <v>灯火</v>
      </c>
      <c r="B196" s="12" t="str">
        <v>Vaundy</v>
      </c>
      <c r="C196" s="12" t="str">
        <f t="shared" si="9"/>
        <v>Vaundy灯火</v>
      </c>
      <c r="AA196" s="14" t="str">
        <f t="shared" si="10"/>
        <v>Vaundy</v>
      </c>
      <c r="AB196" s="14" t="str">
        <f>_xlfn.XLOOKUP(AA196,M_ARTIST!A:A,M_ARTIST!B:B,"★★★",0,1)</f>
        <v>Vaundy</v>
      </c>
      <c r="AC196" s="14" t="str">
        <f t="shared" si="11"/>
        <v>灯火</v>
      </c>
      <c r="AD196" s="19" t="str">
        <f>HYPERLINK(_xlfn.XLOOKUP(C196,M_YT_LIVE_TIMESTAMP!AA:AA,M_YT_LIVE_TIMESTAMP!Z:Z,"★",0,-1))</f>
        <v>https://www.youtube.com/live/keSRwH4Zr7g?si=RPmDxNZjQB1dZWSK&amp;t=3260s</v>
      </c>
    </row>
    <row r="197" spans="1:30" x14ac:dyDescent="0.4">
      <c r="A197" s="12" t="str">
        <v>不可幸力</v>
      </c>
      <c r="B197" s="12" t="str">
        <v>Vaundy</v>
      </c>
      <c r="C197" s="12" t="str">
        <f t="shared" si="9"/>
        <v>Vaundy不可幸力</v>
      </c>
      <c r="AA197" s="14" t="str">
        <f t="shared" si="10"/>
        <v>Vaundy</v>
      </c>
      <c r="AB197" s="14" t="str">
        <f>_xlfn.XLOOKUP(AA197,M_ARTIST!A:A,M_ARTIST!B:B,"★★★",0,1)</f>
        <v>Vaundy</v>
      </c>
      <c r="AC197" s="14" t="str">
        <f t="shared" si="11"/>
        <v>不可幸力</v>
      </c>
      <c r="AD197" s="19" t="str">
        <f>HYPERLINK(_xlfn.XLOOKUP(C197,M_YT_LIVE_TIMESTAMP!AA:AA,M_YT_LIVE_TIMESTAMP!Z:Z,"★",0,-1))</f>
        <v>https://www.youtube.com/live/nyXzxG79mwQ?si=kGuFyOuc0o-yNPOU&amp;t=6589s</v>
      </c>
    </row>
    <row r="198" spans="1:30" x14ac:dyDescent="0.4">
      <c r="A198" s="12" t="str">
        <v>踊り子</v>
      </c>
      <c r="B198" s="12" t="str">
        <v>Vaundy</v>
      </c>
      <c r="C198" s="12" t="str">
        <f t="shared" si="9"/>
        <v>Vaundy踊り子</v>
      </c>
      <c r="AA198" s="14" t="str">
        <f t="shared" si="10"/>
        <v>Vaundy</v>
      </c>
      <c r="AB198" s="14" t="str">
        <f>_xlfn.XLOOKUP(AA198,M_ARTIST!A:A,M_ARTIST!B:B,"★★★",0,1)</f>
        <v>Vaundy</v>
      </c>
      <c r="AC198" s="14" t="str">
        <f t="shared" si="11"/>
        <v>踊り子</v>
      </c>
      <c r="AD198" s="19" t="str">
        <f>HYPERLINK(_xlfn.XLOOKUP(C198,M_YT_LIVE_TIMESTAMP!AA:AA,M_YT_LIVE_TIMESTAMP!Z:Z,"★",0,-1))</f>
        <v>https://www.youtube.com/live/w3oM0fDmwz4?si=VVO-ga6uipBLMrpR&amp;t=851s</v>
      </c>
    </row>
    <row r="199" spans="1:30" x14ac:dyDescent="0.4">
      <c r="A199" s="12" t="str">
        <v>恋風邪に乗せて</v>
      </c>
      <c r="B199" s="12" t="str">
        <v>Vaundy</v>
      </c>
      <c r="C199" s="12" t="str">
        <f t="shared" si="9"/>
        <v>Vaundy恋風邪に乗せて</v>
      </c>
      <c r="AA199" s="14" t="str">
        <f t="shared" si="10"/>
        <v>Vaundy</v>
      </c>
      <c r="AB199" s="14" t="str">
        <f>_xlfn.XLOOKUP(AA199,M_ARTIST!A:A,M_ARTIST!B:B,"★★★",0,1)</f>
        <v>Vaundy</v>
      </c>
      <c r="AC199" s="14" t="str">
        <f t="shared" si="11"/>
        <v>恋風邪に乗せて</v>
      </c>
      <c r="AD199" s="19" t="str">
        <f>HYPERLINK(_xlfn.XLOOKUP(C199,M_YT_LIVE_TIMESTAMP!AA:AA,M_YT_LIVE_TIMESTAMP!Z:Z,"★",0,-1))</f>
        <v>https://www.youtube.com/live/7AO0pzyJtLE?si=5iKHGNjfGH8OxSY8&amp;t=1584s</v>
      </c>
    </row>
    <row r="200" spans="1:30" x14ac:dyDescent="0.4">
      <c r="A200" s="12" t="str">
        <v>春を告げる</v>
      </c>
      <c r="B200" s="12" t="str">
        <v>yama</v>
      </c>
      <c r="C200" s="12" t="str">
        <f t="shared" si="9"/>
        <v>yama春を告げる</v>
      </c>
      <c r="AA200" s="14" t="str">
        <f t="shared" si="10"/>
        <v>yama</v>
      </c>
      <c r="AB200" s="14" t="str">
        <f>_xlfn.XLOOKUP(AA200,M_ARTIST!A:A,M_ARTIST!B:B,"★★★",0,1)</f>
        <v>yama</v>
      </c>
      <c r="AC200" s="14" t="str">
        <f t="shared" si="11"/>
        <v>春を告げる</v>
      </c>
      <c r="AD200" s="19" t="str">
        <f>HYPERLINK(_xlfn.XLOOKUP(C200,M_YT_LIVE_TIMESTAMP!AA:AA,M_YT_LIVE_TIMESTAMP!Z:Z,"★",0,-1))</f>
        <v>https://www.youtube.com/live/nyXzxG79mwQ?si=kGuFyOuc0o-yNPOU&amp;t=8729s</v>
      </c>
    </row>
    <row r="201" spans="1:30" x14ac:dyDescent="0.4">
      <c r="A201" s="12" t="str">
        <v>アイドル</v>
      </c>
      <c r="B201" s="12" t="str">
        <v>YOASOBI</v>
      </c>
      <c r="C201" s="12" t="str">
        <f t="shared" si="9"/>
        <v>YOASOBIアイドル</v>
      </c>
      <c r="AA201" s="14" t="str">
        <f t="shared" si="10"/>
        <v>YOASOBI</v>
      </c>
      <c r="AB201" s="14" t="str">
        <f>_xlfn.XLOOKUP(AA201,M_ARTIST!A:A,M_ARTIST!B:B,"★★★",0,1)</f>
        <v>YOASOBI</v>
      </c>
      <c r="AC201" s="14" t="str">
        <f t="shared" si="11"/>
        <v>アイドル</v>
      </c>
      <c r="AD201" s="19" t="str">
        <f>HYPERLINK(_xlfn.XLOOKUP(C201,M_YT_LIVE_TIMESTAMP!AA:AA,M_YT_LIVE_TIMESTAMP!Z:Z,"★",0,-1))</f>
        <v>https://www.youtube.com/live/nyXzxG79mwQ?si=kGuFyOuc0o-yNPOU&amp;t=2966s</v>
      </c>
    </row>
    <row r="202" spans="1:30" x14ac:dyDescent="0.4">
      <c r="A202" s="12" t="str">
        <v>あの夢をなぞって</v>
      </c>
      <c r="B202" s="12" t="str">
        <v>YOASOBI</v>
      </c>
      <c r="C202" s="12" t="str">
        <f t="shared" si="9"/>
        <v>YOASOBIあの夢をなぞって</v>
      </c>
      <c r="AA202" s="14" t="str">
        <f t="shared" si="10"/>
        <v>YOASOBI</v>
      </c>
      <c r="AB202" s="14" t="str">
        <f>_xlfn.XLOOKUP(AA202,M_ARTIST!A:A,M_ARTIST!B:B,"★★★",0,1)</f>
        <v>YOASOBI</v>
      </c>
      <c r="AC202" s="14" t="str">
        <f t="shared" si="11"/>
        <v>あの夢をなぞって</v>
      </c>
      <c r="AD202" s="19" t="str">
        <f>HYPERLINK(_xlfn.XLOOKUP(C202,M_YT_LIVE_TIMESTAMP!AA:AA,M_YT_LIVE_TIMESTAMP!Z:Z,"★",0,-1))</f>
        <v>https://www.youtube.com/live/OEtLBen9pLM?si=M4WDMSGkkHfWLvDr&amp;t=1859s</v>
      </c>
    </row>
    <row r="203" spans="1:30" x14ac:dyDescent="0.4">
      <c r="A203" s="12" t="str">
        <v>アンコール</v>
      </c>
      <c r="B203" s="12" t="str">
        <v>YOASOBI</v>
      </c>
      <c r="C203" s="12" t="str">
        <f t="shared" si="9"/>
        <v>YOASOBIアンコール</v>
      </c>
      <c r="AA203" s="14" t="str">
        <f t="shared" si="10"/>
        <v>YOASOBI</v>
      </c>
      <c r="AB203" s="14" t="str">
        <f>_xlfn.XLOOKUP(AA203,M_ARTIST!A:A,M_ARTIST!B:B,"★★★",0,1)</f>
        <v>YOASOBI</v>
      </c>
      <c r="AC203" s="14" t="str">
        <f t="shared" si="11"/>
        <v>アンコール</v>
      </c>
      <c r="AD203" s="19" t="str">
        <f>HYPERLINK(_xlfn.XLOOKUP(C203,M_YT_LIVE_TIMESTAMP!AA:AA,M_YT_LIVE_TIMESTAMP!Z:Z,"★",0,-1))</f>
        <v>https://www.youtube.com/live/FGNU1iQLiNM?si=B75Oqj0tjRBiyl5j&amp;t=3321s</v>
      </c>
    </row>
    <row r="204" spans="1:30" x14ac:dyDescent="0.4">
      <c r="A204" s="12" t="str">
        <v>ハルジオン</v>
      </c>
      <c r="B204" s="12" t="str">
        <v>YOASOBI</v>
      </c>
      <c r="C204" s="12" t="str">
        <f t="shared" si="9"/>
        <v>YOASOBIハルジオン</v>
      </c>
      <c r="AA204" s="14" t="str">
        <f t="shared" si="10"/>
        <v>YOASOBI</v>
      </c>
      <c r="AB204" s="14" t="str">
        <f>_xlfn.XLOOKUP(AA204,M_ARTIST!A:A,M_ARTIST!B:B,"★★★",0,1)</f>
        <v>YOASOBI</v>
      </c>
      <c r="AC204" s="14" t="str">
        <f t="shared" si="11"/>
        <v>ハルジオン</v>
      </c>
      <c r="AD204" s="19" t="str">
        <f>HYPERLINK(_xlfn.XLOOKUP(C204,M_YT_LIVE_TIMESTAMP!AA:AA,M_YT_LIVE_TIMESTAMP!Z:Z,"★",0,-1))</f>
        <v>https://www.youtube.com/live/OYaf_O-6WRs?si=20Zo4VVa8PxJbw_X&amp;t=1918s</v>
      </c>
    </row>
    <row r="205" spans="1:30" x14ac:dyDescent="0.4">
      <c r="A205" s="12" t="str">
        <v>群青</v>
      </c>
      <c r="B205" s="12" t="str">
        <v>YOASOBI</v>
      </c>
      <c r="C205" s="12" t="str">
        <f t="shared" si="9"/>
        <v>YOASOBI群青</v>
      </c>
      <c r="AA205" s="14" t="str">
        <f t="shared" si="10"/>
        <v>YOASOBI</v>
      </c>
      <c r="AB205" s="14" t="str">
        <f>_xlfn.XLOOKUP(AA205,M_ARTIST!A:A,M_ARTIST!B:B,"★★★",0,1)</f>
        <v>YOASOBI</v>
      </c>
      <c r="AC205" s="14" t="str">
        <f t="shared" si="11"/>
        <v>群青</v>
      </c>
      <c r="AD205" s="19" t="str">
        <f>HYPERLINK(_xlfn.XLOOKUP(C205,M_YT_LIVE_TIMESTAMP!AA:AA,M_YT_LIVE_TIMESTAMP!Z:Z,"★",0,-1))</f>
        <v>https://www.youtube.com/live/lQQh4G5up3Y?si=U2BJIBIs-2OZdL6R&amp;t=2686s</v>
      </c>
    </row>
    <row r="206" spans="1:30" x14ac:dyDescent="0.4">
      <c r="A206" s="12" t="str">
        <v>夜に駆ける</v>
      </c>
      <c r="B206" s="12" t="str">
        <v>YOASOBI</v>
      </c>
      <c r="C206" s="12" t="str">
        <f t="shared" si="9"/>
        <v>YOASOBI夜に駆ける</v>
      </c>
      <c r="AA206" s="14" t="str">
        <f t="shared" si="10"/>
        <v>YOASOBI</v>
      </c>
      <c r="AB206" s="14" t="str">
        <f>_xlfn.XLOOKUP(AA206,M_ARTIST!A:A,M_ARTIST!B:B,"★★★",0,1)</f>
        <v>YOASOBI</v>
      </c>
      <c r="AC206" s="14" t="str">
        <f t="shared" si="11"/>
        <v>夜に駆ける</v>
      </c>
      <c r="AD206" s="19" t="str">
        <f>HYPERLINK(_xlfn.XLOOKUP(C206,M_YT_LIVE_TIMESTAMP!AA:AA,M_YT_LIVE_TIMESTAMP!Z:Z,"★",0,-1))</f>
        <v>https://www.youtube.com/live/nyXzxG79mwQ?si=kGuFyOuc0o-yNPOU&amp;t=15713s</v>
      </c>
    </row>
    <row r="207" spans="1:30" x14ac:dyDescent="0.4">
      <c r="A207" s="12" t="str">
        <v>優しい彗星</v>
      </c>
      <c r="B207" s="12" t="str">
        <v>YOASOBI</v>
      </c>
      <c r="C207" s="12" t="str">
        <f t="shared" si="9"/>
        <v>YOASOBI優しい彗星</v>
      </c>
      <c r="AA207" s="14" t="str">
        <f t="shared" si="10"/>
        <v>YOASOBI</v>
      </c>
      <c r="AB207" s="14" t="str">
        <f>_xlfn.XLOOKUP(AA207,M_ARTIST!A:A,M_ARTIST!B:B,"★★★",0,1)</f>
        <v>YOASOBI</v>
      </c>
      <c r="AC207" s="14" t="str">
        <f t="shared" si="11"/>
        <v>優しい彗星</v>
      </c>
      <c r="AD207" s="19" t="str">
        <f>HYPERLINK(_xlfn.XLOOKUP(C207,M_YT_LIVE_TIMESTAMP!AA:AA,M_YT_LIVE_TIMESTAMP!Z:Z,"★",0,-1))</f>
        <v>https://www.youtube.com/live/OYaf_O-6WRs?si=20Zo4VVa8PxJbw_X&amp;t=2258s</v>
      </c>
    </row>
    <row r="208" spans="1:30" x14ac:dyDescent="0.4">
      <c r="A208" s="12" t="str">
        <v>again</v>
      </c>
      <c r="B208" s="12" t="str">
        <v>YUI</v>
      </c>
      <c r="C208" s="12" t="str">
        <f t="shared" si="9"/>
        <v>YUIagain</v>
      </c>
      <c r="AA208" s="14" t="str">
        <f t="shared" si="10"/>
        <v>YUI</v>
      </c>
      <c r="AB208" s="14" t="str">
        <f>_xlfn.XLOOKUP(AA208,M_ARTIST!A:A,M_ARTIST!B:B,"★★★",0,1)</f>
        <v>YUI</v>
      </c>
      <c r="AC208" s="14" t="str">
        <f t="shared" si="11"/>
        <v>again</v>
      </c>
      <c r="AD208" s="19" t="str">
        <f>HYPERLINK(_xlfn.XLOOKUP(C208,M_YT_LIVE_TIMESTAMP!AA:AA,M_YT_LIVE_TIMESTAMP!Z:Z,"★",0,-1))</f>
        <v>https://www.youtube.com/live/8eShd7lbOHQ?si=tMBt33Wr9js5gLMn&amp;t=2457s</v>
      </c>
    </row>
    <row r="209" spans="1:30" x14ac:dyDescent="0.4">
      <c r="A209" s="12" t="str">
        <v>CHE.R.RY</v>
      </c>
      <c r="B209" s="12" t="str">
        <v>YUI</v>
      </c>
      <c r="C209" s="12" t="str">
        <f t="shared" si="9"/>
        <v>YUICHE.R.RY</v>
      </c>
      <c r="AA209" s="14" t="str">
        <f t="shared" si="10"/>
        <v>YUI</v>
      </c>
      <c r="AB209" s="14" t="str">
        <f>_xlfn.XLOOKUP(AA209,M_ARTIST!A:A,M_ARTIST!B:B,"★★★",0,1)</f>
        <v>YUI</v>
      </c>
      <c r="AC209" s="14" t="str">
        <f t="shared" si="11"/>
        <v>CHE.R.RY</v>
      </c>
      <c r="AD209" s="19" t="str">
        <f>HYPERLINK(_xlfn.XLOOKUP(C209,M_YT_LIVE_TIMESTAMP!AA:AA,M_YT_LIVE_TIMESTAMP!Z:Z,"★",0,-1))</f>
        <v>https://www.youtube.com/live/8eShd7lbOHQ?si=tMBt33Wr9js5gLMn&amp;t=1070s</v>
      </c>
    </row>
    <row r="210" spans="1:30" x14ac:dyDescent="0.4">
      <c r="A210" s="12" t="str">
        <v>GLORIA</v>
      </c>
      <c r="B210" s="12" t="str">
        <v>YUI</v>
      </c>
      <c r="C210" s="12" t="str">
        <f t="shared" si="9"/>
        <v>YUIGLORIA</v>
      </c>
      <c r="AA210" s="14" t="str">
        <f t="shared" si="10"/>
        <v>YUI</v>
      </c>
      <c r="AB210" s="14" t="str">
        <f>_xlfn.XLOOKUP(AA210,M_ARTIST!A:A,M_ARTIST!B:B,"★★★",0,1)</f>
        <v>YUI</v>
      </c>
      <c r="AC210" s="14" t="str">
        <f t="shared" si="11"/>
        <v>GLORIA</v>
      </c>
      <c r="AD210" s="19" t="str">
        <f>HYPERLINK(_xlfn.XLOOKUP(C210,M_YT_LIVE_TIMESTAMP!AA:AA,M_YT_LIVE_TIMESTAMP!Z:Z,"★",0,-1))</f>
        <v>https://www.youtube.com/live/8eShd7lbOHQ?si=tMBt33Wr9js5gLMn&amp;t=4033s</v>
      </c>
    </row>
    <row r="211" spans="1:30" x14ac:dyDescent="0.4">
      <c r="A211" s="12" t="str">
        <v>HELLO〜Paradise Kiss〜</v>
      </c>
      <c r="B211" s="12" t="str">
        <v>YUI</v>
      </c>
      <c r="C211" s="12" t="str">
        <f t="shared" si="9"/>
        <v>YUIHELLO〜Paradise Kiss〜</v>
      </c>
      <c r="AA211" s="14" t="str">
        <f t="shared" si="10"/>
        <v>YUI</v>
      </c>
      <c r="AB211" s="14" t="str">
        <f>_xlfn.XLOOKUP(AA211,M_ARTIST!A:A,M_ARTIST!B:B,"★★★",0,1)</f>
        <v>YUI</v>
      </c>
      <c r="AC211" s="14" t="str">
        <f t="shared" si="11"/>
        <v>HELLO〜Paradise Kiss〜</v>
      </c>
      <c r="AD211" s="19" t="str">
        <f>HYPERLINK(_xlfn.XLOOKUP(C211,M_YT_LIVE_TIMESTAMP!AA:AA,M_YT_LIVE_TIMESTAMP!Z:Z,"★",0,-1))</f>
        <v>https://www.youtube.com/live/8eShd7lbOHQ?si=tMBt33Wr9js5gLMn&amp;t=1964s</v>
      </c>
    </row>
    <row r="212" spans="1:30" x14ac:dyDescent="0.4">
      <c r="A212" s="12" t="str">
        <v>How Crazy</v>
      </c>
      <c r="B212" s="12" t="str">
        <v>YUI</v>
      </c>
      <c r="C212" s="12" t="str">
        <f t="shared" si="9"/>
        <v>YUIHow Crazy</v>
      </c>
      <c r="AA212" s="14" t="str">
        <f t="shared" si="10"/>
        <v>YUI</v>
      </c>
      <c r="AB212" s="14" t="str">
        <f>_xlfn.XLOOKUP(AA212,M_ARTIST!A:A,M_ARTIST!B:B,"★★★",0,1)</f>
        <v>YUI</v>
      </c>
      <c r="AC212" s="14" t="str">
        <f t="shared" si="11"/>
        <v>How Crazy</v>
      </c>
      <c r="AD212" s="19" t="str">
        <f>HYPERLINK(_xlfn.XLOOKUP(C212,M_YT_LIVE_TIMESTAMP!AA:AA,M_YT_LIVE_TIMESTAMP!Z:Z,"★",0,-1))</f>
        <v>https://www.youtube.com/live/8eShd7lbOHQ?si=tMBt33Wr9js5gLMn&amp;t=2957s</v>
      </c>
    </row>
    <row r="213" spans="1:30" x14ac:dyDescent="0.4">
      <c r="A213" s="12" t="str">
        <v>Laugh away</v>
      </c>
      <c r="B213" s="12" t="str">
        <v>YUI</v>
      </c>
      <c r="C213" s="12" t="str">
        <f t="shared" si="9"/>
        <v>YUILaugh away</v>
      </c>
      <c r="AA213" s="14" t="str">
        <f t="shared" si="10"/>
        <v>YUI</v>
      </c>
      <c r="AB213" s="14" t="str">
        <f>_xlfn.XLOOKUP(AA213,M_ARTIST!A:A,M_ARTIST!B:B,"★★★",0,1)</f>
        <v>YUI</v>
      </c>
      <c r="AC213" s="14" t="str">
        <f t="shared" si="11"/>
        <v>Laugh away</v>
      </c>
      <c r="AD213" s="19" t="str">
        <f>HYPERLINK(_xlfn.XLOOKUP(C213,M_YT_LIVE_TIMESTAMP!AA:AA,M_YT_LIVE_TIMESTAMP!Z:Z,"★",0,-1))</f>
        <v>https://www.youtube.com/live/8eShd7lbOHQ?si=tMBt33Wr9js5gLMn&amp;t=1468s</v>
      </c>
    </row>
    <row r="214" spans="1:30" x14ac:dyDescent="0.4">
      <c r="A214" s="12" t="str">
        <v>Rolling star</v>
      </c>
      <c r="B214" s="12" t="str">
        <v>YUI</v>
      </c>
      <c r="C214" s="12" t="str">
        <f t="shared" si="9"/>
        <v>YUIRolling star</v>
      </c>
      <c r="AA214" s="14" t="str">
        <f t="shared" si="10"/>
        <v>YUI</v>
      </c>
      <c r="AB214" s="14" t="str">
        <f>_xlfn.XLOOKUP(AA214,M_ARTIST!A:A,M_ARTIST!B:B,"★★★",0,1)</f>
        <v>YUI</v>
      </c>
      <c r="AC214" s="14" t="str">
        <f t="shared" si="11"/>
        <v>Rolling star</v>
      </c>
      <c r="AD214" s="19" t="str">
        <f>HYPERLINK(_xlfn.XLOOKUP(C214,M_YT_LIVE_TIMESTAMP!AA:AA,M_YT_LIVE_TIMESTAMP!Z:Z,"★",0,-1))</f>
        <v>https://www.youtube.com/live/8eShd7lbOHQ?si=tMBt33Wr9js5gLMn&amp;t=3547s</v>
      </c>
    </row>
    <row r="215" spans="1:30" x14ac:dyDescent="0.4">
      <c r="A215" s="12" t="str">
        <v>SUMMER SONG</v>
      </c>
      <c r="B215" s="12" t="str">
        <v>YUI</v>
      </c>
      <c r="C215" s="12" t="str">
        <f t="shared" si="9"/>
        <v>YUISUMMER SONG</v>
      </c>
      <c r="AA215" s="14" t="str">
        <f t="shared" si="10"/>
        <v>YUI</v>
      </c>
      <c r="AB215" s="14" t="str">
        <f>_xlfn.XLOOKUP(AA215,M_ARTIST!A:A,M_ARTIST!B:B,"★★★",0,1)</f>
        <v>YUI</v>
      </c>
      <c r="AC215" s="14" t="str">
        <f t="shared" si="11"/>
        <v>SUMMER SONG</v>
      </c>
      <c r="AD215" s="19" t="str">
        <f>HYPERLINK(_xlfn.XLOOKUP(C215,M_YT_LIVE_TIMESTAMP!AA:AA,M_YT_LIVE_TIMESTAMP!Z:Z,"★",0,-1))</f>
        <v>https://www.youtube.com/live/nyXzxG79mwQ?si=kGuFyOuc0o-yNPOU&amp;t=2702s</v>
      </c>
    </row>
    <row r="216" spans="1:30" x14ac:dyDescent="0.4">
      <c r="A216" s="12" t="str">
        <v>Good-bye days</v>
      </c>
      <c r="B216" s="12" t="str">
        <v>YUI for 雨音薫</v>
      </c>
      <c r="C216" s="12" t="str">
        <f t="shared" si="9"/>
        <v>YUI for 雨音薫Good-bye days</v>
      </c>
      <c r="AA216" s="14" t="str">
        <f t="shared" si="10"/>
        <v>YUI for 雨音薫</v>
      </c>
      <c r="AB216" s="14" t="str">
        <f>_xlfn.XLOOKUP(AA216,M_ARTIST!A:A,M_ARTIST!B:B,"★★★",0,1)</f>
        <v>YUI for あまねかおる</v>
      </c>
      <c r="AC216" s="14" t="str">
        <f t="shared" si="11"/>
        <v>Good-bye days</v>
      </c>
      <c r="AD216" s="19" t="str">
        <f>HYPERLINK(_xlfn.XLOOKUP(C216,M_YT_LIVE_TIMESTAMP!AA:AA,M_YT_LIVE_TIMESTAMP!Z:Z,"★",0,-1))</f>
        <v>https://www.youtube.com/live/8eShd7lbOHQ?si=tMBt33Wr9js5gLMn&amp;t=4486s</v>
      </c>
    </row>
    <row r="217" spans="1:30" x14ac:dyDescent="0.4">
      <c r="A217" s="12" t="str">
        <v>カーストルーム</v>
      </c>
      <c r="B217" s="12" t="str">
        <v>ZAQ</v>
      </c>
      <c r="C217" s="12" t="str">
        <f t="shared" si="9"/>
        <v>ZAQカーストルーム</v>
      </c>
      <c r="AA217" s="14" t="str">
        <f t="shared" si="10"/>
        <v>ZAQ</v>
      </c>
      <c r="AB217" s="14" t="str">
        <f>_xlfn.XLOOKUP(AA217,M_ARTIST!A:A,M_ARTIST!B:B,"★★★",0,1)</f>
        <v>ZAQ</v>
      </c>
      <c r="AC217" s="14" t="str">
        <f t="shared" si="11"/>
        <v>カーストルーム</v>
      </c>
      <c r="AD217" s="19" t="str">
        <f>HYPERLINK(_xlfn.XLOOKUP(C217,M_YT_LIVE_TIMESTAMP!AA:AA,M_YT_LIVE_TIMESTAMP!Z:Z,"★",0,-1))</f>
        <v>https://www.youtube.com/live/JAK2m4FWxF0?si=Xy-B8lpcz7dX_b5n&amp;t=5909s</v>
      </c>
    </row>
    <row r="218" spans="1:30" x14ac:dyDescent="0.4">
      <c r="A218" s="12" t="str">
        <v>Snow halation</v>
      </c>
      <c r="B218" s="12" t="str">
        <v>μ‘s(ラブライブ!)</v>
      </c>
      <c r="C218" s="12" t="str">
        <f t="shared" si="9"/>
        <v>μ‘s(ラブライブ!)Snow halation</v>
      </c>
      <c r="AA218" s="14" t="str">
        <f t="shared" si="10"/>
        <v>μ‘s(ラブライブ!)</v>
      </c>
      <c r="AB218" s="14" t="str">
        <f>_xlfn.XLOOKUP(AA218,M_ARTIST!A:A,M_ARTIST!B:B,"★★★",0,1)</f>
        <v>μ‘s(らぶらいぶ!)</v>
      </c>
      <c r="AC218" s="14" t="str">
        <f t="shared" si="11"/>
        <v>Snow halation</v>
      </c>
      <c r="AD218" s="19" t="str">
        <f>HYPERLINK(_xlfn.XLOOKUP(C218,M_YT_LIVE_TIMESTAMP!AA:AA,M_YT_LIVE_TIMESTAMP!Z:Z,"★",0,-1))</f>
        <v>https://www.youtube.com/live/orkAkFl798M?si=7tK-YB5J1dGoAFWq&amp;t=2675s</v>
      </c>
    </row>
    <row r="219" spans="1:30" x14ac:dyDescent="0.4">
      <c r="A219" s="12" t="str">
        <v>ハルノヒ</v>
      </c>
      <c r="B219" s="12" t="str">
        <v>あいみょん</v>
      </c>
      <c r="C219" s="12" t="str">
        <f t="shared" si="9"/>
        <v>あいみょんハルノヒ</v>
      </c>
      <c r="AA219" s="14" t="str">
        <f t="shared" si="10"/>
        <v>あいみょん</v>
      </c>
      <c r="AB219" s="14" t="str">
        <f>_xlfn.XLOOKUP(AA219,M_ARTIST!A:A,M_ARTIST!B:B,"★★★",0,1)</f>
        <v>あいみょん</v>
      </c>
      <c r="AC219" s="14" t="str">
        <f t="shared" si="11"/>
        <v>ハルノヒ</v>
      </c>
      <c r="AD219" s="19" t="str">
        <f>HYPERLINK(_xlfn.XLOOKUP(C219,M_YT_LIVE_TIMESTAMP!AA:AA,M_YT_LIVE_TIMESTAMP!Z:Z,"★",0,-1))</f>
        <v>https://www.youtube.com/live/Z1v3sT_d6uU?si=epz4SGbUtnFLtw2-&amp;t=300s</v>
      </c>
    </row>
    <row r="220" spans="1:30" x14ac:dyDescent="0.4">
      <c r="A220" s="12" t="str">
        <v>マリーゴールド</v>
      </c>
      <c r="B220" s="12" t="str">
        <v>あいみょん</v>
      </c>
      <c r="C220" s="12" t="str">
        <f t="shared" si="9"/>
        <v>あいみょんマリーゴールド</v>
      </c>
      <c r="AA220" s="14" t="str">
        <f t="shared" si="10"/>
        <v>あいみょん</v>
      </c>
      <c r="AB220" s="14" t="str">
        <f>_xlfn.XLOOKUP(AA220,M_ARTIST!A:A,M_ARTIST!B:B,"★★★",0,1)</f>
        <v>あいみょん</v>
      </c>
      <c r="AC220" s="14" t="str">
        <f t="shared" si="11"/>
        <v>マリーゴールド</v>
      </c>
      <c r="AD220" s="19" t="str">
        <f>HYPERLINK(_xlfn.XLOOKUP(C220,M_YT_LIVE_TIMESTAMP!AA:AA,M_YT_LIVE_TIMESTAMP!Z:Z,"★",0,-1))</f>
        <v>https://www.youtube.com/live/lQQh4G5up3Y?si=U2BJIBIs-2OZdL6R&amp;t=1674s</v>
      </c>
    </row>
    <row r="221" spans="1:30" x14ac:dyDescent="0.4">
      <c r="A221" s="12" t="str">
        <v>今夜このまま</v>
      </c>
      <c r="B221" s="12" t="str">
        <v>あいみょん</v>
      </c>
      <c r="C221" s="12" t="str">
        <f t="shared" si="9"/>
        <v>あいみょん今夜このまま</v>
      </c>
      <c r="AA221" s="14" t="str">
        <f t="shared" si="10"/>
        <v>あいみょん</v>
      </c>
      <c r="AB221" s="14" t="str">
        <f>_xlfn.XLOOKUP(AA221,M_ARTIST!A:A,M_ARTIST!B:B,"★★★",0,1)</f>
        <v>あいみょん</v>
      </c>
      <c r="AC221" s="14" t="str">
        <f t="shared" si="11"/>
        <v>今夜このまま</v>
      </c>
      <c r="AD221" s="19" t="str">
        <f>HYPERLINK(_xlfn.XLOOKUP(C221,M_YT_LIVE_TIMESTAMP!AA:AA,M_YT_LIVE_TIMESTAMP!Z:Z,"★",0,-1))</f>
        <v>https://www.youtube.com/live/rowkHJneOgY?si=dzvDO_qNHD4fLHMQ&amp;t=3087s</v>
      </c>
    </row>
    <row r="222" spans="1:30" x14ac:dyDescent="0.4">
      <c r="A222" s="12" t="str">
        <v>Together</v>
      </c>
      <c r="B222" s="12" t="str">
        <v>あきよしふみえ</v>
      </c>
      <c r="C222" s="12" t="str">
        <f t="shared" si="9"/>
        <v>あきよしふみえTogether</v>
      </c>
      <c r="AA222" s="14" t="str">
        <f t="shared" si="10"/>
        <v>あきよしふみえ</v>
      </c>
      <c r="AB222" s="14" t="str">
        <f>_xlfn.XLOOKUP(AA222,M_ARTIST!A:A,M_ARTIST!B:B,"★★★",0,1)</f>
        <v>あきよしふみえ</v>
      </c>
      <c r="AC222" s="14" t="str">
        <f t="shared" si="11"/>
        <v>Together</v>
      </c>
      <c r="AD222" s="19" t="str">
        <f>HYPERLINK(_xlfn.XLOOKUP(C222,M_YT_LIVE_TIMESTAMP!AA:AA,M_YT_LIVE_TIMESTAMP!Z:Z,"★",0,-1))</f>
        <v>https://www.youtube.com/live/Yti72SsHzxs?si=qlI2gfa0I0wWYoH4&amp;t=1728s</v>
      </c>
    </row>
    <row r="223" spans="1:30" x14ac:dyDescent="0.4">
      <c r="A223" s="12" t="str">
        <v>じょいふる</v>
      </c>
      <c r="B223" s="12" t="str">
        <v>いきものがかり</v>
      </c>
      <c r="C223" s="12" t="str">
        <f t="shared" si="9"/>
        <v>いきものがかりじょいふる</v>
      </c>
      <c r="AA223" s="14" t="str">
        <f t="shared" si="10"/>
        <v>いきものがかり</v>
      </c>
      <c r="AB223" s="14" t="str">
        <f>_xlfn.XLOOKUP(AA223,M_ARTIST!A:A,M_ARTIST!B:B,"★★★",0,1)</f>
        <v>いきものがかり</v>
      </c>
      <c r="AC223" s="14" t="str">
        <f t="shared" si="11"/>
        <v>じょいふる</v>
      </c>
      <c r="AD223" s="19" t="str">
        <f>HYPERLINK(_xlfn.XLOOKUP(C223,M_YT_LIVE_TIMESTAMP!AA:AA,M_YT_LIVE_TIMESTAMP!Z:Z,"★",0,-1))</f>
        <v>https://www.youtube.com/live/DX8misWhJuA?si=x9BqkZPlvHen5SCl&amp;t=1636s</v>
      </c>
    </row>
    <row r="224" spans="1:30" x14ac:dyDescent="0.4">
      <c r="A224" s="12" t="str">
        <v>ブルーバード</v>
      </c>
      <c r="B224" s="12" t="str">
        <v>いきものがかり</v>
      </c>
      <c r="C224" s="12" t="str">
        <f t="shared" si="9"/>
        <v>いきものがかりブルーバード</v>
      </c>
      <c r="AA224" s="14" t="str">
        <f t="shared" si="10"/>
        <v>いきものがかり</v>
      </c>
      <c r="AB224" s="14" t="str">
        <f>_xlfn.XLOOKUP(AA224,M_ARTIST!A:A,M_ARTIST!B:B,"★★★",0,1)</f>
        <v>いきものがかり</v>
      </c>
      <c r="AC224" s="14" t="str">
        <f t="shared" si="11"/>
        <v>ブルーバード</v>
      </c>
      <c r="AD224" s="19" t="str">
        <f>HYPERLINK(_xlfn.XLOOKUP(C224,M_YT_LIVE_TIMESTAMP!AA:AA,M_YT_LIVE_TIMESTAMP!Z:Z,"★",0,-1))</f>
        <v>https://www.youtube.com/live/DX8misWhJuA?si=x9BqkZPlvHen5SCl&amp;t=1895s</v>
      </c>
    </row>
    <row r="225" spans="1:30" x14ac:dyDescent="0.4">
      <c r="A225" s="12" t="str">
        <v>気まぐれロマンティック</v>
      </c>
      <c r="B225" s="12" t="str">
        <v>いきものがかり</v>
      </c>
      <c r="C225" s="12" t="str">
        <f t="shared" si="9"/>
        <v>いきものがかり気まぐれロマンティック</v>
      </c>
      <c r="AA225" s="14" t="str">
        <f t="shared" si="10"/>
        <v>いきものがかり</v>
      </c>
      <c r="AB225" s="14" t="str">
        <f>_xlfn.XLOOKUP(AA225,M_ARTIST!A:A,M_ARTIST!B:B,"★★★",0,1)</f>
        <v>いきものがかり</v>
      </c>
      <c r="AC225" s="14" t="str">
        <f t="shared" si="11"/>
        <v>気まぐれロマンティック</v>
      </c>
      <c r="AD225" s="19" t="str">
        <f>HYPERLINK(_xlfn.XLOOKUP(C225,M_YT_LIVE_TIMESTAMP!AA:AA,M_YT_LIVE_TIMESTAMP!Z:Z,"★",0,-1))</f>
        <v>https://www.youtube.com/live/nyXzxG79mwQ?si=kGuFyOuc0o-yNPOU&amp;t=5372s</v>
      </c>
    </row>
    <row r="226" spans="1:30" x14ac:dyDescent="0.4">
      <c r="A226" s="12" t="str">
        <v>きゅうくらりん</v>
      </c>
      <c r="B226" s="12" t="str">
        <v>いよわ feat.可不</v>
      </c>
      <c r="C226" s="12" t="str">
        <f t="shared" si="9"/>
        <v>いよわ feat.可不きゅうくらりん</v>
      </c>
      <c r="AA226" s="14" t="str">
        <f t="shared" si="10"/>
        <v>いよわ feat.可不</v>
      </c>
      <c r="AB226" s="14" t="str">
        <f>_xlfn.XLOOKUP(AA226,M_ARTIST!A:A,M_ARTIST!B:B,"★★★",0,1)</f>
        <v>いよわ feat.かふ</v>
      </c>
      <c r="AC226" s="14" t="str">
        <f t="shared" si="11"/>
        <v>きゅうくらりん</v>
      </c>
      <c r="AD226" s="19" t="str">
        <f>HYPERLINK(_xlfn.XLOOKUP(C226,M_YT_LIVE_TIMESTAMP!AA:AA,M_YT_LIVE_TIMESTAMP!Z:Z,"★",0,-1))</f>
        <v>https://www.youtube.com/live/i7euCqiwzl4?si=Gvd-dBAI4nZ9HDpv&amp;t=4050s</v>
      </c>
    </row>
    <row r="227" spans="1:30" x14ac:dyDescent="0.4">
      <c r="A227" s="12" t="str">
        <v>Stay Alive</v>
      </c>
      <c r="B227" s="12" t="str">
        <v>エミリア(高橋李依)</v>
      </c>
      <c r="C227" s="12" t="str">
        <f t="shared" si="9"/>
        <v>エミリア(高橋李依)Stay Alive</v>
      </c>
      <c r="AA227" s="14" t="str">
        <f t="shared" si="10"/>
        <v>エミリア(高橋李依)</v>
      </c>
      <c r="AB227" s="14" t="str">
        <f>_xlfn.XLOOKUP(AA227,M_ARTIST!A:A,M_ARTIST!B:B,"★★★",0,1)</f>
        <v>えみりあ(たかはしりえ)</v>
      </c>
      <c r="AC227" s="14" t="str">
        <f t="shared" si="11"/>
        <v>Stay Alive</v>
      </c>
      <c r="AD227" s="19" t="str">
        <f>HYPERLINK(_xlfn.XLOOKUP(C227,M_YT_LIVE_TIMESTAMP!AA:AA,M_YT_LIVE_TIMESTAMP!Z:Z,"★",0,-1))</f>
        <v>https://www.youtube.com/live/wY3z5W9B8N0?si=FVqBjyoCdmcOKFxz&amp;t=4314s</v>
      </c>
    </row>
    <row r="228" spans="1:30" x14ac:dyDescent="0.4">
      <c r="A228" s="12" t="str">
        <v>青のすみか</v>
      </c>
      <c r="B228" s="12" t="str">
        <v>キタニタツヤ</v>
      </c>
      <c r="C228" s="12" t="str">
        <f t="shared" si="9"/>
        <v>キタニタツヤ青のすみか</v>
      </c>
      <c r="AA228" s="14" t="str">
        <f t="shared" si="10"/>
        <v>キタニタツヤ</v>
      </c>
      <c r="AB228" s="14" t="str">
        <f>_xlfn.XLOOKUP(AA228,M_ARTIST!A:A,M_ARTIST!B:B,"★★★",0,1)</f>
        <v>きたにたつや</v>
      </c>
      <c r="AC228" s="14" t="str">
        <f t="shared" si="11"/>
        <v>青のすみか</v>
      </c>
      <c r="AD228" s="19" t="str">
        <f>HYPERLINK(_xlfn.XLOOKUP(C228,M_YT_LIVE_TIMESTAMP!AA:AA,M_YT_LIVE_TIMESTAMP!Z:Z,"★",0,-1))</f>
        <v>https://www.youtube.com/live/UhIJMxJCcSo?si=d4Gic-mx0PwrsxJ-&amp;t=4594s</v>
      </c>
    </row>
    <row r="229" spans="1:30" x14ac:dyDescent="0.4">
      <c r="A229" s="12" t="str">
        <v>金木犀の夜</v>
      </c>
      <c r="B229" s="12" t="str">
        <v>きのこ帝国</v>
      </c>
      <c r="C229" s="12" t="str">
        <f t="shared" si="9"/>
        <v>きのこ帝国金木犀の夜</v>
      </c>
      <c r="AA229" s="14" t="str">
        <f t="shared" si="10"/>
        <v>きのこ帝国</v>
      </c>
      <c r="AB229" s="14" t="str">
        <f>_xlfn.XLOOKUP(AA229,M_ARTIST!A:A,M_ARTIST!B:B,"★★★",0,1)</f>
        <v>きのこていこく</v>
      </c>
      <c r="AC229" s="14" t="str">
        <f t="shared" si="11"/>
        <v>金木犀の夜</v>
      </c>
      <c r="AD229" s="19" t="str">
        <f>HYPERLINK(_xlfn.XLOOKUP(C229,M_YT_LIVE_TIMESTAMP!AA:AA,M_YT_LIVE_TIMESTAMP!Z:Z,"★",0,-1))</f>
        <v>https://www.youtube.com/live/hkpPXWM6LDY?si=pgl-HW7-u6yZjLAi&amp;t=2167s</v>
      </c>
    </row>
    <row r="230" spans="1:30" x14ac:dyDescent="0.4">
      <c r="A230" s="12" t="str">
        <v>東京</v>
      </c>
      <c r="B230" s="12" t="str">
        <v>きのこ帝国</v>
      </c>
      <c r="C230" s="12" t="str">
        <f t="shared" si="9"/>
        <v>きのこ帝国東京</v>
      </c>
      <c r="AA230" s="14" t="str">
        <f t="shared" si="10"/>
        <v>きのこ帝国</v>
      </c>
      <c r="AB230" s="14" t="str">
        <f>_xlfn.XLOOKUP(AA230,M_ARTIST!A:A,M_ARTIST!B:B,"★★★",0,1)</f>
        <v>きのこていこく</v>
      </c>
      <c r="AC230" s="14" t="str">
        <f t="shared" si="11"/>
        <v>東京</v>
      </c>
      <c r="AD230" s="19" t="str">
        <f>HYPERLINK(_xlfn.XLOOKUP(C230,M_YT_LIVE_TIMESTAMP!AA:AA,M_YT_LIVE_TIMESTAMP!Z:Z,"★",0,-1))</f>
        <v>https://www.youtube.com/live/7AO0pzyJtLE?si=5iKHGNjfGH8OxSY8&amp;t=3166s</v>
      </c>
    </row>
    <row r="231" spans="1:30" x14ac:dyDescent="0.4">
      <c r="A231" s="12" t="str">
        <v>エロ</v>
      </c>
      <c r="B231" s="12" t="str">
        <v>クリープハイプ</v>
      </c>
      <c r="C231" s="12" t="str">
        <f t="shared" si="9"/>
        <v>クリープハイプエロ</v>
      </c>
      <c r="AA231" s="14" t="str">
        <f t="shared" si="10"/>
        <v>クリープハイプ</v>
      </c>
      <c r="AB231" s="14" t="str">
        <f>_xlfn.XLOOKUP(AA231,M_ARTIST!A:A,M_ARTIST!B:B,"★★★",0,1)</f>
        <v>くりーぷはいぷ</v>
      </c>
      <c r="AC231" s="14" t="str">
        <f t="shared" si="11"/>
        <v>エロ</v>
      </c>
      <c r="AD231" s="19" t="str">
        <f>HYPERLINK(_xlfn.XLOOKUP(C231,M_YT_LIVE_TIMESTAMP!AA:AA,M_YT_LIVE_TIMESTAMP!Z:Z,"★",0,-1))</f>
        <v>https://www.youtube.com/live/5-PHEYq6a-Y?si=i1qN4inKhZc0prZ-&amp;t=6520s</v>
      </c>
    </row>
    <row r="232" spans="1:30" x14ac:dyDescent="0.4">
      <c r="A232" s="12" t="str">
        <v>おやすみ、泣き声 さよなら歌姫</v>
      </c>
      <c r="B232" s="12" t="str">
        <v>クリープハイプ</v>
      </c>
      <c r="C232" s="12" t="str">
        <f t="shared" si="9"/>
        <v>クリープハイプおやすみ、泣き声 さよなら歌姫</v>
      </c>
      <c r="AA232" s="14" t="str">
        <f t="shared" si="10"/>
        <v>クリープハイプ</v>
      </c>
      <c r="AB232" s="14" t="str">
        <f>_xlfn.XLOOKUP(AA232,M_ARTIST!A:A,M_ARTIST!B:B,"★★★",0,1)</f>
        <v>くりーぷはいぷ</v>
      </c>
      <c r="AC232" s="14" t="str">
        <f t="shared" si="11"/>
        <v>おやすみ、泣き声 さよなら歌姫</v>
      </c>
      <c r="AD232" s="19" t="str">
        <f>HYPERLINK(_xlfn.XLOOKUP(C232,M_YT_LIVE_TIMESTAMP!AA:AA,M_YT_LIVE_TIMESTAMP!Z:Z,"★",0,-1))</f>
        <v>https://www.youtube.com/live/Cs48limSzrE?si=n8CFockH4OVXGSvE&amp;t=4957s</v>
      </c>
    </row>
    <row r="233" spans="1:30" x14ac:dyDescent="0.4">
      <c r="A233" s="12" t="str">
        <v>鬼</v>
      </c>
      <c r="B233" s="12" t="str">
        <v>クリープハイプ</v>
      </c>
      <c r="C233" s="12" t="str">
        <f t="shared" si="9"/>
        <v>クリープハイプ鬼</v>
      </c>
      <c r="AA233" s="14" t="str">
        <f t="shared" si="10"/>
        <v>クリープハイプ</v>
      </c>
      <c r="AB233" s="14" t="str">
        <f>_xlfn.XLOOKUP(AA233,M_ARTIST!A:A,M_ARTIST!B:B,"★★★",0,1)</f>
        <v>くりーぷはいぷ</v>
      </c>
      <c r="AC233" s="14" t="str">
        <f t="shared" si="11"/>
        <v>鬼</v>
      </c>
      <c r="AD233" s="19" t="str">
        <f>HYPERLINK(_xlfn.XLOOKUP(C233,M_YT_LIVE_TIMESTAMP!AA:AA,M_YT_LIVE_TIMESTAMP!Z:Z,"★",0,-1))</f>
        <v>https://www.youtube.com/live/5-PHEYq6a-Y?si=i1qN4inKhZc0prZ-&amp;t=6792s</v>
      </c>
    </row>
    <row r="234" spans="1:30" x14ac:dyDescent="0.4">
      <c r="A234" s="12" t="str">
        <v>社会の窓</v>
      </c>
      <c r="B234" s="12" t="str">
        <v>クリープハイプ</v>
      </c>
      <c r="C234" s="12" t="str">
        <f t="shared" si="9"/>
        <v>クリープハイプ社会の窓</v>
      </c>
      <c r="AA234" s="14" t="str">
        <f t="shared" si="10"/>
        <v>クリープハイプ</v>
      </c>
      <c r="AB234" s="14" t="str">
        <f>_xlfn.XLOOKUP(AA234,M_ARTIST!A:A,M_ARTIST!B:B,"★★★",0,1)</f>
        <v>くりーぷはいぷ</v>
      </c>
      <c r="AC234" s="14" t="str">
        <f t="shared" si="11"/>
        <v>社会の窓</v>
      </c>
      <c r="AD234" s="19" t="str">
        <f>HYPERLINK(_xlfn.XLOOKUP(C234,M_YT_LIVE_TIMESTAMP!AA:AA,M_YT_LIVE_TIMESTAMP!Z:Z,"★",0,-1))</f>
        <v>https://www.youtube.com/live/5-PHEYq6a-Y?si=i1qN4inKhZc0prZ-&amp;t=6174s</v>
      </c>
    </row>
    <row r="235" spans="1:30" x14ac:dyDescent="0.4">
      <c r="A235" s="12" t="str">
        <v>憂、燦々</v>
      </c>
      <c r="B235" s="12" t="str">
        <v>クリープハイプ</v>
      </c>
      <c r="C235" s="12" t="str">
        <f t="shared" si="9"/>
        <v>クリープハイプ憂、燦々</v>
      </c>
      <c r="AA235" s="14" t="str">
        <f t="shared" si="10"/>
        <v>クリープハイプ</v>
      </c>
      <c r="AB235" s="14" t="str">
        <f>_xlfn.XLOOKUP(AA235,M_ARTIST!A:A,M_ARTIST!B:B,"★★★",0,1)</f>
        <v>くりーぷはいぷ</v>
      </c>
      <c r="AC235" s="14" t="str">
        <f t="shared" si="11"/>
        <v>憂、燦々</v>
      </c>
      <c r="AD235" s="19" t="str">
        <f>HYPERLINK(_xlfn.XLOOKUP(C235,M_YT_LIVE_TIMESTAMP!AA:AA,M_YT_LIVE_TIMESTAMP!Z:Z,"★",0,-1))</f>
        <v>https://www.youtube.com/live/5-PHEYq6a-Y?si=i1qN4inKhZc0prZ-&amp;t=7224s</v>
      </c>
    </row>
    <row r="236" spans="1:30" x14ac:dyDescent="0.4">
      <c r="A236" s="12" t="str">
        <v>栞</v>
      </c>
      <c r="B236" s="12" t="str">
        <v>クリープハイプ</v>
      </c>
      <c r="C236" s="12" t="str">
        <f t="shared" si="9"/>
        <v>クリープハイプ栞</v>
      </c>
      <c r="AA236" s="14" t="str">
        <f t="shared" si="10"/>
        <v>クリープハイプ</v>
      </c>
      <c r="AB236" s="14" t="str">
        <f>_xlfn.XLOOKUP(AA236,M_ARTIST!A:A,M_ARTIST!B:B,"★★★",0,1)</f>
        <v>くりーぷはいぷ</v>
      </c>
      <c r="AC236" s="14" t="str">
        <f t="shared" si="11"/>
        <v>栞</v>
      </c>
      <c r="AD236" s="19" t="str">
        <f>HYPERLINK(_xlfn.XLOOKUP(C236,M_YT_LIVE_TIMESTAMP!AA:AA,M_YT_LIVE_TIMESTAMP!Z:Z,"★",0,-1))</f>
        <v>https://www.youtube.com/live/Yti72SsHzxs?si=qlI2gfa0I0wWYoH4&amp;t=347s</v>
      </c>
    </row>
    <row r="237" spans="1:30" x14ac:dyDescent="0.4">
      <c r="A237" s="12" t="str">
        <v>蕾</v>
      </c>
      <c r="B237" s="12" t="str">
        <v>コブクロ</v>
      </c>
      <c r="C237" s="12" t="str">
        <f t="shared" si="9"/>
        <v>コブクロ蕾</v>
      </c>
      <c r="AA237" s="14" t="str">
        <f t="shared" si="10"/>
        <v>コブクロ</v>
      </c>
      <c r="AB237" s="14" t="str">
        <f>_xlfn.XLOOKUP(AA237,M_ARTIST!A:A,M_ARTIST!B:B,"★★★",0,1)</f>
        <v>こぶくろ</v>
      </c>
      <c r="AC237" s="14" t="str">
        <f t="shared" si="11"/>
        <v>蕾</v>
      </c>
      <c r="AD237" s="19" t="str">
        <f>HYPERLINK(_xlfn.XLOOKUP(C237,M_YT_LIVE_TIMESTAMP!AA:AA,M_YT_LIVE_TIMESTAMP!Z:Z,"★",0,-1))</f>
        <v>https://www.youtube.com/live/DX8misWhJuA?si=x9BqkZPlvHen5SCl&amp;t=4812s</v>
      </c>
    </row>
    <row r="238" spans="1:30" x14ac:dyDescent="0.4">
      <c r="A238" s="12" t="str">
        <v>記憶の水槽</v>
      </c>
      <c r="B238" s="12" t="str">
        <v>こんにちは谷田さん(キタニタツヤ) feat.初音ミク</v>
      </c>
      <c r="C238" s="12" t="str">
        <f t="shared" si="9"/>
        <v>こんにちは谷田さん(キタニタツヤ) feat.初音ミク記憶の水槽</v>
      </c>
      <c r="AA238" s="14" t="str">
        <f t="shared" si="10"/>
        <v>こんにちは谷田さん(キタニタツヤ) feat.初音ミク</v>
      </c>
      <c r="AB238" s="14" t="str">
        <f>_xlfn.XLOOKUP(AA238,M_ARTIST!A:A,M_ARTIST!B:B,"★★★",0,1)</f>
        <v>こんにちはたにたさん(きたにたつや) feat.はつねみく</v>
      </c>
      <c r="AC238" s="14" t="str">
        <f t="shared" si="11"/>
        <v>記憶の水槽</v>
      </c>
      <c r="AD238" s="19" t="str">
        <f>HYPERLINK(_xlfn.XLOOKUP(C238,M_YT_LIVE_TIMESTAMP!AA:AA,M_YT_LIVE_TIMESTAMP!Z:Z,"★",0,-1))</f>
        <v>https://www.youtube.com/live/hkpPXWM6LDY?si=pgl-HW7-u6yZjLAi&amp;t=1752s</v>
      </c>
    </row>
    <row r="239" spans="1:30" x14ac:dyDescent="0.4">
      <c r="A239" s="12" t="str">
        <v>ミュージック</v>
      </c>
      <c r="B239" s="12" t="str">
        <v>サカナクション</v>
      </c>
      <c r="C239" s="12" t="str">
        <f t="shared" si="9"/>
        <v>サカナクションミュージック</v>
      </c>
      <c r="AA239" s="14" t="str">
        <f t="shared" si="10"/>
        <v>サカナクション</v>
      </c>
      <c r="AB239" s="14" t="str">
        <f>_xlfn.XLOOKUP(AA239,M_ARTIST!A:A,M_ARTIST!B:B,"★★★",0,1)</f>
        <v>さかなくしょん</v>
      </c>
      <c r="AC239" s="14" t="str">
        <f t="shared" si="11"/>
        <v>ミュージック</v>
      </c>
      <c r="AD239" s="19" t="str">
        <f>HYPERLINK(_xlfn.XLOOKUP(C239,M_YT_LIVE_TIMESTAMP!AA:AA,M_YT_LIVE_TIMESTAMP!Z:Z,"★",0,-1))</f>
        <v>https://www.youtube.com/live/Cs48limSzrE?si=n8CFockH4OVXGSvE&amp;t=5540s</v>
      </c>
    </row>
    <row r="240" spans="1:30" x14ac:dyDescent="0.4">
      <c r="A240" s="12" t="str">
        <v>新宝島</v>
      </c>
      <c r="B240" s="12" t="str">
        <v>サカナクション</v>
      </c>
      <c r="C240" s="12" t="str">
        <f t="shared" si="9"/>
        <v>サカナクション新宝島</v>
      </c>
      <c r="AA240" s="14" t="str">
        <f t="shared" si="10"/>
        <v>サカナクション</v>
      </c>
      <c r="AB240" s="14" t="str">
        <f>_xlfn.XLOOKUP(AA240,M_ARTIST!A:A,M_ARTIST!B:B,"★★★",0,1)</f>
        <v>さかなくしょん</v>
      </c>
      <c r="AC240" s="14" t="str">
        <f t="shared" si="11"/>
        <v>新宝島</v>
      </c>
      <c r="AD240" s="19" t="str">
        <f>HYPERLINK(_xlfn.XLOOKUP(C240,M_YT_LIVE_TIMESTAMP!AA:AA,M_YT_LIVE_TIMESTAMP!Z:Z,"★",0,-1))</f>
        <v>https://www.youtube.com/live/rowkHJneOgY?si=dzvDO_qNHD4fLHMQ&amp;t=6156s</v>
      </c>
    </row>
    <row r="241" spans="1:30" x14ac:dyDescent="0.4">
      <c r="A241" s="12" t="str">
        <v>グッドバイ</v>
      </c>
      <c r="B241" s="12" t="str">
        <v>サクナクション</v>
      </c>
      <c r="C241" s="12" t="str">
        <f t="shared" si="9"/>
        <v>サクナクショングッドバイ</v>
      </c>
      <c r="AA241" s="14" t="str">
        <f t="shared" si="10"/>
        <v>サクナクション</v>
      </c>
      <c r="AB241" s="14" t="str">
        <f>_xlfn.XLOOKUP(AA241,M_ARTIST!A:A,M_ARTIST!B:B,"★★★",0,1)</f>
        <v>★★★</v>
      </c>
      <c r="AC241" s="14" t="str">
        <f t="shared" si="11"/>
        <v>グッドバイ</v>
      </c>
      <c r="AD241" s="19" t="str">
        <f>HYPERLINK(_xlfn.XLOOKUP(C241,M_YT_LIVE_TIMESTAMP!AA:AA,M_YT_LIVE_TIMESTAMP!Z:Z,"★",0,-1))</f>
        <v>https://www.youtube.com/live/TDYlHpN4h0s?si=ysSy7YIPSXU6T0nx&amp;t=1308s</v>
      </c>
    </row>
    <row r="242" spans="1:30" x14ac:dyDescent="0.4">
      <c r="A242" s="12" t="str">
        <v>ハロー、プラネット。</v>
      </c>
      <c r="B242" s="12" t="str">
        <v>ささくれ。P feat.初音ミク</v>
      </c>
      <c r="C242" s="12" t="str">
        <f t="shared" si="9"/>
        <v>ささくれ。P feat.初音ミクハロー、プラネット。</v>
      </c>
      <c r="AA242" s="14" t="str">
        <f t="shared" si="10"/>
        <v>ささくれ。P feat.初音ミク</v>
      </c>
      <c r="AB242" s="14" t="str">
        <f>_xlfn.XLOOKUP(AA242,M_ARTIST!A:A,M_ARTIST!B:B,"★★★",0,1)</f>
        <v>ささくれ。P feat.はつねみく</v>
      </c>
      <c r="AC242" s="14" t="str">
        <f t="shared" si="11"/>
        <v>ハロー、プラネット。</v>
      </c>
      <c r="AD242" s="19" t="str">
        <f>HYPERLINK(_xlfn.XLOOKUP(C242,M_YT_LIVE_TIMESTAMP!AA:AA,M_YT_LIVE_TIMESTAMP!Z:Z,"★",0,-1))</f>
        <v>https://www.youtube.com/live/EIV2fME4Fec?si=lkzDtJEJ9agzd2Md&amp;t=7800s</v>
      </c>
    </row>
    <row r="243" spans="1:30" x14ac:dyDescent="0.4">
      <c r="A243" s="12" t="str">
        <v>ミカヅキ</v>
      </c>
      <c r="B243" s="12" t="str">
        <v>さユリ</v>
      </c>
      <c r="C243" s="12" t="str">
        <f t="shared" si="9"/>
        <v>さユリミカヅキ</v>
      </c>
      <c r="AA243" s="14" t="str">
        <f t="shared" si="10"/>
        <v>さユリ</v>
      </c>
      <c r="AB243" s="14" t="str">
        <f>_xlfn.XLOOKUP(AA243,M_ARTIST!A:A,M_ARTIST!B:B,"★★★",0,1)</f>
        <v>★★★</v>
      </c>
      <c r="AC243" s="14" t="str">
        <f t="shared" si="11"/>
        <v>ミカヅキ</v>
      </c>
      <c r="AD243" s="19" t="str">
        <f>HYPERLINK(_xlfn.XLOOKUP(C243,M_YT_LIVE_TIMESTAMP!AA:AA,M_YT_LIVE_TIMESTAMP!Z:Z,"★",0,-1))</f>
        <v>https://www.youtube.com/live/TDYlHpN4h0s?si=ysSy7YIPSXU6T0nx&amp;t=4005s</v>
      </c>
    </row>
    <row r="244" spans="1:30" x14ac:dyDescent="0.4">
      <c r="A244" s="12" t="str">
        <v>フラレガイガール</v>
      </c>
      <c r="B244" s="12" t="str">
        <v>さユり</v>
      </c>
      <c r="C244" s="12" t="str">
        <f t="shared" si="9"/>
        <v>さユりフラレガイガール</v>
      </c>
      <c r="AA244" s="14" t="str">
        <f t="shared" si="10"/>
        <v>さユり</v>
      </c>
      <c r="AB244" s="14" t="str">
        <f>_xlfn.XLOOKUP(AA244,M_ARTIST!A:A,M_ARTIST!B:B,"★★★",0,1)</f>
        <v>さゆり</v>
      </c>
      <c r="AC244" s="14" t="str">
        <f t="shared" si="11"/>
        <v>フラレガイガール</v>
      </c>
      <c r="AD244" s="19" t="str">
        <f>HYPERLINK(_xlfn.XLOOKUP(C244,M_YT_LIVE_TIMESTAMP!AA:AA,M_YT_LIVE_TIMESTAMP!Z:Z,"★",0,-1))</f>
        <v>https://www.youtube.com/live/TDYlHpN4h0s?si=ysSy7YIPSXU6T0nx&amp;t=3427s</v>
      </c>
    </row>
    <row r="245" spans="1:30" x14ac:dyDescent="0.4">
      <c r="A245" s="12" t="str">
        <v>ミカヅキ</v>
      </c>
      <c r="B245" s="12" t="str">
        <v>さユり</v>
      </c>
      <c r="C245" s="12" t="str">
        <f t="shared" si="9"/>
        <v>さユりミカヅキ</v>
      </c>
      <c r="AA245" s="14" t="str">
        <f t="shared" si="10"/>
        <v>さユり</v>
      </c>
      <c r="AB245" s="14" t="str">
        <f>_xlfn.XLOOKUP(AA245,M_ARTIST!A:A,M_ARTIST!B:B,"★★★",0,1)</f>
        <v>さゆり</v>
      </c>
      <c r="AC245" s="14" t="str">
        <f t="shared" si="11"/>
        <v>ミカヅキ</v>
      </c>
      <c r="AD245" s="19" t="str">
        <f>HYPERLINK(_xlfn.XLOOKUP(C245,M_YT_LIVE_TIMESTAMP!AA:AA,M_YT_LIVE_TIMESTAMP!Z:Z,"★",0,-1))</f>
        <v>https://www.youtube.com/live/BTi31luRntI?si=HKZA9dD6UF6pnPvq&amp;t=2880s</v>
      </c>
    </row>
    <row r="246" spans="1:30" x14ac:dyDescent="0.4">
      <c r="A246" s="12" t="str">
        <v>花の塔</v>
      </c>
      <c r="B246" s="12" t="str">
        <v>さユり</v>
      </c>
      <c r="C246" s="12" t="str">
        <f t="shared" si="9"/>
        <v>さユり花の塔</v>
      </c>
      <c r="AA246" s="14" t="str">
        <f t="shared" si="10"/>
        <v>さユり</v>
      </c>
      <c r="AB246" s="14" t="str">
        <f>_xlfn.XLOOKUP(AA246,M_ARTIST!A:A,M_ARTIST!B:B,"★★★",0,1)</f>
        <v>さゆり</v>
      </c>
      <c r="AC246" s="14" t="str">
        <f t="shared" si="11"/>
        <v>花の塔</v>
      </c>
      <c r="AD246" s="19" t="str">
        <f>HYPERLINK(_xlfn.XLOOKUP(C246,M_YT_LIVE_TIMESTAMP!AA:AA,M_YT_LIVE_TIMESTAMP!Z:Z,"★",0,-1))</f>
        <v>https://www.youtube.com/live/8yfLYQayxQg?si=O0Q0AXQXC39nd7WJ&amp;t=8628s</v>
      </c>
    </row>
    <row r="247" spans="1:30" x14ac:dyDescent="0.4">
      <c r="A247" s="12" t="str">
        <v>平行線</v>
      </c>
      <c r="B247" s="12" t="str">
        <v>さユり</v>
      </c>
      <c r="C247" s="12" t="str">
        <f t="shared" si="9"/>
        <v>さユり平行線</v>
      </c>
      <c r="AA247" s="14" t="str">
        <f t="shared" si="10"/>
        <v>さユり</v>
      </c>
      <c r="AB247" s="14" t="str">
        <f>_xlfn.XLOOKUP(AA247,M_ARTIST!A:A,M_ARTIST!B:B,"★★★",0,1)</f>
        <v>さゆり</v>
      </c>
      <c r="AC247" s="14" t="str">
        <f t="shared" si="11"/>
        <v>平行線</v>
      </c>
      <c r="AD247" s="19" t="str">
        <f>HYPERLINK(_xlfn.XLOOKUP(C247,M_YT_LIVE_TIMESTAMP!AA:AA,M_YT_LIVE_TIMESTAMP!Z:Z,"★",0,-1))</f>
        <v>https://www.youtube.com/live/BTi31luRntI?si=HKZA9dD6UF6pnPvq&amp;t=3349s</v>
      </c>
    </row>
    <row r="248" spans="1:30" x14ac:dyDescent="0.4">
      <c r="A248" s="12" t="str">
        <v>しんでしまうとはなさけない!</v>
      </c>
      <c r="B248" s="12" t="str">
        <v>じーざすP（WONDERFUL★OPPORTUNITY!） feat.鏡音リン&amp;鏡音レン</v>
      </c>
      <c r="C248" s="12" t="str">
        <f t="shared" si="9"/>
        <v>じーざすP（WONDERFUL★OPPORTUNITY!） feat.鏡音リン&amp;鏡音レンしんでしまうとはなさけない!</v>
      </c>
      <c r="AA248" s="14" t="str">
        <f t="shared" si="10"/>
        <v>じーざすP（WONDERFUL★OPPORTUNITY!） feat.鏡音リン&amp;鏡音レン</v>
      </c>
      <c r="AB248" s="14" t="str">
        <f>_xlfn.XLOOKUP(AA248,M_ARTIST!A:A,M_ARTIST!B:B,"★★★",0,1)</f>
        <v>じーざすP（WONDERFUL★OPPORTUNITY!） feat.かがみねりん&amp;かがみねれん</v>
      </c>
      <c r="AC248" s="14" t="str">
        <f t="shared" si="11"/>
        <v>しんでしまうとはなさけない!</v>
      </c>
      <c r="AD248" s="19" t="str">
        <f>HYPERLINK(_xlfn.XLOOKUP(C248,M_YT_LIVE_TIMESTAMP!AA:AA,M_YT_LIVE_TIMESTAMP!Z:Z,"★",0,-1))</f>
        <v>https://www.youtube.com/live/bXG5ottJZas?si=VsjzjU8RreUrJGd3&amp;t=3241s</v>
      </c>
    </row>
    <row r="249" spans="1:30" x14ac:dyDescent="0.4">
      <c r="A249" s="12" t="str">
        <v>ダイアモンドクレバス</v>
      </c>
      <c r="B249" s="12" t="str">
        <v>シェリル・ノーム starring May'n</v>
      </c>
      <c r="C249" s="12" t="str">
        <f t="shared" si="9"/>
        <v>シェリル・ノーム starring May'nダイアモンドクレバス</v>
      </c>
      <c r="AA249" s="14" t="str">
        <f t="shared" si="10"/>
        <v>シェリル・ノーム starring May'n</v>
      </c>
      <c r="AB249" s="14" t="str">
        <f>_xlfn.XLOOKUP(AA249,M_ARTIST!A:A,M_ARTIST!B:B,"★★★",0,1)</f>
        <v>しぇりる・のーむ starring May'n</v>
      </c>
      <c r="AC249" s="14" t="str">
        <f t="shared" si="11"/>
        <v>ダイアモンドクレバス</v>
      </c>
      <c r="AD249" s="19" t="str">
        <f>HYPERLINK(_xlfn.XLOOKUP(C249,M_YT_LIVE_TIMESTAMP!AA:AA,M_YT_LIVE_TIMESTAMP!Z:Z,"★",0,-1))</f>
        <v>https://www.youtube.com/live/GvGh24EJfGg?si=QLYBryRLPz4v_Qdl&amp;t=10341s</v>
      </c>
    </row>
    <row r="250" spans="1:30" x14ac:dyDescent="0.4">
      <c r="A250" s="12" t="str">
        <v>ノーザンクロス</v>
      </c>
      <c r="B250" s="12" t="str">
        <v>シェリル・ノーム starring May'n</v>
      </c>
      <c r="C250" s="12" t="str">
        <f t="shared" si="9"/>
        <v>シェリル・ノーム starring May'nノーザンクロス</v>
      </c>
      <c r="AA250" s="14" t="str">
        <f t="shared" si="10"/>
        <v>シェリル・ノーム starring May'n</v>
      </c>
      <c r="AB250" s="14" t="str">
        <f>_xlfn.XLOOKUP(AA250,M_ARTIST!A:A,M_ARTIST!B:B,"★★★",0,1)</f>
        <v>しぇりる・のーむ starring May'n</v>
      </c>
      <c r="AC250" s="14" t="str">
        <f t="shared" si="11"/>
        <v>ノーザンクロス</v>
      </c>
      <c r="AD250" s="19" t="str">
        <f>HYPERLINK(_xlfn.XLOOKUP(C250,M_YT_LIVE_TIMESTAMP!AA:AA,M_YT_LIVE_TIMESTAMP!Z:Z,"★",0,-1))</f>
        <v>https://www.youtube.com/live/JAK2m4FWxF0?si=Xy-B8lpcz7dX_b5n&amp;t=2012s</v>
      </c>
    </row>
    <row r="251" spans="1:30" x14ac:dyDescent="0.4">
      <c r="A251" s="12" t="str">
        <v>射手座☆午後九時Don't be late</v>
      </c>
      <c r="B251" s="12" t="str">
        <v>シェリル・ノーム starring May'n</v>
      </c>
      <c r="C251" s="12" t="str">
        <f t="shared" si="9"/>
        <v>シェリル・ノーム starring May'n射手座☆午後九時Don't be late</v>
      </c>
      <c r="AA251" s="14" t="str">
        <f t="shared" si="10"/>
        <v>シェリル・ノーム starring May'n</v>
      </c>
      <c r="AB251" s="14" t="str">
        <f>_xlfn.XLOOKUP(AA251,M_ARTIST!A:A,M_ARTIST!B:B,"★★★",0,1)</f>
        <v>しぇりる・のーむ starring May'n</v>
      </c>
      <c r="AC251" s="14" t="str">
        <f t="shared" si="11"/>
        <v>射手座☆午後九時Don't be late</v>
      </c>
      <c r="AD251" s="19" t="str">
        <f>HYPERLINK(_xlfn.XLOOKUP(C251,M_YT_LIVE_TIMESTAMP!AA:AA,M_YT_LIVE_TIMESTAMP!Z:Z,"★",0,-1))</f>
        <v>https://www.youtube.com/live/JAK2m4FWxF0?si=Xy-B8lpcz7dX_b5n&amp;t=1113s</v>
      </c>
    </row>
    <row r="252" spans="1:30" x14ac:dyDescent="0.4">
      <c r="A252" s="12" t="str">
        <v>ライオン</v>
      </c>
      <c r="B252" s="12" t="str">
        <v>シェリル・ノーム starring May'n&amp;ランカ・リー(CV.中島愛)</v>
      </c>
      <c r="C252" s="12" t="str">
        <f t="shared" si="9"/>
        <v>シェリル・ノーム starring May'n&amp;ランカ・リー(CV.中島愛)ライオン</v>
      </c>
      <c r="AA252" s="14" t="str">
        <f t="shared" si="10"/>
        <v>シェリル・ノーム starring May'n&amp;ランカ・リー(CV.中島愛)</v>
      </c>
      <c r="AB252" s="14" t="str">
        <f>_xlfn.XLOOKUP(AA252,M_ARTIST!A:A,M_ARTIST!B:B,"★★★",0,1)</f>
        <v>しぇりる・のーむ starring May'n&amp;らんか・りー(CV.なかじまめぐみ)</v>
      </c>
      <c r="AC252" s="14" t="str">
        <f t="shared" si="11"/>
        <v>ライオン</v>
      </c>
      <c r="AD252" s="19" t="str">
        <f>HYPERLINK(_xlfn.XLOOKUP(C252,M_YT_LIVE_TIMESTAMP!AA:AA,M_YT_LIVE_TIMESTAMP!Z:Z,"★",0,-1))</f>
        <v>https://www.youtube.com/live/NkjXzUMUZpw?si=EmGBj6Hh6tIlwjGQ&amp;t=892s</v>
      </c>
    </row>
    <row r="253" spans="1:30" x14ac:dyDescent="0.4">
      <c r="A253" s="12" t="str">
        <v>ナナヒツジ</v>
      </c>
      <c r="B253" s="12" t="str">
        <v>シナリオアート</v>
      </c>
      <c r="C253" s="12" t="str">
        <f t="shared" si="9"/>
        <v>シナリオアートナナヒツジ</v>
      </c>
      <c r="AA253" s="14" t="str">
        <f t="shared" si="10"/>
        <v>シナリオアート</v>
      </c>
      <c r="AB253" s="14" t="str">
        <f>_xlfn.XLOOKUP(AA253,M_ARTIST!A:A,M_ARTIST!B:B,"★★★",0,1)</f>
        <v>しなりおあーと</v>
      </c>
      <c r="AC253" s="14" t="str">
        <f t="shared" si="11"/>
        <v>ナナヒツジ</v>
      </c>
      <c r="AD253" s="19" t="str">
        <f>HYPERLINK(_xlfn.XLOOKUP(C253,M_YT_LIVE_TIMESTAMP!AA:AA,M_YT_LIVE_TIMESTAMP!Z:Z,"★",0,-1))</f>
        <v>https://www.youtube.com/live/cHLqE4AOOjI?si=heDnYTUAoUpLyQ_J&amp;t=2432s</v>
      </c>
    </row>
    <row r="254" spans="1:30" x14ac:dyDescent="0.4">
      <c r="A254" s="12" t="str">
        <v>No Logic</v>
      </c>
      <c r="B254" s="12" t="str">
        <v>ジミーサムP feat.巡音ルカ</v>
      </c>
      <c r="C254" s="12" t="str">
        <f t="shared" si="9"/>
        <v>ジミーサムP feat.巡音ルカNo Logic</v>
      </c>
      <c r="AA254" s="14" t="str">
        <f t="shared" si="10"/>
        <v>ジミーサムP feat.巡音ルカ</v>
      </c>
      <c r="AB254" s="14" t="str">
        <f>_xlfn.XLOOKUP(AA254,M_ARTIST!A:A,M_ARTIST!B:B,"★★★",0,1)</f>
        <v>じみーさむP feat.めぐりねるか</v>
      </c>
      <c r="AC254" s="14" t="str">
        <f t="shared" si="11"/>
        <v>No Logic</v>
      </c>
      <c r="AD254" s="19" t="str">
        <f>HYPERLINK(_xlfn.XLOOKUP(C254,M_YT_LIVE_TIMESTAMP!AA:AA,M_YT_LIVE_TIMESTAMP!Z:Z,"★",0,-1))</f>
        <v>https://www.youtube.com/live/bXG5ottJZas?si=VsjzjU8RreUrJGd3&amp;t=3639s</v>
      </c>
    </row>
    <row r="255" spans="1:30" x14ac:dyDescent="0.4">
      <c r="A255" s="12" t="str">
        <v>Calc.</v>
      </c>
      <c r="B255" s="12" t="str">
        <v>ジミーサムP feat.初音ミク</v>
      </c>
      <c r="C255" s="12" t="str">
        <f t="shared" si="9"/>
        <v>ジミーサムP feat.初音ミクCalc.</v>
      </c>
      <c r="AA255" s="14" t="str">
        <f t="shared" si="10"/>
        <v>ジミーサムP feat.初音ミク</v>
      </c>
      <c r="AB255" s="14" t="str">
        <f>_xlfn.XLOOKUP(AA255,M_ARTIST!A:A,M_ARTIST!B:B,"★★★",0,1)</f>
        <v>じみーさむP feat.はつねみく</v>
      </c>
      <c r="AC255" s="14" t="str">
        <f t="shared" si="11"/>
        <v>Calc.</v>
      </c>
      <c r="AD255" s="19" t="str">
        <f>HYPERLINK(_xlfn.XLOOKUP(C255,M_YT_LIVE_TIMESTAMP!AA:AA,M_YT_LIVE_TIMESTAMP!Z:Z,"★",0,-1))</f>
        <v>https://www.youtube.com/live/i7euCqiwzl4?si=Gvd-dBAI4nZ9HDpv&amp;t=3632s</v>
      </c>
    </row>
    <row r="256" spans="1:30" x14ac:dyDescent="0.4">
      <c r="A256" s="12" t="str">
        <v>from Y to Y</v>
      </c>
      <c r="B256" s="12" t="str">
        <v>ジミーサムP feat.初音ミク＆巡音ルカ(コーラス)</v>
      </c>
      <c r="C256" s="12" t="str">
        <f t="shared" si="9"/>
        <v>ジミーサムP feat.初音ミク＆巡音ルカ(コーラス)from Y to Y</v>
      </c>
      <c r="AA256" s="14" t="str">
        <f t="shared" si="10"/>
        <v>ジミーサムP feat.初音ミク＆巡音ルカ(コーラス)</v>
      </c>
      <c r="AB256" s="14" t="str">
        <f>_xlfn.XLOOKUP(AA256,M_ARTIST!A:A,M_ARTIST!B:B,"★★★",0,1)</f>
        <v>じみーさむP feat.はつねみく＆めぐりねるか(こーらす)</v>
      </c>
      <c r="AC256" s="14" t="str">
        <f t="shared" si="11"/>
        <v>from Y to Y</v>
      </c>
      <c r="AD256" s="19" t="str">
        <f>HYPERLINK(_xlfn.XLOOKUP(C256,M_YT_LIVE_TIMESTAMP!AA:AA,M_YT_LIVE_TIMESTAMP!Z:Z,"★",0,-1))</f>
        <v>https://www.youtube.com/live/BjWSIm9kSZs?si=1oMuQyZMLWArIABK&amp;t=5437s</v>
      </c>
    </row>
    <row r="257" spans="1:30" x14ac:dyDescent="0.4">
      <c r="A257" s="12" t="str">
        <v>オツキミリサイタル</v>
      </c>
      <c r="B257" s="12" t="str">
        <v>じん feat.IA</v>
      </c>
      <c r="C257" s="12" t="str">
        <f t="shared" si="9"/>
        <v>じん feat.IAオツキミリサイタル</v>
      </c>
      <c r="AA257" s="14" t="str">
        <f t="shared" si="10"/>
        <v>じん feat.IA</v>
      </c>
      <c r="AB257" s="14" t="str">
        <f>_xlfn.XLOOKUP(AA257,M_ARTIST!A:A,M_ARTIST!B:B,"★★★",0,1)</f>
        <v>じん feat.IA</v>
      </c>
      <c r="AC257" s="14" t="str">
        <f t="shared" si="11"/>
        <v>オツキミリサイタル</v>
      </c>
      <c r="AD257" s="19" t="str">
        <f>HYPERLINK(_xlfn.XLOOKUP(C257,M_YT_LIVE_TIMESTAMP!AA:AA,M_YT_LIVE_TIMESTAMP!Z:Z,"★",0,-1))</f>
        <v>https://www.youtube.com/live/i7euCqiwzl4?si=Gvd-dBAI4nZ9HDpv&amp;t=780s</v>
      </c>
    </row>
    <row r="258" spans="1:30" x14ac:dyDescent="0.4">
      <c r="A258" s="12" t="str">
        <v>アウターサイエンス</v>
      </c>
      <c r="B258" s="12" t="str">
        <v>じん(自然の敵P) feat.IA</v>
      </c>
      <c r="C258" s="12" t="str">
        <f t="shared" si="9"/>
        <v>じん(自然の敵P) feat.IAアウターサイエンス</v>
      </c>
      <c r="AA258" s="14" t="str">
        <f t="shared" si="10"/>
        <v>じん(自然の敵P) feat.IA</v>
      </c>
      <c r="AB258" s="14" t="str">
        <f>_xlfn.XLOOKUP(AA258,M_ARTIST!A:A,M_ARTIST!B:B,"★★★",0,1)</f>
        <v>じん(しぜんのてきP) feat.IA</v>
      </c>
      <c r="AC258" s="14" t="str">
        <f t="shared" si="11"/>
        <v>アウターサイエンス</v>
      </c>
      <c r="AD258" s="19" t="str">
        <f>HYPERLINK(_xlfn.XLOOKUP(C258,M_YT_LIVE_TIMESTAMP!AA:AA,M_YT_LIVE_TIMESTAMP!Z:Z,"★",0,-1))</f>
        <v>https://www.youtube.com/live/Dm-WC5w7K8Y?si=Pph-3uJ8wVrF5vc0&amp;t=3257s</v>
      </c>
    </row>
    <row r="259" spans="1:30" x14ac:dyDescent="0.4">
      <c r="A259" s="12" t="str">
        <v>サマータイムレコード</v>
      </c>
      <c r="B259" s="12" t="str">
        <v>じん(自然の敵P) feat.IA</v>
      </c>
      <c r="C259" s="12" t="str">
        <f t="shared" ref="C259:C322" si="12">TRIM(B259)&amp;TRIM(A259)</f>
        <v>じん(自然の敵P) feat.IAサマータイムレコード</v>
      </c>
      <c r="AA259" s="14" t="str">
        <f t="shared" ref="AA259:AA322" si="13">B259</f>
        <v>じん(自然の敵P) feat.IA</v>
      </c>
      <c r="AB259" s="14" t="str">
        <f>_xlfn.XLOOKUP(AA259,M_ARTIST!A:A,M_ARTIST!B:B,"★★★",0,1)</f>
        <v>じん(しぜんのてきP) feat.IA</v>
      </c>
      <c r="AC259" s="14" t="str">
        <f t="shared" ref="AC259:AC322" si="14">A259</f>
        <v>サマータイムレコード</v>
      </c>
      <c r="AD259" s="19" t="str">
        <f>HYPERLINK(_xlfn.XLOOKUP(C259,M_YT_LIVE_TIMESTAMP!AA:AA,M_YT_LIVE_TIMESTAMP!Z:Z,"★",0,-1))</f>
        <v>https://www.youtube.com/live/E8l1nOoKLLI?si=9GMtlAOzsgHxbniX&amp;t=6981s</v>
      </c>
    </row>
    <row r="260" spans="1:30" x14ac:dyDescent="0.4">
      <c r="A260" s="12" t="str">
        <v>チルドレンレコード</v>
      </c>
      <c r="B260" s="12" t="str">
        <v>じん(自然の敵P) feat.IA</v>
      </c>
      <c r="C260" s="12" t="str">
        <f t="shared" si="12"/>
        <v>じん(自然の敵P) feat.IAチルドレンレコード</v>
      </c>
      <c r="AA260" s="14" t="str">
        <f t="shared" si="13"/>
        <v>じん(自然の敵P) feat.IA</v>
      </c>
      <c r="AB260" s="14" t="str">
        <f>_xlfn.XLOOKUP(AA260,M_ARTIST!A:A,M_ARTIST!B:B,"★★★",0,1)</f>
        <v>じん(しぜんのてきP) feat.IA</v>
      </c>
      <c r="AC260" s="14" t="str">
        <f t="shared" si="14"/>
        <v>チルドレンレコード</v>
      </c>
      <c r="AD260" s="19" t="str">
        <f>HYPERLINK(_xlfn.XLOOKUP(C260,M_YT_LIVE_TIMESTAMP!AA:AA,M_YT_LIVE_TIMESTAMP!Z:Z,"★",0,-1))</f>
        <v>https://www.youtube.com/live/EIV2fME4Fec?si=lkzDtJEJ9agzd2Md&amp;t=1047s</v>
      </c>
    </row>
    <row r="261" spans="1:30" x14ac:dyDescent="0.4">
      <c r="A261" s="12" t="str">
        <v>ロスタイムメモリー</v>
      </c>
      <c r="B261" s="12" t="str">
        <v>じん(自然の敵P) feat.IA</v>
      </c>
      <c r="C261" s="12" t="str">
        <f t="shared" si="12"/>
        <v>じん(自然の敵P) feat.IAロスタイムメモリー</v>
      </c>
      <c r="AA261" s="14" t="str">
        <f t="shared" si="13"/>
        <v>じん(自然の敵P) feat.IA</v>
      </c>
      <c r="AB261" s="14" t="str">
        <f>_xlfn.XLOOKUP(AA261,M_ARTIST!A:A,M_ARTIST!B:B,"★★★",0,1)</f>
        <v>じん(しぜんのてきP) feat.IA</v>
      </c>
      <c r="AC261" s="14" t="str">
        <f t="shared" si="14"/>
        <v>ロスタイムメモリー</v>
      </c>
      <c r="AD261" s="19" t="str">
        <f>HYPERLINK(_xlfn.XLOOKUP(C261,M_YT_LIVE_TIMESTAMP!AA:AA,M_YT_LIVE_TIMESTAMP!Z:Z,"★",0,-1))</f>
        <v>https://www.youtube.com/live/EIV2fME4Fec?si=lkzDtJEJ9agzd2Md&amp;t=1297s</v>
      </c>
    </row>
    <row r="262" spans="1:30" x14ac:dyDescent="0.4">
      <c r="A262" s="12" t="str">
        <v>ワールド・コーリング</v>
      </c>
      <c r="B262" s="12" t="str">
        <v>じん(自然の敵P) feat.IA</v>
      </c>
      <c r="C262" s="12" t="str">
        <f t="shared" si="12"/>
        <v>じん(自然の敵P) feat.IAワールド・コーリング</v>
      </c>
      <c r="AA262" s="14" t="str">
        <f t="shared" si="13"/>
        <v>じん(自然の敵P) feat.IA</v>
      </c>
      <c r="AB262" s="14" t="str">
        <f>_xlfn.XLOOKUP(AA262,M_ARTIST!A:A,M_ARTIST!B:B,"★★★",0,1)</f>
        <v>じん(しぜんのてきP) feat.IA</v>
      </c>
      <c r="AC262" s="14" t="str">
        <f t="shared" si="14"/>
        <v>ワールド・コーリング</v>
      </c>
      <c r="AD262" s="19" t="str">
        <f>HYPERLINK(_xlfn.XLOOKUP(C262,M_YT_LIVE_TIMESTAMP!AA:AA,M_YT_LIVE_TIMESTAMP!Z:Z,"★",0,-1))</f>
        <v>https://www.youtube.com/live/AHfCHGope8I?si=qrXuqYy-tTqldtt4&amp;t=3309s</v>
      </c>
    </row>
    <row r="263" spans="1:30" x14ac:dyDescent="0.4">
      <c r="A263" s="12" t="str">
        <v>空想フォレスト</v>
      </c>
      <c r="B263" s="12" t="str">
        <v>じん(自然の敵P) feat.IA</v>
      </c>
      <c r="C263" s="12" t="str">
        <f t="shared" si="12"/>
        <v>じん(自然の敵P) feat.IA空想フォレスト</v>
      </c>
      <c r="AA263" s="14" t="str">
        <f t="shared" si="13"/>
        <v>じん(自然の敵P) feat.IA</v>
      </c>
      <c r="AB263" s="14" t="str">
        <f>_xlfn.XLOOKUP(AA263,M_ARTIST!A:A,M_ARTIST!B:B,"★★★",0,1)</f>
        <v>じん(しぜんのてきP) feat.IA</v>
      </c>
      <c r="AC263" s="14" t="str">
        <f t="shared" si="14"/>
        <v>空想フォレスト</v>
      </c>
      <c r="AD263" s="19" t="str">
        <f>HYPERLINK(_xlfn.XLOOKUP(C263,M_YT_LIVE_TIMESTAMP!AA:AA,M_YT_LIVE_TIMESTAMP!Z:Z,"★",0,-1))</f>
        <v>https://www.youtube.com/live/E8l1nOoKLLI?si=9GMtlAOzsgHxbniX&amp;t=6686s</v>
      </c>
    </row>
    <row r="264" spans="1:30" x14ac:dyDescent="0.4">
      <c r="A264" s="12" t="str">
        <v>少年ブレイヴ</v>
      </c>
      <c r="B264" s="12" t="str">
        <v>じん(自然の敵P) feat.IA</v>
      </c>
      <c r="C264" s="12" t="str">
        <f t="shared" si="12"/>
        <v>じん(自然の敵P) feat.IA少年ブレイヴ</v>
      </c>
      <c r="AA264" s="14" t="str">
        <f t="shared" si="13"/>
        <v>じん(自然の敵P) feat.IA</v>
      </c>
      <c r="AB264" s="14" t="str">
        <f>_xlfn.XLOOKUP(AA264,M_ARTIST!A:A,M_ARTIST!B:B,"★★★",0,1)</f>
        <v>じん(しぜんのてきP) feat.IA</v>
      </c>
      <c r="AC264" s="14" t="str">
        <f t="shared" si="14"/>
        <v>少年ブレイヴ</v>
      </c>
      <c r="AD264" s="19" t="str">
        <f>HYPERLINK(_xlfn.XLOOKUP(C264,M_YT_LIVE_TIMESTAMP!AA:AA,M_YT_LIVE_TIMESTAMP!Z:Z,"★",0,-1))</f>
        <v>https://www.youtube.com/live/8yfLYQayxQg?si=O0Q0AXQXC39nd7WJ&amp;t=6523s</v>
      </c>
    </row>
    <row r="265" spans="1:30" x14ac:dyDescent="0.4">
      <c r="A265" s="12" t="str">
        <v>想像フォレスト</v>
      </c>
      <c r="B265" s="12" t="str">
        <v>じん(自然の敵P) feat.IA</v>
      </c>
      <c r="C265" s="12" t="str">
        <f t="shared" si="12"/>
        <v>じん(自然の敵P) feat.IA想像フォレスト</v>
      </c>
      <c r="AA265" s="14" t="str">
        <f t="shared" si="13"/>
        <v>じん(自然の敵P) feat.IA</v>
      </c>
      <c r="AB265" s="14" t="str">
        <f>_xlfn.XLOOKUP(AA265,M_ARTIST!A:A,M_ARTIST!B:B,"★★★",0,1)</f>
        <v>じん(しぜんのてきP) feat.IA</v>
      </c>
      <c r="AC265" s="14" t="str">
        <f t="shared" si="14"/>
        <v>想像フォレスト</v>
      </c>
      <c r="AD265" s="19" t="str">
        <f>HYPERLINK(_xlfn.XLOOKUP(C265,M_YT_LIVE_TIMESTAMP!AA:AA,M_YT_LIVE_TIMESTAMP!Z:Z,"★",0,-1))</f>
        <v>https://www.youtube.com/live/w3oM0fDmwz4?si=VVO-ga6uipBLMrpR&amp;t=2126s</v>
      </c>
    </row>
    <row r="266" spans="1:30" x14ac:dyDescent="0.4">
      <c r="A266" s="12" t="str">
        <v>透明アンサー</v>
      </c>
      <c r="B266" s="12" t="str">
        <v>じん(自然の敵P) feat.IA</v>
      </c>
      <c r="C266" s="12" t="str">
        <f t="shared" si="12"/>
        <v>じん(自然の敵P) feat.IA透明アンサー</v>
      </c>
      <c r="AA266" s="14" t="str">
        <f t="shared" si="13"/>
        <v>じん(自然の敵P) feat.IA</v>
      </c>
      <c r="AB266" s="14" t="str">
        <f>_xlfn.XLOOKUP(AA266,M_ARTIST!A:A,M_ARTIST!B:B,"★★★",0,1)</f>
        <v>じん(しぜんのてきP) feat.IA</v>
      </c>
      <c r="AC266" s="14" t="str">
        <f t="shared" si="14"/>
        <v>透明アンサー</v>
      </c>
      <c r="AD266" s="19" t="str">
        <f>HYPERLINK(_xlfn.XLOOKUP(C266,M_YT_LIVE_TIMESTAMP!AA:AA,M_YT_LIVE_TIMESTAMP!Z:Z,"★",0,-1))</f>
        <v>https://www.youtube.com/live/i7euCqiwzl4?si=Gvd-dBAI4nZ9HDpv&amp;t=1145s</v>
      </c>
    </row>
    <row r="267" spans="1:30" x14ac:dyDescent="0.4">
      <c r="A267" s="12" t="str">
        <v>夜咄ディセイブ</v>
      </c>
      <c r="B267" s="12" t="str">
        <v>じん(自然の敵P) feat.IA</v>
      </c>
      <c r="C267" s="12" t="str">
        <f t="shared" si="12"/>
        <v>じん(自然の敵P) feat.IA夜咄ディセイブ</v>
      </c>
      <c r="AA267" s="14" t="str">
        <f t="shared" si="13"/>
        <v>じん(自然の敵P) feat.IA</v>
      </c>
      <c r="AB267" s="14" t="str">
        <f>_xlfn.XLOOKUP(AA267,M_ARTIST!A:A,M_ARTIST!B:B,"★★★",0,1)</f>
        <v>じん(しぜんのてきP) feat.IA</v>
      </c>
      <c r="AC267" s="14" t="str">
        <f t="shared" si="14"/>
        <v>夜咄ディセイブ</v>
      </c>
      <c r="AD267" s="19" t="str">
        <f>HYPERLINK(_xlfn.XLOOKUP(C267,M_YT_LIVE_TIMESTAMP!AA:AA,M_YT_LIVE_TIMESTAMP!Z:Z,"★",0,-1))</f>
        <v>https://www.youtube.com/live/AHfCHGope8I?si=qrXuqYy-tTqldtt4&amp;t=3734s</v>
      </c>
    </row>
    <row r="268" spans="1:30" x14ac:dyDescent="0.4">
      <c r="A268" s="12" t="str">
        <v>daze</v>
      </c>
      <c r="B268" s="12" t="str">
        <v>じん(自然の敵P) feat.メイリア</v>
      </c>
      <c r="C268" s="12" t="str">
        <f t="shared" si="12"/>
        <v>じん(自然の敵P) feat.メイリアdaze</v>
      </c>
      <c r="AA268" s="14" t="str">
        <f t="shared" si="13"/>
        <v>じん(自然の敵P) feat.メイリア</v>
      </c>
      <c r="AB268" s="14" t="str">
        <f>_xlfn.XLOOKUP(AA268,M_ARTIST!A:A,M_ARTIST!B:B,"★★★",0,1)</f>
        <v>じん(しぜんのてきP) feat.めいりあ</v>
      </c>
      <c r="AC268" s="14" t="str">
        <f t="shared" si="14"/>
        <v>daze</v>
      </c>
      <c r="AD268" s="19" t="str">
        <f>HYPERLINK(_xlfn.XLOOKUP(C268,M_YT_LIVE_TIMESTAMP!AA:AA,M_YT_LIVE_TIMESTAMP!Z:Z,"★",0,-1))</f>
        <v>https://www.youtube.com/live/GvGh24EJfGg?si=QLYBryRLPz4v_Qdl&amp;t=6966s</v>
      </c>
    </row>
    <row r="269" spans="1:30" x14ac:dyDescent="0.4">
      <c r="A269" s="12" t="str">
        <v>カゲロウデイズ</v>
      </c>
      <c r="B269" s="12" t="str">
        <v>じん(自然の敵P) feat.初音ミク</v>
      </c>
      <c r="C269" s="12" t="str">
        <f t="shared" si="12"/>
        <v>じん(自然の敵P) feat.初音ミクカゲロウデイズ</v>
      </c>
      <c r="AA269" s="14" t="str">
        <f t="shared" si="13"/>
        <v>じん(自然の敵P) feat.初音ミク</v>
      </c>
      <c r="AB269" s="14" t="str">
        <f>_xlfn.XLOOKUP(AA269,M_ARTIST!A:A,M_ARTIST!B:B,"★★★",0,1)</f>
        <v>じん(しぜんのてきP) feat.はつねみく</v>
      </c>
      <c r="AC269" s="14" t="str">
        <f t="shared" si="14"/>
        <v>カゲロウデイズ</v>
      </c>
      <c r="AD269" s="19" t="str">
        <f>HYPERLINK(_xlfn.XLOOKUP(C269,M_YT_LIVE_TIMESTAMP!AA:AA,M_YT_LIVE_TIMESTAMP!Z:Z,"★",0,-1))</f>
        <v>https://www.youtube.com/live/Dm-WC5w7K8Y?si=Pph-3uJ8wVrF5vc0&amp;t=2835s</v>
      </c>
    </row>
    <row r="270" spans="1:30" x14ac:dyDescent="0.4">
      <c r="A270" s="12" t="str">
        <v>カゲロウデイズ(1chorus)</v>
      </c>
      <c r="B270" s="12" t="str">
        <v>じん(自然の敵P) feat.初音ミク</v>
      </c>
      <c r="C270" s="12" t="str">
        <f t="shared" si="12"/>
        <v>じん(自然の敵P) feat.初音ミクカゲロウデイズ(1chorus)</v>
      </c>
      <c r="AA270" s="14" t="str">
        <f t="shared" si="13"/>
        <v>じん(自然の敵P) feat.初音ミク</v>
      </c>
      <c r="AB270" s="14" t="str">
        <f>_xlfn.XLOOKUP(AA270,M_ARTIST!A:A,M_ARTIST!B:B,"★★★",0,1)</f>
        <v>じん(しぜんのてきP) feat.はつねみく</v>
      </c>
      <c r="AC270" s="14" t="str">
        <f t="shared" si="14"/>
        <v>カゲロウデイズ(1chorus)</v>
      </c>
      <c r="AD270" s="19" t="str">
        <f>HYPERLINK(_xlfn.XLOOKUP(C270,M_YT_LIVE_TIMESTAMP!AA:AA,M_YT_LIVE_TIMESTAMP!Z:Z,"★",0,-1))</f>
        <v>https://www.youtube.com/live/8yfLYQayxQg?si=O0Q0AXQXC39nd7WJ&amp;t=7035s</v>
      </c>
    </row>
    <row r="271" spans="1:30" x14ac:dyDescent="0.4">
      <c r="A271" s="12" t="str">
        <v>ゴールデンタイムラバー</v>
      </c>
      <c r="B271" s="12" t="str">
        <v>スキマスイッチ</v>
      </c>
      <c r="C271" s="12" t="str">
        <f t="shared" si="12"/>
        <v>スキマスイッチゴールデンタイムラバー</v>
      </c>
      <c r="AA271" s="14" t="str">
        <f t="shared" si="13"/>
        <v>スキマスイッチ</v>
      </c>
      <c r="AB271" s="14" t="str">
        <f>_xlfn.XLOOKUP(AA271,M_ARTIST!A:A,M_ARTIST!B:B,"★★★",0,1)</f>
        <v>すきますいっち</v>
      </c>
      <c r="AC271" s="14" t="str">
        <f t="shared" si="14"/>
        <v>ゴールデンタイムラバー</v>
      </c>
      <c r="AD271" s="19" t="str">
        <f>HYPERLINK(_xlfn.XLOOKUP(C271,M_YT_LIVE_TIMESTAMP!AA:AA,M_YT_LIVE_TIMESTAMP!Z:Z,"★",0,-1))</f>
        <v>https://www.youtube.com/live/DX8misWhJuA?si=x9BqkZPlvHen5SCl&amp;t=241s</v>
      </c>
    </row>
    <row r="272" spans="1:30" x14ac:dyDescent="0.4">
      <c r="A272" s="12" t="str">
        <v>全力少年</v>
      </c>
      <c r="B272" s="12" t="str">
        <v>スキマスイッチ</v>
      </c>
      <c r="C272" s="12" t="str">
        <f t="shared" si="12"/>
        <v>スキマスイッチ全力少年</v>
      </c>
      <c r="AA272" s="14" t="str">
        <f t="shared" si="13"/>
        <v>スキマスイッチ</v>
      </c>
      <c r="AB272" s="14" t="str">
        <f>_xlfn.XLOOKUP(AA272,M_ARTIST!A:A,M_ARTIST!B:B,"★★★",0,1)</f>
        <v>すきますいっち</v>
      </c>
      <c r="AC272" s="14" t="str">
        <f t="shared" si="14"/>
        <v>全力少年</v>
      </c>
      <c r="AD272" s="19" t="str">
        <f>HYPERLINK(_xlfn.XLOOKUP(C272,M_YT_LIVE_TIMESTAMP!AA:AA,M_YT_LIVE_TIMESTAMP!Z:Z,"★",0,-1))</f>
        <v>https://www.youtube.com/live/DX8misWhJuA?si=x9BqkZPlvHen5SCl&amp;t=614s</v>
      </c>
    </row>
    <row r="273" spans="1:30" x14ac:dyDescent="0.4">
      <c r="A273" s="12" t="str">
        <v>奏</v>
      </c>
      <c r="B273" s="12" t="str">
        <v>スキマスイッチ</v>
      </c>
      <c r="C273" s="12" t="str">
        <f t="shared" si="12"/>
        <v>スキマスイッチ奏</v>
      </c>
      <c r="AA273" s="14" t="str">
        <f t="shared" si="13"/>
        <v>スキマスイッチ</v>
      </c>
      <c r="AB273" s="14" t="str">
        <f>_xlfn.XLOOKUP(AA273,M_ARTIST!A:A,M_ARTIST!B:B,"★★★",0,1)</f>
        <v>すきますいっち</v>
      </c>
      <c r="AC273" s="14" t="str">
        <f t="shared" si="14"/>
        <v>奏</v>
      </c>
      <c r="AD273" s="19" t="str">
        <f>HYPERLINK(_xlfn.XLOOKUP(C273,M_YT_LIVE_TIMESTAMP!AA:AA,M_YT_LIVE_TIMESTAMP!Z:Z,"★",0,-1))</f>
        <v>https://www.youtube.com/live/B1g4NIZAKqo?si=v8CWAz6GBo-vVIKK&amp;t=1623s</v>
      </c>
    </row>
    <row r="274" spans="1:30" x14ac:dyDescent="0.4">
      <c r="A274" s="12" t="str">
        <v>アイロニ</v>
      </c>
      <c r="B274" s="12" t="str">
        <v>すこっぷ feat.初音ミク</v>
      </c>
      <c r="C274" s="12" t="str">
        <f t="shared" si="12"/>
        <v>すこっぷ feat.初音ミクアイロニ</v>
      </c>
      <c r="AA274" s="14" t="str">
        <f t="shared" si="13"/>
        <v>すこっぷ feat.初音ミク</v>
      </c>
      <c r="AB274" s="14" t="str">
        <f>_xlfn.XLOOKUP(AA274,M_ARTIST!A:A,M_ARTIST!B:B,"★★★",0,1)</f>
        <v>すこっぷ feat.はつねみく</v>
      </c>
      <c r="AC274" s="14" t="str">
        <f t="shared" si="14"/>
        <v>アイロニ</v>
      </c>
      <c r="AD274" s="19" t="str">
        <f>HYPERLINK(_xlfn.XLOOKUP(C274,M_YT_LIVE_TIMESTAMP!AA:AA,M_YT_LIVE_TIMESTAMP!Z:Z,"★",0,-1))</f>
        <v>https://www.youtube.com/live/hkpPXWM6LDY?si=pgl-HW7-u6yZjLAi&amp;t=3821s</v>
      </c>
    </row>
    <row r="275" spans="1:30" x14ac:dyDescent="0.4">
      <c r="A275" s="12" t="str">
        <v>世界寿命と最後の一日</v>
      </c>
      <c r="B275" s="12" t="str">
        <v>スズム feat.GUMI</v>
      </c>
      <c r="C275" s="12" t="str">
        <f t="shared" si="12"/>
        <v>スズム feat.GUMI世界寿命と最後の一日</v>
      </c>
      <c r="AA275" s="14" t="str">
        <f t="shared" si="13"/>
        <v>スズム feat.GUMI</v>
      </c>
      <c r="AB275" s="14" t="str">
        <f>_xlfn.XLOOKUP(AA275,M_ARTIST!A:A,M_ARTIST!B:B,"★★★",0,1)</f>
        <v>すずむ feat.GUMI</v>
      </c>
      <c r="AC275" s="14" t="str">
        <f t="shared" si="14"/>
        <v>世界寿命と最後の一日</v>
      </c>
      <c r="AD275" s="19" t="str">
        <f>HYPERLINK(_xlfn.XLOOKUP(C275,M_YT_LIVE_TIMESTAMP!AA:AA,M_YT_LIVE_TIMESTAMP!Z:Z,"★",0,-1))</f>
        <v>https://www.youtube.com/live/bXG5ottJZas?si=VsjzjU8RreUrJGd3&amp;t=4821s</v>
      </c>
    </row>
    <row r="276" spans="1:30" x14ac:dyDescent="0.4">
      <c r="A276" s="12" t="str">
        <v>Dear Mr 「F」</v>
      </c>
      <c r="B276" s="12" t="str">
        <v>ずっと真夜中でいいのに。</v>
      </c>
      <c r="C276" s="12" t="str">
        <f t="shared" si="12"/>
        <v>ずっと真夜中でいいのに。Dear Mr 「F」</v>
      </c>
      <c r="AA276" s="14" t="str">
        <f t="shared" si="13"/>
        <v>ずっと真夜中でいいのに。</v>
      </c>
      <c r="AB276" s="14" t="str">
        <f>_xlfn.XLOOKUP(AA276,M_ARTIST!A:A,M_ARTIST!B:B,"★★★",0,1)</f>
        <v>ずっとまよなかでいいのに。</v>
      </c>
      <c r="AC276" s="14" t="str">
        <f t="shared" si="14"/>
        <v>Dear Mr 「F」</v>
      </c>
      <c r="AD276" s="19" t="str">
        <f>HYPERLINK(_xlfn.XLOOKUP(C276,M_YT_LIVE_TIMESTAMP!AA:AA,M_YT_LIVE_TIMESTAMP!Z:Z,"★",0,-1))</f>
        <v>https://www.youtube.com/live/TDYlHpN4h0s?si=ysSy7YIPSXU6T0nx&amp;t=2532s</v>
      </c>
    </row>
    <row r="277" spans="1:30" x14ac:dyDescent="0.4">
      <c r="A277" s="12" t="str">
        <v>Ham</v>
      </c>
      <c r="B277" s="12" t="str">
        <v>ずっと真夜中でいいのに。</v>
      </c>
      <c r="C277" s="12" t="str">
        <f t="shared" si="12"/>
        <v>ずっと真夜中でいいのに。Ham</v>
      </c>
      <c r="AA277" s="14" t="str">
        <f t="shared" si="13"/>
        <v>ずっと真夜中でいいのに。</v>
      </c>
      <c r="AB277" s="14" t="str">
        <f>_xlfn.XLOOKUP(AA277,M_ARTIST!A:A,M_ARTIST!B:B,"★★★",0,1)</f>
        <v>ずっとまよなかでいいのに。</v>
      </c>
      <c r="AC277" s="14" t="str">
        <f t="shared" si="14"/>
        <v>Ham</v>
      </c>
      <c r="AD277" s="19" t="str">
        <f>HYPERLINK(_xlfn.XLOOKUP(C277,M_YT_LIVE_TIMESTAMP!AA:AA,M_YT_LIVE_TIMESTAMP!Z:Z,"★",0,-1))</f>
        <v>https://www.youtube.com/live/TDYlHpN4h0s?si=ysSy7YIPSXU6T0nx&amp;t=2160s</v>
      </c>
    </row>
    <row r="278" spans="1:30" x14ac:dyDescent="0.4">
      <c r="A278" s="12" t="str">
        <v>MILABO</v>
      </c>
      <c r="B278" s="12" t="str">
        <v>ずっと真夜中でいいのに。</v>
      </c>
      <c r="C278" s="12" t="str">
        <f t="shared" si="12"/>
        <v>ずっと真夜中でいいのに。MILABO</v>
      </c>
      <c r="AA278" s="14" t="str">
        <f t="shared" si="13"/>
        <v>ずっと真夜中でいいのに。</v>
      </c>
      <c r="AB278" s="14" t="str">
        <f>_xlfn.XLOOKUP(AA278,M_ARTIST!A:A,M_ARTIST!B:B,"★★★",0,1)</f>
        <v>ずっとまよなかでいいのに。</v>
      </c>
      <c r="AC278" s="14" t="str">
        <f t="shared" si="14"/>
        <v>MILABO</v>
      </c>
      <c r="AD278" s="19" t="str">
        <f>HYPERLINK(_xlfn.XLOOKUP(C278,M_YT_LIVE_TIMESTAMP!AA:AA,M_YT_LIVE_TIMESTAMP!Z:Z,"★",0,-1))</f>
        <v>https://www.youtube.com/live/OEtLBen9pLM?si=M4WDMSGkkHfWLvDr&amp;t=2519s</v>
      </c>
    </row>
    <row r="279" spans="1:30" x14ac:dyDescent="0.4">
      <c r="A279" s="12" t="str">
        <v>サターン</v>
      </c>
      <c r="B279" s="12" t="str">
        <v>ずっと真夜中でいいのに。</v>
      </c>
      <c r="C279" s="12" t="str">
        <f t="shared" si="12"/>
        <v>ずっと真夜中でいいのに。サターン</v>
      </c>
      <c r="AA279" s="14" t="str">
        <f t="shared" si="13"/>
        <v>ずっと真夜中でいいのに。</v>
      </c>
      <c r="AB279" s="14" t="str">
        <f>_xlfn.XLOOKUP(AA279,M_ARTIST!A:A,M_ARTIST!B:B,"★★★",0,1)</f>
        <v>ずっとまよなかでいいのに。</v>
      </c>
      <c r="AC279" s="14" t="str">
        <f t="shared" si="14"/>
        <v>サターン</v>
      </c>
      <c r="AD279" s="19" t="str">
        <f>HYPERLINK(_xlfn.XLOOKUP(C279,M_YT_LIVE_TIMESTAMP!AA:AA,M_YT_LIVE_TIMESTAMP!Z:Z,"★",0,-1))</f>
        <v>https://www.youtube.com/live/ac4RYGdoGfw?si=XYuojmcqpJZOLb9x&amp;t=761s</v>
      </c>
    </row>
    <row r="280" spans="1:30" x14ac:dyDescent="0.4">
      <c r="A280" s="12" t="str">
        <v>ヒューマノイド</v>
      </c>
      <c r="B280" s="12" t="str">
        <v>ずっと真夜中でいいのに。</v>
      </c>
      <c r="C280" s="12" t="str">
        <f t="shared" si="12"/>
        <v>ずっと真夜中でいいのに。ヒューマノイド</v>
      </c>
      <c r="AA280" s="14" t="str">
        <f t="shared" si="13"/>
        <v>ずっと真夜中でいいのに。</v>
      </c>
      <c r="AB280" s="14" t="str">
        <f>_xlfn.XLOOKUP(AA280,M_ARTIST!A:A,M_ARTIST!B:B,"★★★",0,1)</f>
        <v>ずっとまよなかでいいのに。</v>
      </c>
      <c r="AC280" s="14" t="str">
        <f t="shared" si="14"/>
        <v>ヒューマノイド</v>
      </c>
      <c r="AD280" s="19" t="str">
        <f>HYPERLINK(_xlfn.XLOOKUP(C280,M_YT_LIVE_TIMESTAMP!AA:AA,M_YT_LIVE_TIMESTAMP!Z:Z,"★",0,-1))</f>
        <v>https://www.youtube.com/live/ac4RYGdoGfw?si=XYuojmcqpJZOLb9x&amp;t=1612s</v>
      </c>
    </row>
    <row r="281" spans="1:30" x14ac:dyDescent="0.4">
      <c r="A281" s="12" t="str">
        <v>勘冴えて悔しいわ</v>
      </c>
      <c r="B281" s="12" t="str">
        <v>ずっと真夜中でいいのに。</v>
      </c>
      <c r="C281" s="12" t="str">
        <f t="shared" si="12"/>
        <v>ずっと真夜中でいいのに。勘冴えて悔しいわ</v>
      </c>
      <c r="AA281" s="14" t="str">
        <f t="shared" si="13"/>
        <v>ずっと真夜中でいいのに。</v>
      </c>
      <c r="AB281" s="14" t="str">
        <f>_xlfn.XLOOKUP(AA281,M_ARTIST!A:A,M_ARTIST!B:B,"★★★",0,1)</f>
        <v>ずっとまよなかでいいのに。</v>
      </c>
      <c r="AC281" s="14" t="str">
        <f t="shared" si="14"/>
        <v>勘冴えて悔しいわ</v>
      </c>
      <c r="AD281" s="19" t="str">
        <f>HYPERLINK(_xlfn.XLOOKUP(C281,M_YT_LIVE_TIMESTAMP!AA:AA,M_YT_LIVE_TIMESTAMP!Z:Z,"★",0,-1))</f>
        <v>https://www.youtube.com/live/E8l1nOoKLLI?si=9GMtlAOzsgHxbniX&amp;t=2888s</v>
      </c>
    </row>
    <row r="282" spans="1:30" x14ac:dyDescent="0.4">
      <c r="A282" s="12" t="str">
        <v>正しくなれない</v>
      </c>
      <c r="B282" s="12" t="str">
        <v>ずっと真夜中でいいのに。</v>
      </c>
      <c r="C282" s="12" t="str">
        <f t="shared" si="12"/>
        <v>ずっと真夜中でいいのに。正しくなれない</v>
      </c>
      <c r="AA282" s="14" t="str">
        <f t="shared" si="13"/>
        <v>ずっと真夜中でいいのに。</v>
      </c>
      <c r="AB282" s="14" t="str">
        <f>_xlfn.XLOOKUP(AA282,M_ARTIST!A:A,M_ARTIST!B:B,"★★★",0,1)</f>
        <v>ずっとまよなかでいいのに。</v>
      </c>
      <c r="AC282" s="14" t="str">
        <f t="shared" si="14"/>
        <v>正しくなれない</v>
      </c>
      <c r="AD282" s="19" t="str">
        <f>HYPERLINK(_xlfn.XLOOKUP(C282,M_YT_LIVE_TIMESTAMP!AA:AA,M_YT_LIVE_TIMESTAMP!Z:Z,"★",0,-1))</f>
        <v>https://www.youtube.com/live/OEtLBen9pLM?si=M4WDMSGkkHfWLvDr&amp;t=2976s</v>
      </c>
    </row>
    <row r="283" spans="1:30" x14ac:dyDescent="0.4">
      <c r="A283" s="12" t="str">
        <v>低血ボルト</v>
      </c>
      <c r="B283" s="12" t="str">
        <v>ずっと真夜中でいいのに。</v>
      </c>
      <c r="C283" s="12" t="str">
        <f t="shared" si="12"/>
        <v>ずっと真夜中でいいのに。低血ボルト</v>
      </c>
      <c r="AA283" s="14" t="str">
        <f t="shared" si="13"/>
        <v>ずっと真夜中でいいのに。</v>
      </c>
      <c r="AB283" s="14" t="str">
        <f>_xlfn.XLOOKUP(AA283,M_ARTIST!A:A,M_ARTIST!B:B,"★★★",0,1)</f>
        <v>ずっとまよなかでいいのに。</v>
      </c>
      <c r="AC283" s="14" t="str">
        <f t="shared" si="14"/>
        <v>低血ボルト</v>
      </c>
      <c r="AD283" s="19" t="str">
        <f>HYPERLINK(_xlfn.XLOOKUP(C283,M_YT_LIVE_TIMESTAMP!AA:AA,M_YT_LIVE_TIMESTAMP!Z:Z,"★",0,-1))</f>
        <v>https://www.youtube.com/live/OEtLBen9pLM?si=M4WDMSGkkHfWLvDr&amp;t=3438s</v>
      </c>
    </row>
    <row r="284" spans="1:30" x14ac:dyDescent="0.4">
      <c r="A284" s="12" t="str">
        <v>脳裏上のクラッカー</v>
      </c>
      <c r="B284" s="12" t="str">
        <v>ずっと真夜中でいいのに。</v>
      </c>
      <c r="C284" s="12" t="str">
        <f t="shared" si="12"/>
        <v>ずっと真夜中でいいのに。脳裏上のクラッカー</v>
      </c>
      <c r="AA284" s="14" t="str">
        <f t="shared" si="13"/>
        <v>ずっと真夜中でいいのに。</v>
      </c>
      <c r="AB284" s="14" t="str">
        <f>_xlfn.XLOOKUP(AA284,M_ARTIST!A:A,M_ARTIST!B:B,"★★★",0,1)</f>
        <v>ずっとまよなかでいいのに。</v>
      </c>
      <c r="AC284" s="14" t="str">
        <f t="shared" si="14"/>
        <v>脳裏上のクラッカー</v>
      </c>
      <c r="AD284" s="19" t="str">
        <f>HYPERLINK(_xlfn.XLOOKUP(C284,M_YT_LIVE_TIMESTAMP!AA:AA,M_YT_LIVE_TIMESTAMP!Z:Z,"★",0,-1))</f>
        <v>https://www.youtube.com/live/E8l1nOoKLLI?si=9GMtlAOzsgHxbniX&amp;t=2531s</v>
      </c>
    </row>
    <row r="285" spans="1:30" x14ac:dyDescent="0.4">
      <c r="A285" s="12" t="str">
        <v>秒針を噛む</v>
      </c>
      <c r="B285" s="12" t="str">
        <v>ずっと真夜中でいいのに。</v>
      </c>
      <c r="C285" s="12" t="str">
        <f t="shared" si="12"/>
        <v>ずっと真夜中でいいのに。秒針を噛む</v>
      </c>
      <c r="AA285" s="14" t="str">
        <f t="shared" si="13"/>
        <v>ずっと真夜中でいいのに。</v>
      </c>
      <c r="AB285" s="14" t="str">
        <f>_xlfn.XLOOKUP(AA285,M_ARTIST!A:A,M_ARTIST!B:B,"★★★",0,1)</f>
        <v>ずっとまよなかでいいのに。</v>
      </c>
      <c r="AC285" s="14" t="str">
        <f t="shared" si="14"/>
        <v>秒針を噛む</v>
      </c>
      <c r="AD285" s="19" t="str">
        <f>HYPERLINK(_xlfn.XLOOKUP(C285,M_YT_LIVE_TIMESTAMP!AA:AA,M_YT_LIVE_TIMESTAMP!Z:Z,"★",0,-1))</f>
        <v>https://www.youtube.com/live/ac4RYGdoGfw?si=XYuojmcqpJZOLb9x&amp;t=374s</v>
      </c>
    </row>
    <row r="286" spans="1:30" x14ac:dyDescent="0.4">
      <c r="A286" s="12" t="str">
        <v>チェリー</v>
      </c>
      <c r="B286" s="12" t="str">
        <v>スピッツ</v>
      </c>
      <c r="C286" s="12" t="str">
        <f t="shared" si="12"/>
        <v>スピッツチェリー</v>
      </c>
      <c r="AA286" s="14" t="str">
        <f t="shared" si="13"/>
        <v>スピッツ</v>
      </c>
      <c r="AB286" s="14" t="str">
        <f>_xlfn.XLOOKUP(AA286,M_ARTIST!A:A,M_ARTIST!B:B,"★★★",0,1)</f>
        <v>すぴっつ</v>
      </c>
      <c r="AC286" s="14" t="str">
        <f t="shared" si="14"/>
        <v>チェリー</v>
      </c>
      <c r="AD286" s="19" t="str">
        <f>HYPERLINK(_xlfn.XLOOKUP(C286,M_YT_LIVE_TIMESTAMP!AA:AA,M_YT_LIVE_TIMESTAMP!Z:Z,"★",0,-1))</f>
        <v>https://www.youtube.com/live/DX8misWhJuA?si=x9BqkZPlvHen5SCl&amp;t=2745s</v>
      </c>
    </row>
    <row r="287" spans="1:30" x14ac:dyDescent="0.4">
      <c r="A287" s="12" t="str">
        <v>SEVENTH HAVEN</v>
      </c>
      <c r="B287" s="12" t="str">
        <v>セブンスシスターズ</v>
      </c>
      <c r="C287" s="12" t="str">
        <f t="shared" si="12"/>
        <v>セブンスシスターズSEVENTH HAVEN</v>
      </c>
      <c r="AA287" s="14" t="str">
        <f t="shared" si="13"/>
        <v>セブンスシスターズ</v>
      </c>
      <c r="AB287" s="14" t="str">
        <f>_xlfn.XLOOKUP(AA287,M_ARTIST!A:A,M_ARTIST!B:B,"★★★",0,1)</f>
        <v>せぶんすしすたーず</v>
      </c>
      <c r="AC287" s="14" t="str">
        <f t="shared" si="14"/>
        <v>SEVENTH HAVEN</v>
      </c>
      <c r="AD287" s="19" t="str">
        <f>HYPERLINK(_xlfn.XLOOKUP(C287,M_YT_LIVE_TIMESTAMP!AA:AA,M_YT_LIVE_TIMESTAMP!Z:Z,"★",0,-1))</f>
        <v>https://www.youtube.com/live/orkAkFl798M?si=7tK-YB5J1dGoAFWq&amp;t=3799s</v>
      </c>
    </row>
    <row r="288" spans="1:30" x14ac:dyDescent="0.4">
      <c r="A288" s="12" t="str">
        <v>動く、動く</v>
      </c>
      <c r="B288" s="12" t="str">
        <v>チト(水瀬いのり)、ユーリ(久保ユリカ)</v>
      </c>
      <c r="C288" s="12" t="str">
        <f t="shared" si="12"/>
        <v>チト(水瀬いのり)、ユーリ(久保ユリカ)動く、動く</v>
      </c>
      <c r="AA288" s="14" t="str">
        <f t="shared" si="13"/>
        <v>チト(水瀬いのり)、ユーリ(久保ユリカ)</v>
      </c>
      <c r="AB288" s="14" t="str">
        <f>_xlfn.XLOOKUP(AA288,M_ARTIST!A:A,M_ARTIST!B:B,"★★★",0,1)</f>
        <v>ちと(みなせいおり)、ゆーり(くぼゆりか)</v>
      </c>
      <c r="AC288" s="14" t="str">
        <f t="shared" si="14"/>
        <v>動く、動く</v>
      </c>
      <c r="AD288" s="19" t="str">
        <f>HYPERLINK(_xlfn.XLOOKUP(C288,M_YT_LIVE_TIMESTAMP!AA:AA,M_YT_LIVE_TIMESTAMP!Z:Z,"★",0,-1))</f>
        <v>https://www.youtube.com/live/wY3z5W9B8N0?si=FVqBjyoCdmcOKFxz&amp;t=81540s</v>
      </c>
    </row>
    <row r="289" spans="1:30" x14ac:dyDescent="0.4">
      <c r="A289" s="12" t="str">
        <v>真夜中遊園地</v>
      </c>
      <c r="B289" s="12" t="str">
        <v>チャットモンチー</v>
      </c>
      <c r="C289" s="12" t="str">
        <f t="shared" si="12"/>
        <v>チャットモンチー真夜中遊園地</v>
      </c>
      <c r="AA289" s="14" t="str">
        <f t="shared" si="13"/>
        <v>チャットモンチー</v>
      </c>
      <c r="AB289" s="14" t="str">
        <f>_xlfn.XLOOKUP(AA289,M_ARTIST!A:A,M_ARTIST!B:B,"★★★",0,1)</f>
        <v>ちゃっともんちー</v>
      </c>
      <c r="AC289" s="14" t="str">
        <f t="shared" si="14"/>
        <v>真夜中遊園地</v>
      </c>
      <c r="AD289" s="19" t="str">
        <f>HYPERLINK(_xlfn.XLOOKUP(C289,M_YT_LIVE_TIMESTAMP!AA:AA,M_YT_LIVE_TIMESTAMP!Z:Z,"★",0,-1))</f>
        <v>https://www.youtube.com/live/5-PHEYq6a-Y?si=i1qN4inKhZc0prZ-&amp;t=1821s</v>
      </c>
    </row>
    <row r="290" spans="1:30" x14ac:dyDescent="0.4">
      <c r="A290" s="12" t="str">
        <v>染まるよ</v>
      </c>
      <c r="B290" s="12" t="str">
        <v>チャットモンチー</v>
      </c>
      <c r="C290" s="12" t="str">
        <f t="shared" si="12"/>
        <v>チャットモンチー染まるよ</v>
      </c>
      <c r="AA290" s="14" t="str">
        <f t="shared" si="13"/>
        <v>チャットモンチー</v>
      </c>
      <c r="AB290" s="14" t="str">
        <f>_xlfn.XLOOKUP(AA290,M_ARTIST!A:A,M_ARTIST!B:B,"★★★",0,1)</f>
        <v>ちゃっともんちー</v>
      </c>
      <c r="AC290" s="14" t="str">
        <f t="shared" si="14"/>
        <v>染まるよ</v>
      </c>
      <c r="AD290" s="19" t="str">
        <f>HYPERLINK(_xlfn.XLOOKUP(C290,M_YT_LIVE_TIMESTAMP!AA:AA,M_YT_LIVE_TIMESTAMP!Z:Z,"★",0,-1))</f>
        <v>https://www.youtube.com/live/N0Tp3auhZ54?si=TUAMJQ8TqFkAVZ1r&amp;t=4605s</v>
      </c>
    </row>
    <row r="291" spans="1:30" x14ac:dyDescent="0.4">
      <c r="A291" s="12" t="str">
        <v>風吹けば恋</v>
      </c>
      <c r="B291" s="12" t="str">
        <v>チャットモンチー</v>
      </c>
      <c r="C291" s="12" t="str">
        <f t="shared" si="12"/>
        <v>チャットモンチー風吹けば恋</v>
      </c>
      <c r="AA291" s="14" t="str">
        <f t="shared" si="13"/>
        <v>チャットモンチー</v>
      </c>
      <c r="AB291" s="14" t="str">
        <f>_xlfn.XLOOKUP(AA291,M_ARTIST!A:A,M_ARTIST!B:B,"★★★",0,1)</f>
        <v>ちゃっともんちー</v>
      </c>
      <c r="AC291" s="14" t="str">
        <f t="shared" si="14"/>
        <v>風吹けば恋</v>
      </c>
      <c r="AD291" s="19" t="str">
        <f>HYPERLINK(_xlfn.XLOOKUP(C291,M_YT_LIVE_TIMESTAMP!AA:AA,M_YT_LIVE_TIMESTAMP!Z:Z,"★",0,-1))</f>
        <v>https://www.youtube.com/live/5-PHEYq6a-Y?si=i1qN4inKhZc0prZ-&amp;t=2105s</v>
      </c>
    </row>
    <row r="292" spans="1:30" x14ac:dyDescent="0.4">
      <c r="A292" s="12" t="str">
        <v>SHIKIBU feat. 阿波の踊り子</v>
      </c>
      <c r="B292" s="12" t="str">
        <v>チャットモンチー(レキシ)</v>
      </c>
      <c r="C292" s="12" t="str">
        <f t="shared" si="12"/>
        <v>チャットモンチー(レキシ)SHIKIBU feat. 阿波の踊り子</v>
      </c>
      <c r="AA292" s="14" t="str">
        <f t="shared" si="13"/>
        <v>チャットモンチー(レキシ)</v>
      </c>
      <c r="AB292" s="14" t="str">
        <f>_xlfn.XLOOKUP(AA292,M_ARTIST!A:A,M_ARTIST!B:B,"★★★",0,1)</f>
        <v>ちゃっともんちー(れきし)</v>
      </c>
      <c r="AC292" s="14" t="str">
        <f t="shared" si="14"/>
        <v>SHIKIBU feat. 阿波の踊り子</v>
      </c>
      <c r="AD292" s="19" t="str">
        <f>HYPERLINK(_xlfn.XLOOKUP(C292,M_YT_LIVE_TIMESTAMP!AA:AA,M_YT_LIVE_TIMESTAMP!Z:Z,"★",0,-1))</f>
        <v>https://www.youtube.com/live/rowkHJneOgY?si=dzvDO_qNHD4fLHMQ&amp;t=2240s</v>
      </c>
    </row>
    <row r="293" spans="1:30" x14ac:dyDescent="0.4">
      <c r="A293" s="12" t="str">
        <v>フォニイ</v>
      </c>
      <c r="B293" s="12" t="str">
        <v>ツミキ feat.可不</v>
      </c>
      <c r="C293" s="12" t="str">
        <f t="shared" si="12"/>
        <v>ツミキ feat.可不フォニイ</v>
      </c>
      <c r="AA293" s="14" t="str">
        <f t="shared" si="13"/>
        <v>ツミキ feat.可不</v>
      </c>
      <c r="AB293" s="14" t="str">
        <f>_xlfn.XLOOKUP(AA293,M_ARTIST!A:A,M_ARTIST!B:B,"★★★",0,1)</f>
        <v>ツミキ feat.かふ</v>
      </c>
      <c r="AC293" s="14" t="str">
        <f t="shared" si="14"/>
        <v>フォニイ</v>
      </c>
      <c r="AD293" s="19" t="str">
        <f>HYPERLINK(_xlfn.XLOOKUP(C293,M_YT_LIVE_TIMESTAMP!AA:AA,M_YT_LIVE_TIMESTAMP!Z:Z,"★",0,-1))</f>
        <v>https://www.youtube.com/live/AHfCHGope8I?si=qrXuqYy-tTqldtt4&amp;t=1759s</v>
      </c>
    </row>
    <row r="294" spans="1:30" x14ac:dyDescent="0.4">
      <c r="A294" s="12" t="str">
        <v>ミュージックミュージック</v>
      </c>
      <c r="B294" s="12" t="str">
        <v>とあ feat.初音ミク</v>
      </c>
      <c r="C294" s="12" t="str">
        <f t="shared" si="12"/>
        <v>とあ feat.初音ミクミュージックミュージック</v>
      </c>
      <c r="AA294" s="14" t="str">
        <f t="shared" si="13"/>
        <v>とあ feat.初音ミク</v>
      </c>
      <c r="AB294" s="14" t="str">
        <f>_xlfn.XLOOKUP(AA294,M_ARTIST!A:A,M_ARTIST!B:B,"★★★",0,1)</f>
        <v>とあ feat.はつねみく</v>
      </c>
      <c r="AC294" s="14" t="str">
        <f t="shared" si="14"/>
        <v>ミュージックミュージック</v>
      </c>
      <c r="AD294" s="19" t="str">
        <f>HYPERLINK(_xlfn.XLOOKUP(C294,M_YT_LIVE_TIMESTAMP!AA:AA,M_YT_LIVE_TIMESTAMP!Z:Z,"★",0,-1))</f>
        <v>https://www.youtube.com/live/Cs48limSzrE?si=n8CFockH4OVXGSvE&amp;t=3346s</v>
      </c>
    </row>
    <row r="295" spans="1:30" x14ac:dyDescent="0.4">
      <c r="A295" s="12" t="str">
        <v>エンヴィーキャットウォーク</v>
      </c>
      <c r="B295" s="12" t="str">
        <v>トーマ feat.初音ミク</v>
      </c>
      <c r="C295" s="12" t="str">
        <f t="shared" si="12"/>
        <v>トーマ feat.初音ミクエンヴィーキャットウォーク</v>
      </c>
      <c r="AA295" s="14" t="str">
        <f t="shared" si="13"/>
        <v>トーマ feat.初音ミク</v>
      </c>
      <c r="AB295" s="14" t="str">
        <f>_xlfn.XLOOKUP(AA295,M_ARTIST!A:A,M_ARTIST!B:B,"★★★",0,1)</f>
        <v>とーま feat.はつねみく</v>
      </c>
      <c r="AC295" s="14" t="str">
        <f t="shared" si="14"/>
        <v>エンヴィーキャットウォーク</v>
      </c>
      <c r="AD295" s="19" t="str">
        <f>HYPERLINK(_xlfn.XLOOKUP(C295,M_YT_LIVE_TIMESTAMP!AA:AA,M_YT_LIVE_TIMESTAMP!Z:Z,"★",0,-1))</f>
        <v>https://www.youtube.com/live/bXG5ottJZas?si=VsjzjU8RreUrJGd3&amp;t=2878s</v>
      </c>
    </row>
    <row r="296" spans="1:30" x14ac:dyDescent="0.4">
      <c r="A296" s="12" t="str">
        <v>ド屑</v>
      </c>
      <c r="B296" s="12" t="str">
        <v>なきそ feat.歌愛ユキ</v>
      </c>
      <c r="C296" s="12" t="str">
        <f t="shared" si="12"/>
        <v>なきそ feat.歌愛ユキド屑</v>
      </c>
      <c r="AA296" s="14" t="str">
        <f t="shared" si="13"/>
        <v>なきそ feat.歌愛ユキ</v>
      </c>
      <c r="AB296" s="14" t="str">
        <f>_xlfn.XLOOKUP(AA296,M_ARTIST!A:A,M_ARTIST!B:B,"★★★",0,1)</f>
        <v>なきそ feat.かあいゆき</v>
      </c>
      <c r="AC296" s="14" t="str">
        <f t="shared" si="14"/>
        <v>ド屑</v>
      </c>
      <c r="AD296" s="19" t="str">
        <f>HYPERLINK(_xlfn.XLOOKUP(C296,M_YT_LIVE_TIMESTAMP!AA:AA,M_YT_LIVE_TIMESTAMP!Z:Z,"★",0,-1))</f>
        <v>https://www.youtube.com/live/OEtLBen9pLM?si=M4WDMSGkkHfWLvDr&amp;t=4117s</v>
      </c>
    </row>
    <row r="297" spans="1:30" x14ac:dyDescent="0.4">
      <c r="A297" s="12" t="str">
        <v>瞬間イマジネーション</v>
      </c>
      <c r="B297" s="12" t="str">
        <v>ななしいんく</v>
      </c>
      <c r="C297" s="12" t="str">
        <f t="shared" si="12"/>
        <v>ななしいんく瞬間イマジネーション</v>
      </c>
      <c r="AA297" s="14" t="str">
        <f t="shared" si="13"/>
        <v>ななしいんく</v>
      </c>
      <c r="AB297" s="14" t="str">
        <f>_xlfn.XLOOKUP(AA297,M_ARTIST!A:A,M_ARTIST!B:B,"★★★",0,1)</f>
        <v>ななしいんく</v>
      </c>
      <c r="AC297" s="14" t="str">
        <f t="shared" si="14"/>
        <v>瞬間イマジネーション</v>
      </c>
      <c r="AD297" s="19" t="str">
        <f>HYPERLINK(_xlfn.XLOOKUP(C297,M_YT_LIVE_TIMESTAMP!AA:AA,M_YT_LIVE_TIMESTAMP!Z:Z,"★",0,-1))</f>
        <v>https://www.youtube.com/live/zHPmNlzplRQ?si=hKbKp_wLxXmd13Kq&amp;t=4203s</v>
      </c>
    </row>
    <row r="298" spans="1:30" x14ac:dyDescent="0.4">
      <c r="A298" s="12" t="str">
        <v>星空のエチュード</v>
      </c>
      <c r="B298" s="12" t="str">
        <v>ななしいんく</v>
      </c>
      <c r="C298" s="12" t="str">
        <f t="shared" si="12"/>
        <v>ななしいんく星空のエチュード</v>
      </c>
      <c r="AA298" s="14" t="str">
        <f t="shared" si="13"/>
        <v>ななしいんく</v>
      </c>
      <c r="AB298" s="14" t="str">
        <f>_xlfn.XLOOKUP(AA298,M_ARTIST!A:A,M_ARTIST!B:B,"★★★",0,1)</f>
        <v>ななしいんく</v>
      </c>
      <c r="AC298" s="14" t="str">
        <f t="shared" si="14"/>
        <v>星空のエチュード</v>
      </c>
      <c r="AD298" s="19" t="str">
        <f>HYPERLINK(_xlfn.XLOOKUP(C298,M_YT_LIVE_TIMESTAMP!AA:AA,M_YT_LIVE_TIMESTAMP!Z:Z,"★",0,-1))</f>
        <v>https://www.youtube.com/live/zHPmNlzplRQ?si=hKbKp_wLxXmd13Kq&amp;t=3641s</v>
      </c>
    </row>
    <row r="299" spans="1:30" x14ac:dyDescent="0.4">
      <c r="A299" s="12" t="str">
        <v>チューリングラブ</v>
      </c>
      <c r="B299" s="12" t="str">
        <v>ナナヲアカリ feat.Sou</v>
      </c>
      <c r="C299" s="12" t="str">
        <f t="shared" si="12"/>
        <v>ナナヲアカリ feat.Souチューリングラブ</v>
      </c>
      <c r="AA299" s="14" t="str">
        <f t="shared" si="13"/>
        <v>ナナヲアカリ feat.Sou</v>
      </c>
      <c r="AB299" s="14" t="str">
        <f>_xlfn.XLOOKUP(AA299,M_ARTIST!A:A,M_ARTIST!B:B,"★★★",0,1)</f>
        <v>ななおあかり feat.Sou</v>
      </c>
      <c r="AC299" s="14" t="str">
        <f t="shared" si="14"/>
        <v>チューリングラブ</v>
      </c>
      <c r="AD299" s="19" t="str">
        <f>HYPERLINK(_xlfn.XLOOKUP(C299,M_YT_LIVE_TIMESTAMP!AA:AA,M_YT_LIVE_TIMESTAMP!Z:Z,"★",0,-1))</f>
        <v>https://www.youtube.com/live/NkjXzUMUZpw?si=EmGBj6Hh6tIlwjGQ&amp;t=3711s</v>
      </c>
    </row>
    <row r="300" spans="1:30" x14ac:dyDescent="0.4">
      <c r="A300" s="12" t="str">
        <v>ハロ/ハワユ</v>
      </c>
      <c r="B300" s="12" t="str">
        <v>ナノウ(ほえほえP) feat. 初音ミク</v>
      </c>
      <c r="C300" s="12" t="str">
        <f t="shared" si="12"/>
        <v>ナノウ(ほえほえP) feat. 初音ミクハロ/ハワユ</v>
      </c>
      <c r="AA300" s="14" t="str">
        <f t="shared" si="13"/>
        <v>ナノウ(ほえほえP) feat. 初音ミク</v>
      </c>
      <c r="AB300" s="14" t="str">
        <f>_xlfn.XLOOKUP(AA300,M_ARTIST!A:A,M_ARTIST!B:B,"★★★",0,1)</f>
        <v>なのう(ほえほえP) feat. はつねみく</v>
      </c>
      <c r="AC300" s="14" t="str">
        <f t="shared" si="14"/>
        <v>ハロ/ハワユ</v>
      </c>
      <c r="AD300" s="19" t="str">
        <f>HYPERLINK(_xlfn.XLOOKUP(C300,M_YT_LIVE_TIMESTAMP!AA:AA,M_YT_LIVE_TIMESTAMP!Z:Z,"★",0,-1))</f>
        <v>https://www.youtube.com/live/w3oM0fDmwz4?si=VVO-ga6uipBLMrpR&amp;t=1624s</v>
      </c>
    </row>
    <row r="301" spans="1:30" x14ac:dyDescent="0.4">
      <c r="A301" s="12" t="str">
        <v>ロケットサイダー</v>
      </c>
      <c r="B301" s="12" t="str">
        <v>ナユタン星人</v>
      </c>
      <c r="C301" s="12" t="str">
        <f t="shared" si="12"/>
        <v>ナユタン星人ロケットサイダー</v>
      </c>
      <c r="AA301" s="14" t="str">
        <f t="shared" si="13"/>
        <v>ナユタン星人</v>
      </c>
      <c r="AB301" s="14" t="str">
        <f>_xlfn.XLOOKUP(AA301,M_ARTIST!A:A,M_ARTIST!B:B,"★★★",0,1)</f>
        <v>なゆたんせいじん</v>
      </c>
      <c r="AC301" s="14" t="str">
        <f t="shared" si="14"/>
        <v>ロケットサイダー</v>
      </c>
      <c r="AD301" s="19" t="str">
        <f>HYPERLINK(_xlfn.XLOOKUP(C301,M_YT_LIVE_TIMESTAMP!AA:AA,M_YT_LIVE_TIMESTAMP!Z:Z,"★",0,-1))</f>
        <v>https://www.youtube.com/live/E8l1nOoKLLI?si=9GMtlAOzsgHxbniX&amp;t=6046s</v>
      </c>
    </row>
    <row r="302" spans="1:30" x14ac:dyDescent="0.4">
      <c r="A302" s="12" t="str">
        <v>ロケットサイダー</v>
      </c>
      <c r="B302" s="12" t="str">
        <v>ナユタン星人 feat.初音ミク</v>
      </c>
      <c r="C302" s="12" t="str">
        <f t="shared" si="12"/>
        <v>ナユタン星人 feat.初音ミクロケットサイダー</v>
      </c>
      <c r="AA302" s="14" t="str">
        <f t="shared" si="13"/>
        <v>ナユタン星人 feat.初音ミク</v>
      </c>
      <c r="AB302" s="14" t="str">
        <f>_xlfn.XLOOKUP(AA302,M_ARTIST!A:A,M_ARTIST!B:B,"★★★",0,1)</f>
        <v>★★★</v>
      </c>
      <c r="AC302" s="14" t="str">
        <f t="shared" si="14"/>
        <v>ロケットサイダー</v>
      </c>
      <c r="AD302" s="19" t="str">
        <f>HYPERLINK(_xlfn.XLOOKUP(C302,M_YT_LIVE_TIMESTAMP!AA:AA,M_YT_LIVE_TIMESTAMP!Z:Z,"★",0,-1))</f>
        <v>https://www.youtube.com/live/TDYlHpN4h0s?si=ysSy7YIPSXU6T0nx&amp;t=6191s</v>
      </c>
    </row>
    <row r="303" spans="1:30" x14ac:dyDescent="0.4">
      <c r="A303" s="12" t="str">
        <v>フラジール</v>
      </c>
      <c r="B303" s="12" t="str">
        <v>ぬゆりfeat.GUMI</v>
      </c>
      <c r="C303" s="12" t="str">
        <f t="shared" si="12"/>
        <v>ぬゆりfeat.GUMIフラジール</v>
      </c>
      <c r="AA303" s="14" t="str">
        <f t="shared" si="13"/>
        <v>ぬゆりfeat.GUMI</v>
      </c>
      <c r="AB303" s="14" t="str">
        <f>_xlfn.XLOOKUP(AA303,M_ARTIST!A:A,M_ARTIST!B:B,"★★★",0,1)</f>
        <v>ぬゆりfeat.GUMI</v>
      </c>
      <c r="AC303" s="14" t="str">
        <f t="shared" si="14"/>
        <v>フラジール</v>
      </c>
      <c r="AD303" s="19" t="str">
        <f>HYPERLINK(_xlfn.XLOOKUP(C303,M_YT_LIVE_TIMESTAMP!AA:AA,M_YT_LIVE_TIMESTAMP!Z:Z,"★",0,-1))</f>
        <v>https://www.youtube.com/live/AHfCHGope8I?si=qrXuqYy-tTqldtt4&amp;t=1046s</v>
      </c>
    </row>
    <row r="304" spans="1:30" x14ac:dyDescent="0.4">
      <c r="A304" s="12" t="str">
        <v>オシャレ大作戦</v>
      </c>
      <c r="B304" s="12" t="str">
        <v>ネクライトーキー</v>
      </c>
      <c r="C304" s="12" t="str">
        <f t="shared" si="12"/>
        <v>ネクライトーキーオシャレ大作戦</v>
      </c>
      <c r="AA304" s="14" t="str">
        <f t="shared" si="13"/>
        <v>ネクライトーキー</v>
      </c>
      <c r="AB304" s="14" t="str">
        <f>_xlfn.XLOOKUP(AA304,M_ARTIST!A:A,M_ARTIST!B:B,"★★★",0,1)</f>
        <v>ねくらいとーきー</v>
      </c>
      <c r="AC304" s="14" t="str">
        <f t="shared" si="14"/>
        <v>オシャレ大作戦</v>
      </c>
      <c r="AD304" s="19" t="str">
        <f>HYPERLINK(_xlfn.XLOOKUP(C304,M_YT_LIVE_TIMESTAMP!AA:AA,M_YT_LIVE_TIMESTAMP!Z:Z,"★",0,-1))</f>
        <v>https://www.youtube.com/live/rowkHJneOgY?si=dzvDO_qNHD4fLHMQ&amp;t=1325s</v>
      </c>
    </row>
    <row r="305" spans="1:30" x14ac:dyDescent="0.4">
      <c r="A305" s="12" t="str">
        <v>カロン</v>
      </c>
      <c r="B305" s="12" t="str">
        <v>ねごと</v>
      </c>
      <c r="C305" s="12" t="str">
        <f t="shared" si="12"/>
        <v>ねごとカロン</v>
      </c>
      <c r="AA305" s="14" t="str">
        <f t="shared" si="13"/>
        <v>ねごと</v>
      </c>
      <c r="AB305" s="14" t="str">
        <f>_xlfn.XLOOKUP(AA305,M_ARTIST!A:A,M_ARTIST!B:B,"★★★",0,1)</f>
        <v>ねごと</v>
      </c>
      <c r="AC305" s="14" t="str">
        <f t="shared" si="14"/>
        <v>カロン</v>
      </c>
      <c r="AD305" s="19" t="str">
        <f>HYPERLINK(_xlfn.XLOOKUP(C305,M_YT_LIVE_TIMESTAMP!AA:AA,M_YT_LIVE_TIMESTAMP!Z:Z,"★",0,-1))</f>
        <v>https://www.youtube.com/live/N0Tp3auhZ54?si=TUAMJQ8TqFkAVZ1r&amp;t=961s</v>
      </c>
    </row>
    <row r="306" spans="1:30" x14ac:dyDescent="0.4">
      <c r="A306" s="12" t="str">
        <v>ドーナツホール</v>
      </c>
      <c r="B306" s="12" t="str">
        <v>ハチ(米津玄師) feat.GUMI</v>
      </c>
      <c r="C306" s="12" t="str">
        <f t="shared" si="12"/>
        <v>ハチ(米津玄師) feat.GUMIドーナツホール</v>
      </c>
      <c r="AA306" s="14" t="str">
        <f t="shared" si="13"/>
        <v>ハチ(米津玄師) feat.GUMI</v>
      </c>
      <c r="AB306" s="14" t="str">
        <f>_xlfn.XLOOKUP(AA306,M_ARTIST!A:A,M_ARTIST!B:B,"★★★",0,1)</f>
        <v>はち(よねづけんし) feat.GUMI</v>
      </c>
      <c r="AC306" s="14" t="str">
        <f t="shared" si="14"/>
        <v>ドーナツホール</v>
      </c>
      <c r="AD306" s="19" t="str">
        <f>HYPERLINK(_xlfn.XLOOKUP(C306,M_YT_LIVE_TIMESTAMP!AA:AA,M_YT_LIVE_TIMESTAMP!Z:Z,"★",0,-1))</f>
        <v>https://www.youtube.com/live/EIV2fME4Fec?si=lkzDtJEJ9agzd2Md&amp;t=5103s</v>
      </c>
    </row>
    <row r="307" spans="1:30" x14ac:dyDescent="0.4">
      <c r="A307" s="12" t="str">
        <v>マトリョシカ</v>
      </c>
      <c r="B307" s="12" t="str">
        <v>ハチ(米津玄師) feat.初音ミク&amp;GUMI</v>
      </c>
      <c r="C307" s="12" t="str">
        <f t="shared" si="12"/>
        <v>ハチ(米津玄師) feat.初音ミク&amp;GUMIマトリョシカ</v>
      </c>
      <c r="AA307" s="14" t="str">
        <f t="shared" si="13"/>
        <v>ハチ(米津玄師) feat.初音ミク&amp;GUMI</v>
      </c>
      <c r="AB307" s="14" t="str">
        <f>_xlfn.XLOOKUP(AA307,M_ARTIST!A:A,M_ARTIST!B:B,"★★★",0,1)</f>
        <v>はち(よねづけんし) feat.はつねみく&amp;GUMI</v>
      </c>
      <c r="AC307" s="14" t="str">
        <f t="shared" si="14"/>
        <v>マトリョシカ</v>
      </c>
      <c r="AD307" s="19" t="str">
        <f>HYPERLINK(_xlfn.XLOOKUP(C307,M_YT_LIVE_TIMESTAMP!AA:AA,M_YT_LIVE_TIMESTAMP!Z:Z,"★",0,-1))</f>
        <v>https://www.youtube.com/live/bXG5ottJZas?si=VsjzjU8RreUrJGd3&amp;t=2493s</v>
      </c>
    </row>
    <row r="308" spans="1:30" x14ac:dyDescent="0.4">
      <c r="A308" s="12" t="str">
        <v>ハム太郎とっとこうた</v>
      </c>
      <c r="B308" s="12" t="str">
        <v>ハムちゃんず</v>
      </c>
      <c r="C308" s="12" t="str">
        <f t="shared" si="12"/>
        <v>ハムちゃんずハム太郎とっとこうた</v>
      </c>
      <c r="AA308" s="14" t="str">
        <f t="shared" si="13"/>
        <v>ハムちゃんず</v>
      </c>
      <c r="AB308" s="14" t="str">
        <f>_xlfn.XLOOKUP(AA308,M_ARTIST!A:A,M_ARTIST!B:B,"★★★",0,1)</f>
        <v>はむちゃんず</v>
      </c>
      <c r="AC308" s="14" t="str">
        <f t="shared" si="14"/>
        <v>ハム太郎とっとこうた</v>
      </c>
      <c r="AD308" s="19" t="str">
        <f>HYPERLINK(_xlfn.XLOOKUP(C308,M_YT_LIVE_TIMESTAMP!AA:AA,M_YT_LIVE_TIMESTAMP!Z:Z,"★",0,-1))</f>
        <v>https://www.youtube.com/live/JAK2m4FWxF0?si=Xy-B8lpcz7dX_b5n&amp;t=7043s</v>
      </c>
    </row>
    <row r="309" spans="1:30" x14ac:dyDescent="0.4">
      <c r="A309" s="12" t="str">
        <v>レディーレ</v>
      </c>
      <c r="B309" s="12" t="str">
        <v>バルーン feat.flower</v>
      </c>
      <c r="C309" s="12" t="str">
        <f t="shared" si="12"/>
        <v>バルーン feat.flowerレディーレ</v>
      </c>
      <c r="AA309" s="14" t="str">
        <f t="shared" si="13"/>
        <v>バルーン feat.flower</v>
      </c>
      <c r="AB309" s="14" t="str">
        <f>_xlfn.XLOOKUP(AA309,M_ARTIST!A:A,M_ARTIST!B:B,"★★★",0,1)</f>
        <v>ばるーん feat.flower</v>
      </c>
      <c r="AC309" s="14" t="str">
        <f t="shared" si="14"/>
        <v>レディーレ</v>
      </c>
      <c r="AD309" s="19" t="str">
        <f>HYPERLINK(_xlfn.XLOOKUP(C309,M_YT_LIVE_TIMESTAMP!AA:AA,M_YT_LIVE_TIMESTAMP!Z:Z,"★",0,-1))</f>
        <v>https://www.youtube.com/live/w3oM0fDmwz4?si=VVO-ga6uipBLMrpR&amp;t=4675s</v>
      </c>
    </row>
    <row r="310" spans="1:30" x14ac:dyDescent="0.4">
      <c r="A310" s="12" t="str">
        <v>シャルル</v>
      </c>
      <c r="B310" s="12" t="str">
        <v>バルーン(須田景凪) feat.flowel</v>
      </c>
      <c r="C310" s="12" t="str">
        <f t="shared" si="12"/>
        <v>バルーン(須田景凪) feat.flowelシャルル</v>
      </c>
      <c r="AA310" s="14" t="str">
        <f t="shared" si="13"/>
        <v>バルーン(須田景凪) feat.flowel</v>
      </c>
      <c r="AB310" s="14" t="str">
        <f>_xlfn.XLOOKUP(AA310,M_ARTIST!A:A,M_ARTIST!B:B,"★★★",0,1)</f>
        <v>ばるーん(すだけいな) feat.flowel</v>
      </c>
      <c r="AC310" s="14" t="str">
        <f t="shared" si="14"/>
        <v>シャルル</v>
      </c>
      <c r="AD310" s="19" t="str">
        <f>HYPERLINK(_xlfn.XLOOKUP(C310,M_YT_LIVE_TIMESTAMP!AA:AA,M_YT_LIVE_TIMESTAMP!Z:Z,"★",0,-1))</f>
        <v>https://www.youtube.com/live/nyXzxG79mwQ?si=kGuFyOuc0o-yNPOU&amp;t=12634s</v>
      </c>
    </row>
    <row r="311" spans="1:30" x14ac:dyDescent="0.4">
      <c r="A311" s="12" t="str">
        <v>花瓶に触れた</v>
      </c>
      <c r="B311" s="12" t="str">
        <v>バルーン(須田景凪) feat.flower</v>
      </c>
      <c r="C311" s="12" t="str">
        <f t="shared" si="12"/>
        <v>バルーン(須田景凪) feat.flower花瓶に触れた</v>
      </c>
      <c r="AA311" s="14" t="str">
        <f t="shared" si="13"/>
        <v>バルーン(須田景凪) feat.flower</v>
      </c>
      <c r="AB311" s="14" t="str">
        <f>_xlfn.XLOOKUP(AA311,M_ARTIST!A:A,M_ARTIST!B:B,"★★★",0,1)</f>
        <v>ばるーん(すだけいな) feat.flower</v>
      </c>
      <c r="AC311" s="14" t="str">
        <f t="shared" si="14"/>
        <v>花瓶に触れた</v>
      </c>
      <c r="AD311" s="19" t="str">
        <f>HYPERLINK(_xlfn.XLOOKUP(C311,M_YT_LIVE_TIMESTAMP!AA:AA,M_YT_LIVE_TIMESTAMP!Z:Z,"★",0,-1))</f>
        <v>https://www.youtube.com/live/w3oM0fDmwz4?si=VVO-ga6uipBLMrpR&amp;t=4294s</v>
      </c>
    </row>
    <row r="312" spans="1:30" x14ac:dyDescent="0.4">
      <c r="A312" s="12" t="str">
        <v>シャルル</v>
      </c>
      <c r="B312" s="12" t="str">
        <v>バルーン(須田景凪)feat.flowel</v>
      </c>
      <c r="C312" s="12" t="str">
        <f t="shared" si="12"/>
        <v>バルーン(須田景凪)feat.flowelシャルル</v>
      </c>
      <c r="AA312" s="14" t="str">
        <f t="shared" si="13"/>
        <v>バルーン(須田景凪)feat.flowel</v>
      </c>
      <c r="AB312" s="14" t="str">
        <f>_xlfn.XLOOKUP(AA312,M_ARTIST!A:A,M_ARTIST!B:B,"★★★",0,1)</f>
        <v>ばるーん(すだけいな)feat.flowel</v>
      </c>
      <c r="AC312" s="14" t="str">
        <f t="shared" si="14"/>
        <v>シャルル</v>
      </c>
      <c r="AD312" s="19" t="str">
        <f>HYPERLINK(_xlfn.XLOOKUP(C312,M_YT_LIVE_TIMESTAMP!AA:AA,M_YT_LIVE_TIMESTAMP!Z:Z,"★",0,-1))</f>
        <v>https://www.youtube.com/live/lrLQ6akH23w?si=aC5HLJK6UZYwu-Yn&amp;t=4010s</v>
      </c>
    </row>
    <row r="313" spans="1:30" x14ac:dyDescent="0.4">
      <c r="A313" s="12" t="str">
        <v>メルティランドナイトメア</v>
      </c>
      <c r="B313" s="12" t="str">
        <v>はるまきごはん feat.初音ミク</v>
      </c>
      <c r="C313" s="12" t="str">
        <f t="shared" si="12"/>
        <v>はるまきごはん feat.初音ミクメルティランドナイトメア</v>
      </c>
      <c r="AA313" s="14" t="str">
        <f t="shared" si="13"/>
        <v>はるまきごはん feat.初音ミク</v>
      </c>
      <c r="AB313" s="14" t="str">
        <f>_xlfn.XLOOKUP(AA313,M_ARTIST!A:A,M_ARTIST!B:B,"★★★",0,1)</f>
        <v>はるまきごはん feat.はつねみく</v>
      </c>
      <c r="AC313" s="14" t="str">
        <f t="shared" si="14"/>
        <v>メルティランドナイトメア</v>
      </c>
      <c r="AD313" s="19" t="str">
        <f>HYPERLINK(_xlfn.XLOOKUP(C313,M_YT_LIVE_TIMESTAMP!AA:AA,M_YT_LIVE_TIMESTAMP!Z:Z,"★",0,-1))</f>
        <v>https://www.youtube.com/live/OYaf_O-6WRs?si=20Zo4VVa8PxJbw_X&amp;t=367s</v>
      </c>
    </row>
    <row r="314" spans="1:30" x14ac:dyDescent="0.4">
      <c r="A314" s="12" t="str">
        <v>群像夏</v>
      </c>
      <c r="B314" s="12" t="str">
        <v>パン野実々美</v>
      </c>
      <c r="C314" s="12" t="str">
        <f t="shared" si="12"/>
        <v>パン野実々美群像夏</v>
      </c>
      <c r="AA314" s="14" t="str">
        <f t="shared" si="13"/>
        <v>パン野実々美</v>
      </c>
      <c r="AB314" s="14" t="str">
        <f>_xlfn.XLOOKUP(AA314,M_ARTIST!A:A,M_ARTIST!B:B,"★★★",0,1)</f>
        <v>★★★</v>
      </c>
      <c r="AC314" s="14" t="str">
        <f t="shared" si="14"/>
        <v>群像夏</v>
      </c>
      <c r="AD314" s="19" t="str">
        <f>HYPERLINK(_xlfn.XLOOKUP(C314,M_YT_LIVE_TIMESTAMP!AA:AA,M_YT_LIVE_TIMESTAMP!Z:Z,"★",0,-1))</f>
        <v>https://www.youtube.com/live/FGNU1iQLiNM?si=B75Oqj0tjRBiyl5j&amp;t=2145s</v>
      </c>
    </row>
    <row r="315" spans="1:30" x14ac:dyDescent="0.4">
      <c r="A315" s="12" t="str">
        <v>シスターピース</v>
      </c>
      <c r="B315" s="12" t="str">
        <v>ひかるい(飛良ひかり＆瀬島るい)</v>
      </c>
      <c r="C315" s="12" t="str">
        <f t="shared" si="12"/>
        <v>ひかるい(飛良ひかり＆瀬島るい)シスターピース</v>
      </c>
      <c r="AA315" s="14" t="str">
        <f t="shared" si="13"/>
        <v>ひかるい(飛良ひかり＆瀬島るい)</v>
      </c>
      <c r="AB315" s="14" t="str">
        <f>_xlfn.XLOOKUP(AA315,M_ARTIST!A:A,M_ARTIST!B:B,"★★★",0,1)</f>
        <v>ひかるい(ひらひかり＆せじまるい)</v>
      </c>
      <c r="AC315" s="14" t="str">
        <f t="shared" si="14"/>
        <v>シスターピース</v>
      </c>
      <c r="AD315" s="19" t="str">
        <f>HYPERLINK(_xlfn.XLOOKUP(C315,M_YT_LIVE_TIMESTAMP!AA:AA,M_YT_LIVE_TIMESTAMP!Z:Z,"★",0,-1))</f>
        <v>https://www.youtube.com/live/zHPmNlzplRQ?si=hKbKp_wLxXmd13Kq&amp;t=1949s</v>
      </c>
    </row>
    <row r="316" spans="1:30" x14ac:dyDescent="0.4">
      <c r="A316" s="12" t="str">
        <v>ガランド</v>
      </c>
      <c r="B316" s="12" t="str">
        <v>ピコン feat.初音ミク</v>
      </c>
      <c r="C316" s="12" t="str">
        <f t="shared" si="12"/>
        <v>ピコン feat.初音ミクガランド</v>
      </c>
      <c r="AA316" s="14" t="str">
        <f t="shared" si="13"/>
        <v>ピコン feat.初音ミク</v>
      </c>
      <c r="AB316" s="14" t="str">
        <f>_xlfn.XLOOKUP(AA316,M_ARTIST!A:A,M_ARTIST!B:B,"★★★",0,1)</f>
        <v>ピコン feat.はつねみく</v>
      </c>
      <c r="AC316" s="14" t="str">
        <f t="shared" si="14"/>
        <v>ガランド</v>
      </c>
      <c r="AD316" s="19" t="str">
        <f>HYPERLINK(_xlfn.XLOOKUP(C316,M_YT_LIVE_TIMESTAMP!AA:AA,M_YT_LIVE_TIMESTAMP!Z:Z,"★",0,-1))</f>
        <v>https://www.youtube.com/live/AHfCHGope8I?si=qrXuqYy-tTqldtt4&amp;t=2479s</v>
      </c>
    </row>
    <row r="317" spans="1:30" x14ac:dyDescent="0.4">
      <c r="A317" s="12" t="str">
        <v>若者のすべて</v>
      </c>
      <c r="B317" s="12" t="str">
        <v>フジファブリック</v>
      </c>
      <c r="C317" s="12" t="str">
        <f t="shared" si="12"/>
        <v>フジファブリック若者のすべて</v>
      </c>
      <c r="AA317" s="14" t="str">
        <f t="shared" si="13"/>
        <v>フジファブリック</v>
      </c>
      <c r="AB317" s="14" t="str">
        <f>_xlfn.XLOOKUP(AA317,M_ARTIST!A:A,M_ARTIST!B:B,"★★★",0,1)</f>
        <v>ふじふぁぶりっく</v>
      </c>
      <c r="AC317" s="14" t="str">
        <f t="shared" si="14"/>
        <v>若者のすべて</v>
      </c>
      <c r="AD317" s="19" t="str">
        <f>HYPERLINK(_xlfn.XLOOKUP(C317,M_YT_LIVE_TIMESTAMP!AA:AA,M_YT_LIVE_TIMESTAMP!Z:Z,"★",0,-1))</f>
        <v>https://www.youtube.com/live/rowkHJneOgY?si=dzvDO_qNHD4fLHMQ&amp;t=2590s</v>
      </c>
    </row>
    <row r="318" spans="1:30" x14ac:dyDescent="0.4">
      <c r="A318" s="12" t="str">
        <v>オドループ</v>
      </c>
      <c r="B318" s="12" t="str">
        <v>フレデリック</v>
      </c>
      <c r="C318" s="12" t="str">
        <f t="shared" si="12"/>
        <v>フレデリックオドループ</v>
      </c>
      <c r="AA318" s="14" t="str">
        <f t="shared" si="13"/>
        <v>フレデリック</v>
      </c>
      <c r="AB318" s="14" t="str">
        <f>_xlfn.XLOOKUP(AA318,M_ARTIST!A:A,M_ARTIST!B:B,"★★★",0,1)</f>
        <v>ふれでりっく</v>
      </c>
      <c r="AC318" s="14" t="str">
        <f t="shared" si="14"/>
        <v>オドループ</v>
      </c>
      <c r="AD318" s="19" t="str">
        <f>HYPERLINK(_xlfn.XLOOKUP(C318,M_YT_LIVE_TIMESTAMP!AA:AA,M_YT_LIVE_TIMESTAMP!Z:Z,"★",0,-1))</f>
        <v>https://www.youtube.com/live/rowkHJneOgY?si=dzvDO_qNHD4fLHMQ&amp;t=1931s</v>
      </c>
    </row>
    <row r="319" spans="1:30" x14ac:dyDescent="0.4">
      <c r="A319" s="12" t="str">
        <v>ICHIDAIJI</v>
      </c>
      <c r="B319" s="12" t="str">
        <v>ポルカドットスティングレイ</v>
      </c>
      <c r="C319" s="12" t="str">
        <f t="shared" si="12"/>
        <v>ポルカドットスティングレイICHIDAIJI</v>
      </c>
      <c r="AA319" s="14" t="str">
        <f t="shared" si="13"/>
        <v>ポルカドットスティングレイ</v>
      </c>
      <c r="AB319" s="14" t="str">
        <f>_xlfn.XLOOKUP(AA319,M_ARTIST!A:A,M_ARTIST!B:B,"★★★",0,1)</f>
        <v>ぽるかどっとすてぃんぐれい</v>
      </c>
      <c r="AC319" s="14" t="str">
        <f t="shared" si="14"/>
        <v>ICHIDAIJI</v>
      </c>
      <c r="AD319" s="19" t="str">
        <f>HYPERLINK(_xlfn.XLOOKUP(C319,M_YT_LIVE_TIMESTAMP!AA:AA,M_YT_LIVE_TIMESTAMP!Z:Z,"★",0,-1))</f>
        <v>https://www.youtube.com/live/rowkHJneOgY?si=dzvDO_qNHD4fLHMQ&amp;t=609s</v>
      </c>
    </row>
    <row r="320" spans="1:30" x14ac:dyDescent="0.4">
      <c r="A320" s="12" t="str">
        <v>テレキャスター・ストライプ</v>
      </c>
      <c r="B320" s="12" t="str">
        <v>ポルカドットスティングレイ</v>
      </c>
      <c r="C320" s="12" t="str">
        <f t="shared" si="12"/>
        <v>ポルカドットスティングレイテレキャスター・ストライプ</v>
      </c>
      <c r="AA320" s="14" t="str">
        <f t="shared" si="13"/>
        <v>ポルカドットスティングレイ</v>
      </c>
      <c r="AB320" s="14" t="str">
        <f>_xlfn.XLOOKUP(AA320,M_ARTIST!A:A,M_ARTIST!B:B,"★★★",0,1)</f>
        <v>ぽるかどっとすてぃんぐれい</v>
      </c>
      <c r="AC320" s="14" t="str">
        <f t="shared" si="14"/>
        <v>テレキャスター・ストライプ</v>
      </c>
      <c r="AD320" s="19" t="str">
        <f>HYPERLINK(_xlfn.XLOOKUP(C320,M_YT_LIVE_TIMESTAMP!AA:AA,M_YT_LIVE_TIMESTAMP!Z:Z,"★",0,-1))</f>
        <v>https://www.youtube.com/live/rowkHJneOgY?si=dzvDO_qNHD4fLHMQ&amp;t=1015s</v>
      </c>
    </row>
    <row r="321" spans="1:30" x14ac:dyDescent="0.4">
      <c r="A321" s="12" t="str">
        <v>トゲめくスピカ</v>
      </c>
      <c r="B321" s="12" t="str">
        <v>ポルカドットスティングレイ</v>
      </c>
      <c r="C321" s="12" t="str">
        <f t="shared" si="12"/>
        <v>ポルカドットスティングレイトゲめくスピカ</v>
      </c>
      <c r="AA321" s="14" t="str">
        <f t="shared" si="13"/>
        <v>ポルカドットスティングレイ</v>
      </c>
      <c r="AB321" s="14" t="str">
        <f>_xlfn.XLOOKUP(AA321,M_ARTIST!A:A,M_ARTIST!B:B,"★★★",0,1)</f>
        <v>ぽるかどっとすてぃんぐれい</v>
      </c>
      <c r="AC321" s="14" t="str">
        <f t="shared" si="14"/>
        <v>トゲめくスピカ</v>
      </c>
      <c r="AD321" s="19" t="str">
        <f>HYPERLINK(_xlfn.XLOOKUP(C321,M_YT_LIVE_TIMESTAMP!AA:AA,M_YT_LIVE_TIMESTAMP!Z:Z,"★",0,-1))</f>
        <v>https://www.youtube.com/live/BjWSIm9kSZs?si=1oMuQyZMLWArIABK&amp;t=4110s</v>
      </c>
    </row>
    <row r="322" spans="1:30" x14ac:dyDescent="0.4">
      <c r="A322" s="12" t="str">
        <v>ヒミツ</v>
      </c>
      <c r="B322" s="12" t="str">
        <v>ポルカドットスティングレイ</v>
      </c>
      <c r="C322" s="12" t="str">
        <f t="shared" si="12"/>
        <v>ポルカドットスティングレイヒミツ</v>
      </c>
      <c r="AA322" s="14" t="str">
        <f t="shared" si="13"/>
        <v>ポルカドットスティングレイ</v>
      </c>
      <c r="AB322" s="14" t="str">
        <f>_xlfn.XLOOKUP(AA322,M_ARTIST!A:A,M_ARTIST!B:B,"★★★",0,1)</f>
        <v>ぽるかどっとすてぃんぐれい</v>
      </c>
      <c r="AC322" s="14" t="str">
        <f t="shared" si="14"/>
        <v>ヒミツ</v>
      </c>
      <c r="AD322" s="19" t="str">
        <f>HYPERLINK(_xlfn.XLOOKUP(C322,M_YT_LIVE_TIMESTAMP!AA:AA,M_YT_LIVE_TIMESTAMP!Z:Z,"★",0,-1))</f>
        <v>https://www.youtube.com/live/5-PHEYq6a-Y?si=i1qN4inKhZc0prZ-&amp;t=585s</v>
      </c>
    </row>
    <row r="323" spans="1:30" x14ac:dyDescent="0.4">
      <c r="A323" s="12" t="str">
        <v>化身</v>
      </c>
      <c r="B323" s="12" t="str">
        <v>ポルカドットスティングレイ</v>
      </c>
      <c r="C323" s="12" t="str">
        <f t="shared" ref="C323:C368" si="15">TRIM(B323)&amp;TRIM(A323)</f>
        <v>ポルカドットスティングレイ化身</v>
      </c>
      <c r="AA323" s="14" t="str">
        <f t="shared" ref="AA323:AA361" si="16">B323</f>
        <v>ポルカドットスティングレイ</v>
      </c>
      <c r="AB323" s="14" t="str">
        <f>_xlfn.XLOOKUP(AA323,M_ARTIST!A:A,M_ARTIST!B:B,"★★★",0,1)</f>
        <v>ぽるかどっとすてぃんぐれい</v>
      </c>
      <c r="AC323" s="14" t="str">
        <f t="shared" ref="AC323:AC361" si="17">A323</f>
        <v>化身</v>
      </c>
      <c r="AD323" s="19" t="str">
        <f>HYPERLINK(_xlfn.XLOOKUP(C323,M_YT_LIVE_TIMESTAMP!AA:AA,M_YT_LIVE_TIMESTAMP!Z:Z,"★",0,-1))</f>
        <v>https://www.youtube.com/live/5-PHEYq6a-Y?si=i1qN4inKhZc0prZ-&amp;t=257s</v>
      </c>
    </row>
    <row r="324" spans="1:30" x14ac:dyDescent="0.4">
      <c r="A324" s="12" t="str">
        <v>サウダージ</v>
      </c>
      <c r="B324" s="12" t="str">
        <v>ポルノグラフィティ</v>
      </c>
      <c r="C324" s="12" t="str">
        <f t="shared" si="15"/>
        <v>ポルノグラフィティサウダージ</v>
      </c>
      <c r="AA324" s="14" t="str">
        <f t="shared" si="16"/>
        <v>ポルノグラフィティ</v>
      </c>
      <c r="AB324" s="14" t="str">
        <f>_xlfn.XLOOKUP(AA324,M_ARTIST!A:A,M_ARTIST!B:B,"★★★",0,1)</f>
        <v>ぽるのぐらふぃてぃ</v>
      </c>
      <c r="AC324" s="14" t="str">
        <f t="shared" si="17"/>
        <v>サウダージ</v>
      </c>
      <c r="AD324" s="19" t="str">
        <f>HYPERLINK(_xlfn.XLOOKUP(C324,M_YT_LIVE_TIMESTAMP!AA:AA,M_YT_LIVE_TIMESTAMP!Z:Z,"★",0,-1))</f>
        <v>https://www.youtube.com/live/DX8misWhJuA?si=x9BqkZPlvHen5SCl&amp;t=6485s</v>
      </c>
    </row>
    <row r="325" spans="1:30" x14ac:dyDescent="0.4">
      <c r="A325" s="12" t="str">
        <v>ブルーベリー・ナイツ</v>
      </c>
      <c r="B325" s="12" t="str">
        <v>マカロニえんぴつ</v>
      </c>
      <c r="C325" s="12" t="str">
        <f t="shared" si="15"/>
        <v>マカロニえんぴつブルーベリー・ナイツ</v>
      </c>
      <c r="AA325" s="14" t="str">
        <f t="shared" si="16"/>
        <v>マカロニえんぴつ</v>
      </c>
      <c r="AB325" s="14" t="str">
        <f>_xlfn.XLOOKUP(AA325,M_ARTIST!A:A,M_ARTIST!B:B,"★★★",0,1)</f>
        <v>まかろにえんぴつ</v>
      </c>
      <c r="AC325" s="14" t="str">
        <f t="shared" si="17"/>
        <v>ブルーベリー・ナイツ</v>
      </c>
      <c r="AD325" s="19" t="str">
        <f>HYPERLINK(_xlfn.XLOOKUP(C325,M_YT_LIVE_TIMESTAMP!AA:AA,M_YT_LIVE_TIMESTAMP!Z:Z,"★",0,-1))</f>
        <v>https://www.youtube.com/live/TDYlHpN4h0s?si=ysSy7YIPSXU6T0nx&amp;t=370s</v>
      </c>
    </row>
    <row r="326" spans="1:30" x14ac:dyDescent="0.4">
      <c r="A326" s="12" t="str">
        <v>夕立のりぼん</v>
      </c>
      <c r="B326" s="12" t="str">
        <v>みきとP feat.MAYU</v>
      </c>
      <c r="C326" s="12" t="str">
        <f t="shared" si="15"/>
        <v>みきとP feat.MAYU夕立のりぼん</v>
      </c>
      <c r="AA326" s="14" t="str">
        <f t="shared" si="16"/>
        <v>みきとP feat.MAYU</v>
      </c>
      <c r="AB326" s="14" t="str">
        <f>_xlfn.XLOOKUP(AA326,M_ARTIST!A:A,M_ARTIST!B:B,"★★★",0,1)</f>
        <v>みきとP feat.MAYU</v>
      </c>
      <c r="AC326" s="14" t="str">
        <f t="shared" si="17"/>
        <v>夕立のりぼん</v>
      </c>
      <c r="AD326" s="19" t="str">
        <f>HYPERLINK(_xlfn.XLOOKUP(C326,M_YT_LIVE_TIMESTAMP!AA:AA,M_YT_LIVE_TIMESTAMP!Z:Z,"★",0,-1))</f>
        <v>https://www.youtube.com/live/E8l1nOoKLLI?si=9GMtlAOzsgHxbniX&amp;t=4721s</v>
      </c>
    </row>
    <row r="327" spans="1:30" x14ac:dyDescent="0.4">
      <c r="A327" s="12" t="str">
        <v>ロキ</v>
      </c>
      <c r="B327" s="12" t="str">
        <v>みきとP feat.鏡音リン</v>
      </c>
      <c r="C327" s="12" t="str">
        <f t="shared" si="15"/>
        <v>みきとP feat.鏡音リンロキ</v>
      </c>
      <c r="AA327" s="14" t="str">
        <f t="shared" si="16"/>
        <v>みきとP feat.鏡音リン</v>
      </c>
      <c r="AB327" s="14" t="str">
        <f>_xlfn.XLOOKUP(AA327,M_ARTIST!A:A,M_ARTIST!B:B,"★★★",0,1)</f>
        <v>みきとP feat.かがみねりん</v>
      </c>
      <c r="AC327" s="14" t="str">
        <f t="shared" si="17"/>
        <v>ロキ</v>
      </c>
      <c r="AD327" s="19" t="str">
        <f>HYPERLINK(_xlfn.XLOOKUP(C327,M_YT_LIVE_TIMESTAMP!AA:AA,M_YT_LIVE_TIMESTAMP!Z:Z,"★",0,-1))</f>
        <v>https://www.youtube.com/live/NkjXzUMUZpw?si=EmGBj6Hh6tIlwjGQ&amp;t=1415s</v>
      </c>
    </row>
    <row r="328" spans="1:30" x14ac:dyDescent="0.4">
      <c r="A328" s="12" t="str">
        <v>サリシノハラ</v>
      </c>
      <c r="B328" s="12" t="str">
        <v>みきとP feat.初音ミク</v>
      </c>
      <c r="C328" s="12" t="str">
        <f t="shared" si="15"/>
        <v>みきとP feat.初音ミクサリシノハラ</v>
      </c>
      <c r="AA328" s="14" t="str">
        <f t="shared" si="16"/>
        <v>みきとP feat.初音ミク</v>
      </c>
      <c r="AB328" s="14" t="str">
        <f>_xlfn.XLOOKUP(AA328,M_ARTIST!A:A,M_ARTIST!B:B,"★★★",0,1)</f>
        <v>みきとP feat.はつねみく</v>
      </c>
      <c r="AC328" s="14" t="str">
        <f t="shared" si="17"/>
        <v>サリシノハラ</v>
      </c>
      <c r="AD328" s="19" t="str">
        <f>HYPERLINK(_xlfn.XLOOKUP(C328,M_YT_LIVE_TIMESTAMP!AA:AA,M_YT_LIVE_TIMESTAMP!Z:Z,"★",0,-1))</f>
        <v>https://www.youtube.com/live/N0Tp3auhZ54?si=TUAMJQ8TqFkAVZ1r&amp;t=1800s</v>
      </c>
    </row>
    <row r="329" spans="1:30" x14ac:dyDescent="0.4">
      <c r="A329" s="12" t="str">
        <v>夏の半券</v>
      </c>
      <c r="B329" s="12" t="str">
        <v>みきとP feat.初音ミク</v>
      </c>
      <c r="C329" s="12" t="str">
        <f t="shared" si="15"/>
        <v>みきとP feat.初音ミク夏の半券</v>
      </c>
      <c r="AA329" s="14" t="str">
        <f t="shared" si="16"/>
        <v>みきとP feat.初音ミク</v>
      </c>
      <c r="AB329" s="14" t="str">
        <f>_xlfn.XLOOKUP(AA329,M_ARTIST!A:A,M_ARTIST!B:B,"★★★",0,1)</f>
        <v>みきとP feat.はつねみく</v>
      </c>
      <c r="AC329" s="14" t="str">
        <f t="shared" si="17"/>
        <v>夏の半券</v>
      </c>
      <c r="AD329" s="19" t="str">
        <f>HYPERLINK(_xlfn.XLOOKUP(C329,M_YT_LIVE_TIMESTAMP!AA:AA,M_YT_LIVE_TIMESTAMP!Z:Z,"★",0,-1))</f>
        <v>https://www.youtube.com/live/Cs48limSzrE?si=n8CFockH4OVXGSvE&amp;t=2810s</v>
      </c>
    </row>
    <row r="330" spans="1:30" x14ac:dyDescent="0.4">
      <c r="A330" s="12" t="str">
        <v>小夜子</v>
      </c>
      <c r="B330" s="12" t="str">
        <v>みきとP feat.初音ミク</v>
      </c>
      <c r="C330" s="12" t="str">
        <f t="shared" si="15"/>
        <v>みきとP feat.初音ミク小夜子</v>
      </c>
      <c r="AA330" s="14" t="str">
        <f t="shared" si="16"/>
        <v>みきとP feat.初音ミク</v>
      </c>
      <c r="AB330" s="14" t="str">
        <f>_xlfn.XLOOKUP(AA330,M_ARTIST!A:A,M_ARTIST!B:B,"★★★",0,1)</f>
        <v>みきとP feat.はつねみく</v>
      </c>
      <c r="AC330" s="14" t="str">
        <f t="shared" si="17"/>
        <v>小夜子</v>
      </c>
      <c r="AD330" s="19" t="str">
        <f>HYPERLINK(_xlfn.XLOOKUP(C330,M_YT_LIVE_TIMESTAMP!AA:AA,M_YT_LIVE_TIMESTAMP!Z:Z,"★",0,-1))</f>
        <v>https://www.youtube.com/live/N0Tp3auhZ54?si=TUAMJQ8TqFkAVZ1r&amp;t=1347s</v>
      </c>
    </row>
    <row r="331" spans="1:30" x14ac:dyDescent="0.4">
      <c r="A331" s="12" t="str">
        <v>少女レイ</v>
      </c>
      <c r="B331" s="12" t="str">
        <v>みきとP feat.初音ミク</v>
      </c>
      <c r="C331" s="12" t="str">
        <f t="shared" si="15"/>
        <v>みきとP feat.初音ミク少女レイ</v>
      </c>
      <c r="AA331" s="14" t="str">
        <f t="shared" si="16"/>
        <v>みきとP feat.初音ミク</v>
      </c>
      <c r="AB331" s="14" t="str">
        <f>_xlfn.XLOOKUP(AA331,M_ARTIST!A:A,M_ARTIST!B:B,"★★★",0,1)</f>
        <v>みきとP feat.はつねみく</v>
      </c>
      <c r="AC331" s="14" t="str">
        <f t="shared" si="17"/>
        <v>少女レイ</v>
      </c>
      <c r="AD331" s="19" t="str">
        <f>HYPERLINK(_xlfn.XLOOKUP(C331,M_YT_LIVE_TIMESTAMP!AA:AA,M_YT_LIVE_TIMESTAMP!Z:Z,"★",0,-1))</f>
        <v>https://www.youtube.com/live/b0qPGU0sZn4?si=C5mabzVl6bhK7mp0&amp;t=329s</v>
      </c>
    </row>
    <row r="332" spans="1:30" x14ac:dyDescent="0.4">
      <c r="A332" s="12" t="str">
        <v>プラトニック・ラヴ</v>
      </c>
      <c r="B332" s="12" t="str">
        <v>メル feat.IA</v>
      </c>
      <c r="C332" s="12" t="str">
        <f t="shared" si="15"/>
        <v>メル feat.IAプラトニック・ラヴ</v>
      </c>
      <c r="AA332" s="14" t="str">
        <f t="shared" si="16"/>
        <v>メル feat.IA</v>
      </c>
      <c r="AB332" s="14" t="str">
        <f>_xlfn.XLOOKUP(AA332,M_ARTIST!A:A,M_ARTIST!B:B,"★★★",0,1)</f>
        <v>める feat.IA</v>
      </c>
      <c r="AC332" s="14" t="str">
        <f t="shared" si="17"/>
        <v>プラトニック・ラヴ</v>
      </c>
      <c r="AD332" s="19" t="str">
        <f>HYPERLINK(_xlfn.XLOOKUP(C332,M_YT_LIVE_TIMESTAMP!AA:AA,M_YT_LIVE_TIMESTAMP!Z:Z,"★",0,-1))</f>
        <v>https://www.youtube.com/live/B1g4NIZAKqo?si=v8CWAz6GBo-vVIKK&amp;t=4590s</v>
      </c>
    </row>
    <row r="333" spans="1:30" x14ac:dyDescent="0.4">
      <c r="A333" s="12" t="str">
        <v>さようなら、花泥棒さん</v>
      </c>
      <c r="B333" s="12" t="str">
        <v>メル feat.初音ミク</v>
      </c>
      <c r="C333" s="12" t="str">
        <f t="shared" si="15"/>
        <v>メル feat.初音ミクさようなら、花泥棒さん</v>
      </c>
      <c r="AA333" s="14" t="str">
        <f t="shared" si="16"/>
        <v>メル feat.初音ミク</v>
      </c>
      <c r="AB333" s="14" t="str">
        <f>_xlfn.XLOOKUP(AA333,M_ARTIST!A:A,M_ARTIST!B:B,"★★★",0,1)</f>
        <v>める feat.はつねみく</v>
      </c>
      <c r="AC333" s="14" t="str">
        <f t="shared" si="17"/>
        <v>さようなら、花泥棒さん</v>
      </c>
      <c r="AD333" s="19" t="str">
        <f>HYPERLINK(_xlfn.XLOOKUP(C333,M_YT_LIVE_TIMESTAMP!AA:AA,M_YT_LIVE_TIMESTAMP!Z:Z,"★",0,-1))</f>
        <v>https://www.youtube.com/live/B1g4NIZAKqo?si=v8CWAz6GBo-vVIKK&amp;t=5760s</v>
      </c>
    </row>
    <row r="334" spans="1:30" x14ac:dyDescent="0.4">
      <c r="A334" s="12" t="str">
        <v>翡翠のまち</v>
      </c>
      <c r="B334" s="12" t="str">
        <v>メル feat.初音ミク</v>
      </c>
      <c r="C334" s="12" t="str">
        <f t="shared" si="15"/>
        <v>メル feat.初音ミク翡翠のまち</v>
      </c>
      <c r="AA334" s="14" t="str">
        <f t="shared" si="16"/>
        <v>メル feat.初音ミク</v>
      </c>
      <c r="AB334" s="14" t="str">
        <f>_xlfn.XLOOKUP(AA334,M_ARTIST!A:A,M_ARTIST!B:B,"★★★",0,1)</f>
        <v>める feat.はつねみく</v>
      </c>
      <c r="AC334" s="14" t="str">
        <f t="shared" si="17"/>
        <v>翡翠のまち</v>
      </c>
      <c r="AD334" s="19" t="str">
        <f>HYPERLINK(_xlfn.XLOOKUP(C334,M_YT_LIVE_TIMESTAMP!AA:AA,M_YT_LIVE_TIMESTAMP!Z:Z,"★",0,-1))</f>
        <v>https://www.youtube.com/live/hkpPXWM6LDY?si=pgl-HW7-u6yZjLAi&amp;t=257s</v>
      </c>
    </row>
    <row r="335" spans="1:30" x14ac:dyDescent="0.4">
      <c r="A335" s="12" t="str">
        <v>サラバ、愛しき悲しみたちよ</v>
      </c>
      <c r="B335" s="12" t="str">
        <v>ももいろクローバーZ</v>
      </c>
      <c r="C335" s="12" t="str">
        <f t="shared" si="15"/>
        <v>ももいろクローバーZサラバ、愛しき悲しみたちよ</v>
      </c>
      <c r="AA335" s="14" t="str">
        <f t="shared" si="16"/>
        <v>ももいろクローバーZ</v>
      </c>
      <c r="AB335" s="14" t="str">
        <f>_xlfn.XLOOKUP(AA335,M_ARTIST!A:A,M_ARTIST!B:B,"★★★",0,1)</f>
        <v>★★★</v>
      </c>
      <c r="AC335" s="14" t="str">
        <f t="shared" si="17"/>
        <v>サラバ、愛しき悲しみたちよ</v>
      </c>
      <c r="AD335" s="19" t="str">
        <f>HYPERLINK(_xlfn.XLOOKUP(C335,M_YT_LIVE_TIMESTAMP!AA:AA,M_YT_LIVE_TIMESTAMP!Z:Z,"★",0,-1))</f>
        <v>https://www.youtube.com/live/orkAkFl798M?si=7tK-YB5J1dGoAFWq&amp;t=845s</v>
      </c>
    </row>
    <row r="336" spans="1:30" x14ac:dyDescent="0.4">
      <c r="A336" s="12" t="str">
        <v>行くぜっ!怪盗少女</v>
      </c>
      <c r="B336" s="12" t="str">
        <v>ももいろクローバーZ</v>
      </c>
      <c r="C336" s="12" t="str">
        <f t="shared" si="15"/>
        <v>ももいろクローバーZ行くぜっ!怪盗少女</v>
      </c>
      <c r="AA336" s="14" t="str">
        <f t="shared" si="16"/>
        <v>ももいろクローバーZ</v>
      </c>
      <c r="AB336" s="14" t="str">
        <f>_xlfn.XLOOKUP(AA336,M_ARTIST!A:A,M_ARTIST!B:B,"★★★",0,1)</f>
        <v>★★★</v>
      </c>
      <c r="AC336" s="14" t="str">
        <f t="shared" si="17"/>
        <v>行くぜっ!怪盗少女</v>
      </c>
      <c r="AD336" s="19" t="str">
        <f>HYPERLINK(_xlfn.XLOOKUP(C336,M_YT_LIVE_TIMESTAMP!AA:AA,M_YT_LIVE_TIMESTAMP!Z:Z,"★",0,-1))</f>
        <v>https://www.youtube.com/live/orkAkFl798M?si=7tK-YB5J1dGoAFWq&amp;t=395s</v>
      </c>
    </row>
    <row r="337" spans="1:30" x14ac:dyDescent="0.4">
      <c r="A337" s="12" t="str">
        <v>over and over</v>
      </c>
      <c r="B337" s="12" t="str">
        <v>やなぎなぎ</v>
      </c>
      <c r="C337" s="12" t="str">
        <f t="shared" si="15"/>
        <v>やなぎなぎover and over</v>
      </c>
      <c r="AA337" s="14" t="str">
        <f t="shared" si="16"/>
        <v>やなぎなぎ</v>
      </c>
      <c r="AB337" s="14" t="str">
        <f>_xlfn.XLOOKUP(AA337,M_ARTIST!A:A,M_ARTIST!B:B,"★★★",0,1)</f>
        <v>やなぎなぎ</v>
      </c>
      <c r="AC337" s="14" t="str">
        <f t="shared" si="17"/>
        <v>over and over</v>
      </c>
      <c r="AD337" s="19" t="str">
        <f>HYPERLINK(_xlfn.XLOOKUP(C337,M_YT_LIVE_TIMESTAMP!AA:AA,M_YT_LIVE_TIMESTAMP!Z:Z,"★",0,-1))</f>
        <v>https://www.youtube.com/live/wY3z5W9B8N0?si=FVqBjyoCdmcOKFxz&amp;t=53760s</v>
      </c>
    </row>
    <row r="338" spans="1:30" x14ac:dyDescent="0.4">
      <c r="A338" s="12" t="str">
        <v>Zoetrope</v>
      </c>
      <c r="B338" s="12" t="str">
        <v>やなぎなぎ</v>
      </c>
      <c r="C338" s="12" t="str">
        <f t="shared" si="15"/>
        <v>やなぎなぎZoetrope</v>
      </c>
      <c r="AA338" s="14" t="str">
        <f t="shared" si="16"/>
        <v>やなぎなぎ</v>
      </c>
      <c r="AB338" s="14" t="str">
        <f>_xlfn.XLOOKUP(AA338,M_ARTIST!A:A,M_ARTIST!B:B,"★★★",0,1)</f>
        <v>やなぎなぎ</v>
      </c>
      <c r="AC338" s="14" t="str">
        <f t="shared" si="17"/>
        <v>Zoetrope</v>
      </c>
      <c r="AD338" s="19" t="str">
        <f>HYPERLINK(_xlfn.XLOOKUP(C338,M_YT_LIVE_TIMESTAMP!AA:AA,M_YT_LIVE_TIMESTAMP!Z:Z,"★",0,-1))</f>
        <v>https://www.youtube.com/live/FGNU1iQLiNM?si=B75Oqj0tjRBiyl5j&amp;t=1349s</v>
      </c>
    </row>
    <row r="339" spans="1:30" x14ac:dyDescent="0.4">
      <c r="A339" s="12" t="str">
        <v>トコハナ</v>
      </c>
      <c r="B339" s="12" t="str">
        <v>やなぎなぎ</v>
      </c>
      <c r="C339" s="12" t="str">
        <f t="shared" si="15"/>
        <v>やなぎなぎトコハナ</v>
      </c>
      <c r="AA339" s="14" t="str">
        <f t="shared" si="16"/>
        <v>やなぎなぎ</v>
      </c>
      <c r="AB339" s="14" t="str">
        <f>_xlfn.XLOOKUP(AA339,M_ARTIST!A:A,M_ARTIST!B:B,"★★★",0,1)</f>
        <v>やなぎなぎ</v>
      </c>
      <c r="AC339" s="14" t="str">
        <f t="shared" si="17"/>
        <v>トコハナ</v>
      </c>
      <c r="AD339" s="19" t="str">
        <f>HYPERLINK(_xlfn.XLOOKUP(C339,M_YT_LIVE_TIMESTAMP!AA:AA,M_YT_LIVE_TIMESTAMP!Z:Z,"★",0,-1))</f>
        <v>https://www.youtube.com/live/keSRwH4Zr7g?si=RPmDxNZjQB1dZWSK&amp;t=4798s</v>
      </c>
    </row>
    <row r="340" spans="1:30" x14ac:dyDescent="0.4">
      <c r="A340" s="12" t="str">
        <v>ユキトキ</v>
      </c>
      <c r="B340" s="12" t="str">
        <v>やなぎなぎ</v>
      </c>
      <c r="C340" s="12" t="str">
        <f t="shared" si="15"/>
        <v>やなぎなぎユキトキ</v>
      </c>
      <c r="AA340" s="14" t="str">
        <f t="shared" si="16"/>
        <v>やなぎなぎ</v>
      </c>
      <c r="AB340" s="14" t="str">
        <f>_xlfn.XLOOKUP(AA340,M_ARTIST!A:A,M_ARTIST!B:B,"★★★",0,1)</f>
        <v>やなぎなぎ</v>
      </c>
      <c r="AC340" s="14" t="str">
        <f t="shared" si="17"/>
        <v>ユキトキ</v>
      </c>
      <c r="AD340" s="19" t="str">
        <f>HYPERLINK(_xlfn.XLOOKUP(C340,M_YT_LIVE_TIMESTAMP!AA:AA,M_YT_LIVE_TIMESTAMP!Z:Z,"★",0,-1))</f>
        <v>https://www.youtube.com/live/0d6TiZm7xWc?si=rSfrknMqNQFcz5xw&amp;t=1669s</v>
      </c>
    </row>
    <row r="341" spans="1:30" x14ac:dyDescent="0.4">
      <c r="A341" s="12" t="str">
        <v>春擬き</v>
      </c>
      <c r="B341" s="12" t="str">
        <v>やなぎなぎ</v>
      </c>
      <c r="C341" s="12" t="str">
        <f t="shared" si="15"/>
        <v>やなぎなぎ春擬き</v>
      </c>
      <c r="AA341" s="14" t="str">
        <f t="shared" si="16"/>
        <v>やなぎなぎ</v>
      </c>
      <c r="AB341" s="14" t="str">
        <f>_xlfn.XLOOKUP(AA341,M_ARTIST!A:A,M_ARTIST!B:B,"★★★",0,1)</f>
        <v>やなぎなぎ</v>
      </c>
      <c r="AC341" s="14" t="str">
        <f t="shared" si="17"/>
        <v>春擬き</v>
      </c>
      <c r="AD341" s="19" t="str">
        <f>HYPERLINK(_xlfn.XLOOKUP(C341,M_YT_LIVE_TIMESTAMP!AA:AA,M_YT_LIVE_TIMESTAMP!Z:Z,"★",0,-1))</f>
        <v>https://www.youtube.com/live/Yti72SsHzxs?si=qlI2gfa0I0wWYoH4&amp;t=952s</v>
      </c>
    </row>
    <row r="342" spans="1:30" x14ac:dyDescent="0.4">
      <c r="A342" s="12" t="str">
        <v>君という神話</v>
      </c>
      <c r="B342" s="12" t="str">
        <v>やなぎなぎ&amp; 麻枝准</v>
      </c>
      <c r="C342" s="12" t="str">
        <f t="shared" si="15"/>
        <v>やなぎなぎ&amp; 麻枝准君という神話</v>
      </c>
      <c r="AA342" s="14" t="str">
        <f t="shared" si="16"/>
        <v>やなぎなぎ&amp; 麻枝准</v>
      </c>
      <c r="AB342" s="14" t="str">
        <f>_xlfn.XLOOKUP(AA342,M_ARTIST!A:A,M_ARTIST!B:B,"★★★",0,1)</f>
        <v>やなぎなぎ&amp; まえだじゅん</v>
      </c>
      <c r="AC342" s="14" t="str">
        <f t="shared" si="17"/>
        <v>君という神話</v>
      </c>
      <c r="AD342" s="19" t="str">
        <f>HYPERLINK(_xlfn.XLOOKUP(C342,M_YT_LIVE_TIMESTAMP!AA:AA,M_YT_LIVE_TIMESTAMP!Z:Z,"★",0,-1))</f>
        <v>https://www.youtube.com/live/TDYlHpN4h0s?si=ysSy7YIPSXU6T0nx&amp;t=1731s</v>
      </c>
    </row>
    <row r="343" spans="1:30" x14ac:dyDescent="0.4">
      <c r="A343" s="12" t="str">
        <v>アンパンマンのマーチ</v>
      </c>
      <c r="B343" s="12" t="str">
        <v>やなせたかし(作曲者)</v>
      </c>
      <c r="C343" s="12" t="str">
        <f t="shared" si="15"/>
        <v>やなせたかし(作曲者)アンパンマンのマーチ</v>
      </c>
      <c r="AA343" s="14" t="str">
        <f t="shared" si="16"/>
        <v>やなせたかし(作曲者)</v>
      </c>
      <c r="AB343" s="14" t="str">
        <f>_xlfn.XLOOKUP(AA343,M_ARTIST!A:A,M_ARTIST!B:B,"★★★",0,1)</f>
        <v>やなせたかし(さっきょくしゃ)</v>
      </c>
      <c r="AC343" s="14" t="str">
        <f t="shared" si="17"/>
        <v>アンパンマンのマーチ</v>
      </c>
      <c r="AD343" s="19" t="str">
        <f>HYPERLINK(_xlfn.XLOOKUP(C343,M_YT_LIVE_TIMESTAMP!AA:AA,M_YT_LIVE_TIMESTAMP!Z:Z,"★",0,-1))</f>
        <v>https://www.youtube.com/live/cHLqE4AOOjI?si=heDnYTUAoUpLyQ_J&amp;t=1183s</v>
      </c>
    </row>
    <row r="344" spans="1:30" x14ac:dyDescent="0.4">
      <c r="A344" s="12" t="str">
        <v>隙</v>
      </c>
      <c r="B344" s="12" t="str">
        <v>ユーリ</v>
      </c>
      <c r="C344" s="12" t="str">
        <f t="shared" si="15"/>
        <v>ユーリ隙</v>
      </c>
      <c r="AA344" s="14" t="str">
        <f t="shared" si="16"/>
        <v>ユーリ</v>
      </c>
      <c r="AB344" s="14" t="str">
        <f>_xlfn.XLOOKUP(AA344,M_ARTIST!A:A,M_ARTIST!B:B,"★★★",0,1)</f>
        <v>ゆーり</v>
      </c>
      <c r="AC344" s="14" t="str">
        <f t="shared" si="17"/>
        <v>隙</v>
      </c>
      <c r="AD344" s="19" t="str">
        <f>HYPERLINK(_xlfn.XLOOKUP(C344,M_YT_LIVE_TIMESTAMP!AA:AA,M_YT_LIVE_TIMESTAMP!Z:Z,"★",0,-1))</f>
        <v>https://www.youtube.com/live/b0qPGU0sZn4?si=C5mabzVl6bhK7mp0&amp;t=4283s</v>
      </c>
    </row>
    <row r="345" spans="1:30" x14ac:dyDescent="0.4">
      <c r="A345" s="12" t="str">
        <v>栄光の架け橋</v>
      </c>
      <c r="B345" s="12" t="str">
        <v>ゆず</v>
      </c>
      <c r="C345" s="12" t="str">
        <f t="shared" si="15"/>
        <v>ゆず栄光の架け橋</v>
      </c>
      <c r="AA345" s="14" t="str">
        <f t="shared" si="16"/>
        <v>ゆず</v>
      </c>
      <c r="AB345" s="14" t="str">
        <f>_xlfn.XLOOKUP(AA345,M_ARTIST!A:A,M_ARTIST!B:B,"★★★",0,1)</f>
        <v>ゆず</v>
      </c>
      <c r="AC345" s="14" t="str">
        <f t="shared" si="17"/>
        <v>栄光の架け橋</v>
      </c>
      <c r="AD345" s="19" t="str">
        <f>HYPERLINK(_xlfn.XLOOKUP(C345,M_YT_LIVE_TIMESTAMP!AA:AA,M_YT_LIVE_TIMESTAMP!Z:Z,"★",0,-1))</f>
        <v>https://www.youtube.com/live/DX8misWhJuA?si=x9BqkZPlvHen5SCl&amp;t=4348s</v>
      </c>
    </row>
    <row r="346" spans="1:30" x14ac:dyDescent="0.4">
      <c r="A346" s="12" t="str">
        <v>夏色</v>
      </c>
      <c r="B346" s="12" t="str">
        <v>ゆず</v>
      </c>
      <c r="C346" s="12" t="str">
        <f t="shared" si="15"/>
        <v>ゆず夏色</v>
      </c>
      <c r="AA346" s="14" t="str">
        <f t="shared" si="16"/>
        <v>ゆず</v>
      </c>
      <c r="AB346" s="14" t="str">
        <f>_xlfn.XLOOKUP(AA346,M_ARTIST!A:A,M_ARTIST!B:B,"★★★",0,1)</f>
        <v>ゆず</v>
      </c>
      <c r="AC346" s="14" t="str">
        <f t="shared" si="17"/>
        <v>夏色</v>
      </c>
      <c r="AD346" s="19" t="str">
        <f>HYPERLINK(_xlfn.XLOOKUP(C346,M_YT_LIVE_TIMESTAMP!AA:AA,M_YT_LIVE_TIMESTAMP!Z:Z,"★",0,-1))</f>
        <v>https://www.youtube.com/live/DX8misWhJuA?si=x9BqkZPlvHen5SCl&amp;t=2503s</v>
      </c>
    </row>
    <row r="347" spans="1:30" x14ac:dyDescent="0.4">
      <c r="A347" s="12" t="str">
        <v>アポリア</v>
      </c>
      <c r="B347" s="12" t="str">
        <v>ヨルシカ</v>
      </c>
      <c r="C347" s="12" t="str">
        <f t="shared" si="15"/>
        <v>ヨルシカアポリア</v>
      </c>
      <c r="AA347" s="14" t="str">
        <f t="shared" si="16"/>
        <v>ヨルシカ</v>
      </c>
      <c r="AB347" s="14" t="str">
        <f>_xlfn.XLOOKUP(AA347,M_ARTIST!A:A,M_ARTIST!B:B,"★★★",0,1)</f>
        <v>よるしか</v>
      </c>
      <c r="AC347" s="14" t="str">
        <f t="shared" si="17"/>
        <v>アポリア</v>
      </c>
      <c r="AD347" s="19" t="str">
        <f>HYPERLINK(_xlfn.XLOOKUP(C347,M_YT_LIVE_TIMESTAMP!AA:AA,M_YT_LIVE_TIMESTAMP!Z:Z,"★",0,-1))</f>
        <v>https://www.youtube.com/live/keSRwH4Zr7g?si=RPmDxNZjQB1dZWSK&amp;t=1124s</v>
      </c>
    </row>
    <row r="348" spans="1:30" x14ac:dyDescent="0.4">
      <c r="A348" s="12" t="str">
        <v>アルジャーノン</v>
      </c>
      <c r="B348" s="12" t="str">
        <v>ヨルシカ</v>
      </c>
      <c r="C348" s="12" t="str">
        <f t="shared" si="15"/>
        <v>ヨルシカアルジャーノン</v>
      </c>
      <c r="AA348" s="14" t="str">
        <f t="shared" si="16"/>
        <v>ヨルシカ</v>
      </c>
      <c r="AB348" s="14" t="str">
        <f>_xlfn.XLOOKUP(AA348,M_ARTIST!A:A,M_ARTIST!B:B,"★★★",0,1)</f>
        <v>よるしか</v>
      </c>
      <c r="AC348" s="14" t="str">
        <f t="shared" si="17"/>
        <v>アルジャーノン</v>
      </c>
      <c r="AD348" s="19" t="str">
        <f>HYPERLINK(_xlfn.XLOOKUP(C348,M_YT_LIVE_TIMESTAMP!AA:AA,M_YT_LIVE_TIMESTAMP!Z:Z,"★",0,-1))</f>
        <v>https://www.youtube.com/live/Us_EP0LuOUI?si=QKfLbi9NsZLi9sIi&amp;t=4945s</v>
      </c>
    </row>
    <row r="349" spans="1:30" x14ac:dyDescent="0.4">
      <c r="A349" s="12" t="str">
        <v>だから僕は音楽を辞めた</v>
      </c>
      <c r="B349" s="12" t="str">
        <v>ヨルシカ</v>
      </c>
      <c r="C349" s="12" t="str">
        <f t="shared" si="15"/>
        <v>ヨルシカだから僕は音楽を辞めた</v>
      </c>
      <c r="AA349" s="14" t="str">
        <f t="shared" si="16"/>
        <v>ヨルシカ</v>
      </c>
      <c r="AB349" s="14" t="str">
        <f>_xlfn.XLOOKUP(AA349,M_ARTIST!A:A,M_ARTIST!B:B,"★★★",0,1)</f>
        <v>よるしか</v>
      </c>
      <c r="AC349" s="14" t="str">
        <f t="shared" si="17"/>
        <v>だから僕は音楽を辞めた</v>
      </c>
      <c r="AD349" s="19" t="str">
        <f>HYPERLINK(_xlfn.XLOOKUP(C349,M_YT_LIVE_TIMESTAMP!AA:AA,M_YT_LIVE_TIMESTAMP!Z:Z,"★",0,-1))</f>
        <v>https://www.youtube.com/live/yHiPuPE1ZpI?si=2EeKQkMqvxvThhyp&amp;t=654s</v>
      </c>
    </row>
    <row r="350" spans="1:30" x14ac:dyDescent="0.4">
      <c r="A350" s="12" t="str">
        <v>ただ君に晴れ</v>
      </c>
      <c r="B350" s="12" t="str">
        <v>ヨルシカ</v>
      </c>
      <c r="C350" s="12" t="str">
        <f t="shared" si="15"/>
        <v>ヨルシカただ君に晴れ</v>
      </c>
      <c r="AA350" s="14" t="str">
        <f t="shared" si="16"/>
        <v>ヨルシカ</v>
      </c>
      <c r="AB350" s="14" t="str">
        <f>_xlfn.XLOOKUP(AA350,M_ARTIST!A:A,M_ARTIST!B:B,"★★★",0,1)</f>
        <v>よるしか</v>
      </c>
      <c r="AC350" s="14" t="str">
        <f t="shared" si="17"/>
        <v>ただ君に晴れ</v>
      </c>
      <c r="AD350" s="19" t="str">
        <f>HYPERLINK(_xlfn.XLOOKUP(C350,M_YT_LIVE_TIMESTAMP!AA:AA,M_YT_LIVE_TIMESTAMP!Z:Z,"★",0,-1))</f>
        <v>https://www.youtube.com/live/Dm-WC5w7K8Y?si=Pph-3uJ8wVrF5vc0&amp;t=386s</v>
      </c>
    </row>
    <row r="351" spans="1:30" x14ac:dyDescent="0.4">
      <c r="A351" s="12" t="str">
        <v>チノカテ</v>
      </c>
      <c r="B351" s="12" t="str">
        <v>ヨルシカ</v>
      </c>
      <c r="C351" s="12" t="str">
        <f t="shared" si="15"/>
        <v>ヨルシカチノカテ</v>
      </c>
      <c r="AA351" s="14" t="str">
        <f t="shared" si="16"/>
        <v>ヨルシカ</v>
      </c>
      <c r="AB351" s="14" t="str">
        <f>_xlfn.XLOOKUP(AA351,M_ARTIST!A:A,M_ARTIST!B:B,"★★★",0,1)</f>
        <v>よるしか</v>
      </c>
      <c r="AC351" s="14" t="str">
        <f t="shared" si="17"/>
        <v>チノカテ</v>
      </c>
      <c r="AD351" s="19" t="str">
        <f>HYPERLINK(_xlfn.XLOOKUP(C351,M_YT_LIVE_TIMESTAMP!AA:AA,M_YT_LIVE_TIMESTAMP!Z:Z,"★",0,-1))</f>
        <v>https://www.youtube.com/live/lQQh4G5up3Y?si=U2BJIBIs-2OZdL6R&amp;t=1216s</v>
      </c>
    </row>
    <row r="352" spans="1:30" x14ac:dyDescent="0.4">
      <c r="A352" s="12" t="str">
        <v>ノーチラス</v>
      </c>
      <c r="B352" s="12" t="str">
        <v>ヨルシカ</v>
      </c>
      <c r="C352" s="12" t="str">
        <f t="shared" si="15"/>
        <v>ヨルシカノーチラス</v>
      </c>
      <c r="AA352" s="14" t="str">
        <f t="shared" si="16"/>
        <v>ヨルシカ</v>
      </c>
      <c r="AB352" s="14" t="str">
        <f>_xlfn.XLOOKUP(AA352,M_ARTIST!A:A,M_ARTIST!B:B,"★★★",0,1)</f>
        <v>よるしか</v>
      </c>
      <c r="AC352" s="14" t="str">
        <f t="shared" si="17"/>
        <v>ノーチラス</v>
      </c>
      <c r="AD352" s="19" t="str">
        <f>HYPERLINK(_xlfn.XLOOKUP(C352,M_YT_LIVE_TIMESTAMP!AA:AA,M_YT_LIVE_TIMESTAMP!Z:Z,"★",0,-1))</f>
        <v>https://www.youtube.com/live/r7Bwk1jHwnc?si=YSwS6uQI_0X3Y91g&amp;t=298s</v>
      </c>
    </row>
    <row r="353" spans="1:30" x14ac:dyDescent="0.4">
      <c r="A353" s="12" t="str">
        <v>ヒッチコック</v>
      </c>
      <c r="B353" s="12" t="str">
        <v>ヨルシカ</v>
      </c>
      <c r="C353" s="12" t="str">
        <f t="shared" si="15"/>
        <v>ヨルシカヒッチコック</v>
      </c>
      <c r="AA353" s="14" t="str">
        <f t="shared" si="16"/>
        <v>ヨルシカ</v>
      </c>
      <c r="AB353" s="14" t="str">
        <f>_xlfn.XLOOKUP(AA353,M_ARTIST!A:A,M_ARTIST!B:B,"★★★",0,1)</f>
        <v>よるしか</v>
      </c>
      <c r="AC353" s="14" t="str">
        <f t="shared" si="17"/>
        <v>ヒッチコック</v>
      </c>
      <c r="AD353" s="19" t="str">
        <f>HYPERLINK(_xlfn.XLOOKUP(C353,M_YT_LIVE_TIMESTAMP!AA:AA,M_YT_LIVE_TIMESTAMP!Z:Z,"★",0,-1))</f>
        <v>https://www.youtube.com/live/OYaf_O-6WRs?si=20Zo4VVa8PxJbw_X&amp;t=1479s</v>
      </c>
    </row>
    <row r="354" spans="1:30" x14ac:dyDescent="0.4">
      <c r="A354" s="12" t="str">
        <v>雨とカプチーノ</v>
      </c>
      <c r="B354" s="12" t="str">
        <v>ヨルシカ</v>
      </c>
      <c r="C354" s="12" t="str">
        <f t="shared" si="15"/>
        <v>ヨルシカ雨とカプチーノ</v>
      </c>
      <c r="AA354" s="14" t="str">
        <f t="shared" si="16"/>
        <v>ヨルシカ</v>
      </c>
      <c r="AB354" s="14" t="str">
        <f>_xlfn.XLOOKUP(AA354,M_ARTIST!A:A,M_ARTIST!B:B,"★★★",0,1)</f>
        <v>よるしか</v>
      </c>
      <c r="AC354" s="14" t="str">
        <f t="shared" si="17"/>
        <v>雨とカプチーノ</v>
      </c>
      <c r="AD354" s="19" t="str">
        <f>HYPERLINK(_xlfn.XLOOKUP(C354,M_YT_LIVE_TIMESTAMP!AA:AA,M_YT_LIVE_TIMESTAMP!Z:Z,"★",0,-1))</f>
        <v>https://www.youtube.com/live/yHiPuPE1ZpI?si=2EeKQkMqvxvThhyp&amp;t=1995s</v>
      </c>
    </row>
    <row r="355" spans="1:30" x14ac:dyDescent="0.4">
      <c r="A355" s="12" t="str">
        <v>火星人</v>
      </c>
      <c r="B355" s="12" t="str">
        <v>ヨルシカ</v>
      </c>
      <c r="C355" s="12" t="str">
        <f t="shared" si="15"/>
        <v>ヨルシカ火星人</v>
      </c>
      <c r="AA355" s="14" t="str">
        <f t="shared" si="16"/>
        <v>ヨルシカ</v>
      </c>
      <c r="AB355" s="14" t="str">
        <f>_xlfn.XLOOKUP(AA355,M_ARTIST!A:A,M_ARTIST!B:B,"★★★",0,1)</f>
        <v>よるしか</v>
      </c>
      <c r="AC355" s="14" t="str">
        <f t="shared" si="17"/>
        <v>火星人</v>
      </c>
      <c r="AD355" s="19" t="str">
        <f>HYPERLINK(_xlfn.XLOOKUP(C355,M_YT_LIVE_TIMESTAMP!AA:AA,M_YT_LIVE_TIMESTAMP!Z:Z,"★",0,-1))</f>
        <v>https://www.youtube.com/live/hkpPXWM6LDY?si=pgl-HW7-u6yZjLAi&amp;t=2936s</v>
      </c>
    </row>
    <row r="356" spans="1:30" x14ac:dyDescent="0.4">
      <c r="A356" s="12" t="str">
        <v>花に亡霊</v>
      </c>
      <c r="B356" s="12" t="str">
        <v>ヨルシカ</v>
      </c>
      <c r="C356" s="12" t="str">
        <f t="shared" si="15"/>
        <v>ヨルシカ花に亡霊</v>
      </c>
      <c r="AA356" s="14" t="str">
        <f t="shared" si="16"/>
        <v>ヨルシカ</v>
      </c>
      <c r="AB356" s="14" t="str">
        <f>_xlfn.XLOOKUP(AA356,M_ARTIST!A:A,M_ARTIST!B:B,"★★★",0,1)</f>
        <v>よるしか</v>
      </c>
      <c r="AC356" s="14" t="str">
        <f t="shared" si="17"/>
        <v>花に亡霊</v>
      </c>
      <c r="AD356" s="19" t="str">
        <f>HYPERLINK(_xlfn.XLOOKUP(C356,M_YT_LIVE_TIMESTAMP!AA:AA,M_YT_LIVE_TIMESTAMP!Z:Z,"★",0,-1))</f>
        <v>https://www.youtube.com/live/nyXzxG79mwQ?si=kGuFyOuc0o-yNPOU&amp;t=1571s</v>
      </c>
    </row>
    <row r="357" spans="1:30" x14ac:dyDescent="0.4">
      <c r="A357" s="12" t="str">
        <v>靴の花火</v>
      </c>
      <c r="B357" s="12" t="str">
        <v>ヨルシカ</v>
      </c>
      <c r="C357" s="12" t="str">
        <f t="shared" si="15"/>
        <v>ヨルシカ靴の花火</v>
      </c>
      <c r="AA357" s="14" t="str">
        <f t="shared" si="16"/>
        <v>ヨルシカ</v>
      </c>
      <c r="AB357" s="14" t="str">
        <f>_xlfn.XLOOKUP(AA357,M_ARTIST!A:A,M_ARTIST!B:B,"★★★",0,1)</f>
        <v>よるしか</v>
      </c>
      <c r="AC357" s="14" t="str">
        <f t="shared" si="17"/>
        <v>靴の花火</v>
      </c>
      <c r="AD357" s="19" t="str">
        <f>HYPERLINK(_xlfn.XLOOKUP(C357,M_YT_LIVE_TIMESTAMP!AA:AA,M_YT_LIVE_TIMESTAMP!Z:Z,"★",0,-1))</f>
        <v>https://www.youtube.com/live/r7Bwk1jHwnc?si=YSwS6uQI_0X3Y91g&amp;t=667s</v>
      </c>
    </row>
    <row r="358" spans="1:30" x14ac:dyDescent="0.4">
      <c r="A358" s="12" t="str">
        <v>言って。</v>
      </c>
      <c r="B358" s="12" t="str">
        <v>ヨルシカ</v>
      </c>
      <c r="C358" s="12" t="str">
        <f t="shared" si="15"/>
        <v>ヨルシカ言って。</v>
      </c>
      <c r="AA358" s="14" t="str">
        <f t="shared" si="16"/>
        <v>ヨルシカ</v>
      </c>
      <c r="AB358" s="14" t="str">
        <f>_xlfn.XLOOKUP(AA358,M_ARTIST!A:A,M_ARTIST!B:B,"★★★",0,1)</f>
        <v>よるしか</v>
      </c>
      <c r="AC358" s="14" t="str">
        <f t="shared" si="17"/>
        <v>言って。</v>
      </c>
      <c r="AD358" s="19" t="str">
        <f>HYPERLINK(_xlfn.XLOOKUP(C358,M_YT_LIVE_TIMESTAMP!AA:AA,M_YT_LIVE_TIMESTAMP!Z:Z,"★",0,-1))</f>
        <v>https://www.youtube.com/live/7l8RLTKBC8E?si=4WR3af3ZrVMWAe9X&amp;t=2984s</v>
      </c>
    </row>
    <row r="359" spans="1:30" x14ac:dyDescent="0.4">
      <c r="A359" s="12" t="str">
        <v>斜陽</v>
      </c>
      <c r="B359" s="12" t="str">
        <v>ヨルシカ</v>
      </c>
      <c r="C359" s="12" t="str">
        <f t="shared" si="15"/>
        <v>ヨルシカ斜陽</v>
      </c>
      <c r="AA359" s="14" t="str">
        <f t="shared" si="16"/>
        <v>ヨルシカ</v>
      </c>
      <c r="AB359" s="14" t="str">
        <f>_xlfn.XLOOKUP(AA359,M_ARTIST!A:A,M_ARTIST!B:B,"★★★",0,1)</f>
        <v>よるしか</v>
      </c>
      <c r="AC359" s="14" t="str">
        <f t="shared" si="17"/>
        <v>斜陽</v>
      </c>
      <c r="AD359" s="19" t="str">
        <f>HYPERLINK(_xlfn.XLOOKUP(C359,M_YT_LIVE_TIMESTAMP!AA:AA,M_YT_LIVE_TIMESTAMP!Z:Z,"★",0,-1))</f>
        <v>https://www.youtube.com/live/hkpPXWM6LDY?si=pgl-HW7-u6yZjLAi&amp;t=2618s</v>
      </c>
    </row>
    <row r="360" spans="1:30" x14ac:dyDescent="0.4">
      <c r="A360" s="12" t="str">
        <v>春泥棒</v>
      </c>
      <c r="B360" s="12" t="str">
        <v>ヨルシカ</v>
      </c>
      <c r="C360" s="12" t="str">
        <f t="shared" si="15"/>
        <v>ヨルシカ春泥棒</v>
      </c>
      <c r="AA360" s="14" t="str">
        <f t="shared" si="16"/>
        <v>ヨルシカ</v>
      </c>
      <c r="AB360" s="14" t="str">
        <f>_xlfn.XLOOKUP(AA360,M_ARTIST!A:A,M_ARTIST!B:B,"★★★",0,1)</f>
        <v>よるしか</v>
      </c>
      <c r="AC360" s="14" t="str">
        <f t="shared" si="17"/>
        <v>春泥棒</v>
      </c>
      <c r="AD360" s="19" t="str">
        <f>HYPERLINK(_xlfn.XLOOKUP(C360,M_YT_LIVE_TIMESTAMP!AA:AA,M_YT_LIVE_TIMESTAMP!Z:Z,"★",0,-1))</f>
        <v>https://www.youtube.com/live/nyXzxG79mwQ?si=kGuFyOuc0o-yNPOU&amp;t=9975s</v>
      </c>
    </row>
    <row r="361" spans="1:30" x14ac:dyDescent="0.4">
      <c r="A361" s="12" t="str">
        <v>心に穴が空いた</v>
      </c>
      <c r="B361" s="12" t="str">
        <v>ヨルシカ</v>
      </c>
      <c r="C361" s="12" t="str">
        <f t="shared" si="15"/>
        <v>ヨルシカ心に穴が空いた</v>
      </c>
      <c r="AA361" s="14" t="str">
        <f t="shared" si="16"/>
        <v>ヨルシカ</v>
      </c>
      <c r="AB361" s="14" t="str">
        <f>_xlfn.XLOOKUP(AA361,M_ARTIST!A:A,M_ARTIST!B:B,"★★★",0,1)</f>
        <v>よるしか</v>
      </c>
      <c r="AC361" s="14" t="str">
        <f t="shared" si="17"/>
        <v>心に穴が空いた</v>
      </c>
      <c r="AD361" s="19" t="str">
        <f>HYPERLINK(_xlfn.XLOOKUP(C361,M_YT_LIVE_TIMESTAMP!AA:AA,M_YT_LIVE_TIMESTAMP!Z:Z,"★",0,-1))</f>
        <v>https://www.youtube.com/live/yHiPuPE1ZpI?si=2EeKQkMqvxvThhyp&amp;t=174s</v>
      </c>
    </row>
    <row r="362" spans="1:30" x14ac:dyDescent="0.4">
      <c r="A362" s="12" t="str">
        <v>晴る</v>
      </c>
      <c r="B362" s="12" t="str">
        <v>ヨルシカ</v>
      </c>
      <c r="C362" s="12" t="str">
        <f t="shared" si="15"/>
        <v>ヨルシカ晴る</v>
      </c>
      <c r="AA362" s="14" t="str">
        <f t="shared" ref="AA362:AA368" si="18">B362</f>
        <v>ヨルシカ</v>
      </c>
      <c r="AB362" s="14" t="str">
        <f>_xlfn.XLOOKUP(AA362,M_ARTIST!A:A,M_ARTIST!B:B,"★★★",0,1)</f>
        <v>よるしか</v>
      </c>
      <c r="AC362" s="14" t="str">
        <f t="shared" ref="AC362:AC368" si="19">A362</f>
        <v>晴る</v>
      </c>
      <c r="AD362" s="19" t="str">
        <f>HYPERLINK(_xlfn.XLOOKUP(C362,M_YT_LIVE_TIMESTAMP!AA:AA,M_YT_LIVE_TIMESTAMP!Z:Z,"★",0,-1))</f>
        <v>https://www.youtube.com/live/nyXzxG79mwQ?si=kGuFyOuc0o-yNPOU&amp;t=4707s</v>
      </c>
    </row>
    <row r="363" spans="1:30" x14ac:dyDescent="0.4">
      <c r="A363" s="12" t="str">
        <v>忘れてください</v>
      </c>
      <c r="B363" s="12" t="str">
        <v>ヨルシカ</v>
      </c>
      <c r="C363" s="12" t="str">
        <f t="shared" si="15"/>
        <v>ヨルシカ忘れてください</v>
      </c>
      <c r="AA363" s="14" t="str">
        <f t="shared" si="18"/>
        <v>ヨルシカ</v>
      </c>
      <c r="AB363" s="14" t="str">
        <f>_xlfn.XLOOKUP(AA363,M_ARTIST!A:A,M_ARTIST!B:B,"★★★",0,1)</f>
        <v>よるしか</v>
      </c>
      <c r="AC363" s="14" t="str">
        <f t="shared" si="19"/>
        <v>忘れてください</v>
      </c>
      <c r="AD363" s="19" t="str">
        <f>HYPERLINK(_xlfn.XLOOKUP(C363,M_YT_LIVE_TIMESTAMP!AA:AA,M_YT_LIVE_TIMESTAMP!Z:Z,"★",0,-1))</f>
        <v>https://www.youtube.com/live/FGNU1iQLiNM?si=B75Oqj0tjRBiyl5j&amp;t=2725s</v>
      </c>
    </row>
    <row r="364" spans="1:30" x14ac:dyDescent="0.4">
      <c r="A364" s="12" t="str">
        <v>又三郎</v>
      </c>
      <c r="B364" s="12" t="str">
        <v>ヨルシカ</v>
      </c>
      <c r="C364" s="12" t="str">
        <f t="shared" si="15"/>
        <v>ヨルシカ又三郎</v>
      </c>
      <c r="AA364" s="14" t="str">
        <f t="shared" si="18"/>
        <v>ヨルシカ</v>
      </c>
      <c r="AB364" s="14" t="str">
        <f>_xlfn.XLOOKUP(AA364,M_ARTIST!A:A,M_ARTIST!B:B,"★★★",0,1)</f>
        <v>よるしか</v>
      </c>
      <c r="AC364" s="14" t="str">
        <f t="shared" si="19"/>
        <v>又三郎</v>
      </c>
      <c r="AD364" s="19" t="str">
        <f>HYPERLINK(_xlfn.XLOOKUP(C364,M_YT_LIVE_TIMESTAMP!AA:AA,M_YT_LIVE_TIMESTAMP!Z:Z,"★",0,-1))</f>
        <v>https://www.youtube.com/live/hkpPXWM6LDY?si=pgl-HW7-u6yZjLAi&amp;t=3293s</v>
      </c>
    </row>
    <row r="365" spans="1:30" x14ac:dyDescent="0.4">
      <c r="A365" s="12" t="str">
        <v>藍二乗</v>
      </c>
      <c r="B365" s="12" t="str">
        <v>ヨルシカ</v>
      </c>
      <c r="C365" s="12" t="str">
        <f t="shared" si="15"/>
        <v>ヨルシカ藍二乗</v>
      </c>
      <c r="AA365" s="14" t="str">
        <f t="shared" si="18"/>
        <v>ヨルシカ</v>
      </c>
      <c r="AB365" s="14" t="str">
        <f>_xlfn.XLOOKUP(AA365,M_ARTIST!A:A,M_ARTIST!B:B,"★★★",0,1)</f>
        <v>よるしか</v>
      </c>
      <c r="AC365" s="14" t="str">
        <f t="shared" si="19"/>
        <v>藍二乗</v>
      </c>
      <c r="AD365" s="19" t="str">
        <f>HYPERLINK(_xlfn.XLOOKUP(C365,M_YT_LIVE_TIMESTAMP!AA:AA,M_YT_LIVE_TIMESTAMP!Z:Z,"★",0,-1))</f>
        <v>https://www.youtube.com/live/yHiPuPE1ZpI?si=2EeKQkMqvxvThhyp&amp;t=1548s</v>
      </c>
    </row>
    <row r="366" spans="1:30" x14ac:dyDescent="0.4">
      <c r="A366" s="12" t="str">
        <v>星間飛行</v>
      </c>
      <c r="B366" s="12" t="str">
        <v>ランカー・リー(CV.中島愛)</v>
      </c>
      <c r="C366" s="12" t="str">
        <f t="shared" si="15"/>
        <v>ランカー・リー(CV.中島愛)星間飛行</v>
      </c>
      <c r="AA366" s="14" t="str">
        <f t="shared" si="18"/>
        <v>ランカー・リー(CV.中島愛)</v>
      </c>
      <c r="AB366" s="14" t="str">
        <f>_xlfn.XLOOKUP(AA366,M_ARTIST!A:A,M_ARTIST!B:B,"★★★",0,1)</f>
        <v>らんか・りー(CV.なかじまめぐみ)</v>
      </c>
      <c r="AC366" s="14" t="str">
        <f t="shared" si="19"/>
        <v>星間飛行</v>
      </c>
      <c r="AD366" s="19" t="str">
        <f>HYPERLINK(_xlfn.XLOOKUP(C366,M_YT_LIVE_TIMESTAMP!AA:AA,M_YT_LIVE_TIMESTAMP!Z:Z,"★",0,-1))</f>
        <v>https://www.youtube.com/live/nyXzxG79mwQ?si=kGuFyOuc0o-yNPOU&amp;t=1320s</v>
      </c>
    </row>
    <row r="367" spans="1:30" x14ac:dyDescent="0.4">
      <c r="A367" s="12" t="str">
        <v>粉雪</v>
      </c>
      <c r="B367" s="12" t="str">
        <v>レミオロメン</v>
      </c>
      <c r="C367" s="12" t="str">
        <f t="shared" si="15"/>
        <v>レミオロメン粉雪</v>
      </c>
      <c r="AA367" s="14" t="str">
        <f t="shared" si="18"/>
        <v>レミオロメン</v>
      </c>
      <c r="AB367" s="14" t="str">
        <f>_xlfn.XLOOKUP(AA367,M_ARTIST!A:A,M_ARTIST!B:B,"★★★",0,1)</f>
        <v>れみおろめん</v>
      </c>
      <c r="AC367" s="14" t="str">
        <f t="shared" si="19"/>
        <v>粉雪</v>
      </c>
      <c r="AD367" s="19" t="str">
        <f>HYPERLINK(_xlfn.XLOOKUP(C367,M_YT_LIVE_TIMESTAMP!AA:AA,M_YT_LIVE_TIMESTAMP!Z:Z,"★",0,-1))</f>
        <v>https://www.youtube.com/live/Yti72SsHzxs?si=qlI2gfa0I0wWYoH4&amp;t=2962s</v>
      </c>
    </row>
    <row r="368" spans="1:30" x14ac:dyDescent="0.4">
      <c r="A368" s="12" t="str">
        <v>ヤミタイガール</v>
      </c>
      <c r="B368" s="12" t="str">
        <v>れるりり feat.GUMI</v>
      </c>
      <c r="C368" s="12" t="str">
        <f t="shared" si="15"/>
        <v>れるりり feat.GUMIヤミタイガール</v>
      </c>
      <c r="AA368" s="14" t="str">
        <f t="shared" si="18"/>
        <v>れるりり feat.GUMI</v>
      </c>
      <c r="AB368" s="14" t="str">
        <f>_xlfn.XLOOKUP(AA368,M_ARTIST!A:A,M_ARTIST!B:B,"★★★",0,1)</f>
        <v>れるりり feat.GUMI</v>
      </c>
      <c r="AC368" s="14" t="str">
        <f t="shared" si="19"/>
        <v>ヤミタイガール</v>
      </c>
      <c r="AD368" s="19" t="str">
        <f>HYPERLINK(_xlfn.XLOOKUP(C368,M_YT_LIVE_TIMESTAMP!AA:AA,M_YT_LIVE_TIMESTAMP!Z:Z,"★",0,-1))</f>
        <v>https://www.youtube.com/live/Yti72SsHzxs?si=qlI2gfa0I0wWYoH4&amp;t=9481s</v>
      </c>
    </row>
    <row r="369" spans="1:30" x14ac:dyDescent="0.4">
      <c r="A369" s="12" t="str">
        <v>脳漿炸裂ガール</v>
      </c>
      <c r="B369" s="12" t="str">
        <v>れるりり(当社比P) feat.初音ミク</v>
      </c>
      <c r="C369" s="12" t="str">
        <f t="shared" ref="C369:C379" si="20">TRIM(B369)&amp;TRIM(A369)</f>
        <v>れるりり(当社比P) feat.初音ミク脳漿炸裂ガール</v>
      </c>
      <c r="AA369" s="14" t="str">
        <f t="shared" ref="AA369:AA379" si="21">B369</f>
        <v>れるりり(当社比P) feat.初音ミク</v>
      </c>
      <c r="AB369" s="14" t="str">
        <f>_xlfn.XLOOKUP(AA369,M_ARTIST!A:A,M_ARTIST!B:B,"★★★",0,1)</f>
        <v>れるりり(とうしゃひP) feat.はつねみく</v>
      </c>
      <c r="AC369" s="14" t="str">
        <f t="shared" ref="AC369:AC379" si="22">A369</f>
        <v>脳漿炸裂ガール</v>
      </c>
      <c r="AD369" s="19" t="str">
        <f>HYPERLINK(_xlfn.XLOOKUP(C369,M_YT_LIVE_TIMESTAMP!AA:AA,M_YT_LIVE_TIMESTAMP!Z:Z,"★",0,-1))</f>
        <v>https://www.youtube.com/live/EIV2fME4Fec?si=lkzDtJEJ9agzd2Md&amp;t=1690s</v>
      </c>
    </row>
    <row r="370" spans="1:30" x14ac:dyDescent="0.4">
      <c r="A370" s="12" t="str">
        <v>Drop pop candy</v>
      </c>
      <c r="B370" s="12" t="str">
        <v>れをる&amp;ぎがP feat.鏡音リン&amp;巡音ルカ</v>
      </c>
      <c r="C370" s="12" t="str">
        <f t="shared" si="20"/>
        <v>れをる&amp;ぎがP feat.鏡音リン&amp;巡音ルカDrop pop candy</v>
      </c>
      <c r="AA370" s="14" t="str">
        <f t="shared" si="21"/>
        <v>れをる&amp;ぎがP feat.鏡音リン&amp;巡音ルカ</v>
      </c>
      <c r="AB370" s="14" t="str">
        <f>_xlfn.XLOOKUP(AA370,M_ARTIST!A:A,M_ARTIST!B:B,"★★★",0,1)</f>
        <v>れをる&amp;ぎがP feat.かがみねりん&amp;めぐりねるか</v>
      </c>
      <c r="AC370" s="14" t="str">
        <f t="shared" si="22"/>
        <v>Drop pop candy</v>
      </c>
      <c r="AD370" s="19" t="str">
        <f>HYPERLINK(_xlfn.XLOOKUP(C370,M_YT_LIVE_TIMESTAMP!AA:AA,M_YT_LIVE_TIMESTAMP!Z:Z,"★",0,-1))</f>
        <v>https://www.youtube.com/live/lrLQ6akH23w?si=aC5HLJK6UZYwu-Yn&amp;t=4408s</v>
      </c>
    </row>
    <row r="371" spans="1:30" x14ac:dyDescent="0.4">
      <c r="A371" s="12" t="str">
        <v>リインカーネーション</v>
      </c>
      <c r="B371" s="12" t="str">
        <v>ロクデナシ</v>
      </c>
      <c r="C371" s="12" t="str">
        <f t="shared" si="20"/>
        <v>ロクデナシリインカーネーション</v>
      </c>
      <c r="AA371" s="14" t="str">
        <f t="shared" si="21"/>
        <v>ロクデナシ</v>
      </c>
      <c r="AB371" s="14" t="str">
        <f>_xlfn.XLOOKUP(AA371,M_ARTIST!A:A,M_ARTIST!B:B,"★★★",0,1)</f>
        <v>ろくでなし</v>
      </c>
      <c r="AC371" s="14" t="str">
        <f t="shared" si="22"/>
        <v>リインカーネーション</v>
      </c>
      <c r="AD371" s="19" t="str">
        <f>HYPERLINK(_xlfn.XLOOKUP(C371,M_YT_LIVE_TIMESTAMP!AA:AA,M_YT_LIVE_TIMESTAMP!Z:Z,"★",0,-1))</f>
        <v>https://www.youtube.com/live/ac4RYGdoGfw?si=XYuojmcqpJZOLb9x&amp;t=2920s</v>
      </c>
    </row>
    <row r="372" spans="1:30" x14ac:dyDescent="0.4">
      <c r="A372" s="12" t="str">
        <v>ストーカーの唄～3丁目、貴方の家～</v>
      </c>
      <c r="B372" s="12" t="str">
        <v>阿部真央</v>
      </c>
      <c r="C372" s="12" t="str">
        <f t="shared" si="20"/>
        <v>阿部真央ストーカーの唄～3丁目、貴方の家～</v>
      </c>
      <c r="AA372" s="14" t="str">
        <f t="shared" si="21"/>
        <v>阿部真央</v>
      </c>
      <c r="AB372" s="14" t="str">
        <f>_xlfn.XLOOKUP(AA372,M_ARTIST!A:A,M_ARTIST!B:B,"★★★",0,1)</f>
        <v>あべまお</v>
      </c>
      <c r="AC372" s="14" t="str">
        <f t="shared" si="22"/>
        <v>ストーカーの唄～3丁目、貴方の家～</v>
      </c>
      <c r="AD372" s="19" t="str">
        <f>HYPERLINK(_xlfn.XLOOKUP(C372,M_YT_LIVE_TIMESTAMP!AA:AA,M_YT_LIVE_TIMESTAMP!Z:Z,"★",0,-1))</f>
        <v>https://www.youtube.com/live/OEtLBen9pLM?si=M4WDMSGkkHfWLvDr&amp;t=4610s</v>
      </c>
    </row>
    <row r="373" spans="1:30" x14ac:dyDescent="0.4">
      <c r="A373" s="12" t="str">
        <v>ロンリー</v>
      </c>
      <c r="B373" s="12" t="str">
        <v>阿部真央</v>
      </c>
      <c r="C373" s="12" t="str">
        <f t="shared" si="20"/>
        <v>阿部真央ロンリー</v>
      </c>
      <c r="AA373" s="14" t="str">
        <f t="shared" si="21"/>
        <v>阿部真央</v>
      </c>
      <c r="AB373" s="14" t="str">
        <f>_xlfn.XLOOKUP(AA373,M_ARTIST!A:A,M_ARTIST!B:B,"★★★",0,1)</f>
        <v>あべまお</v>
      </c>
      <c r="AC373" s="14" t="str">
        <f t="shared" si="22"/>
        <v>ロンリー</v>
      </c>
      <c r="AD373" s="19" t="str">
        <f>HYPERLINK(_xlfn.XLOOKUP(C373,M_YT_LIVE_TIMESTAMP!AA:AA,M_YT_LIVE_TIMESTAMP!Z:Z,"★",0,-1))</f>
        <v>https://www.youtube.com/live/OEtLBen9pLM?si=M4WDMSGkkHfWLvDr&amp;t=5351s</v>
      </c>
    </row>
    <row r="374" spans="1:30" x14ac:dyDescent="0.4">
      <c r="A374" s="12" t="str">
        <v>貴方の恋人になりたいのです</v>
      </c>
      <c r="B374" s="12" t="str">
        <v>阿部真央</v>
      </c>
      <c r="C374" s="12" t="str">
        <f t="shared" si="20"/>
        <v>阿部真央貴方の恋人になりたいのです</v>
      </c>
      <c r="AA374" s="14" t="str">
        <f t="shared" si="21"/>
        <v>阿部真央</v>
      </c>
      <c r="AB374" s="14" t="str">
        <f>_xlfn.XLOOKUP(AA374,M_ARTIST!A:A,M_ARTIST!B:B,"★★★",0,1)</f>
        <v>あべまお</v>
      </c>
      <c r="AC374" s="14" t="str">
        <f t="shared" si="22"/>
        <v>貴方の恋人になりたいのです</v>
      </c>
      <c r="AD374" s="19" t="str">
        <f>HYPERLINK(_xlfn.XLOOKUP(C374,M_YT_LIVE_TIMESTAMP!AA:AA,M_YT_LIVE_TIMESTAMP!Z:Z,"★",0,-1))</f>
        <v>https://www.youtube.com/live/TDYlHpN4h0s?si=ysSy7YIPSXU6T0nx&amp;t=4774s</v>
      </c>
    </row>
    <row r="375" spans="1:30" x14ac:dyDescent="0.4">
      <c r="A375" s="12" t="str">
        <v>側にいて</v>
      </c>
      <c r="B375" s="12" t="str">
        <v>阿部真央</v>
      </c>
      <c r="C375" s="12" t="str">
        <f t="shared" si="20"/>
        <v>阿部真央側にいて</v>
      </c>
      <c r="AA375" s="14" t="str">
        <f t="shared" si="21"/>
        <v>阿部真央</v>
      </c>
      <c r="AB375" s="14" t="str">
        <f>_xlfn.XLOOKUP(AA375,M_ARTIST!A:A,M_ARTIST!B:B,"★★★",0,1)</f>
        <v>あべまお</v>
      </c>
      <c r="AC375" s="14" t="str">
        <f t="shared" si="22"/>
        <v>側にいて</v>
      </c>
      <c r="AD375" s="19" t="str">
        <f>HYPERLINK(_xlfn.XLOOKUP(C375,M_YT_LIVE_TIMESTAMP!AA:AA,M_YT_LIVE_TIMESTAMP!Z:Z,"★",0,-1))</f>
        <v>https://www.youtube.com/live/TDYlHpN4h0s?si=ysSy7YIPSXU6T0nx&amp;t=5254s</v>
      </c>
    </row>
    <row r="376" spans="1:30" x14ac:dyDescent="0.4">
      <c r="A376" s="12" t="str">
        <v>未だ</v>
      </c>
      <c r="B376" s="12" t="str">
        <v>阿部真央</v>
      </c>
      <c r="C376" s="12" t="str">
        <f t="shared" si="20"/>
        <v>阿部真央未だ</v>
      </c>
      <c r="AA376" s="14" t="str">
        <f t="shared" si="21"/>
        <v>阿部真央</v>
      </c>
      <c r="AB376" s="14" t="str">
        <f>_xlfn.XLOOKUP(AA376,M_ARTIST!A:A,M_ARTIST!B:B,"★★★",0,1)</f>
        <v>あべまお</v>
      </c>
      <c r="AC376" s="14" t="str">
        <f t="shared" si="22"/>
        <v>未だ</v>
      </c>
      <c r="AD376" s="19" t="str">
        <f>HYPERLINK(_xlfn.XLOOKUP(C376,M_YT_LIVE_TIMESTAMP!AA:AA,M_YT_LIVE_TIMESTAMP!Z:Z,"★",0,-1))</f>
        <v>https://www.youtube.com/live/TDYlHpN4h0s?si=ysSy7YIPSXU6T0nx&amp;t=4430s</v>
      </c>
    </row>
    <row r="377" spans="1:30" x14ac:dyDescent="0.4">
      <c r="A377" s="12" t="str">
        <v>はじまりのとき</v>
      </c>
      <c r="B377" s="12" t="str">
        <v>絢香</v>
      </c>
      <c r="C377" s="12" t="str">
        <f t="shared" si="20"/>
        <v>絢香はじまりのとき</v>
      </c>
      <c r="AA377" s="14" t="str">
        <f t="shared" si="21"/>
        <v>絢香</v>
      </c>
      <c r="AB377" s="14" t="str">
        <f>_xlfn.XLOOKUP(AA377,M_ARTIST!A:A,M_ARTIST!B:B,"★★★",0,1)</f>
        <v>あやか</v>
      </c>
      <c r="AC377" s="14" t="str">
        <f t="shared" si="22"/>
        <v>はじまりのとき</v>
      </c>
      <c r="AD377" s="19" t="str">
        <f>HYPERLINK(_xlfn.XLOOKUP(C377,M_YT_LIVE_TIMESTAMP!AA:AA,M_YT_LIVE_TIMESTAMP!Z:Z,"★",0,-1))</f>
        <v>https://www.youtube.com/live/Yti72SsHzxs?si=qlI2gfa0I0wWYoH4&amp;t=6670s</v>
      </c>
    </row>
    <row r="378" spans="1:30" x14ac:dyDescent="0.4">
      <c r="A378" s="12" t="str">
        <v>三日月</v>
      </c>
      <c r="B378" s="12" t="str">
        <v>絢香</v>
      </c>
      <c r="C378" s="12" t="str">
        <f t="shared" si="20"/>
        <v>絢香三日月</v>
      </c>
      <c r="AA378" s="14" t="str">
        <f t="shared" si="21"/>
        <v>絢香</v>
      </c>
      <c r="AB378" s="14" t="str">
        <f>_xlfn.XLOOKUP(AA378,M_ARTIST!A:A,M_ARTIST!B:B,"★★★",0,1)</f>
        <v>あやか</v>
      </c>
      <c r="AC378" s="14" t="str">
        <f t="shared" si="22"/>
        <v>三日月</v>
      </c>
      <c r="AD378" s="19" t="str">
        <f>HYPERLINK(_xlfn.XLOOKUP(C378,M_YT_LIVE_TIMESTAMP!AA:AA,M_YT_LIVE_TIMESTAMP!Z:Z,"★",0,-1))</f>
        <v>https://www.youtube.com/live/Yti72SsHzxs?si=qlI2gfa0I0wWYoH4&amp;t=6324s</v>
      </c>
    </row>
    <row r="379" spans="1:30" x14ac:dyDescent="0.4">
      <c r="A379" s="12" t="str">
        <v>ハナミズキ</v>
      </c>
      <c r="B379" s="12" t="str">
        <v>一青窈</v>
      </c>
      <c r="C379" s="12" t="str">
        <f t="shared" si="20"/>
        <v>一青窈ハナミズキ</v>
      </c>
      <c r="AA379" s="14" t="str">
        <f t="shared" si="21"/>
        <v>一青窈</v>
      </c>
      <c r="AB379" s="14" t="str">
        <f>_xlfn.XLOOKUP(AA379,M_ARTIST!A:A,M_ARTIST!B:B,"★★★",0,1)</f>
        <v>ひととよう</v>
      </c>
      <c r="AC379" s="14" t="str">
        <f t="shared" si="22"/>
        <v>ハナミズキ</v>
      </c>
      <c r="AD379" s="19" t="str">
        <f>HYPERLINK(_xlfn.XLOOKUP(C379,M_YT_LIVE_TIMESTAMP!AA:AA,M_YT_LIVE_TIMESTAMP!Z:Z,"★",0,-1))</f>
        <v>https://www.youtube.com/live/DX8misWhJuA?si=x9BqkZPlvHen5SCl&amp;t=3089s</v>
      </c>
    </row>
    <row r="380" spans="1:30" x14ac:dyDescent="0.4">
      <c r="A380" s="12" t="str">
        <v>阿吽のビーツ</v>
      </c>
      <c r="B380" s="12" t="str">
        <v>羽生まゐご feat.flower</v>
      </c>
      <c r="C380" s="12" t="str">
        <f t="shared" ref="C380:C402" si="23">TRIM(B380)&amp;TRIM(A380)</f>
        <v>羽生まゐご feat.flower阿吽のビーツ</v>
      </c>
      <c r="AA380" s="14" t="str">
        <f t="shared" ref="AA380:AA402" si="24">B380</f>
        <v>羽生まゐご feat.flower</v>
      </c>
      <c r="AB380" s="14" t="str">
        <f>_xlfn.XLOOKUP(AA380,M_ARTIST!A:A,M_ARTIST!B:B,"★★★",0,1)</f>
        <v>はにゅうまいご feat.flower</v>
      </c>
      <c r="AC380" s="14" t="str">
        <f t="shared" ref="AC380:AC402" si="25">A380</f>
        <v>阿吽のビーツ</v>
      </c>
      <c r="AD380" s="19" t="str">
        <f>HYPERLINK(_xlfn.XLOOKUP(C380,M_YT_LIVE_TIMESTAMP!AA:AA,M_YT_LIVE_TIMESTAMP!Z:Z,"★",0,-1))</f>
        <v>https://www.youtube.com/live/B1g4NIZAKqo?si=v8CWAz6GBo-vVIKK&amp;t=5109s</v>
      </c>
    </row>
    <row r="381" spans="1:30" x14ac:dyDescent="0.4">
      <c r="A381" s="12" t="str">
        <v>変わらないもの</v>
      </c>
      <c r="B381" s="12" t="str">
        <v>奥華子</v>
      </c>
      <c r="C381" s="12" t="str">
        <f t="shared" si="23"/>
        <v>奥華子変わらないもの</v>
      </c>
      <c r="AA381" s="14" t="str">
        <f t="shared" si="24"/>
        <v>奥華子</v>
      </c>
      <c r="AB381" s="14" t="str">
        <f>_xlfn.XLOOKUP(AA381,M_ARTIST!A:A,M_ARTIST!B:B,"★★★",0,1)</f>
        <v>おくはなこ</v>
      </c>
      <c r="AC381" s="14" t="str">
        <f t="shared" si="25"/>
        <v>変わらないもの</v>
      </c>
      <c r="AD381" s="19" t="str">
        <f>HYPERLINK(_xlfn.XLOOKUP(C381,M_YT_LIVE_TIMESTAMP!AA:AA,M_YT_LIVE_TIMESTAMP!Z:Z,"★",0,-1))</f>
        <v>https://www.youtube.com/live/B1g4NIZAKqo?si=v8CWAz6GBo-vVIKK&amp;t=2051s</v>
      </c>
    </row>
    <row r="382" spans="1:30" x14ac:dyDescent="0.4">
      <c r="A382" s="12" t="str">
        <v>サブリナ</v>
      </c>
      <c r="B382" s="12" t="str">
        <v>家入レオ</v>
      </c>
      <c r="C382" s="12" t="str">
        <f t="shared" si="23"/>
        <v>家入レオサブリナ</v>
      </c>
      <c r="AA382" s="14" t="str">
        <f t="shared" si="24"/>
        <v>家入レオ</v>
      </c>
      <c r="AB382" s="14" t="str">
        <f>_xlfn.XLOOKUP(AA382,M_ARTIST!A:A,M_ARTIST!B:B,"★★★",0,1)</f>
        <v>いえいりれお</v>
      </c>
      <c r="AC382" s="14" t="str">
        <f t="shared" si="25"/>
        <v>サブリナ</v>
      </c>
      <c r="AD382" s="19" t="str">
        <f>HYPERLINK(_xlfn.XLOOKUP(C382,M_YT_LIVE_TIMESTAMP!AA:AA,M_YT_LIVE_TIMESTAMP!Z:Z,"★",0,-1))</f>
        <v>https://www.youtube.com/live/BTi31luRntI?si=HKZA9dD6UF6pnPvq&amp;t=8052s</v>
      </c>
    </row>
    <row r="383" spans="1:30" x14ac:dyDescent="0.4">
      <c r="A383" s="12" t="str">
        <v>ケロッ!とマーチ</v>
      </c>
      <c r="B383" s="12" t="str">
        <v>角田信朗＆いはたじゅり</v>
      </c>
      <c r="C383" s="12" t="str">
        <f t="shared" si="23"/>
        <v>角田信朗＆いはたじゅりケロッ!とマーチ</v>
      </c>
      <c r="AA383" s="14" t="str">
        <f t="shared" si="24"/>
        <v>角田信朗＆いはたじゅり</v>
      </c>
      <c r="AB383" s="14" t="str">
        <f>_xlfn.XLOOKUP(AA383,M_ARTIST!A:A,M_ARTIST!B:B,"★★★",0,1)</f>
        <v>かくだのぶあき＆いはたじゅり</v>
      </c>
      <c r="AC383" s="14" t="str">
        <f t="shared" si="25"/>
        <v>ケロッ!とマーチ</v>
      </c>
      <c r="AD383" s="19" t="str">
        <f>HYPERLINK(_xlfn.XLOOKUP(C383,M_YT_LIVE_TIMESTAMP!AA:AA,M_YT_LIVE_TIMESTAMP!Z:Z,"★",0,-1))</f>
        <v>https://www.youtube.com/live/wY3z5W9B8N0?si=FVqBjyoCdmcOKFxz&amp;t=5226s</v>
      </c>
    </row>
    <row r="384" spans="1:30" x14ac:dyDescent="0.4">
      <c r="A384" s="12" t="str">
        <v>境界の彼方</v>
      </c>
      <c r="B384" s="12" t="str">
        <v>茅原実里</v>
      </c>
      <c r="C384" s="12" t="str">
        <f t="shared" si="23"/>
        <v>茅原実里境界の彼方</v>
      </c>
      <c r="AA384" s="14" t="str">
        <f t="shared" si="24"/>
        <v>茅原実里</v>
      </c>
      <c r="AB384" s="14" t="str">
        <f>_xlfn.XLOOKUP(AA384,M_ARTIST!A:A,M_ARTIST!B:B,"★★★",0,1)</f>
        <v>ちはらみのり</v>
      </c>
      <c r="AC384" s="14" t="str">
        <f t="shared" si="25"/>
        <v>境界の彼方</v>
      </c>
      <c r="AD384" s="19" t="str">
        <f>HYPERLINK(_xlfn.XLOOKUP(C384,M_YT_LIVE_TIMESTAMP!AA:AA,M_YT_LIVE_TIMESTAMP!Z:Z,"★",0,-1))</f>
        <v>https://www.youtube.com/live/wEZHgaS4eCg?si=_Rpt2MlexrsFC7dZ&amp;t=3276s</v>
      </c>
    </row>
    <row r="385" spans="1:30" x14ac:dyDescent="0.4">
      <c r="A385" s="12" t="str">
        <v>ギターと孤独と蒼い惑星</v>
      </c>
      <c r="B385" s="12" t="str">
        <v>結束バンド</v>
      </c>
      <c r="C385" s="12" t="str">
        <f t="shared" si="23"/>
        <v>結束バンドギターと孤独と蒼い惑星</v>
      </c>
      <c r="AA385" s="14" t="str">
        <f t="shared" si="24"/>
        <v>結束バンド</v>
      </c>
      <c r="AB385" s="14" t="str">
        <f>_xlfn.XLOOKUP(AA385,M_ARTIST!A:A,M_ARTIST!B:B,"★★★",0,1)</f>
        <v>けっそくばんど</v>
      </c>
      <c r="AC385" s="14" t="str">
        <f t="shared" si="25"/>
        <v>ギターと孤独と蒼い惑星</v>
      </c>
      <c r="AD385" s="19" t="str">
        <f>HYPERLINK(_xlfn.XLOOKUP(C385,M_YT_LIVE_TIMESTAMP!AA:AA,M_YT_LIVE_TIMESTAMP!Z:Z,"★",0,-1))</f>
        <v>https://www.youtube.com/live/BTi31luRntI?si=HKZA9dD6UF6pnPvq&amp;t=5522s</v>
      </c>
    </row>
    <row r="386" spans="1:30" x14ac:dyDescent="0.4">
      <c r="A386" s="12" t="str">
        <v>フラッシュバッカー</v>
      </c>
      <c r="B386" s="12" t="str">
        <v>結束バンド</v>
      </c>
      <c r="C386" s="12" t="str">
        <f t="shared" si="23"/>
        <v>結束バンドフラッシュバッカー</v>
      </c>
      <c r="AA386" s="14" t="str">
        <f t="shared" si="24"/>
        <v>結束バンド</v>
      </c>
      <c r="AB386" s="14" t="str">
        <f>_xlfn.XLOOKUP(AA386,M_ARTIST!A:A,M_ARTIST!B:B,"★★★",0,1)</f>
        <v>けっそくばんど</v>
      </c>
      <c r="AC386" s="14" t="str">
        <f t="shared" si="25"/>
        <v>フラッシュバッカー</v>
      </c>
      <c r="AD386" s="19" t="str">
        <f>HYPERLINK(_xlfn.XLOOKUP(C386,M_YT_LIVE_TIMESTAMP!AA:AA,M_YT_LIVE_TIMESTAMP!Z:Z,"★",0,-1))</f>
        <v>https://www.youtube.com/live/Z1v3sT_d6uU?si=epz4SGbUtnFLtw2-&amp;t=5887s</v>
      </c>
    </row>
    <row r="387" spans="1:30" x14ac:dyDescent="0.4">
      <c r="A387" s="12" t="str">
        <v>星座になれたら</v>
      </c>
      <c r="B387" s="12" t="str">
        <v>結束バンド</v>
      </c>
      <c r="C387" s="12" t="str">
        <f t="shared" si="23"/>
        <v>結束バンド星座になれたら</v>
      </c>
      <c r="AA387" s="14" t="str">
        <f t="shared" si="24"/>
        <v>結束バンド</v>
      </c>
      <c r="AB387" s="14" t="str">
        <f>_xlfn.XLOOKUP(AA387,M_ARTIST!A:A,M_ARTIST!B:B,"★★★",0,1)</f>
        <v>けっそくばんど</v>
      </c>
      <c r="AC387" s="14" t="str">
        <f t="shared" si="25"/>
        <v>星座になれたら</v>
      </c>
      <c r="AD387" s="19" t="str">
        <f>HYPERLINK(_xlfn.XLOOKUP(C387,M_YT_LIVE_TIMESTAMP!AA:AA,M_YT_LIVE_TIMESTAMP!Z:Z,"★",0,-1))</f>
        <v>https://www.youtube.com/live/nyXzxG79mwQ?si=kGuFyOuc0o-yNPOU&amp;t=1027s</v>
      </c>
    </row>
    <row r="388" spans="1:30" x14ac:dyDescent="0.4">
      <c r="A388" s="12" t="str">
        <v>青春コンプレックス</v>
      </c>
      <c r="B388" s="12" t="str">
        <v>結束バンド</v>
      </c>
      <c r="C388" s="12" t="str">
        <f t="shared" si="23"/>
        <v>結束バンド青春コンプレックス</v>
      </c>
      <c r="AA388" s="14" t="str">
        <f t="shared" si="24"/>
        <v>結束バンド</v>
      </c>
      <c r="AB388" s="14" t="str">
        <f>_xlfn.XLOOKUP(AA388,M_ARTIST!A:A,M_ARTIST!B:B,"★★★",0,1)</f>
        <v>けっそくばんど</v>
      </c>
      <c r="AC388" s="14" t="str">
        <f t="shared" si="25"/>
        <v>青春コンプレックス</v>
      </c>
      <c r="AD388" s="19" t="str">
        <f>HYPERLINK(_xlfn.XLOOKUP(C388,M_YT_LIVE_TIMESTAMP!AA:AA,M_YT_LIVE_TIMESTAMP!Z:Z,"★",0,-1))</f>
        <v>https://www.youtube.com/live/nyXzxG79mwQ?si=kGuFyOuc0o-yNPOU&amp;t=565s</v>
      </c>
    </row>
    <row r="389" spans="1:30" x14ac:dyDescent="0.4">
      <c r="A389" s="12" t="str">
        <v>忘れてやらない</v>
      </c>
      <c r="B389" s="12" t="str">
        <v>結束バンド</v>
      </c>
      <c r="C389" s="12" t="str">
        <f t="shared" si="23"/>
        <v>結束バンド忘れてやらない</v>
      </c>
      <c r="AA389" s="14" t="str">
        <f t="shared" si="24"/>
        <v>結束バンド</v>
      </c>
      <c r="AB389" s="14" t="str">
        <f>_xlfn.XLOOKUP(AA389,M_ARTIST!A:A,M_ARTIST!B:B,"★★★",0,1)</f>
        <v>けっそくばんど</v>
      </c>
      <c r="AC389" s="14" t="str">
        <f t="shared" si="25"/>
        <v>忘れてやらない</v>
      </c>
      <c r="AD389" s="19" t="str">
        <f>HYPERLINK(_xlfn.XLOOKUP(C389,M_YT_LIVE_TIMESTAMP!AA:AA,M_YT_LIVE_TIMESTAMP!Z:Z,"★",0,-1))</f>
        <v>https://www.youtube.com/live/BTi31luRntI?si=HKZA9dD6UF6pnPvq&amp;t=4740s</v>
      </c>
    </row>
    <row r="390" spans="1:30" x14ac:dyDescent="0.4">
      <c r="A390" s="12" t="str">
        <v>ルージュの伝言</v>
      </c>
      <c r="B390" s="12" t="str">
        <v>荒井由実(松任谷由実)</v>
      </c>
      <c r="C390" s="12" t="str">
        <f t="shared" si="23"/>
        <v>荒井由実(松任谷由実)ルージュの伝言</v>
      </c>
      <c r="AA390" s="14" t="str">
        <f t="shared" si="24"/>
        <v>荒井由実(松任谷由実)</v>
      </c>
      <c r="AB390" s="14" t="str">
        <f>_xlfn.XLOOKUP(AA390,M_ARTIST!A:A,M_ARTIST!B:B,"★★★",0,1)</f>
        <v>あらいゆみ(まつとうやゆみ)</v>
      </c>
      <c r="AC390" s="14" t="str">
        <f t="shared" si="25"/>
        <v>ルージュの伝言</v>
      </c>
      <c r="AD390" s="19" t="str">
        <f>HYPERLINK(_xlfn.XLOOKUP(C390,M_YT_LIVE_TIMESTAMP!AA:AA,M_YT_LIVE_TIMESTAMP!Z:Z,"★",0,-1))</f>
        <v>https://www.youtube.com/live/Us_EP0LuOUI?si=QKfLbi9NsZLi9sIi&amp;t=3456s</v>
      </c>
    </row>
    <row r="391" spans="1:30" x14ac:dyDescent="0.4">
      <c r="A391" s="12" t="str">
        <v>残酷な天使のテーゼ</v>
      </c>
      <c r="B391" s="12" t="str">
        <v>高橋洋子</v>
      </c>
      <c r="C391" s="12" t="str">
        <f t="shared" si="23"/>
        <v>高橋洋子残酷な天使のテーゼ</v>
      </c>
      <c r="AA391" s="14" t="str">
        <f t="shared" si="24"/>
        <v>高橋洋子</v>
      </c>
      <c r="AB391" s="14" t="str">
        <f>_xlfn.XLOOKUP(AA391,M_ARTIST!A:A,M_ARTIST!B:B,"★★★",0,1)</f>
        <v>たかはしようこ</v>
      </c>
      <c r="AC391" s="14" t="str">
        <f t="shared" si="25"/>
        <v>残酷な天使のテーゼ</v>
      </c>
      <c r="AD391" s="19" t="str">
        <f>HYPERLINK(_xlfn.XLOOKUP(C391,M_YT_LIVE_TIMESTAMP!AA:AA,M_YT_LIVE_TIMESTAMP!Z:Z,"★",0,-1))</f>
        <v>https://www.youtube.com/live/wEZHgaS4eCg?si=_Rpt2MlexrsFC7dZ&amp;t=5405s</v>
      </c>
    </row>
    <row r="392" spans="1:30" x14ac:dyDescent="0.4">
      <c r="A392" s="12" t="str">
        <v>千本桜</v>
      </c>
      <c r="B392" s="12" t="str">
        <v>黒うさ feat.初音ミク</v>
      </c>
      <c r="C392" s="12" t="str">
        <f t="shared" si="23"/>
        <v>黒うさ feat.初音ミク千本桜</v>
      </c>
      <c r="AA392" s="14" t="str">
        <f t="shared" si="24"/>
        <v>黒うさ feat.初音ミク</v>
      </c>
      <c r="AB392" s="14" t="str">
        <f>_xlfn.XLOOKUP(AA392,M_ARTIST!A:A,M_ARTIST!B:B,"★★★",0,1)</f>
        <v>くろうさ feat.はつねみく</v>
      </c>
      <c r="AC392" s="14" t="str">
        <f t="shared" si="25"/>
        <v>千本桜</v>
      </c>
      <c r="AD392" s="19" t="str">
        <f>HYPERLINK(_xlfn.XLOOKUP(C392,M_YT_LIVE_TIMESTAMP!AA:AA,M_YT_LIVE_TIMESTAMP!Z:Z,"★",0,-1))</f>
        <v>https://www.youtube.com/live/nyXzxG79mwQ?si=kGuFyOuc0o-yNPOU&amp;t=13491s</v>
      </c>
    </row>
    <row r="393" spans="1:30" x14ac:dyDescent="0.4">
      <c r="A393" s="12" t="str">
        <v>ピンクレモネード</v>
      </c>
      <c r="B393" s="12" t="str">
        <v>三月のパンタシア</v>
      </c>
      <c r="C393" s="12" t="str">
        <f t="shared" si="23"/>
        <v>三月のパンタシアピンクレモネード</v>
      </c>
      <c r="AA393" s="14" t="str">
        <f t="shared" si="24"/>
        <v>三月のパンタシア</v>
      </c>
      <c r="AB393" s="14" t="str">
        <f>_xlfn.XLOOKUP(AA393,M_ARTIST!A:A,M_ARTIST!B:B,"★★★",0,1)</f>
        <v>さんがつのぱんたしあ</v>
      </c>
      <c r="AC393" s="14" t="str">
        <f t="shared" si="25"/>
        <v>ピンクレモネード</v>
      </c>
      <c r="AD393" s="19" t="str">
        <f>HYPERLINK(_xlfn.XLOOKUP(C393,M_YT_LIVE_TIMESTAMP!AA:AA,M_YT_LIVE_TIMESTAMP!Z:Z,"★",0,-1))</f>
        <v>https://www.youtube.com/live/w3oM0fDmwz4?si=VVO-ga6uipBLMrpR&amp;t=5970s</v>
      </c>
    </row>
    <row r="394" spans="1:30" x14ac:dyDescent="0.4">
      <c r="A394" s="12" t="str">
        <v>絶え間なく藍色</v>
      </c>
      <c r="B394" s="12" t="str">
        <v>獅子志司 feat.初音ミク</v>
      </c>
      <c r="C394" s="12" t="str">
        <f t="shared" si="23"/>
        <v>獅子志司 feat.初音ミク絶え間なく藍色</v>
      </c>
      <c r="AA394" s="14" t="str">
        <f t="shared" si="24"/>
        <v>獅子志司 feat.初音ミク</v>
      </c>
      <c r="AB394" s="14" t="str">
        <f>_xlfn.XLOOKUP(AA394,M_ARTIST!A:A,M_ARTIST!B:B,"★★★",0,1)</f>
        <v>しししし feat.はつねみく</v>
      </c>
      <c r="AC394" s="14" t="str">
        <f t="shared" si="25"/>
        <v>絶え間なく藍色</v>
      </c>
      <c r="AD394" s="19" t="str">
        <f>HYPERLINK(_xlfn.XLOOKUP(C394,M_YT_LIVE_TIMESTAMP!AA:AA,M_YT_LIVE_TIMESTAMP!Z:Z,"★",0,-1))</f>
        <v>https://www.youtube.com/live/w3oM0fDmwz4?si=VVO-ga6uipBLMrpR&amp;t=5543s</v>
      </c>
    </row>
    <row r="395" spans="1:30" x14ac:dyDescent="0.4">
      <c r="A395" s="12" t="str">
        <v>パペットパーティ</v>
      </c>
      <c r="B395" s="12" t="str">
        <v>紫水キキ</v>
      </c>
      <c r="C395" s="12" t="str">
        <f t="shared" si="23"/>
        <v>紫水キキパペットパーティ</v>
      </c>
      <c r="AA395" s="14" t="str">
        <f t="shared" si="24"/>
        <v>紫水キキ</v>
      </c>
      <c r="AB395" s="14" t="str">
        <f>_xlfn.XLOOKUP(AA395,M_ARTIST!A:A,M_ARTIST!B:B,"★★★",0,1)</f>
        <v>しすいきき</v>
      </c>
      <c r="AC395" s="14" t="str">
        <f t="shared" si="25"/>
        <v>パペットパーティ</v>
      </c>
      <c r="AD395" s="19" t="str">
        <f>HYPERLINK(_xlfn.XLOOKUP(C395,M_YT_LIVE_TIMESTAMP!AA:AA,M_YT_LIVE_TIMESTAMP!Z:Z,"★",0,-1))</f>
        <v>https://www.youtube.com/live/zHPmNlzplRQ?si=hKbKp_wLxXmd13Kq&amp;t=2589s</v>
      </c>
    </row>
    <row r="396" spans="1:30" x14ac:dyDescent="0.4">
      <c r="A396" s="12" t="str">
        <v>ヲズワルド</v>
      </c>
      <c r="B396" s="12" t="str">
        <v>煮ル果実 feat.Flower</v>
      </c>
      <c r="C396" s="12" t="str">
        <f t="shared" si="23"/>
        <v>煮ル果実 feat.Flowerヲズワルド</v>
      </c>
      <c r="AA396" s="14" t="str">
        <f t="shared" si="24"/>
        <v>煮ル果実 feat.Flower</v>
      </c>
      <c r="AB396" s="14" t="str">
        <f>_xlfn.XLOOKUP(AA396,M_ARTIST!A:A,M_ARTIST!B:B,"★★★",0,1)</f>
        <v>★★★</v>
      </c>
      <c r="AC396" s="14" t="str">
        <f t="shared" si="25"/>
        <v>ヲズワルド</v>
      </c>
      <c r="AD396" s="19" t="str">
        <f>HYPERLINK(_xlfn.XLOOKUP(C396,M_YT_LIVE_TIMESTAMP!AA:AA,M_YT_LIVE_TIMESTAMP!Z:Z,"★",0,-1))</f>
        <v>https://www.youtube.com/live/5-PHEYq6a-Y?si=i1qN4inKhZc0prZ-&amp;t=1338s</v>
      </c>
    </row>
    <row r="397" spans="1:30" x14ac:dyDescent="0.4">
      <c r="A397" s="12" t="str">
        <v>ナイトルール</v>
      </c>
      <c r="B397" s="12" t="str">
        <v>煮ル果実 feat.可不</v>
      </c>
      <c r="C397" s="12" t="str">
        <f t="shared" si="23"/>
        <v>煮ル果実 feat.可不ナイトルール</v>
      </c>
      <c r="AA397" s="14" t="str">
        <f t="shared" si="24"/>
        <v>煮ル果実 feat.可不</v>
      </c>
      <c r="AB397" s="14" t="str">
        <f>_xlfn.XLOOKUP(AA397,M_ARTIST!A:A,M_ARTIST!B:B,"★★★",0,1)</f>
        <v>にるかじつ feat.かふ</v>
      </c>
      <c r="AC397" s="14" t="str">
        <f t="shared" si="25"/>
        <v>ナイトルール</v>
      </c>
      <c r="AD397" s="19" t="str">
        <f>HYPERLINK(_xlfn.XLOOKUP(C397,M_YT_LIVE_TIMESTAMP!AA:AA,M_YT_LIVE_TIMESTAMP!Z:Z,"★",0,-1))</f>
        <v>https://www.youtube.com/live/b0qPGU0sZn4?si=C5mabzVl6bhK7mp0&amp;t=5233s</v>
      </c>
    </row>
    <row r="398" spans="1:30" x14ac:dyDescent="0.4">
      <c r="A398" s="12" t="str">
        <v>テルーの唄</v>
      </c>
      <c r="B398" s="12" t="str">
        <v>手嶌葵</v>
      </c>
      <c r="C398" s="12" t="str">
        <f t="shared" si="23"/>
        <v>手嶌葵テルーの唄</v>
      </c>
      <c r="AA398" s="14" t="str">
        <f t="shared" si="24"/>
        <v>手嶌葵</v>
      </c>
      <c r="AB398" s="14" t="str">
        <f>_xlfn.XLOOKUP(AA398,M_ARTIST!A:A,M_ARTIST!B:B,"★★★",0,1)</f>
        <v>てしまあおい</v>
      </c>
      <c r="AC398" s="14" t="str">
        <f t="shared" si="25"/>
        <v>テルーの唄</v>
      </c>
      <c r="AD398" s="19" t="str">
        <f>HYPERLINK(_xlfn.XLOOKUP(C398,M_YT_LIVE_TIMESTAMP!AA:AA,M_YT_LIVE_TIMESTAMP!Z:Z,"★",0,-1))</f>
        <v>https://www.youtube.com/live/OYaf_O-6WRs?si=20Zo4VVa8PxJbw_X&amp;t=4140s</v>
      </c>
    </row>
    <row r="399" spans="1:30" x14ac:dyDescent="0.4">
      <c r="A399" s="12" t="str">
        <v>君と未来</v>
      </c>
      <c r="B399" s="12" t="str">
        <v>宗谷いちか</v>
      </c>
      <c r="C399" s="12" t="str">
        <f t="shared" si="23"/>
        <v>宗谷いちか君と未来</v>
      </c>
      <c r="AA399" s="14" t="str">
        <f t="shared" si="24"/>
        <v>宗谷いちか</v>
      </c>
      <c r="AB399" s="14" t="str">
        <f>_xlfn.XLOOKUP(AA399,M_ARTIST!A:A,M_ARTIST!B:B,"★★★",0,1)</f>
        <v>そうやいちか</v>
      </c>
      <c r="AC399" s="14" t="str">
        <f t="shared" si="25"/>
        <v>君と未来</v>
      </c>
      <c r="AD399" s="19" t="str">
        <f>HYPERLINK(_xlfn.XLOOKUP(C399,M_YT_LIVE_TIMESTAMP!AA:AA,M_YT_LIVE_TIMESTAMP!Z:Z,"★",0,-1))</f>
        <v>https://www.youtube.com/live/zHPmNlzplRQ?si=hKbKp_wLxXmd13Kq&amp;t=3138s</v>
      </c>
    </row>
    <row r="400" spans="1:30" x14ac:dyDescent="0.4">
      <c r="A400" s="12" t="str">
        <v>Gee</v>
      </c>
      <c r="B400" s="12" t="str">
        <v>少女時代</v>
      </c>
      <c r="C400" s="12" t="str">
        <f t="shared" si="23"/>
        <v>少女時代Gee</v>
      </c>
      <c r="AA400" s="14" t="str">
        <f t="shared" si="24"/>
        <v>少女時代</v>
      </c>
      <c r="AB400" s="14" t="str">
        <f>_xlfn.XLOOKUP(AA400,M_ARTIST!A:A,M_ARTIST!B:B,"★★★",0,1)</f>
        <v>★★★</v>
      </c>
      <c r="AC400" s="14" t="str">
        <f t="shared" si="25"/>
        <v>Gee</v>
      </c>
      <c r="AD400" s="19" t="str">
        <f>HYPERLINK(_xlfn.XLOOKUP(C400,M_YT_LIVE_TIMESTAMP!AA:AA,M_YT_LIVE_TIMESTAMP!Z:Z,"★",0,-1))</f>
        <v>https://www.youtube.com/live/orkAkFl798M?si=7tK-YB5J1dGoAFWq&amp;t=1266s</v>
      </c>
    </row>
    <row r="401" spans="1:30" x14ac:dyDescent="0.4">
      <c r="A401" s="12" t="str">
        <v>赤いスイートピー</v>
      </c>
      <c r="B401" s="12" t="str">
        <v>松田聖子</v>
      </c>
      <c r="C401" s="12" t="str">
        <f t="shared" si="23"/>
        <v>松田聖子赤いスイートピー</v>
      </c>
      <c r="AA401" s="14" t="str">
        <f t="shared" si="24"/>
        <v>松田聖子</v>
      </c>
      <c r="AB401" s="14" t="str">
        <f>_xlfn.XLOOKUP(AA401,M_ARTIST!A:A,M_ARTIST!B:B,"★★★",0,1)</f>
        <v>まつだせいこ</v>
      </c>
      <c r="AC401" s="14" t="str">
        <f t="shared" si="25"/>
        <v>赤いスイートピー</v>
      </c>
      <c r="AD401" s="19" t="str">
        <f>HYPERLINK(_xlfn.XLOOKUP(C401,M_YT_LIVE_TIMESTAMP!AA:AA,M_YT_LIVE_TIMESTAMP!Z:Z,"★",0,-1))</f>
        <v>https://www.youtube.com/live/DX8misWhJuA?si=x9BqkZPlvHen5SCl&amp;t=3556s</v>
      </c>
    </row>
    <row r="402" spans="1:30" x14ac:dyDescent="0.4">
      <c r="A402" s="12" t="str">
        <v>めざせポケモンマスター</v>
      </c>
      <c r="B402" s="12" t="str">
        <v>松本梨香</v>
      </c>
      <c r="C402" s="12" t="str">
        <f t="shared" si="23"/>
        <v>松本梨香めざせポケモンマスター</v>
      </c>
      <c r="AA402" s="14" t="str">
        <f t="shared" si="24"/>
        <v>松本梨香</v>
      </c>
      <c r="AB402" s="14" t="str">
        <f>_xlfn.XLOOKUP(AA402,M_ARTIST!A:A,M_ARTIST!B:B,"★★★",0,1)</f>
        <v>まつもとりか</v>
      </c>
      <c r="AC402" s="14" t="str">
        <f t="shared" si="25"/>
        <v>めざせポケモンマスター</v>
      </c>
      <c r="AD402" s="19" t="str">
        <f>HYPERLINK(_xlfn.XLOOKUP(C402,M_YT_LIVE_TIMESTAMP!AA:AA,M_YT_LIVE_TIMESTAMP!Z:Z,"★",0,-1))</f>
        <v>https://www.youtube.com/live/nyXzxG79mwQ?si=kGuFyOuc0o-yNPOU&amp;t=9000s</v>
      </c>
    </row>
    <row r="403" spans="1:30" x14ac:dyDescent="0.4">
      <c r="A403" s="12" t="str">
        <v>どんぐりころころ</v>
      </c>
      <c r="B403" s="12" t="str">
        <v>森の木児童合唱団</v>
      </c>
      <c r="C403" s="12" t="str">
        <f t="shared" ref="C403:C466" si="26">TRIM(B403)&amp;TRIM(A403)</f>
        <v>森の木児童合唱団どんぐりころころ</v>
      </c>
      <c r="AA403" s="14" t="str">
        <f t="shared" ref="AA403:AA466" si="27">B403</f>
        <v>森の木児童合唱団</v>
      </c>
      <c r="AB403" s="14" t="str">
        <f>_xlfn.XLOOKUP(AA403,M_ARTIST!A:A,M_ARTIST!B:B,"★★★",0,1)</f>
        <v>★★★</v>
      </c>
      <c r="AC403" s="14" t="str">
        <f t="shared" ref="AC403:AC466" si="28">A403</f>
        <v>どんぐりころころ</v>
      </c>
      <c r="AD403" s="19" t="str">
        <f>HYPERLINK(_xlfn.XLOOKUP(C403,M_YT_LIVE_TIMESTAMP!AA:AA,M_YT_LIVE_TIMESTAMP!Z:Z,"★",0,-1))</f>
        <v>https://www.youtube.com/live/hkpPXWM6LDY?si=pgl-HW7-u6yZjLAi&amp;t=4517s</v>
      </c>
    </row>
    <row r="404" spans="1:30" x14ac:dyDescent="0.4">
      <c r="A404" s="12" t="str">
        <v>生まれてはじめて</v>
      </c>
      <c r="B404" s="12" t="str">
        <v>神田沙也加&amp;松たか子</v>
      </c>
      <c r="C404" s="12" t="str">
        <f t="shared" si="26"/>
        <v>神田沙也加&amp;松たか子生まれてはじめて</v>
      </c>
      <c r="AA404" s="14" t="str">
        <f t="shared" si="27"/>
        <v>神田沙也加&amp;松たか子</v>
      </c>
      <c r="AB404" s="14" t="str">
        <f>_xlfn.XLOOKUP(AA404,M_ARTIST!A:A,M_ARTIST!B:B,"★★★",0,1)</f>
        <v>かんださやか&amp;まつたかこ</v>
      </c>
      <c r="AC404" s="14" t="str">
        <f t="shared" si="28"/>
        <v>生まれてはじめて</v>
      </c>
      <c r="AD404" s="19" t="str">
        <f>HYPERLINK(_xlfn.XLOOKUP(C404,M_YT_LIVE_TIMESTAMP!AA:AA,M_YT_LIVE_TIMESTAMP!Z:Z,"★",0,-1))</f>
        <v>https://www.youtube.com/live/nyXzxG79mwQ?si=kGuFyOuc0o-yNPOU&amp;t=14425s</v>
      </c>
    </row>
    <row r="405" spans="1:30" x14ac:dyDescent="0.4">
      <c r="A405" s="12" t="str">
        <v>ビビデバ</v>
      </c>
      <c r="B405" s="12" t="str">
        <v>星街すいせい</v>
      </c>
      <c r="C405" s="12" t="str">
        <f t="shared" si="26"/>
        <v>星街すいせいビビデバ</v>
      </c>
      <c r="AA405" s="14" t="str">
        <f t="shared" si="27"/>
        <v>星街すいせい</v>
      </c>
      <c r="AB405" s="14" t="str">
        <f>_xlfn.XLOOKUP(AA405,M_ARTIST!A:A,M_ARTIST!B:B,"★★★",0,1)</f>
        <v>ほしまちすいせい</v>
      </c>
      <c r="AC405" s="14" t="str">
        <f t="shared" si="28"/>
        <v>ビビデバ</v>
      </c>
      <c r="AD405" s="19" t="str">
        <f>HYPERLINK(_xlfn.XLOOKUP(C405,M_YT_LIVE_TIMESTAMP!AA:AA,M_YT_LIVE_TIMESTAMP!Z:Z,"★",0,-1))</f>
        <v>https://www.youtube.com/live/lrLQ6akH23w?si=aC5HLJK6UZYwu-Yn&amp;t=1912s</v>
      </c>
    </row>
    <row r="406" spans="1:30" x14ac:dyDescent="0.4">
      <c r="A406" s="12" t="str">
        <v>会いたくて会いたくて(1chorus)</v>
      </c>
      <c r="B406" s="12" t="str">
        <v>西野カナ</v>
      </c>
      <c r="C406" s="12" t="str">
        <f t="shared" si="26"/>
        <v>西野カナ会いたくて会いたくて(1chorus)</v>
      </c>
      <c r="AA406" s="14" t="str">
        <f t="shared" si="27"/>
        <v>西野カナ</v>
      </c>
      <c r="AB406" s="14" t="str">
        <f>_xlfn.XLOOKUP(AA406,M_ARTIST!A:A,M_ARTIST!B:B,"★★★",0,1)</f>
        <v>にしのかな</v>
      </c>
      <c r="AC406" s="14" t="str">
        <f t="shared" si="28"/>
        <v>会いたくて会いたくて(1chorus)</v>
      </c>
      <c r="AD406" s="19" t="str">
        <f>HYPERLINK(_xlfn.XLOOKUP(C406,M_YT_LIVE_TIMESTAMP!AA:AA,M_YT_LIVE_TIMESTAMP!Z:Z,"★",0,-1))</f>
        <v>https://www.youtube.com/live/DX8misWhJuA?si=x9BqkZPlvHen5SCl&amp;t=2259s</v>
      </c>
    </row>
    <row r="407" spans="1:30" x14ac:dyDescent="0.4">
      <c r="A407" s="12" t="str">
        <v>サイダー</v>
      </c>
      <c r="B407" s="12" t="str">
        <v>赤い公園</v>
      </c>
      <c r="C407" s="12" t="str">
        <f t="shared" si="26"/>
        <v>赤い公園サイダー</v>
      </c>
      <c r="AA407" s="14" t="str">
        <f t="shared" si="27"/>
        <v>赤い公園</v>
      </c>
      <c r="AB407" s="14" t="str">
        <f>_xlfn.XLOOKUP(AA407,M_ARTIST!A:A,M_ARTIST!B:B,"★★★",0,1)</f>
        <v>あかいこうえん</v>
      </c>
      <c r="AC407" s="14" t="str">
        <f t="shared" si="28"/>
        <v>サイダー</v>
      </c>
      <c r="AD407" s="19" t="str">
        <f>HYPERLINK(_xlfn.XLOOKUP(C407,M_YT_LIVE_TIMESTAMP!AA:AA,M_YT_LIVE_TIMESTAMP!Z:Z,"★",0,-1))</f>
        <v>https://www.youtube.com/live/b0qPGU0sZn4?si=C5mabzVl6bhK7mp0&amp;t=4870s</v>
      </c>
    </row>
    <row r="408" spans="1:30" x14ac:dyDescent="0.4">
      <c r="A408" s="12" t="str">
        <v>プラネタリウム</v>
      </c>
      <c r="B408" s="12" t="str">
        <v>大塚愛</v>
      </c>
      <c r="C408" s="12" t="str">
        <f t="shared" si="26"/>
        <v>大塚愛プラネタリウム</v>
      </c>
      <c r="AA408" s="14" t="str">
        <f t="shared" si="27"/>
        <v>大塚愛</v>
      </c>
      <c r="AB408" s="14" t="str">
        <f>_xlfn.XLOOKUP(AA408,M_ARTIST!A:A,M_ARTIST!B:B,"★★★",0,1)</f>
        <v>おおつかあい</v>
      </c>
      <c r="AC408" s="14" t="str">
        <f t="shared" si="28"/>
        <v>プラネタリウム</v>
      </c>
      <c r="AD408" s="19" t="str">
        <f>HYPERLINK(_xlfn.XLOOKUP(C408,M_YT_LIVE_TIMESTAMP!AA:AA,M_YT_LIVE_TIMESTAMP!Z:Z,"★",0,-1))</f>
        <v>https://www.youtube.com/live/6wh0qjbo6K4?si=vntI9mYE52ZplV6U&amp;t=455s</v>
      </c>
    </row>
    <row r="409" spans="1:30" x14ac:dyDescent="0.4">
      <c r="A409" s="12" t="str">
        <v>空色デイズ</v>
      </c>
      <c r="B409" s="12" t="str">
        <v>中川翔子</v>
      </c>
      <c r="C409" s="12" t="str">
        <f t="shared" si="26"/>
        <v>中川翔子空色デイズ</v>
      </c>
      <c r="AA409" s="14" t="str">
        <f t="shared" si="27"/>
        <v>中川翔子</v>
      </c>
      <c r="AB409" s="14" t="str">
        <f>_xlfn.XLOOKUP(AA409,M_ARTIST!A:A,M_ARTIST!B:B,"★★★",0,1)</f>
        <v>なかがわしょうこ</v>
      </c>
      <c r="AC409" s="14" t="str">
        <f t="shared" si="28"/>
        <v>空色デイズ</v>
      </c>
      <c r="AD409" s="19" t="str">
        <f>HYPERLINK(_xlfn.XLOOKUP(C409,M_YT_LIVE_TIMESTAMP!AA:AA,M_YT_LIVE_TIMESTAMP!Z:Z,"★",0,-1))</f>
        <v>https://www.youtube.com/live/JAK2m4FWxF0?si=Xy-B8lpcz7dX_b5n&amp;t=3153s</v>
      </c>
    </row>
    <row r="410" spans="1:30" x14ac:dyDescent="0.4">
      <c r="A410" s="12" t="str">
        <v>心做し</v>
      </c>
      <c r="B410" s="12" t="str">
        <v>蝶々P feat.GUMI</v>
      </c>
      <c r="C410" s="12" t="str">
        <f t="shared" si="26"/>
        <v>蝶々P feat.GUMI心做し</v>
      </c>
      <c r="AA410" s="14" t="str">
        <f t="shared" si="27"/>
        <v>蝶々P feat.GUMI</v>
      </c>
      <c r="AB410" s="14" t="str">
        <f>_xlfn.XLOOKUP(AA410,M_ARTIST!A:A,M_ARTIST!B:B,"★★★",0,1)</f>
        <v>ちょうちょうP feat.GUMI</v>
      </c>
      <c r="AC410" s="14" t="str">
        <f t="shared" si="28"/>
        <v>心做し</v>
      </c>
      <c r="AD410" s="19" t="str">
        <f>HYPERLINK(_xlfn.XLOOKUP(C410,M_YT_LIVE_TIMESTAMP!AA:AA,M_YT_LIVE_TIMESTAMP!Z:Z,"★",0,-1))</f>
        <v>https://www.youtube.com/live/B1g4NIZAKqo?si=v8CWAz6GBo-vVIKK&amp;t=2561s</v>
      </c>
    </row>
    <row r="411" spans="1:30" x14ac:dyDescent="0.4">
      <c r="A411" s="12" t="str">
        <v>え？あぁ、そう。</v>
      </c>
      <c r="B411" s="12" t="str">
        <v>蝶々P feat.初音ミク</v>
      </c>
      <c r="C411" s="12" t="str">
        <f t="shared" si="26"/>
        <v>蝶々P feat.初音ミクえ？あぁ、そう。</v>
      </c>
      <c r="AA411" s="14" t="str">
        <f t="shared" si="27"/>
        <v>蝶々P feat.初音ミク</v>
      </c>
      <c r="AB411" s="14" t="str">
        <f>_xlfn.XLOOKUP(AA411,M_ARTIST!A:A,M_ARTIST!B:B,"★★★",0,1)</f>
        <v>ちょうちょうP feat.はつねみく</v>
      </c>
      <c r="AC411" s="14" t="str">
        <f t="shared" si="28"/>
        <v>え？あぁ、そう。</v>
      </c>
      <c r="AD411" s="19" t="str">
        <f>HYPERLINK(_xlfn.XLOOKUP(C411,M_YT_LIVE_TIMESTAMP!AA:AA,M_YT_LIVE_TIMESTAMP!Z:Z,"★",0,-1))</f>
        <v>https://www.youtube.com/live/Yti72SsHzxs?si=qlI2gfa0I0wWYoH4&amp;t=10011s</v>
      </c>
    </row>
    <row r="412" spans="1:30" x14ac:dyDescent="0.4">
      <c r="A412" s="12" t="str">
        <v>少女A</v>
      </c>
      <c r="B412" s="12" t="str">
        <v>椎名もた feat.初音ミク</v>
      </c>
      <c r="C412" s="12" t="str">
        <f t="shared" si="26"/>
        <v>椎名もた feat.初音ミク少女A</v>
      </c>
      <c r="AA412" s="14" t="str">
        <f t="shared" si="27"/>
        <v>椎名もた feat.初音ミク</v>
      </c>
      <c r="AB412" s="14" t="str">
        <f>_xlfn.XLOOKUP(AA412,M_ARTIST!A:A,M_ARTIST!B:B,"★★★",0,1)</f>
        <v>しいなもた feat.はつねみく</v>
      </c>
      <c r="AC412" s="14" t="str">
        <f t="shared" si="28"/>
        <v>少女A</v>
      </c>
      <c r="AD412" s="19" t="str">
        <f>HYPERLINK(_xlfn.XLOOKUP(C412,M_YT_LIVE_TIMESTAMP!AA:AA,M_YT_LIVE_TIMESTAMP!Z:Z,"★",0,-1))</f>
        <v>https://www.youtube.com/live/OYaf_O-6WRs?si=20Zo4VVa8PxJbw_X&amp;t=787s</v>
      </c>
    </row>
    <row r="413" spans="1:30" x14ac:dyDescent="0.4">
      <c r="A413" s="12" t="str">
        <v>丸の内サディスティック</v>
      </c>
      <c r="B413" s="12" t="str">
        <v>椎名林檎</v>
      </c>
      <c r="C413" s="12" t="str">
        <f t="shared" si="26"/>
        <v>椎名林檎丸の内サディスティック</v>
      </c>
      <c r="AA413" s="14" t="str">
        <f t="shared" si="27"/>
        <v>椎名林檎</v>
      </c>
      <c r="AB413" s="14" t="str">
        <f>_xlfn.XLOOKUP(AA413,M_ARTIST!A:A,M_ARTIST!B:B,"★★★",0,1)</f>
        <v>しいなりんご</v>
      </c>
      <c r="AC413" s="14" t="str">
        <f t="shared" si="28"/>
        <v>丸の内サディスティック</v>
      </c>
      <c r="AD413" s="19" t="str">
        <f>HYPERLINK(_xlfn.XLOOKUP(C413,M_YT_LIVE_TIMESTAMP!AA:AA,M_YT_LIVE_TIMESTAMP!Z:Z,"★",0,-1))</f>
        <v>https://www.youtube.com/live/nyXzxG79mwQ?si=kGuFyOuc0o-yNPOU&amp;t=14800s</v>
      </c>
    </row>
    <row r="414" spans="1:30" x14ac:dyDescent="0.4">
      <c r="A414" s="12" t="str">
        <v>サイノウサンプラー</v>
      </c>
      <c r="B414" s="12" t="str">
        <v>電ポルP feat.初音ミク</v>
      </c>
      <c r="C414" s="12" t="str">
        <f t="shared" si="26"/>
        <v>電ポルP feat.初音ミクサイノウサンプラー</v>
      </c>
      <c r="AA414" s="14" t="str">
        <f t="shared" si="27"/>
        <v>電ポルP feat.初音ミク</v>
      </c>
      <c r="AB414" s="14" t="str">
        <f>_xlfn.XLOOKUP(AA414,M_ARTIST!A:A,M_ARTIST!B:B,"★★★",0,1)</f>
        <v>でんぽるP feat.はつねみく</v>
      </c>
      <c r="AC414" s="14" t="str">
        <f t="shared" si="28"/>
        <v>サイノウサンプラー</v>
      </c>
      <c r="AD414" s="19" t="str">
        <f>HYPERLINK(_xlfn.XLOOKUP(C414,M_YT_LIVE_TIMESTAMP!AA:AA,M_YT_LIVE_TIMESTAMP!Z:Z,"★",0,-1))</f>
        <v>https://www.youtube.com/live/ac4RYGdoGfw?si=XYuojmcqpJZOLb9x&amp;t=2057s</v>
      </c>
    </row>
    <row r="415" spans="1:30" x14ac:dyDescent="0.4">
      <c r="A415" s="12" t="str">
        <v>威風堂々</v>
      </c>
      <c r="B415" s="12" t="str">
        <v>梅とら feat. 巡音ルカ&amp;初音ミク&amp;GUMI&amp;IA&amp;鏡音リン</v>
      </c>
      <c r="C415" s="12" t="str">
        <f t="shared" si="26"/>
        <v>梅とら feat. 巡音ルカ&amp;初音ミク&amp;GUMI&amp;IA&amp;鏡音リン威風堂々</v>
      </c>
      <c r="AA415" s="14" t="str">
        <f t="shared" si="27"/>
        <v>梅とら feat. 巡音ルカ&amp;初音ミク&amp;GUMI&amp;IA&amp;鏡音リン</v>
      </c>
      <c r="AB415" s="14" t="str">
        <f>_xlfn.XLOOKUP(AA415,M_ARTIST!A:A,M_ARTIST!B:B,"★★★",0,1)</f>
        <v>うめとら feat. めぐりねるか&amp;はつねみく&amp;GUMI&amp;IA&amp;かがみねりん</v>
      </c>
      <c r="AC415" s="14" t="str">
        <f t="shared" si="28"/>
        <v>威風堂々</v>
      </c>
      <c r="AD415" s="19" t="str">
        <f>HYPERLINK(_xlfn.XLOOKUP(C415,M_YT_LIVE_TIMESTAMP!AA:AA,M_YT_LIVE_TIMESTAMP!Z:Z,"★",0,-1))</f>
        <v>https://www.youtube.com/live/Yti72SsHzxs?si=qlI2gfa0I0wWYoH4&amp;t=9000s</v>
      </c>
    </row>
    <row r="416" spans="1:30" x14ac:dyDescent="0.4">
      <c r="A416" s="12" t="str">
        <v>疑心暗鬼</v>
      </c>
      <c r="B416" s="12" t="str">
        <v>梅とら feat. 巡音ルカ&amp;初音ミク&amp;GUMI&amp;IA&amp;鏡音リン</v>
      </c>
      <c r="C416" s="12" t="str">
        <f t="shared" si="26"/>
        <v>梅とら feat. 巡音ルカ&amp;初音ミク&amp;GUMI&amp;IA&amp;鏡音リン疑心暗鬼</v>
      </c>
      <c r="AA416" s="14" t="str">
        <f t="shared" si="27"/>
        <v>梅とら feat. 巡音ルカ&amp;初音ミク&amp;GUMI&amp;IA&amp;鏡音リン</v>
      </c>
      <c r="AB416" s="14" t="str">
        <f>_xlfn.XLOOKUP(AA416,M_ARTIST!A:A,M_ARTIST!B:B,"★★★",0,1)</f>
        <v>うめとら feat. めぐりねるか&amp;はつねみく&amp;GUMI&amp;IA&amp;かがみねりん</v>
      </c>
      <c r="AC416" s="14" t="str">
        <f t="shared" si="28"/>
        <v>疑心暗鬼</v>
      </c>
      <c r="AD416" s="19" t="str">
        <f>HYPERLINK(_xlfn.XLOOKUP(C416,M_YT_LIVE_TIMESTAMP!AA:AA,M_YT_LIVE_TIMESTAMP!Z:Z,"★",0,-1))</f>
        <v>https://www.youtube.com/live/Us_EP0LuOUI?si=QKfLbi9NsZLi9sIi&amp;t=4517s</v>
      </c>
    </row>
    <row r="417" spans="1:30" x14ac:dyDescent="0.4">
      <c r="A417" s="12" t="str">
        <v>虎視眈々</v>
      </c>
      <c r="B417" s="12" t="str">
        <v>梅とら feat. 巡音ルカ&amp;初音ミク&amp;GUMI&amp;IA&amp;鏡音リン</v>
      </c>
      <c r="C417" s="12" t="str">
        <f t="shared" si="26"/>
        <v>梅とら feat. 巡音ルカ&amp;初音ミク&amp;GUMI&amp;IA&amp;鏡音リン虎視眈々</v>
      </c>
      <c r="AA417" s="14" t="str">
        <f t="shared" si="27"/>
        <v>梅とら feat. 巡音ルカ&amp;初音ミク&amp;GUMI&amp;IA&amp;鏡音リン</v>
      </c>
      <c r="AB417" s="14" t="str">
        <f>_xlfn.XLOOKUP(AA417,M_ARTIST!A:A,M_ARTIST!B:B,"★★★",0,1)</f>
        <v>うめとら feat. めぐりねるか&amp;はつねみく&amp;GUMI&amp;IA&amp;かがみねりん</v>
      </c>
      <c r="AC417" s="14" t="str">
        <f t="shared" si="28"/>
        <v>虎視眈々</v>
      </c>
      <c r="AD417" s="19" t="str">
        <f>HYPERLINK(_xlfn.XLOOKUP(C417,M_YT_LIVE_TIMESTAMP!AA:AA,M_YT_LIVE_TIMESTAMP!Z:Z,"★",0,-1))</f>
        <v>https://www.youtube.com/live/Yti72SsHzxs?si=qlI2gfa0I0wWYoH4&amp;t=8664s</v>
      </c>
    </row>
    <row r="418" spans="1:30" x14ac:dyDescent="0.4">
      <c r="A418" s="12" t="str">
        <v>カワキヲアメク</v>
      </c>
      <c r="B418" s="12" t="str">
        <v>美波</v>
      </c>
      <c r="C418" s="12" t="str">
        <f t="shared" si="26"/>
        <v>美波カワキヲアメク</v>
      </c>
      <c r="AA418" s="14" t="str">
        <f t="shared" si="27"/>
        <v>美波</v>
      </c>
      <c r="AB418" s="14" t="str">
        <f>_xlfn.XLOOKUP(AA418,M_ARTIST!A:A,M_ARTIST!B:B,"★★★",0,1)</f>
        <v>みなみ</v>
      </c>
      <c r="AC418" s="14" t="str">
        <f t="shared" si="28"/>
        <v>カワキヲアメク</v>
      </c>
      <c r="AD418" s="19" t="str">
        <f>HYPERLINK(_xlfn.XLOOKUP(C418,M_YT_LIVE_TIMESTAMP!AA:AA,M_YT_LIVE_TIMESTAMP!Z:Z,"★",0,-1))</f>
        <v>https://www.youtube.com/live/BTi31luRntI?si=HKZA9dD6UF6pnPvq&amp;t=3905s</v>
      </c>
    </row>
    <row r="419" spans="1:30" x14ac:dyDescent="0.4">
      <c r="A419" s="12" t="str">
        <v>ライラック</v>
      </c>
      <c r="B419" s="12" t="str">
        <v>美波</v>
      </c>
      <c r="C419" s="12" t="str">
        <f t="shared" si="26"/>
        <v>美波ライラック</v>
      </c>
      <c r="AA419" s="14" t="str">
        <f t="shared" si="27"/>
        <v>美波</v>
      </c>
      <c r="AB419" s="14" t="str">
        <f>_xlfn.XLOOKUP(AA419,M_ARTIST!A:A,M_ARTIST!B:B,"★★★",0,1)</f>
        <v>みなみ</v>
      </c>
      <c r="AC419" s="14" t="str">
        <f t="shared" si="28"/>
        <v>ライラック</v>
      </c>
      <c r="AD419" s="19" t="str">
        <f>HYPERLINK(_xlfn.XLOOKUP(C419,M_YT_LIVE_TIMESTAMP!AA:AA,M_YT_LIVE_TIMESTAMP!Z:Z,"★",0,-1))</f>
        <v>https://www.youtube.com/live/OYaf_O-6WRs?si=20Zo4VVa8PxJbw_X&amp;t=3347s</v>
      </c>
    </row>
    <row r="420" spans="1:30" x14ac:dyDescent="0.4">
      <c r="A420" s="12" t="str">
        <v>マーシャルマキシマイザ</v>
      </c>
      <c r="B420" s="12" t="str">
        <v>柊マグネタイト feat.可不</v>
      </c>
      <c r="C420" s="12" t="str">
        <f t="shared" si="26"/>
        <v>柊マグネタイト feat.可不マーシャルマキシマイザ</v>
      </c>
      <c r="AA420" s="14" t="str">
        <f t="shared" si="27"/>
        <v>柊マグネタイト feat.可不</v>
      </c>
      <c r="AB420" s="14" t="str">
        <f>_xlfn.XLOOKUP(AA420,M_ARTIST!A:A,M_ARTIST!B:B,"★★★",0,1)</f>
        <v>ひいらぎまぐねたいと feat.かふ</v>
      </c>
      <c r="AC420" s="14" t="str">
        <f t="shared" si="28"/>
        <v>マーシャルマキシマイザ</v>
      </c>
      <c r="AD420" s="19" t="str">
        <f>HYPERLINK(_xlfn.XLOOKUP(C420,M_YT_LIVE_TIMESTAMP!AA:AA,M_YT_LIVE_TIMESTAMP!Z:Z,"★",0,-1))</f>
        <v>https://www.youtube.com/live/AHfCHGope8I?si=qrXuqYy-tTqldtt4&amp;t=1419s</v>
      </c>
    </row>
    <row r="421" spans="1:30" x14ac:dyDescent="0.4">
      <c r="A421" s="12" t="str">
        <v>POP STAR</v>
      </c>
      <c r="B421" s="12" t="str">
        <v>平井堅</v>
      </c>
      <c r="C421" s="12" t="str">
        <f t="shared" si="26"/>
        <v>平井堅POP STAR</v>
      </c>
      <c r="AA421" s="14" t="str">
        <f t="shared" si="27"/>
        <v>平井堅</v>
      </c>
      <c r="AB421" s="14" t="str">
        <f>_xlfn.XLOOKUP(AA421,M_ARTIST!A:A,M_ARTIST!B:B,"★★★",0,1)</f>
        <v>ひらいけん</v>
      </c>
      <c r="AC421" s="14" t="str">
        <f t="shared" si="28"/>
        <v>POP STAR</v>
      </c>
      <c r="AD421" s="19" t="str">
        <f>HYPERLINK(_xlfn.XLOOKUP(C421,M_YT_LIVE_TIMESTAMP!AA:AA,M_YT_LIVE_TIMESTAMP!Z:Z,"★",0,-1))</f>
        <v>https://www.youtube.com/live/Yti72SsHzxs?si=qlI2gfa0I0wWYoH4&amp;t=8223s</v>
      </c>
    </row>
    <row r="422" spans="1:30" x14ac:dyDescent="0.4">
      <c r="A422" s="12" t="str">
        <v>Lemon</v>
      </c>
      <c r="B422" s="12" t="str">
        <v>米津玄師</v>
      </c>
      <c r="C422" s="12" t="str">
        <f t="shared" si="26"/>
        <v>米津玄師Lemon</v>
      </c>
      <c r="AA422" s="14" t="str">
        <f t="shared" si="27"/>
        <v>米津玄師</v>
      </c>
      <c r="AB422" s="14" t="str">
        <f>_xlfn.XLOOKUP(AA422,M_ARTIST!A:A,M_ARTIST!B:B,"★★★",0,1)</f>
        <v>よねづけんし</v>
      </c>
      <c r="AC422" s="14" t="str">
        <f t="shared" si="28"/>
        <v>Lemon</v>
      </c>
      <c r="AD422" s="19" t="str">
        <f>HYPERLINK(_xlfn.XLOOKUP(C422,M_YT_LIVE_TIMESTAMP!AA:AA,M_YT_LIVE_TIMESTAMP!Z:Z,"★",0,-1))</f>
        <v>https://www.youtube.com/live/B1g4NIZAKqo?si=v8CWAz6GBo-vVIKK&amp;t=208s</v>
      </c>
    </row>
    <row r="423" spans="1:30" x14ac:dyDescent="0.4">
      <c r="A423" s="12" t="str">
        <v>アイネクライネ</v>
      </c>
      <c r="B423" s="12" t="str">
        <v>米津玄師</v>
      </c>
      <c r="C423" s="12" t="str">
        <f t="shared" si="26"/>
        <v>米津玄師アイネクライネ</v>
      </c>
      <c r="AA423" s="14" t="str">
        <f t="shared" si="27"/>
        <v>米津玄師</v>
      </c>
      <c r="AB423" s="14" t="str">
        <f>_xlfn.XLOOKUP(AA423,M_ARTIST!A:A,M_ARTIST!B:B,"★★★",0,1)</f>
        <v>よねづけんし</v>
      </c>
      <c r="AC423" s="14" t="str">
        <f t="shared" si="28"/>
        <v>アイネクライネ</v>
      </c>
      <c r="AD423" s="19" t="str">
        <f>HYPERLINK(_xlfn.XLOOKUP(C423,M_YT_LIVE_TIMESTAMP!AA:AA,M_YT_LIVE_TIMESTAMP!Z:Z,"★",0,-1))</f>
        <v>https://www.youtube.com/live/OYaf_O-6WRs?si=20Zo4VVa8PxJbw_X&amp;t=4922s</v>
      </c>
    </row>
    <row r="424" spans="1:30" x14ac:dyDescent="0.4">
      <c r="A424" s="12" t="str">
        <v>春雷</v>
      </c>
      <c r="B424" s="12" t="str">
        <v>米津玄師</v>
      </c>
      <c r="C424" s="12" t="str">
        <f t="shared" si="26"/>
        <v>米津玄師春雷</v>
      </c>
      <c r="AA424" s="14" t="str">
        <f t="shared" si="27"/>
        <v>米津玄師</v>
      </c>
      <c r="AB424" s="14" t="str">
        <f>_xlfn.XLOOKUP(AA424,M_ARTIST!A:A,M_ARTIST!B:B,"★★★",0,1)</f>
        <v>よねづけんし</v>
      </c>
      <c r="AC424" s="14" t="str">
        <f t="shared" si="28"/>
        <v>春雷</v>
      </c>
      <c r="AD424" s="19" t="str">
        <f>HYPERLINK(_xlfn.XLOOKUP(C424,M_YT_LIVE_TIMESTAMP!AA:AA,M_YT_LIVE_TIMESTAMP!Z:Z,"★",0,-1))</f>
        <v>https://www.youtube.com/live/5-PHEYq6a-Y?si=i1qN4inKhZc0prZ-&amp;t=945s</v>
      </c>
    </row>
    <row r="425" spans="1:30" x14ac:dyDescent="0.4">
      <c r="A425" s="12" t="str">
        <v>忘れじの言の葉</v>
      </c>
      <c r="B425" s="12" t="str">
        <v>未来古代楽団 feat. 安次嶺希和子</v>
      </c>
      <c r="C425" s="12" t="str">
        <f t="shared" si="26"/>
        <v>未来古代楽団 feat. 安次嶺希和子忘れじの言の葉</v>
      </c>
      <c r="AA425" s="14" t="str">
        <f t="shared" si="27"/>
        <v>未来古代楽団 feat. 安次嶺希和子</v>
      </c>
      <c r="AB425" s="14" t="str">
        <f>_xlfn.XLOOKUP(AA425,M_ARTIST!A:A,M_ARTIST!B:B,"★★★",0,1)</f>
        <v>みらいこだいがくだん feat. あしみねきわこ</v>
      </c>
      <c r="AC425" s="14" t="str">
        <f t="shared" si="28"/>
        <v>忘れじの言の葉</v>
      </c>
      <c r="AD425" s="19" t="str">
        <f>HYPERLINK(_xlfn.XLOOKUP(C425,M_YT_LIVE_TIMESTAMP!AA:AA,M_YT_LIVE_TIMESTAMP!Z:Z,"★",0,-1))</f>
        <v>https://www.youtube.com/live/BjWSIm9kSZs?si=1oMuQyZMLWArIABK&amp;t=6974s</v>
      </c>
    </row>
    <row r="426" spans="1:30" x14ac:dyDescent="0.4">
      <c r="A426" s="12" t="str">
        <v>忘れじの言の葉 (short ver)</v>
      </c>
      <c r="B426" s="12" t="str">
        <v>未来古代楽団 feat. 安次嶺希和子</v>
      </c>
      <c r="C426" s="12" t="str">
        <f t="shared" si="26"/>
        <v>未来古代楽団 feat. 安次嶺希和子忘れじの言の葉 (short ver)</v>
      </c>
      <c r="AA426" s="14" t="str">
        <f t="shared" si="27"/>
        <v>未来古代楽団 feat. 安次嶺希和子</v>
      </c>
      <c r="AB426" s="14" t="str">
        <f>_xlfn.XLOOKUP(AA426,M_ARTIST!A:A,M_ARTIST!B:B,"★★★",0,1)</f>
        <v>みらいこだいがくだん feat. あしみねきわこ</v>
      </c>
      <c r="AC426" s="14" t="str">
        <f t="shared" si="28"/>
        <v>忘れじの言の葉 (short ver)</v>
      </c>
      <c r="AD426" s="19" t="str">
        <f>HYPERLINK(_xlfn.XLOOKUP(C426,M_YT_LIVE_TIMESTAMP!AA:AA,M_YT_LIVE_TIMESTAMP!Z:Z,"★",0,-1))</f>
        <v>https://www.youtube.com/live/6wh0qjbo6K4?si=vntI9mYE52ZplV6U&amp;t=5980s</v>
      </c>
    </row>
    <row r="427" spans="1:30" x14ac:dyDescent="0.4">
      <c r="A427" s="12" t="str">
        <v>いつも何度でも</v>
      </c>
      <c r="B427" s="12" t="str">
        <v>木村弓</v>
      </c>
      <c r="C427" s="12" t="str">
        <f t="shared" si="26"/>
        <v>木村弓いつも何度でも</v>
      </c>
      <c r="AA427" s="14" t="str">
        <f t="shared" si="27"/>
        <v>木村弓</v>
      </c>
      <c r="AB427" s="14" t="str">
        <f>_xlfn.XLOOKUP(AA427,M_ARTIST!A:A,M_ARTIST!B:B,"★★★",0,1)</f>
        <v>きむらゆみ</v>
      </c>
      <c r="AC427" s="14" t="str">
        <f t="shared" si="28"/>
        <v>いつも何度でも</v>
      </c>
      <c r="AD427" s="19" t="str">
        <f>HYPERLINK(_xlfn.XLOOKUP(C427,M_YT_LIVE_TIMESTAMP!AA:AA,M_YT_LIVE_TIMESTAMP!Z:Z,"★",0,-1))</f>
        <v>https://www.youtube.com/live/qX9bxWpkH6E?si=OkODsP1XDKgR0qeY&amp;t=5751s</v>
      </c>
    </row>
    <row r="428" spans="1:30" x14ac:dyDescent="0.4">
      <c r="A428" s="12" t="str">
        <v>いのちの名前</v>
      </c>
      <c r="B428" s="12" t="str">
        <v>木村弓</v>
      </c>
      <c r="C428" s="12" t="str">
        <f t="shared" si="26"/>
        <v>木村弓いのちの名前</v>
      </c>
      <c r="AA428" s="14" t="str">
        <f t="shared" si="27"/>
        <v>木村弓</v>
      </c>
      <c r="AB428" s="14" t="str">
        <f>_xlfn.XLOOKUP(AA428,M_ARTIST!A:A,M_ARTIST!B:B,"★★★",0,1)</f>
        <v>きむらゆみ</v>
      </c>
      <c r="AC428" s="14" t="str">
        <f t="shared" si="28"/>
        <v>いのちの名前</v>
      </c>
      <c r="AD428" s="19" t="str">
        <f>HYPERLINK(_xlfn.XLOOKUP(C428,M_YT_LIVE_TIMESTAMP!AA:AA,M_YT_LIVE_TIMESTAMP!Z:Z,"★",0,-1))</f>
        <v>https://www.youtube.com/live/N0Tp3auhZ54?si=TUAMJQ8TqFkAVZ1r&amp;t=6096s</v>
      </c>
    </row>
    <row r="429" spans="1:30" x14ac:dyDescent="0.4">
      <c r="A429" s="12" t="str">
        <v>ドライフラワー</v>
      </c>
      <c r="B429" s="12" t="str">
        <v>優里</v>
      </c>
      <c r="C429" s="12" t="str">
        <f t="shared" si="26"/>
        <v>優里ドライフラワー</v>
      </c>
      <c r="AA429" s="14" t="str">
        <f t="shared" si="27"/>
        <v>優里</v>
      </c>
      <c r="AB429" s="14" t="str">
        <f>_xlfn.XLOOKUP(AA429,M_ARTIST!A:A,M_ARTIST!B:B,"★★★",0,1)</f>
        <v>ゆうり</v>
      </c>
      <c r="AC429" s="14" t="str">
        <f t="shared" si="28"/>
        <v>ドライフラワー</v>
      </c>
      <c r="AD429" s="19" t="str">
        <f>HYPERLINK(_xlfn.XLOOKUP(C429,M_YT_LIVE_TIMESTAMP!AA:AA,M_YT_LIVE_TIMESTAMP!Z:Z,"★",0,-1))</f>
        <v>https://www.youtube.com/live/B1g4NIZAKqo?si=v8CWAz6GBo-vVIKK&amp;t=1142s</v>
      </c>
    </row>
    <row r="430" spans="1:30" x14ac:dyDescent="0.4">
      <c r="A430" s="12" t="str">
        <v>ベテルギウス</v>
      </c>
      <c r="B430" s="12" t="str">
        <v>優里</v>
      </c>
      <c r="C430" s="12" t="str">
        <f t="shared" si="26"/>
        <v>優里ベテルギウス</v>
      </c>
      <c r="AA430" s="14" t="str">
        <f t="shared" si="27"/>
        <v>優里</v>
      </c>
      <c r="AB430" s="14" t="str">
        <f>_xlfn.XLOOKUP(AA430,M_ARTIST!A:A,M_ARTIST!B:B,"★★★",0,1)</f>
        <v>ゆうり</v>
      </c>
      <c r="AC430" s="14" t="str">
        <f t="shared" si="28"/>
        <v>ベテルギウス</v>
      </c>
      <c r="AD430" s="19" t="str">
        <f>HYPERLINK(_xlfn.XLOOKUP(C430,M_YT_LIVE_TIMESTAMP!AA:AA,M_YT_LIVE_TIMESTAMP!Z:Z,"★",0,-1))</f>
        <v>https://www.youtube.com/live/nyXzxG79mwQ?si=kGuFyOuc0o-yNPOU&amp;t=7183s</v>
      </c>
    </row>
    <row r="431" spans="1:30" x14ac:dyDescent="0.4">
      <c r="A431" s="12" t="str">
        <v>From now on</v>
      </c>
      <c r="B431" s="12" t="str">
        <v>幽音しの</v>
      </c>
      <c r="C431" s="12" t="str">
        <f t="shared" si="26"/>
        <v>幽音しのFrom now on</v>
      </c>
      <c r="AA431" s="14" t="str">
        <f t="shared" si="27"/>
        <v>幽音しの</v>
      </c>
      <c r="AB431" s="14" t="str">
        <f>_xlfn.XLOOKUP(AA431,M_ARTIST!A:A,M_ARTIST!B:B,"★★★",0,1)</f>
        <v>かすかねしの</v>
      </c>
      <c r="AC431" s="14" t="str">
        <f t="shared" si="28"/>
        <v>From now on</v>
      </c>
      <c r="AD431" s="19" t="str">
        <f>HYPERLINK(_xlfn.XLOOKUP(C431,M_YT_LIVE_TIMESTAMP!AA:AA,M_YT_LIVE_TIMESTAMP!Z:Z,"★",0,-1))</f>
        <v>https://www.youtube.com/live/keSRwH4Zr7g?si=RPmDxNZjQB1dZWSK&amp;t=3555s</v>
      </c>
    </row>
    <row r="432" spans="1:30" x14ac:dyDescent="0.4">
      <c r="A432" s="12" t="str">
        <v>かすかなおと</v>
      </c>
      <c r="B432" s="12" t="str">
        <v>幽音しの</v>
      </c>
      <c r="C432" s="12" t="str">
        <f t="shared" si="26"/>
        <v>幽音しのかすかなおと</v>
      </c>
      <c r="AA432" s="14" t="str">
        <f t="shared" si="27"/>
        <v>幽音しの</v>
      </c>
      <c r="AB432" s="14" t="str">
        <f>_xlfn.XLOOKUP(AA432,M_ARTIST!A:A,M_ARTIST!B:B,"★★★",0,1)</f>
        <v>かすかねしの</v>
      </c>
      <c r="AC432" s="14" t="str">
        <f t="shared" si="28"/>
        <v>かすかなおと</v>
      </c>
      <c r="AD432" s="19" t="str">
        <f>HYPERLINK(_xlfn.XLOOKUP(C432,M_YT_LIVE_TIMESTAMP!AA:AA,M_YT_LIVE_TIMESTAMP!Z:Z,"★",0,-1))</f>
        <v>https://www.youtube.com/live/zHPmNlzplRQ?si=hKbKp_wLxXmd13Kq&amp;t=609s</v>
      </c>
    </row>
    <row r="433" spans="1:30" x14ac:dyDescent="0.4">
      <c r="A433" s="12" t="str">
        <v>エモさはいつもしののそばに</v>
      </c>
      <c r="B433" s="12" t="str">
        <v>幽音しの(即興)</v>
      </c>
      <c r="C433" s="12" t="str">
        <f t="shared" si="26"/>
        <v>幽音しの(即興)エモさはいつもしののそばに</v>
      </c>
      <c r="AA433" s="14" t="str">
        <f t="shared" si="27"/>
        <v>幽音しの(即興)</v>
      </c>
      <c r="AB433" s="14" t="str">
        <f>_xlfn.XLOOKUP(AA433,M_ARTIST!A:A,M_ARTIST!B:B,"★★★",0,1)</f>
        <v>かすかねしの(そっきょう)</v>
      </c>
      <c r="AC433" s="14" t="str">
        <f t="shared" si="28"/>
        <v>エモさはいつもしののそばに</v>
      </c>
      <c r="AD433" s="19" t="str">
        <f>HYPERLINK(_xlfn.XLOOKUP(C433,M_YT_LIVE_TIMESTAMP!AA:AA,M_YT_LIVE_TIMESTAMP!Z:Z,"★",0,-1))</f>
        <v>https://www.youtube.com/live/Z1v3sT_d6uU?si=epz4SGbUtnFLtw2-&amp;t=3130s</v>
      </c>
    </row>
    <row r="434" spans="1:30" x14ac:dyDescent="0.4">
      <c r="A434" s="12" t="str">
        <v>カウントダウン前にバースデーソング作る</v>
      </c>
      <c r="B434" s="12" t="str">
        <v>幽音しの(即興)</v>
      </c>
      <c r="C434" s="12" t="str">
        <f t="shared" si="26"/>
        <v>幽音しの(即興)カウントダウン前にバースデーソング作る</v>
      </c>
      <c r="AA434" s="14" t="str">
        <f t="shared" si="27"/>
        <v>幽音しの(即興)</v>
      </c>
      <c r="AB434" s="14" t="str">
        <f>_xlfn.XLOOKUP(AA434,M_ARTIST!A:A,M_ARTIST!B:B,"★★★",0,1)</f>
        <v>かすかねしの(そっきょう)</v>
      </c>
      <c r="AC434" s="14" t="str">
        <f t="shared" si="28"/>
        <v>カウントダウン前にバースデーソング作る</v>
      </c>
      <c r="AD434" s="19" t="str">
        <f>HYPERLINK(_xlfn.XLOOKUP(C434,M_YT_LIVE_TIMESTAMP!AA:AA,M_YT_LIVE_TIMESTAMP!Z:Z,"★",0,-1))</f>
        <v>https://www.youtube.com/live/qTRoniWqYUs?si=tZabM9W3dUpT3w7w&amp;t=4383s</v>
      </c>
    </row>
    <row r="435" spans="1:30" x14ac:dyDescent="0.4">
      <c r="A435" s="12" t="str">
        <v>キャベツとレタスのうた</v>
      </c>
      <c r="B435" s="12" t="str">
        <v>幽音しの(即興)</v>
      </c>
      <c r="C435" s="12" t="str">
        <f t="shared" si="26"/>
        <v>幽音しの(即興)キャベツとレタスのうた</v>
      </c>
      <c r="AA435" s="14" t="str">
        <f t="shared" si="27"/>
        <v>幽音しの(即興)</v>
      </c>
      <c r="AB435" s="14" t="str">
        <f>_xlfn.XLOOKUP(AA435,M_ARTIST!A:A,M_ARTIST!B:B,"★★★",0,1)</f>
        <v>かすかねしの(そっきょう)</v>
      </c>
      <c r="AC435" s="14" t="str">
        <f t="shared" si="28"/>
        <v>キャベツとレタスのうた</v>
      </c>
      <c r="AD435" s="19" t="str">
        <f>HYPERLINK(_xlfn.XLOOKUP(C435,M_YT_LIVE_TIMESTAMP!AA:AA,M_YT_LIVE_TIMESTAMP!Z:Z,"★",0,-1))</f>
        <v>https://www.youtube.com/live/JdIhEjDJiNU?si=deUnozJNoBNUwf--&amp;t=1191s</v>
      </c>
    </row>
    <row r="436" spans="1:30" x14ac:dyDescent="0.4">
      <c r="A436" s="12" t="str">
        <v>これからもよろしくソング</v>
      </c>
      <c r="B436" s="12" t="str">
        <v>幽音しの(即興)</v>
      </c>
      <c r="C436" s="12" t="str">
        <f t="shared" si="26"/>
        <v>幽音しの(即興)これからもよろしくソング</v>
      </c>
      <c r="AA436" s="14" t="str">
        <f t="shared" si="27"/>
        <v>幽音しの(即興)</v>
      </c>
      <c r="AB436" s="14" t="str">
        <f>_xlfn.XLOOKUP(AA436,M_ARTIST!A:A,M_ARTIST!B:B,"★★★",0,1)</f>
        <v>かすかねしの(そっきょう)</v>
      </c>
      <c r="AC436" s="14" t="str">
        <f t="shared" si="28"/>
        <v>これからもよろしくソング</v>
      </c>
      <c r="AD436" s="19" t="str">
        <f>HYPERLINK(_xlfn.XLOOKUP(C436,M_YT_LIVE_TIMESTAMP!AA:AA,M_YT_LIVE_TIMESTAMP!Z:Z,"★",0,-1))</f>
        <v>https://www.youtube.com/live/9eMVaPOXvzM?si=jhgkuY6UKcne9MmF&amp;t=2955s</v>
      </c>
    </row>
    <row r="437" spans="1:30" x14ac:dyDescent="0.4">
      <c r="A437" s="12" t="str">
        <v>しのが寝る6時</v>
      </c>
      <c r="B437" s="12" t="str">
        <v>幽音しの(即興)</v>
      </c>
      <c r="C437" s="12" t="str">
        <f t="shared" si="26"/>
        <v>幽音しの(即興)しのが寝る6時</v>
      </c>
      <c r="AA437" s="14" t="str">
        <f t="shared" si="27"/>
        <v>幽音しの(即興)</v>
      </c>
      <c r="AB437" s="14" t="str">
        <f>_xlfn.XLOOKUP(AA437,M_ARTIST!A:A,M_ARTIST!B:B,"★★★",0,1)</f>
        <v>かすかねしの(そっきょう)</v>
      </c>
      <c r="AC437" s="14" t="str">
        <f t="shared" si="28"/>
        <v>しのが寝る6時</v>
      </c>
      <c r="AD437" s="19" t="str">
        <f>HYPERLINK(_xlfn.XLOOKUP(C437,M_YT_LIVE_TIMESTAMP!AA:AA,M_YT_LIVE_TIMESTAMP!Z:Z,"★",0,-1))</f>
        <v>https://www.youtube.com/live/rjOy6A4c68o?si=Q07K-470tlYbzNHk&amp;t=3450s</v>
      </c>
    </row>
    <row r="438" spans="1:30" x14ac:dyDescent="0.4">
      <c r="A438" s="12" t="str">
        <v>しのぴ即興ソング</v>
      </c>
      <c r="B438" s="12" t="str">
        <v>幽音しの(即興)</v>
      </c>
      <c r="C438" s="12" t="str">
        <f t="shared" si="26"/>
        <v>幽音しの(即興)しのぴ即興ソング</v>
      </c>
      <c r="AA438" s="14" t="str">
        <f t="shared" si="27"/>
        <v>幽音しの(即興)</v>
      </c>
      <c r="AB438" s="14" t="str">
        <f>_xlfn.XLOOKUP(AA438,M_ARTIST!A:A,M_ARTIST!B:B,"★★★",0,1)</f>
        <v>かすかねしの(そっきょう)</v>
      </c>
      <c r="AC438" s="14" t="str">
        <f t="shared" si="28"/>
        <v>しのぴ即興ソング</v>
      </c>
      <c r="AD438" s="19" t="str">
        <f>HYPERLINK(_xlfn.XLOOKUP(C438,M_YT_LIVE_TIMESTAMP!AA:AA,M_YT_LIVE_TIMESTAMP!Z:Z,"★",0,-1))</f>
        <v>https://www.youtube.com/live/N0Tp3auhZ54?si=TUAMJQ8TqFkAVZ1r&amp;t=6749s</v>
      </c>
    </row>
    <row r="439" spans="1:30" x14ac:dyDescent="0.4">
      <c r="A439" s="12" t="str">
        <v>ちょっと待ってねの歌</v>
      </c>
      <c r="B439" s="12" t="str">
        <v>幽音しの(即興)</v>
      </c>
      <c r="C439" s="12" t="str">
        <f t="shared" si="26"/>
        <v>幽音しの(即興)ちょっと待ってねの歌</v>
      </c>
      <c r="AA439" s="14" t="str">
        <f t="shared" si="27"/>
        <v>幽音しの(即興)</v>
      </c>
      <c r="AB439" s="14" t="str">
        <f>_xlfn.XLOOKUP(AA439,M_ARTIST!A:A,M_ARTIST!B:B,"★★★",0,1)</f>
        <v>かすかねしの(そっきょう)</v>
      </c>
      <c r="AC439" s="14" t="str">
        <f t="shared" si="28"/>
        <v>ちょっと待ってねの歌</v>
      </c>
      <c r="AD439" s="19" t="str">
        <f>HYPERLINK(_xlfn.XLOOKUP(C439,M_YT_LIVE_TIMESTAMP!AA:AA,M_YT_LIVE_TIMESTAMP!Z:Z,"★",0,-1))</f>
        <v>https://www.youtube.com/live/7l8RLTKBC8E?si=4WR3af3ZrVMWAe9X&amp;t=4419s</v>
      </c>
    </row>
    <row r="440" spans="1:30" x14ac:dyDescent="0.4">
      <c r="A440" s="12" t="str">
        <v>チルになりたい</v>
      </c>
      <c r="B440" s="12" t="str">
        <v>幽音しの(即興)</v>
      </c>
      <c r="C440" s="12" t="str">
        <f t="shared" si="26"/>
        <v>幽音しの(即興)チルになりたい</v>
      </c>
      <c r="AA440" s="14" t="str">
        <f t="shared" si="27"/>
        <v>幽音しの(即興)</v>
      </c>
      <c r="AB440" s="14" t="str">
        <f>_xlfn.XLOOKUP(AA440,M_ARTIST!A:A,M_ARTIST!B:B,"★★★",0,1)</f>
        <v>かすかねしの(そっきょう)</v>
      </c>
      <c r="AC440" s="14" t="str">
        <f t="shared" si="28"/>
        <v>チルになりたい</v>
      </c>
      <c r="AD440" s="19" t="str">
        <f>HYPERLINK(_xlfn.XLOOKUP(C440,M_YT_LIVE_TIMESTAMP!AA:AA,M_YT_LIVE_TIMESTAMP!Z:Z,"★",0,-1))</f>
        <v>https://www.youtube.com/live/Us_EP0LuOUI?si=QKfLbi9NsZLi9sIi&amp;t=5930s</v>
      </c>
    </row>
    <row r="441" spans="1:30" x14ac:dyDescent="0.4">
      <c r="A441" s="12" t="str">
        <v>ねむねむの歌</v>
      </c>
      <c r="B441" s="12" t="str">
        <v>幽音しの(即興)</v>
      </c>
      <c r="C441" s="12" t="str">
        <f t="shared" si="26"/>
        <v>幽音しの(即興)ねむねむの歌</v>
      </c>
      <c r="AA441" s="14" t="str">
        <f t="shared" si="27"/>
        <v>幽音しの(即興)</v>
      </c>
      <c r="AB441" s="14" t="str">
        <f>_xlfn.XLOOKUP(AA441,M_ARTIST!A:A,M_ARTIST!B:B,"★★★",0,1)</f>
        <v>かすかねしの(そっきょう)</v>
      </c>
      <c r="AC441" s="14" t="str">
        <f t="shared" si="28"/>
        <v>ねむねむの歌</v>
      </c>
      <c r="AD441" s="19" t="str">
        <f>HYPERLINK(_xlfn.XLOOKUP(C441,M_YT_LIVE_TIMESTAMP!AA:AA,M_YT_LIVE_TIMESTAMP!Z:Z,"★",0,-1))</f>
        <v>https://www.youtube.com/live/7l8RLTKBC8E?si=4WR3af3ZrVMWAe9X&amp;t=4208s</v>
      </c>
    </row>
    <row r="442" spans="1:30" x14ac:dyDescent="0.4">
      <c r="A442" s="12" t="str">
        <v>やめるやめる詐欺</v>
      </c>
      <c r="B442" s="12" t="str">
        <v>幽音しの(即興)</v>
      </c>
      <c r="C442" s="12" t="str">
        <f t="shared" si="26"/>
        <v>幽音しの(即興)やめるやめる詐欺</v>
      </c>
      <c r="AA442" s="14" t="str">
        <f t="shared" si="27"/>
        <v>幽音しの(即興)</v>
      </c>
      <c r="AB442" s="14" t="str">
        <f>_xlfn.XLOOKUP(AA442,M_ARTIST!A:A,M_ARTIST!B:B,"★★★",0,1)</f>
        <v>かすかねしの(そっきょう)</v>
      </c>
      <c r="AC442" s="14" t="str">
        <f t="shared" si="28"/>
        <v>やめるやめる詐欺</v>
      </c>
      <c r="AD442" s="19" t="str">
        <f>HYPERLINK(_xlfn.XLOOKUP(C442,M_YT_LIVE_TIMESTAMP!AA:AA,M_YT_LIVE_TIMESTAMP!Z:Z,"★",0,-1))</f>
        <v>https://www.youtube.com/live/BIOCmyo4mQU?si=mUE7u0kM5d94T-4A&amp;t=3663s</v>
      </c>
    </row>
    <row r="443" spans="1:30" x14ac:dyDescent="0.4">
      <c r="A443" s="12" t="str">
        <v>ワロタ＆明日の宣伝の歌</v>
      </c>
      <c r="B443" s="12" t="str">
        <v>幽音しの(即興)</v>
      </c>
      <c r="C443" s="12" t="str">
        <f t="shared" si="26"/>
        <v>幽音しの(即興)ワロタ＆明日の宣伝の歌</v>
      </c>
      <c r="AA443" s="14" t="str">
        <f t="shared" si="27"/>
        <v>幽音しの(即興)</v>
      </c>
      <c r="AB443" s="14" t="str">
        <f>_xlfn.XLOOKUP(AA443,M_ARTIST!A:A,M_ARTIST!B:B,"★★★",0,1)</f>
        <v>かすかねしの(そっきょう)</v>
      </c>
      <c r="AC443" s="14" t="str">
        <f t="shared" si="28"/>
        <v>ワロタ＆明日の宣伝の歌</v>
      </c>
      <c r="AD443" s="19" t="str">
        <f>HYPERLINK(_xlfn.XLOOKUP(C443,M_YT_LIVE_TIMESTAMP!AA:AA,M_YT_LIVE_TIMESTAMP!Z:Z,"★",0,-1))</f>
        <v>https://www.youtube.com/live/Us_EP0LuOUI?si=QKfLbi9NsZLi9sIi&amp;t=6908s</v>
      </c>
    </row>
    <row r="444" spans="1:30" x14ac:dyDescent="0.4">
      <c r="A444" s="12" t="str">
        <v>鼓膜の歌</v>
      </c>
      <c r="B444" s="12" t="str">
        <v>幽音しの(即興)</v>
      </c>
      <c r="C444" s="12" t="str">
        <f t="shared" si="26"/>
        <v>幽音しの(即興)鼓膜の歌</v>
      </c>
      <c r="AA444" s="14" t="str">
        <f t="shared" si="27"/>
        <v>幽音しの(即興)</v>
      </c>
      <c r="AB444" s="14" t="str">
        <f>_xlfn.XLOOKUP(AA444,M_ARTIST!A:A,M_ARTIST!B:B,"★★★",0,1)</f>
        <v>かすかねしの(そっきょう)</v>
      </c>
      <c r="AC444" s="14" t="str">
        <f t="shared" si="28"/>
        <v>鼓膜の歌</v>
      </c>
      <c r="AD444" s="19" t="str">
        <f>HYPERLINK(_xlfn.XLOOKUP(C444,M_YT_LIVE_TIMESTAMP!AA:AA,M_YT_LIVE_TIMESTAMP!Z:Z,"★",0,-1))</f>
        <v>https://www.youtube.com/live/qX9bxWpkH6E?si=OkODsP1XDKgR0qeY&amp;t=2903s</v>
      </c>
    </row>
    <row r="445" spans="1:30" x14ac:dyDescent="0.4">
      <c r="A445" s="12" t="str">
        <v>今食べたいもの</v>
      </c>
      <c r="B445" s="12" t="str">
        <v>幽音しの(即興)</v>
      </c>
      <c r="C445" s="12" t="str">
        <f t="shared" si="26"/>
        <v>幽音しの(即興)今食べたいもの</v>
      </c>
      <c r="AA445" s="14" t="str">
        <f t="shared" si="27"/>
        <v>幽音しの(即興)</v>
      </c>
      <c r="AB445" s="14" t="str">
        <f>_xlfn.XLOOKUP(AA445,M_ARTIST!A:A,M_ARTIST!B:B,"★★★",0,1)</f>
        <v>かすかねしの(そっきょう)</v>
      </c>
      <c r="AC445" s="14" t="str">
        <f t="shared" si="28"/>
        <v>今食べたいもの</v>
      </c>
      <c r="AD445" s="19" t="str">
        <f>HYPERLINK(_xlfn.XLOOKUP(C445,M_YT_LIVE_TIMESTAMP!AA:AA,M_YT_LIVE_TIMESTAMP!Z:Z,"★",0,-1))</f>
        <v>https://www.youtube.com/live/T2z_BAhLZz0?si=FZhoxASjxucX4Rxr&amp;t=4621s</v>
      </c>
    </row>
    <row r="446" spans="1:30" x14ac:dyDescent="0.4">
      <c r="A446" s="12" t="str">
        <v>初配信兼入浴の歌</v>
      </c>
      <c r="B446" s="12" t="str">
        <v>幽音しの(即興)</v>
      </c>
      <c r="C446" s="12" t="str">
        <f t="shared" si="26"/>
        <v>幽音しの(即興)初配信兼入浴の歌</v>
      </c>
      <c r="AA446" s="14" t="str">
        <f t="shared" si="27"/>
        <v>幽音しの(即興)</v>
      </c>
      <c r="AB446" s="14" t="str">
        <f>_xlfn.XLOOKUP(AA446,M_ARTIST!A:A,M_ARTIST!B:B,"★★★",0,1)</f>
        <v>かすかねしの(そっきょう)</v>
      </c>
      <c r="AC446" s="14" t="str">
        <f t="shared" si="28"/>
        <v>初配信兼入浴の歌</v>
      </c>
      <c r="AD446" s="19" t="str">
        <f>HYPERLINK(_xlfn.XLOOKUP(C446,M_YT_LIVE_TIMESTAMP!AA:AA,M_YT_LIVE_TIMESTAMP!Z:Z,"★",0,-1))</f>
        <v>https://www.youtube.com/live/rPoEadXC5ck?si=PyjsfpuwHgwH2fjV&amp;t=1605s</v>
      </c>
    </row>
    <row r="447" spans="1:30" x14ac:dyDescent="0.4">
      <c r="A447" s="12" t="str">
        <v>即興ソング</v>
      </c>
      <c r="B447" s="12" t="str">
        <v>幽音しの(即興)</v>
      </c>
      <c r="C447" s="12" t="str">
        <f t="shared" si="26"/>
        <v>幽音しの(即興)即興ソング</v>
      </c>
      <c r="AA447" s="14" t="str">
        <f t="shared" si="27"/>
        <v>幽音しの(即興)</v>
      </c>
      <c r="AB447" s="14" t="str">
        <f>_xlfn.XLOOKUP(AA447,M_ARTIST!A:A,M_ARTIST!B:B,"★★★",0,1)</f>
        <v>かすかねしの(そっきょう)</v>
      </c>
      <c r="AC447" s="14" t="str">
        <f t="shared" si="28"/>
        <v>即興ソング</v>
      </c>
      <c r="AD447" s="19" t="str">
        <f>HYPERLINK(_xlfn.XLOOKUP(C447,M_YT_LIVE_TIMESTAMP!AA:AA,M_YT_LIVE_TIMESTAMP!Z:Z,"★",0,-1))</f>
        <v>https://www.youtube.com/live/gPoOwdHJsS0?si=m0w1THhhEjbjOfbt&amp;t=9708s</v>
      </c>
    </row>
    <row r="448" spans="1:30" x14ac:dyDescent="0.4">
      <c r="A448" s="12" t="str">
        <v>多分チル2の歌</v>
      </c>
      <c r="B448" s="12" t="str">
        <v>幽音しの(即興)</v>
      </c>
      <c r="C448" s="12" t="str">
        <f t="shared" si="26"/>
        <v>幽音しの(即興)多分チル2の歌</v>
      </c>
      <c r="AA448" s="14" t="str">
        <f t="shared" si="27"/>
        <v>幽音しの(即興)</v>
      </c>
      <c r="AB448" s="14" t="str">
        <f>_xlfn.XLOOKUP(AA448,M_ARTIST!A:A,M_ARTIST!B:B,"★★★",0,1)</f>
        <v>かすかねしの(そっきょう)</v>
      </c>
      <c r="AC448" s="14" t="str">
        <f t="shared" si="28"/>
        <v>多分チル2の歌</v>
      </c>
      <c r="AD448" s="19" t="str">
        <f>HYPERLINK(_xlfn.XLOOKUP(C448,M_YT_LIVE_TIMESTAMP!AA:AA,M_YT_LIVE_TIMESTAMP!Z:Z,"★",0,-1))</f>
        <v>https://www.youtube.com/live/wEZHgaS4eCg?si=_Rpt2MlexrsFC7dZ&amp;t=5795s</v>
      </c>
    </row>
    <row r="449" spans="1:30" x14ac:dyDescent="0.4">
      <c r="A449" s="12" t="str">
        <v>忘れろの歌</v>
      </c>
      <c r="B449" s="12" t="str">
        <v>幽音しの(即興)</v>
      </c>
      <c r="C449" s="12" t="str">
        <f t="shared" si="26"/>
        <v>幽音しの(即興)忘れろの歌</v>
      </c>
      <c r="AA449" s="14" t="str">
        <f t="shared" si="27"/>
        <v>幽音しの(即興)</v>
      </c>
      <c r="AB449" s="14" t="str">
        <f>_xlfn.XLOOKUP(AA449,M_ARTIST!A:A,M_ARTIST!B:B,"★★★",0,1)</f>
        <v>かすかねしの(そっきょう)</v>
      </c>
      <c r="AC449" s="14" t="str">
        <f t="shared" si="28"/>
        <v>忘れろの歌</v>
      </c>
      <c r="AD449" s="19" t="str">
        <f>HYPERLINK(_xlfn.XLOOKUP(C449,M_YT_LIVE_TIMESTAMP!AA:AA,M_YT_LIVE_TIMESTAMP!Z:Z,"★",0,-1))</f>
        <v>https://www.youtube.com/live/lrLQ6akH23w?si=aC5HLJK6UZYwu-Yn&amp;t=6040s</v>
      </c>
    </row>
    <row r="450" spans="1:30" x14ac:dyDescent="0.4">
      <c r="A450" s="12" t="str">
        <v>quiet room</v>
      </c>
      <c r="B450" s="12" t="str">
        <v>有機酸(神山羊) feat.初音ミク</v>
      </c>
      <c r="C450" s="12" t="str">
        <f t="shared" si="26"/>
        <v>有機酸(神山羊) feat.初音ミクquiet room</v>
      </c>
      <c r="AA450" s="14" t="str">
        <f t="shared" si="27"/>
        <v>有機酸(神山羊) feat.初音ミク</v>
      </c>
      <c r="AB450" s="14" t="str">
        <f>_xlfn.XLOOKUP(AA450,M_ARTIST!A:A,M_ARTIST!B:B,"★★★",0,1)</f>
        <v>ゆうきさん(かみやまよう) feat.はつねみく</v>
      </c>
      <c r="AC450" s="14" t="str">
        <f t="shared" si="28"/>
        <v>quiet room</v>
      </c>
      <c r="AD450" s="19" t="str">
        <f>HYPERLINK(_xlfn.XLOOKUP(C450,M_YT_LIVE_TIMESTAMP!AA:AA,M_YT_LIVE_TIMESTAMP!Z:Z,"★",0,-1))</f>
        <v>https://www.youtube.com/live/B1g4NIZAKqo?si=v8CWAz6GBo-vVIKK&amp;t=4075s</v>
      </c>
    </row>
    <row r="451" spans="1:30" x14ac:dyDescent="0.4">
      <c r="A451" s="12" t="str">
        <v>カトラリー</v>
      </c>
      <c r="B451" s="12" t="str">
        <v>有機酸(神山羊) feat.初音ミク</v>
      </c>
      <c r="C451" s="12" t="str">
        <f t="shared" si="26"/>
        <v>有機酸(神山羊) feat.初音ミクカトラリー</v>
      </c>
      <c r="AA451" s="14" t="str">
        <f t="shared" si="27"/>
        <v>有機酸(神山羊) feat.初音ミク</v>
      </c>
      <c r="AB451" s="14" t="str">
        <f>_xlfn.XLOOKUP(AA451,M_ARTIST!A:A,M_ARTIST!B:B,"★★★",0,1)</f>
        <v>ゆうきさん(かみやまよう) feat.はつねみく</v>
      </c>
      <c r="AC451" s="14" t="str">
        <f t="shared" si="28"/>
        <v>カトラリー</v>
      </c>
      <c r="AD451" s="19" t="str">
        <f>HYPERLINK(_xlfn.XLOOKUP(C451,M_YT_LIVE_TIMESTAMP!AA:AA,M_YT_LIVE_TIMESTAMP!Z:Z,"★",0,-1))</f>
        <v>https://www.youtube.com/live/i7euCqiwzl4?si=Gvd-dBAI4nZ9HDpv&amp;t=3068s</v>
      </c>
    </row>
    <row r="452" spans="1:30" x14ac:dyDescent="0.4">
      <c r="A452" s="12" t="str">
        <v>1999</v>
      </c>
      <c r="B452" s="12" t="str">
        <v>羊文学</v>
      </c>
      <c r="C452" s="12" t="str">
        <f t="shared" si="26"/>
        <v>羊文学1999</v>
      </c>
      <c r="AA452" s="14" t="str">
        <f t="shared" si="27"/>
        <v>羊文学</v>
      </c>
      <c r="AB452" s="14" t="str">
        <f>_xlfn.XLOOKUP(AA452,M_ARTIST!A:A,M_ARTIST!B:B,"★★★",0,1)</f>
        <v>ひつじぶんがく</v>
      </c>
      <c r="AC452" s="14" t="str">
        <f t="shared" si="28"/>
        <v>1999</v>
      </c>
      <c r="AD452" s="19" t="str">
        <f>HYPERLINK(_xlfn.XLOOKUP(C452,M_YT_LIVE_TIMESTAMP!AA:AA,M_YT_LIVE_TIMESTAMP!Z:Z,"★",0,-1))</f>
        <v>https://www.youtube.com/live/rowkHJneOgY?si=dzvDO_qNHD4fLHMQ&amp;t=4791s</v>
      </c>
    </row>
    <row r="453" spans="1:30" x14ac:dyDescent="0.4">
      <c r="A453" s="12" t="str">
        <v>Feel</v>
      </c>
      <c r="B453" s="12" t="str">
        <v>羊文学</v>
      </c>
      <c r="C453" s="12" t="str">
        <f t="shared" si="26"/>
        <v>羊文学Feel</v>
      </c>
      <c r="AA453" s="14" t="str">
        <f t="shared" si="27"/>
        <v>羊文学</v>
      </c>
      <c r="AB453" s="14" t="str">
        <f>_xlfn.XLOOKUP(AA453,M_ARTIST!A:A,M_ARTIST!B:B,"★★★",0,1)</f>
        <v>ひつじぶんがく</v>
      </c>
      <c r="AC453" s="14" t="str">
        <f t="shared" si="28"/>
        <v>Feel</v>
      </c>
      <c r="AD453" s="19" t="str">
        <f>HYPERLINK(_xlfn.XLOOKUP(C453,M_YT_LIVE_TIMESTAMP!AA:AA,M_YT_LIVE_TIMESTAMP!Z:Z,"★",0,-1))</f>
        <v>https://www.youtube.com/live/b0qPGU0sZn4?si=C5mabzVl6bhK7mp0&amp;t=1911s</v>
      </c>
    </row>
    <row r="454" spans="1:30" x14ac:dyDescent="0.4">
      <c r="A454" s="12" t="str">
        <v>Feel(1chorus)</v>
      </c>
      <c r="B454" s="12" t="str">
        <v>羊文学</v>
      </c>
      <c r="C454" s="12" t="str">
        <f t="shared" si="26"/>
        <v>羊文学Feel(1chorus)</v>
      </c>
      <c r="AA454" s="14" t="str">
        <f t="shared" si="27"/>
        <v>羊文学</v>
      </c>
      <c r="AB454" s="14" t="str">
        <f>_xlfn.XLOOKUP(AA454,M_ARTIST!A:A,M_ARTIST!B:B,"★★★",0,1)</f>
        <v>ひつじぶんがく</v>
      </c>
      <c r="AC454" s="14" t="str">
        <f t="shared" si="28"/>
        <v>Feel(1chorus)</v>
      </c>
      <c r="AD454" s="19" t="str">
        <f>HYPERLINK(_xlfn.XLOOKUP(C454,M_YT_LIVE_TIMESTAMP!AA:AA,M_YT_LIVE_TIMESTAMP!Z:Z,"★",0,-1))</f>
        <v>https://www.youtube.com/live/Dm-WC5w7K8Y?si=Pph-3uJ8wVrF5vc0&amp;t=4956s</v>
      </c>
    </row>
    <row r="455" spans="1:30" x14ac:dyDescent="0.4">
      <c r="A455" s="12" t="str">
        <v>more than words</v>
      </c>
      <c r="B455" s="12" t="str">
        <v>羊文学</v>
      </c>
      <c r="C455" s="12" t="str">
        <f t="shared" si="26"/>
        <v>羊文学more than words</v>
      </c>
      <c r="AA455" s="14" t="str">
        <f t="shared" si="27"/>
        <v>羊文学</v>
      </c>
      <c r="AB455" s="14" t="str">
        <f>_xlfn.XLOOKUP(AA455,M_ARTIST!A:A,M_ARTIST!B:B,"★★★",0,1)</f>
        <v>ひつじぶんがく</v>
      </c>
      <c r="AC455" s="14" t="str">
        <f t="shared" si="28"/>
        <v>more than words</v>
      </c>
      <c r="AD455" s="19" t="str">
        <f>HYPERLINK(_xlfn.XLOOKUP(C455,M_YT_LIVE_TIMESTAMP!AA:AA,M_YT_LIVE_TIMESTAMP!Z:Z,"★",0,-1))</f>
        <v>https://www.youtube.com/live/b0qPGU0sZn4?si=C5mabzVl6bhK7mp0&amp;t=2945s</v>
      </c>
    </row>
    <row r="456" spans="1:30" x14ac:dyDescent="0.4">
      <c r="A456" s="12" t="str">
        <v>あいまいでいいよ</v>
      </c>
      <c r="B456" s="12" t="str">
        <v>羊文学</v>
      </c>
      <c r="C456" s="12" t="str">
        <f t="shared" si="26"/>
        <v>羊文学あいまいでいいよ</v>
      </c>
      <c r="AA456" s="14" t="str">
        <f t="shared" si="27"/>
        <v>羊文学</v>
      </c>
      <c r="AB456" s="14" t="str">
        <f>_xlfn.XLOOKUP(AA456,M_ARTIST!A:A,M_ARTIST!B:B,"★★★",0,1)</f>
        <v>ひつじぶんがく</v>
      </c>
      <c r="AC456" s="14" t="str">
        <f t="shared" si="28"/>
        <v>あいまいでいいよ</v>
      </c>
      <c r="AD456" s="19" t="str">
        <f>HYPERLINK(_xlfn.XLOOKUP(C456,M_YT_LIVE_TIMESTAMP!AA:AA,M_YT_LIVE_TIMESTAMP!Z:Z,"★",0,-1))</f>
        <v>https://www.youtube.com/live/Et9I5uqKaRQ?si=4uq-2UkGh47LMNTa&amp;t=2951s</v>
      </c>
    </row>
    <row r="457" spans="1:30" x14ac:dyDescent="0.4">
      <c r="A457" s="12" t="str">
        <v>永遠のブルー</v>
      </c>
      <c r="B457" s="12" t="str">
        <v>羊文学</v>
      </c>
      <c r="C457" s="12" t="str">
        <f t="shared" si="26"/>
        <v>羊文学永遠のブルー</v>
      </c>
      <c r="AA457" s="14" t="str">
        <f t="shared" si="27"/>
        <v>羊文学</v>
      </c>
      <c r="AB457" s="14" t="str">
        <f>_xlfn.XLOOKUP(AA457,M_ARTIST!A:A,M_ARTIST!B:B,"★★★",0,1)</f>
        <v>ひつじぶんがく</v>
      </c>
      <c r="AC457" s="14" t="str">
        <f t="shared" si="28"/>
        <v>永遠のブルー</v>
      </c>
      <c r="AD457" s="19" t="str">
        <f>HYPERLINK(_xlfn.XLOOKUP(C457,M_YT_LIVE_TIMESTAMP!AA:AA,M_YT_LIVE_TIMESTAMP!Z:Z,"★",0,-1))</f>
        <v>https://www.youtube.com/live/b0qPGU0sZn4?si=C5mabzVl6bhK7mp0&amp;t=2634s</v>
      </c>
    </row>
    <row r="458" spans="1:30" x14ac:dyDescent="0.4">
      <c r="A458" s="12" t="str">
        <v>光るとき</v>
      </c>
      <c r="B458" s="12" t="str">
        <v>羊文学</v>
      </c>
      <c r="C458" s="12" t="str">
        <f t="shared" si="26"/>
        <v>羊文学光るとき</v>
      </c>
      <c r="AA458" s="14" t="str">
        <f t="shared" si="27"/>
        <v>羊文学</v>
      </c>
      <c r="AB458" s="14" t="str">
        <f>_xlfn.XLOOKUP(AA458,M_ARTIST!A:A,M_ARTIST!B:B,"★★★",0,1)</f>
        <v>ひつじぶんがく</v>
      </c>
      <c r="AC458" s="14" t="str">
        <f t="shared" si="28"/>
        <v>光るとき</v>
      </c>
      <c r="AD458" s="19" t="str">
        <f>HYPERLINK(_xlfn.XLOOKUP(C458,M_YT_LIVE_TIMESTAMP!AA:AA,M_YT_LIVE_TIMESTAMP!Z:Z,"★",0,-1))</f>
        <v>https://www.youtube.com/live/Et9I5uqKaRQ?si=4uq-2UkGh47LMNTa&amp;t=3930s</v>
      </c>
    </row>
    <row r="459" spans="1:30" x14ac:dyDescent="0.4">
      <c r="A459" s="12" t="str">
        <v>恋なんて</v>
      </c>
      <c r="B459" s="12" t="str">
        <v>羊文学</v>
      </c>
      <c r="C459" s="12" t="str">
        <f t="shared" si="26"/>
        <v>羊文学恋なんて</v>
      </c>
      <c r="AA459" s="14" t="str">
        <f t="shared" si="27"/>
        <v>羊文学</v>
      </c>
      <c r="AB459" s="14" t="str">
        <f>_xlfn.XLOOKUP(AA459,M_ARTIST!A:A,M_ARTIST!B:B,"★★★",0,1)</f>
        <v>ひつじぶんがく</v>
      </c>
      <c r="AC459" s="14" t="str">
        <f t="shared" si="28"/>
        <v>恋なんて</v>
      </c>
      <c r="AD459" s="19" t="str">
        <f>HYPERLINK(_xlfn.XLOOKUP(C459,M_YT_LIVE_TIMESTAMP!AA:AA,M_YT_LIVE_TIMESTAMP!Z:Z,"★",0,-1))</f>
        <v>https://www.youtube.com/live/b0qPGU0sZn4?si=C5mabzVl6bhK7mp0&amp;t=2262s</v>
      </c>
    </row>
    <row r="460" spans="1:30" x14ac:dyDescent="0.4">
      <c r="A460" s="12" t="str">
        <v>Love so sweet</v>
      </c>
      <c r="B460" s="12" t="str">
        <v>嵐</v>
      </c>
      <c r="C460" s="12" t="str">
        <f t="shared" si="26"/>
        <v>嵐Love so sweet</v>
      </c>
      <c r="AA460" s="14" t="str">
        <f t="shared" si="27"/>
        <v>嵐</v>
      </c>
      <c r="AB460" s="14" t="str">
        <f>_xlfn.XLOOKUP(AA460,M_ARTIST!A:A,M_ARTIST!B:B,"★★★",0,1)</f>
        <v>あらし</v>
      </c>
      <c r="AC460" s="14" t="str">
        <f t="shared" si="28"/>
        <v>Love so sweet</v>
      </c>
      <c r="AD460" s="19" t="str">
        <f>HYPERLINK(_xlfn.XLOOKUP(C460,M_YT_LIVE_TIMESTAMP!AA:AA,M_YT_LIVE_TIMESTAMP!Z:Z,"★",0,-1))</f>
        <v>https://www.youtube.com/live/Yti72SsHzxs?si=qlI2gfa0I0wWYoH4&amp;t=4966s</v>
      </c>
    </row>
    <row r="461" spans="1:30" x14ac:dyDescent="0.4">
      <c r="A461" s="12" t="str">
        <v>Monster</v>
      </c>
      <c r="B461" s="12" t="str">
        <v>嵐</v>
      </c>
      <c r="C461" s="12" t="str">
        <f t="shared" si="26"/>
        <v>嵐Monster</v>
      </c>
      <c r="AA461" s="14" t="str">
        <f t="shared" si="27"/>
        <v>嵐</v>
      </c>
      <c r="AB461" s="14" t="str">
        <f>_xlfn.XLOOKUP(AA461,M_ARTIST!A:A,M_ARTIST!B:B,"★★★",0,1)</f>
        <v>あらし</v>
      </c>
      <c r="AC461" s="14" t="str">
        <f t="shared" si="28"/>
        <v>Monster</v>
      </c>
      <c r="AD461" s="19" t="str">
        <f>HYPERLINK(_xlfn.XLOOKUP(C461,M_YT_LIVE_TIMESTAMP!AA:AA,M_YT_LIVE_TIMESTAMP!Z:Z,"★",0,-1))</f>
        <v>https://www.youtube.com/live/Yti72SsHzxs?si=qlI2gfa0I0wWYoH4&amp;t=3995s</v>
      </c>
    </row>
    <row r="462" spans="1:30" x14ac:dyDescent="0.4">
      <c r="A462" s="12" t="str">
        <v>Troublemaker</v>
      </c>
      <c r="B462" s="12" t="str">
        <v>嵐</v>
      </c>
      <c r="C462" s="12" t="str">
        <f t="shared" si="26"/>
        <v>嵐Troublemaker</v>
      </c>
      <c r="AA462" s="14" t="str">
        <f t="shared" si="27"/>
        <v>嵐</v>
      </c>
      <c r="AB462" s="14" t="str">
        <f>_xlfn.XLOOKUP(AA462,M_ARTIST!A:A,M_ARTIST!B:B,"★★★",0,1)</f>
        <v>あらし</v>
      </c>
      <c r="AC462" s="14" t="str">
        <f t="shared" si="28"/>
        <v>Troublemaker</v>
      </c>
      <c r="AD462" s="19" t="str">
        <f>HYPERLINK(_xlfn.XLOOKUP(C462,M_YT_LIVE_TIMESTAMP!AA:AA,M_YT_LIVE_TIMESTAMP!Z:Z,"★",0,-1))</f>
        <v>https://www.youtube.com/live/orkAkFl798M?si=7tK-YB5J1dGoAFWq&amp;t=3456s</v>
      </c>
    </row>
    <row r="463" spans="1:30" x14ac:dyDescent="0.4">
      <c r="A463" s="12" t="str">
        <v>truth</v>
      </c>
      <c r="B463" s="12" t="str">
        <v>嵐</v>
      </c>
      <c r="C463" s="12" t="str">
        <f t="shared" si="26"/>
        <v>嵐truth</v>
      </c>
      <c r="AA463" s="14" t="str">
        <f t="shared" si="27"/>
        <v>嵐</v>
      </c>
      <c r="AB463" s="14" t="str">
        <f>_xlfn.XLOOKUP(AA463,M_ARTIST!A:A,M_ARTIST!B:B,"★★★",0,1)</f>
        <v>あらし</v>
      </c>
      <c r="AC463" s="14" t="str">
        <f t="shared" si="28"/>
        <v>truth</v>
      </c>
      <c r="AD463" s="19" t="str">
        <f>HYPERLINK(_xlfn.XLOOKUP(C463,M_YT_LIVE_TIMESTAMP!AA:AA,M_YT_LIVE_TIMESTAMP!Z:Z,"★",0,-1))</f>
        <v>https://www.youtube.com/live/Yti72SsHzxs?si=qlI2gfa0I0wWYoH4&amp;t=4366s</v>
      </c>
    </row>
    <row r="464" spans="1:30" x14ac:dyDescent="0.4">
      <c r="A464" s="12" t="str">
        <v>サクラ咲ケ</v>
      </c>
      <c r="B464" s="12" t="str">
        <v>嵐</v>
      </c>
      <c r="C464" s="12" t="str">
        <f t="shared" si="26"/>
        <v>嵐サクラ咲ケ</v>
      </c>
      <c r="AA464" s="14" t="str">
        <f t="shared" si="27"/>
        <v>嵐</v>
      </c>
      <c r="AB464" s="14" t="str">
        <f>_xlfn.XLOOKUP(AA464,M_ARTIST!A:A,M_ARTIST!B:B,"★★★",0,1)</f>
        <v>あらし</v>
      </c>
      <c r="AC464" s="14" t="str">
        <f t="shared" si="28"/>
        <v>サクラ咲ケ</v>
      </c>
      <c r="AD464" s="19" t="str">
        <f>HYPERLINK(_xlfn.XLOOKUP(C464,M_YT_LIVE_TIMESTAMP!AA:AA,M_YT_LIVE_TIMESTAMP!Z:Z,"★",0,-1))</f>
        <v>https://www.youtube.com/live/Yti72SsHzxs?si=qlI2gfa0I0wWYoH4&amp;t=3686s</v>
      </c>
    </row>
    <row r="465" spans="1:30" x14ac:dyDescent="0.4">
      <c r="A465" s="12" t="str">
        <v>ラピスラズリ</v>
      </c>
      <c r="B465" s="12" t="str">
        <v>藍井エイル</v>
      </c>
      <c r="C465" s="12" t="str">
        <f t="shared" si="26"/>
        <v>藍井エイルラピスラズリ</v>
      </c>
      <c r="AA465" s="14" t="str">
        <f t="shared" si="27"/>
        <v>藍井エイル</v>
      </c>
      <c r="AB465" s="14" t="str">
        <f>_xlfn.XLOOKUP(AA465,M_ARTIST!A:A,M_ARTIST!B:B,"★★★",0,1)</f>
        <v>あおいえいる</v>
      </c>
      <c r="AC465" s="14" t="str">
        <f t="shared" si="28"/>
        <v>ラピスラズリ</v>
      </c>
      <c r="AD465" s="19" t="str">
        <f>HYPERLINK(_xlfn.XLOOKUP(C465,M_YT_LIVE_TIMESTAMP!AA:AA,M_YT_LIVE_TIMESTAMP!Z:Z,"★",0,-1))</f>
        <v>https://www.youtube.com/live/JAK2m4FWxF0?si=Xy-B8lpcz7dX_b5n&amp;t=6546s</v>
      </c>
    </row>
    <row r="466" spans="1:30" x14ac:dyDescent="0.4">
      <c r="A466" s="12" t="str">
        <v>ペテン師が笑う頃に</v>
      </c>
      <c r="B466" s="12" t="str">
        <v>梨本P feat.初音ミク</v>
      </c>
      <c r="C466" s="12" t="str">
        <f t="shared" si="26"/>
        <v>梨本P feat.初音ミクペテン師が笑う頃に</v>
      </c>
      <c r="AA466" s="14" t="str">
        <f t="shared" si="27"/>
        <v>梨本P feat.初音ミク</v>
      </c>
      <c r="AB466" s="14" t="str">
        <f>_xlfn.XLOOKUP(AA466,M_ARTIST!A:A,M_ARTIST!B:B,"★★★",0,1)</f>
        <v>なしもとP feat.はつねみく</v>
      </c>
      <c r="AC466" s="14" t="str">
        <f t="shared" si="28"/>
        <v>ペテン師が笑う頃に</v>
      </c>
      <c r="AD466" s="19" t="str">
        <f>HYPERLINK(_xlfn.XLOOKUP(C466,M_YT_LIVE_TIMESTAMP!AA:AA,M_YT_LIVE_TIMESTAMP!Z:Z,"★",0,-1))</f>
        <v>https://www.youtube.com/live/bXG5ottJZas?si=VsjzjU8RreUrJGd3&amp;t=5190s</v>
      </c>
    </row>
    <row r="467" spans="1:30" x14ac:dyDescent="0.4">
      <c r="A467" s="12" t="str">
        <v>心の話</v>
      </c>
      <c r="B467" s="12" t="str">
        <v>涼海ネモ</v>
      </c>
      <c r="C467" s="12" t="str">
        <f t="shared" ref="C467:C530" si="29">TRIM(B467)&amp;TRIM(A467)</f>
        <v>涼海ネモ心の話</v>
      </c>
      <c r="AA467" s="14" t="str">
        <f t="shared" ref="AA467:AA530" si="30">B467</f>
        <v>涼海ネモ</v>
      </c>
      <c r="AB467" s="14" t="str">
        <f>_xlfn.XLOOKUP(AA467,M_ARTIST!A:A,M_ARTIST!B:B,"★★★",0,1)</f>
        <v>すずみねも</v>
      </c>
      <c r="AC467" s="14" t="str">
        <f t="shared" ref="AC467:AC530" si="31">A467</f>
        <v>心の話</v>
      </c>
      <c r="AD467" s="19" t="str">
        <f>HYPERLINK(_xlfn.XLOOKUP(C467,M_YT_LIVE_TIMESTAMP!AA:AA,M_YT_LIVE_TIMESTAMP!Z:Z,"★",0,-1))</f>
        <v>https://www.youtube.com/live/zHPmNlzplRQ?si=hKbKp_wLxXmd13Kq&amp;t=1277s</v>
      </c>
    </row>
    <row r="468" spans="1:30" x14ac:dyDescent="0.4">
      <c r="A468" s="12" t="str">
        <v>God knows…</v>
      </c>
      <c r="B468" s="12" t="str">
        <v>涼宮ハルヒ(CV.平野綾)</v>
      </c>
      <c r="C468" s="12" t="str">
        <f t="shared" si="29"/>
        <v>涼宮ハルヒ(CV.平野綾)God knows…</v>
      </c>
      <c r="AA468" s="14" t="str">
        <f t="shared" si="30"/>
        <v>涼宮ハルヒ(CV.平野綾)</v>
      </c>
      <c r="AB468" s="14" t="str">
        <f>_xlfn.XLOOKUP(AA468,M_ARTIST!A:A,M_ARTIST!B:B,"★★★",0,1)</f>
        <v>すずみやはるひ(CV.ひらのあや)</v>
      </c>
      <c r="AC468" s="14" t="str">
        <f t="shared" si="31"/>
        <v>God knows…</v>
      </c>
      <c r="AD468" s="19" t="str">
        <f>HYPERLINK(_xlfn.XLOOKUP(C468,M_YT_LIVE_TIMESTAMP!AA:AA,M_YT_LIVE_TIMESTAMP!Z:Z,"★",0,-1))</f>
        <v>https://www.youtube.com/live/nyXzxG79mwQ?si=kGuFyOuc0o-yNPOU&amp;t=9418s</v>
      </c>
    </row>
    <row r="469" spans="1:30" x14ac:dyDescent="0.4">
      <c r="A469" s="12" t="str">
        <v>ハレ晴レユカイ(1phrase)</v>
      </c>
      <c r="B469" s="12" t="str">
        <v>涼宮ハルヒ(CV.平野綾)&amp;長門有希(CV.茅原実里)&amp;朝比奈みくる(CV.後藤邑子)</v>
      </c>
      <c r="C469" s="12" t="str">
        <f t="shared" si="29"/>
        <v>涼宮ハルヒ(CV.平野綾)&amp;長門有希(CV.茅原実里)&amp;朝比奈みくる(CV.後藤邑子)ハレ晴レユカイ(1phrase)</v>
      </c>
      <c r="AA469" s="14" t="str">
        <f t="shared" si="30"/>
        <v>涼宮ハルヒ(CV.平野綾)&amp;長門有希(CV.茅原実里)&amp;朝比奈みくる(CV.後藤邑子)</v>
      </c>
      <c r="AB469" s="14" t="str">
        <f>_xlfn.XLOOKUP(AA469,M_ARTIST!A:A,M_ARTIST!B:B,"★★★",0,1)</f>
        <v>すずみやはるひ(CV.ひらのあや)&amp;ながとゆき(CV.ちはらみのり)&amp;あさひなみくる(CV.ごとうゆうこ)</v>
      </c>
      <c r="AC469" s="14" t="str">
        <f t="shared" si="31"/>
        <v>ハレ晴レユカイ(1phrase)</v>
      </c>
      <c r="AD469" s="19" t="str">
        <f>HYPERLINK(_xlfn.XLOOKUP(C469,M_YT_LIVE_TIMESTAMP!AA:AA,M_YT_LIVE_TIMESTAMP!Z:Z,"★",0,-1))</f>
        <v>https://www.youtube.com/live/8yfLYQayxQg?si=O0Q0AXQXC39nd7WJ&amp;t=8467s</v>
      </c>
    </row>
    <row r="470" spans="1:30" x14ac:dyDescent="0.4">
      <c r="A470" s="12" t="str">
        <v>Mela!</v>
      </c>
      <c r="B470" s="12" t="str">
        <v>緑黄色社会</v>
      </c>
      <c r="C470" s="12" t="str">
        <f t="shared" si="29"/>
        <v>緑黄色社会Mela!</v>
      </c>
      <c r="AA470" s="14" t="str">
        <f t="shared" si="30"/>
        <v>緑黄色社会</v>
      </c>
      <c r="AB470" s="14" t="str">
        <f>_xlfn.XLOOKUP(AA470,M_ARTIST!A:A,M_ARTIST!B:B,"★★★",0,1)</f>
        <v>りょくおうしょくしゃかい</v>
      </c>
      <c r="AC470" s="14" t="str">
        <f t="shared" si="31"/>
        <v>Mela!</v>
      </c>
      <c r="AD470" s="19" t="str">
        <f>HYPERLINK(_xlfn.XLOOKUP(C470,M_YT_LIVE_TIMESTAMP!AA:AA,M_YT_LIVE_TIMESTAMP!Z:Z,"★",0,-1))</f>
        <v>https://www.youtube.com/live/bXG5ottJZas?si=VsjzjU8RreUrJGd3&amp;t=1275s</v>
      </c>
    </row>
    <row r="471" spans="1:30" x14ac:dyDescent="0.4">
      <c r="A471" s="12" t="str">
        <v>sabotage</v>
      </c>
      <c r="B471" s="12" t="str">
        <v>緑黄色社会</v>
      </c>
      <c r="C471" s="12" t="str">
        <f t="shared" si="29"/>
        <v>緑黄色社会sabotage</v>
      </c>
      <c r="AA471" s="14" t="str">
        <f t="shared" si="30"/>
        <v>緑黄色社会</v>
      </c>
      <c r="AB471" s="14" t="str">
        <f>_xlfn.XLOOKUP(AA471,M_ARTIST!A:A,M_ARTIST!B:B,"★★★",0,1)</f>
        <v>りょくおうしょくしゃかい</v>
      </c>
      <c r="AC471" s="14" t="str">
        <f t="shared" si="31"/>
        <v>sabotage</v>
      </c>
      <c r="AD471" s="19" t="str">
        <f>HYPERLINK(_xlfn.XLOOKUP(C471,M_YT_LIVE_TIMESTAMP!AA:AA,M_YT_LIVE_TIMESTAMP!Z:Z,"★",0,-1))</f>
        <v>https://www.youtube.com/live/0d6TiZm7xWc?si=rSfrknMqNQFcz5xw&amp;t=2532s</v>
      </c>
    </row>
    <row r="472" spans="1:30" x14ac:dyDescent="0.4">
      <c r="A472" s="12" t="str">
        <v>This game</v>
      </c>
      <c r="B472" s="12" t="str">
        <v>鈴木このみ</v>
      </c>
      <c r="C472" s="12" t="str">
        <f t="shared" si="29"/>
        <v>鈴木このみThis game</v>
      </c>
      <c r="AA472" s="14" t="str">
        <f t="shared" si="30"/>
        <v>鈴木このみ</v>
      </c>
      <c r="AB472" s="14" t="str">
        <f>_xlfn.XLOOKUP(AA472,M_ARTIST!A:A,M_ARTIST!B:B,"★★★",0,1)</f>
        <v>すずきこのみ</v>
      </c>
      <c r="AC472" s="14" t="str">
        <f t="shared" si="31"/>
        <v>This game</v>
      </c>
      <c r="AD472" s="19" t="str">
        <f>HYPERLINK(_xlfn.XLOOKUP(C472,M_YT_LIVE_TIMESTAMP!AA:AA,M_YT_LIVE_TIMESTAMP!Z:Z,"★",0,-1))</f>
        <v>https://www.youtube.com/live/wY3z5W9B8N0?si=FVqBjyoCdmcOKFxz&amp;t=3830s</v>
      </c>
    </row>
    <row r="473" spans="1:30" x14ac:dyDescent="0.4">
      <c r="A473" s="12" t="str">
        <v>Butter-Fly</v>
      </c>
      <c r="B473" s="12" t="str">
        <v>和田光司</v>
      </c>
      <c r="C473" s="12" t="str">
        <f t="shared" si="29"/>
        <v>和田光司Butter-Fly</v>
      </c>
      <c r="AA473" s="14" t="str">
        <f t="shared" si="30"/>
        <v>和田光司</v>
      </c>
      <c r="AB473" s="14" t="str">
        <f>_xlfn.XLOOKUP(AA473,M_ARTIST!A:A,M_ARTIST!B:B,"★★★",0,1)</f>
        <v>わだこうじ</v>
      </c>
      <c r="AC473" s="14" t="str">
        <f t="shared" si="31"/>
        <v>Butter-Fly</v>
      </c>
      <c r="AD473" s="19" t="str">
        <f>HYPERLINK(_xlfn.XLOOKUP(C473,M_YT_LIVE_TIMESTAMP!AA:AA,M_YT_LIVE_TIMESTAMP!Z:Z,"★",0,-1))</f>
        <v>https://www.youtube.com/live/Yti72SsHzxs?si=qlI2gfa0I0wWYoH4&amp;t=3347s</v>
      </c>
    </row>
    <row r="474" spans="1:30" x14ac:dyDescent="0.4">
      <c r="A474" s="12" t="str">
        <v>Butter-Fly(1phrase)</v>
      </c>
      <c r="B474" s="12" t="str">
        <v>和田光司</v>
      </c>
      <c r="C474" s="12" t="str">
        <f t="shared" si="29"/>
        <v>和田光司Butter-Fly(1phrase)</v>
      </c>
      <c r="AA474" s="14" t="str">
        <f t="shared" si="30"/>
        <v>和田光司</v>
      </c>
      <c r="AB474" s="14" t="str">
        <f>_xlfn.XLOOKUP(AA474,M_ARTIST!A:A,M_ARTIST!B:B,"★★★",0,1)</f>
        <v>わだこうじ</v>
      </c>
      <c r="AC474" s="14" t="str">
        <f t="shared" si="31"/>
        <v>Butter-Fly(1phrase)</v>
      </c>
      <c r="AD474" s="19" t="str">
        <f>HYPERLINK(_xlfn.XLOOKUP(C474,M_YT_LIVE_TIMESTAMP!AA:AA,M_YT_LIVE_TIMESTAMP!Z:Z,"★",0,-1))</f>
        <v>https://www.youtube.com/live/8yfLYQayxQg?si=O0Q0AXQXC39nd7WJ&amp;t=7822s</v>
      </c>
    </row>
    <row r="475" spans="1:30" x14ac:dyDescent="0.4">
      <c r="A475" s="12" t="str">
        <v>Sincerely</v>
      </c>
      <c r="B475" s="12" t="b">
        <v>1</v>
      </c>
      <c r="C475" s="12" t="str">
        <f t="shared" si="29"/>
        <v>TRUESincerely</v>
      </c>
      <c r="AA475" s="14" t="b">
        <f t="shared" si="30"/>
        <v>1</v>
      </c>
      <c r="AB475" s="14" t="b">
        <f>_xlfn.XLOOKUP(AA475,M_ARTIST!A:A,M_ARTIST!B:B,"★★★",0,1)</f>
        <v>1</v>
      </c>
      <c r="AC475" s="14" t="str">
        <f t="shared" si="31"/>
        <v>Sincerely</v>
      </c>
      <c r="AD475" s="19" t="str">
        <f>HYPERLINK(_xlfn.XLOOKUP(C475,M_YT_LIVE_TIMESTAMP!AA:AA,M_YT_LIVE_TIMESTAMP!Z:Z,"★",0,-1))</f>
        <v>https://www.youtube.com/live/r7Bwk1jHwnc?si=YSwS6uQI_0X3Y91g&amp;t=5425s</v>
      </c>
    </row>
    <row r="476" spans="1:30" x14ac:dyDescent="0.4">
      <c r="C476" s="12" t="str">
        <f t="shared" si="29"/>
        <v/>
      </c>
      <c r="AA476" s="14">
        <f t="shared" si="30"/>
        <v>0</v>
      </c>
      <c r="AB476" s="14" t="str">
        <f>_xlfn.XLOOKUP(AA476,M_ARTIST!A:A,M_ARTIST!B:B,"★★★",0,1)</f>
        <v>★★★</v>
      </c>
      <c r="AC476" s="14">
        <f t="shared" si="31"/>
        <v>0</v>
      </c>
      <c r="AD476" s="19" t="e">
        <f>HYPERLINK(_xlfn.XLOOKUP(C476,M_YT_LIVE_TIMESTAMP!AA:AA,M_YT_LIVE_TIMESTAMP!Z:Z,"★",0,-1))</f>
        <v>#VALUE!</v>
      </c>
    </row>
    <row r="477" spans="1:30" x14ac:dyDescent="0.4">
      <c r="C477" s="12" t="str">
        <f t="shared" si="29"/>
        <v/>
      </c>
      <c r="AA477" s="14">
        <f t="shared" si="30"/>
        <v>0</v>
      </c>
      <c r="AB477" s="14" t="str">
        <f>_xlfn.XLOOKUP(AA477,M_ARTIST!A:A,M_ARTIST!B:B,"★★★",0,1)</f>
        <v>★★★</v>
      </c>
      <c r="AC477" s="14">
        <f t="shared" si="31"/>
        <v>0</v>
      </c>
      <c r="AD477" s="19" t="e">
        <f>HYPERLINK(_xlfn.XLOOKUP(C477,M_YT_LIVE_TIMESTAMP!AA:AA,M_YT_LIVE_TIMESTAMP!Z:Z,"★",0,-1))</f>
        <v>#VALUE!</v>
      </c>
    </row>
    <row r="478" spans="1:30" x14ac:dyDescent="0.4">
      <c r="C478" s="12" t="str">
        <f t="shared" si="29"/>
        <v/>
      </c>
      <c r="AA478" s="14">
        <f t="shared" si="30"/>
        <v>0</v>
      </c>
      <c r="AB478" s="14" t="str">
        <f>_xlfn.XLOOKUP(AA478,M_ARTIST!A:A,M_ARTIST!B:B,"★★★",0,1)</f>
        <v>★★★</v>
      </c>
      <c r="AC478" s="14">
        <f t="shared" si="31"/>
        <v>0</v>
      </c>
      <c r="AD478" s="19" t="e">
        <f>HYPERLINK(_xlfn.XLOOKUP(C478,M_YT_LIVE_TIMESTAMP!AA:AA,M_YT_LIVE_TIMESTAMP!Z:Z,"★",0,-1))</f>
        <v>#VALUE!</v>
      </c>
    </row>
    <row r="479" spans="1:30" x14ac:dyDescent="0.4">
      <c r="C479" s="12" t="str">
        <f t="shared" si="29"/>
        <v/>
      </c>
      <c r="AA479" s="14">
        <f t="shared" si="30"/>
        <v>0</v>
      </c>
      <c r="AB479" s="14" t="str">
        <f>_xlfn.XLOOKUP(AA479,M_ARTIST!A:A,M_ARTIST!B:B,"★★★",0,1)</f>
        <v>★★★</v>
      </c>
      <c r="AC479" s="14">
        <f t="shared" si="31"/>
        <v>0</v>
      </c>
      <c r="AD479" s="19" t="e">
        <f>HYPERLINK(_xlfn.XLOOKUP(C479,M_YT_LIVE_TIMESTAMP!AA:AA,M_YT_LIVE_TIMESTAMP!Z:Z,"★",0,-1))</f>
        <v>#VALUE!</v>
      </c>
    </row>
    <row r="480" spans="1:30" x14ac:dyDescent="0.4">
      <c r="C480" s="12" t="str">
        <f t="shared" si="29"/>
        <v/>
      </c>
      <c r="AA480" s="14">
        <f t="shared" si="30"/>
        <v>0</v>
      </c>
      <c r="AB480" s="14" t="str">
        <f>_xlfn.XLOOKUP(AA480,M_ARTIST!A:A,M_ARTIST!B:B,"★★★",0,1)</f>
        <v>★★★</v>
      </c>
      <c r="AC480" s="14">
        <f t="shared" si="31"/>
        <v>0</v>
      </c>
      <c r="AD480" s="19" t="e">
        <f>HYPERLINK(_xlfn.XLOOKUP(C480,M_YT_LIVE_TIMESTAMP!AA:AA,M_YT_LIVE_TIMESTAMP!Z:Z,"★",0,-1))</f>
        <v>#VALUE!</v>
      </c>
    </row>
    <row r="481" spans="3:30" x14ac:dyDescent="0.4">
      <c r="C481" s="12" t="str">
        <f t="shared" si="29"/>
        <v/>
      </c>
      <c r="AA481" s="14">
        <f t="shared" si="30"/>
        <v>0</v>
      </c>
      <c r="AB481" s="14" t="str">
        <f>_xlfn.XLOOKUP(AA481,M_ARTIST!A:A,M_ARTIST!B:B,"★★★",0,1)</f>
        <v>★★★</v>
      </c>
      <c r="AC481" s="14">
        <f t="shared" si="31"/>
        <v>0</v>
      </c>
      <c r="AD481" s="19" t="e">
        <f>HYPERLINK(_xlfn.XLOOKUP(C481,M_YT_LIVE_TIMESTAMP!AA:AA,M_YT_LIVE_TIMESTAMP!Z:Z,"★",0,-1))</f>
        <v>#VALUE!</v>
      </c>
    </row>
    <row r="482" spans="3:30" x14ac:dyDescent="0.4">
      <c r="C482" s="12" t="str">
        <f t="shared" si="29"/>
        <v/>
      </c>
      <c r="AA482" s="14">
        <f t="shared" si="30"/>
        <v>0</v>
      </c>
      <c r="AB482" s="14" t="str">
        <f>_xlfn.XLOOKUP(AA482,M_ARTIST!A:A,M_ARTIST!B:B,"★★★",0,1)</f>
        <v>★★★</v>
      </c>
      <c r="AC482" s="14">
        <f t="shared" si="31"/>
        <v>0</v>
      </c>
      <c r="AD482" s="19" t="e">
        <f>HYPERLINK(_xlfn.XLOOKUP(C482,M_YT_LIVE_TIMESTAMP!AA:AA,M_YT_LIVE_TIMESTAMP!Z:Z,"★",0,-1))</f>
        <v>#VALUE!</v>
      </c>
    </row>
    <row r="483" spans="3:30" x14ac:dyDescent="0.4">
      <c r="C483" s="12" t="str">
        <f t="shared" si="29"/>
        <v/>
      </c>
      <c r="AA483" s="14">
        <f t="shared" si="30"/>
        <v>0</v>
      </c>
      <c r="AB483" s="14" t="str">
        <f>_xlfn.XLOOKUP(AA483,M_ARTIST!A:A,M_ARTIST!B:B,"★★★",0,1)</f>
        <v>★★★</v>
      </c>
      <c r="AC483" s="14">
        <f t="shared" si="31"/>
        <v>0</v>
      </c>
      <c r="AD483" s="19" t="e">
        <f>HYPERLINK(_xlfn.XLOOKUP(C483,M_YT_LIVE_TIMESTAMP!AA:AA,M_YT_LIVE_TIMESTAMP!Z:Z,"★",0,-1))</f>
        <v>#VALUE!</v>
      </c>
    </row>
    <row r="484" spans="3:30" x14ac:dyDescent="0.4">
      <c r="C484" s="12" t="str">
        <f t="shared" si="29"/>
        <v/>
      </c>
      <c r="AA484" s="14">
        <f t="shared" si="30"/>
        <v>0</v>
      </c>
      <c r="AB484" s="14" t="str">
        <f>_xlfn.XLOOKUP(AA484,M_ARTIST!A:A,M_ARTIST!B:B,"★★★",0,1)</f>
        <v>★★★</v>
      </c>
      <c r="AC484" s="14">
        <f t="shared" si="31"/>
        <v>0</v>
      </c>
      <c r="AD484" s="19" t="e">
        <f>HYPERLINK(_xlfn.XLOOKUP(C484,M_YT_LIVE_TIMESTAMP!AA:AA,M_YT_LIVE_TIMESTAMP!Z:Z,"★",0,-1))</f>
        <v>#VALUE!</v>
      </c>
    </row>
    <row r="485" spans="3:30" x14ac:dyDescent="0.4">
      <c r="C485" s="12" t="str">
        <f t="shared" si="29"/>
        <v/>
      </c>
      <c r="AA485" s="14">
        <f t="shared" si="30"/>
        <v>0</v>
      </c>
      <c r="AB485" s="14" t="str">
        <f>_xlfn.XLOOKUP(AA485,M_ARTIST!A:A,M_ARTIST!B:B,"★★★",0,1)</f>
        <v>★★★</v>
      </c>
      <c r="AC485" s="14">
        <f t="shared" si="31"/>
        <v>0</v>
      </c>
      <c r="AD485" s="19" t="e">
        <f>HYPERLINK(_xlfn.XLOOKUP(C485,M_YT_LIVE_TIMESTAMP!AA:AA,M_YT_LIVE_TIMESTAMP!Z:Z,"★",0,-1))</f>
        <v>#VALUE!</v>
      </c>
    </row>
    <row r="486" spans="3:30" x14ac:dyDescent="0.4">
      <c r="C486" s="12" t="str">
        <f t="shared" si="29"/>
        <v/>
      </c>
      <c r="AA486" s="14">
        <f t="shared" si="30"/>
        <v>0</v>
      </c>
      <c r="AB486" s="14" t="str">
        <f>_xlfn.XLOOKUP(AA486,M_ARTIST!A:A,M_ARTIST!B:B,"★★★",0,1)</f>
        <v>★★★</v>
      </c>
      <c r="AC486" s="14">
        <f t="shared" si="31"/>
        <v>0</v>
      </c>
      <c r="AD486" s="19" t="e">
        <f>HYPERLINK(_xlfn.XLOOKUP(C486,M_YT_LIVE_TIMESTAMP!AA:AA,M_YT_LIVE_TIMESTAMP!Z:Z,"★",0,-1))</f>
        <v>#VALUE!</v>
      </c>
    </row>
    <row r="487" spans="3:30" x14ac:dyDescent="0.4">
      <c r="C487" s="12" t="str">
        <f t="shared" si="29"/>
        <v/>
      </c>
      <c r="AA487" s="14">
        <f t="shared" si="30"/>
        <v>0</v>
      </c>
      <c r="AB487" s="14" t="str">
        <f>_xlfn.XLOOKUP(AA487,M_ARTIST!A:A,M_ARTIST!B:B,"★★★",0,1)</f>
        <v>★★★</v>
      </c>
      <c r="AC487" s="14">
        <f t="shared" si="31"/>
        <v>0</v>
      </c>
      <c r="AD487" s="19" t="e">
        <f>HYPERLINK(_xlfn.XLOOKUP(C487,M_YT_LIVE_TIMESTAMP!AA:AA,M_YT_LIVE_TIMESTAMP!Z:Z,"★",0,-1))</f>
        <v>#VALUE!</v>
      </c>
    </row>
    <row r="488" spans="3:30" x14ac:dyDescent="0.4">
      <c r="C488" s="12" t="str">
        <f t="shared" si="29"/>
        <v/>
      </c>
      <c r="AA488" s="14">
        <f t="shared" si="30"/>
        <v>0</v>
      </c>
      <c r="AB488" s="14" t="str">
        <f>_xlfn.XLOOKUP(AA488,M_ARTIST!A:A,M_ARTIST!B:B,"★★★",0,1)</f>
        <v>★★★</v>
      </c>
      <c r="AC488" s="14">
        <f t="shared" si="31"/>
        <v>0</v>
      </c>
      <c r="AD488" s="19" t="e">
        <f>HYPERLINK(_xlfn.XLOOKUP(C488,M_YT_LIVE_TIMESTAMP!AA:AA,M_YT_LIVE_TIMESTAMP!Z:Z,"★",0,-1))</f>
        <v>#VALUE!</v>
      </c>
    </row>
    <row r="489" spans="3:30" x14ac:dyDescent="0.4">
      <c r="C489" s="12" t="str">
        <f t="shared" si="29"/>
        <v/>
      </c>
      <c r="AA489" s="14">
        <f t="shared" si="30"/>
        <v>0</v>
      </c>
      <c r="AB489" s="14" t="str">
        <f>_xlfn.XLOOKUP(AA489,M_ARTIST!A:A,M_ARTIST!B:B,"★★★",0,1)</f>
        <v>★★★</v>
      </c>
      <c r="AC489" s="14">
        <f t="shared" si="31"/>
        <v>0</v>
      </c>
      <c r="AD489" s="19" t="e">
        <f>HYPERLINK(_xlfn.XLOOKUP(C489,M_YT_LIVE_TIMESTAMP!AA:AA,M_YT_LIVE_TIMESTAMP!Z:Z,"★",0,-1))</f>
        <v>#VALUE!</v>
      </c>
    </row>
    <row r="490" spans="3:30" x14ac:dyDescent="0.4">
      <c r="C490" s="12" t="str">
        <f t="shared" si="29"/>
        <v/>
      </c>
      <c r="AA490" s="14">
        <f t="shared" si="30"/>
        <v>0</v>
      </c>
      <c r="AB490" s="14" t="str">
        <f>_xlfn.XLOOKUP(AA490,M_ARTIST!A:A,M_ARTIST!B:B,"★★★",0,1)</f>
        <v>★★★</v>
      </c>
      <c r="AC490" s="14">
        <f t="shared" si="31"/>
        <v>0</v>
      </c>
      <c r="AD490" s="19" t="e">
        <f>HYPERLINK(_xlfn.XLOOKUP(C490,M_YT_LIVE_TIMESTAMP!AA:AA,M_YT_LIVE_TIMESTAMP!Z:Z,"★",0,-1))</f>
        <v>#VALUE!</v>
      </c>
    </row>
    <row r="491" spans="3:30" x14ac:dyDescent="0.4">
      <c r="C491" s="12" t="str">
        <f t="shared" si="29"/>
        <v/>
      </c>
      <c r="AA491" s="14">
        <f t="shared" si="30"/>
        <v>0</v>
      </c>
      <c r="AB491" s="14" t="str">
        <f>_xlfn.XLOOKUP(AA491,M_ARTIST!A:A,M_ARTIST!B:B,"★★★",0,1)</f>
        <v>★★★</v>
      </c>
      <c r="AC491" s="14">
        <f t="shared" si="31"/>
        <v>0</v>
      </c>
      <c r="AD491" s="19" t="e">
        <f>HYPERLINK(_xlfn.XLOOKUP(C491,M_YT_LIVE_TIMESTAMP!AA:AA,M_YT_LIVE_TIMESTAMP!Z:Z,"★",0,-1))</f>
        <v>#VALUE!</v>
      </c>
    </row>
    <row r="492" spans="3:30" x14ac:dyDescent="0.4">
      <c r="C492" s="12" t="str">
        <f t="shared" si="29"/>
        <v/>
      </c>
      <c r="AA492" s="14">
        <f t="shared" si="30"/>
        <v>0</v>
      </c>
      <c r="AB492" s="14" t="str">
        <f>_xlfn.XLOOKUP(AA492,M_ARTIST!A:A,M_ARTIST!B:B,"★★★",0,1)</f>
        <v>★★★</v>
      </c>
      <c r="AC492" s="14">
        <f t="shared" si="31"/>
        <v>0</v>
      </c>
      <c r="AD492" s="19" t="e">
        <f>HYPERLINK(_xlfn.XLOOKUP(C492,M_YT_LIVE_TIMESTAMP!AA:AA,M_YT_LIVE_TIMESTAMP!Z:Z,"★",0,-1))</f>
        <v>#VALUE!</v>
      </c>
    </row>
    <row r="493" spans="3:30" x14ac:dyDescent="0.4">
      <c r="C493" s="12" t="str">
        <f t="shared" si="29"/>
        <v/>
      </c>
      <c r="AA493" s="14">
        <f t="shared" si="30"/>
        <v>0</v>
      </c>
      <c r="AB493" s="14" t="str">
        <f>_xlfn.XLOOKUP(AA493,M_ARTIST!A:A,M_ARTIST!B:B,"★★★",0,1)</f>
        <v>★★★</v>
      </c>
      <c r="AC493" s="14">
        <f t="shared" si="31"/>
        <v>0</v>
      </c>
      <c r="AD493" s="19" t="e">
        <f>HYPERLINK(_xlfn.XLOOKUP(C493,M_YT_LIVE_TIMESTAMP!AA:AA,M_YT_LIVE_TIMESTAMP!Z:Z,"★",0,-1))</f>
        <v>#VALUE!</v>
      </c>
    </row>
    <row r="494" spans="3:30" x14ac:dyDescent="0.4">
      <c r="C494" s="12" t="str">
        <f t="shared" si="29"/>
        <v/>
      </c>
      <c r="AA494" s="14">
        <f t="shared" si="30"/>
        <v>0</v>
      </c>
      <c r="AB494" s="14" t="str">
        <f>_xlfn.XLOOKUP(AA494,M_ARTIST!A:A,M_ARTIST!B:B,"★★★",0,1)</f>
        <v>★★★</v>
      </c>
      <c r="AC494" s="14">
        <f t="shared" si="31"/>
        <v>0</v>
      </c>
      <c r="AD494" s="19" t="e">
        <f>HYPERLINK(_xlfn.XLOOKUP(C494,M_YT_LIVE_TIMESTAMP!AA:AA,M_YT_LIVE_TIMESTAMP!Z:Z,"★",0,-1))</f>
        <v>#VALUE!</v>
      </c>
    </row>
    <row r="495" spans="3:30" x14ac:dyDescent="0.4">
      <c r="C495" s="12" t="str">
        <f t="shared" si="29"/>
        <v/>
      </c>
      <c r="AA495" s="14">
        <f t="shared" si="30"/>
        <v>0</v>
      </c>
      <c r="AB495" s="14" t="str">
        <f>_xlfn.XLOOKUP(AA495,M_ARTIST!A:A,M_ARTIST!B:B,"★★★",0,1)</f>
        <v>★★★</v>
      </c>
      <c r="AC495" s="14">
        <f t="shared" si="31"/>
        <v>0</v>
      </c>
      <c r="AD495" s="19" t="e">
        <f>HYPERLINK(_xlfn.XLOOKUP(C495,M_YT_LIVE_TIMESTAMP!AA:AA,M_YT_LIVE_TIMESTAMP!Z:Z,"★",0,-1))</f>
        <v>#VALUE!</v>
      </c>
    </row>
    <row r="496" spans="3:30" x14ac:dyDescent="0.4">
      <c r="C496" s="12" t="str">
        <f t="shared" si="29"/>
        <v/>
      </c>
      <c r="AA496" s="14">
        <f t="shared" si="30"/>
        <v>0</v>
      </c>
      <c r="AB496" s="14" t="str">
        <f>_xlfn.XLOOKUP(AA496,M_ARTIST!A:A,M_ARTIST!B:B,"★★★",0,1)</f>
        <v>★★★</v>
      </c>
      <c r="AC496" s="14">
        <f t="shared" si="31"/>
        <v>0</v>
      </c>
      <c r="AD496" s="19" t="e">
        <f>HYPERLINK(_xlfn.XLOOKUP(C496,M_YT_LIVE_TIMESTAMP!AA:AA,M_YT_LIVE_TIMESTAMP!Z:Z,"★",0,-1))</f>
        <v>#VALUE!</v>
      </c>
    </row>
    <row r="497" spans="3:30" x14ac:dyDescent="0.4">
      <c r="C497" s="12" t="str">
        <f t="shared" si="29"/>
        <v/>
      </c>
      <c r="AA497" s="14">
        <f t="shared" si="30"/>
        <v>0</v>
      </c>
      <c r="AB497" s="14" t="str">
        <f>_xlfn.XLOOKUP(AA497,M_ARTIST!A:A,M_ARTIST!B:B,"★★★",0,1)</f>
        <v>★★★</v>
      </c>
      <c r="AC497" s="14">
        <f t="shared" si="31"/>
        <v>0</v>
      </c>
      <c r="AD497" s="19" t="e">
        <f>HYPERLINK(_xlfn.XLOOKUP(C497,M_YT_LIVE_TIMESTAMP!AA:AA,M_YT_LIVE_TIMESTAMP!Z:Z,"★",0,-1))</f>
        <v>#VALUE!</v>
      </c>
    </row>
    <row r="498" spans="3:30" x14ac:dyDescent="0.4">
      <c r="C498" s="12" t="str">
        <f t="shared" si="29"/>
        <v/>
      </c>
      <c r="AA498" s="14">
        <f t="shared" si="30"/>
        <v>0</v>
      </c>
      <c r="AB498" s="14" t="str">
        <f>_xlfn.XLOOKUP(AA498,M_ARTIST!A:A,M_ARTIST!B:B,"★★★",0,1)</f>
        <v>★★★</v>
      </c>
      <c r="AC498" s="14">
        <f t="shared" si="31"/>
        <v>0</v>
      </c>
      <c r="AD498" s="19" t="e">
        <f>HYPERLINK(_xlfn.XLOOKUP(C498,M_YT_LIVE_TIMESTAMP!AA:AA,M_YT_LIVE_TIMESTAMP!Z:Z,"★",0,-1))</f>
        <v>#VALUE!</v>
      </c>
    </row>
    <row r="499" spans="3:30" x14ac:dyDescent="0.4">
      <c r="C499" s="12" t="str">
        <f t="shared" si="29"/>
        <v/>
      </c>
      <c r="AA499" s="14">
        <f t="shared" si="30"/>
        <v>0</v>
      </c>
      <c r="AB499" s="14" t="str">
        <f>_xlfn.XLOOKUP(AA499,M_ARTIST!A:A,M_ARTIST!B:B,"★★★",0,1)</f>
        <v>★★★</v>
      </c>
      <c r="AC499" s="14">
        <f t="shared" si="31"/>
        <v>0</v>
      </c>
      <c r="AD499" s="19" t="e">
        <f>HYPERLINK(_xlfn.XLOOKUP(C499,M_YT_LIVE_TIMESTAMP!AA:AA,M_YT_LIVE_TIMESTAMP!Z:Z,"★",0,-1))</f>
        <v>#VALUE!</v>
      </c>
    </row>
    <row r="500" spans="3:30" x14ac:dyDescent="0.4">
      <c r="C500" s="12" t="str">
        <f t="shared" si="29"/>
        <v/>
      </c>
      <c r="AA500" s="14">
        <f t="shared" si="30"/>
        <v>0</v>
      </c>
      <c r="AB500" s="14" t="str">
        <f>_xlfn.XLOOKUP(AA500,M_ARTIST!A:A,M_ARTIST!B:B,"★★★",0,1)</f>
        <v>★★★</v>
      </c>
      <c r="AC500" s="14">
        <f t="shared" si="31"/>
        <v>0</v>
      </c>
      <c r="AD500" s="19" t="e">
        <f>HYPERLINK(_xlfn.XLOOKUP(C500,M_YT_LIVE_TIMESTAMP!AA:AA,M_YT_LIVE_TIMESTAMP!Z:Z,"★",0,-1))</f>
        <v>#VALUE!</v>
      </c>
    </row>
    <row r="501" spans="3:30" x14ac:dyDescent="0.4">
      <c r="C501" s="12" t="str">
        <f t="shared" si="29"/>
        <v/>
      </c>
      <c r="AA501" s="14">
        <f t="shared" si="30"/>
        <v>0</v>
      </c>
      <c r="AB501" s="14" t="str">
        <f>_xlfn.XLOOKUP(AA501,M_ARTIST!A:A,M_ARTIST!B:B,"★★★",0,1)</f>
        <v>★★★</v>
      </c>
      <c r="AC501" s="14">
        <f t="shared" si="31"/>
        <v>0</v>
      </c>
      <c r="AD501" s="19" t="e">
        <f>HYPERLINK(_xlfn.XLOOKUP(C501,M_YT_LIVE_TIMESTAMP!AA:AA,M_YT_LIVE_TIMESTAMP!Z:Z,"★",0,-1))</f>
        <v>#VALUE!</v>
      </c>
    </row>
    <row r="502" spans="3:30" x14ac:dyDescent="0.4">
      <c r="C502" s="12" t="str">
        <f t="shared" si="29"/>
        <v/>
      </c>
      <c r="AA502" s="14">
        <f t="shared" si="30"/>
        <v>0</v>
      </c>
      <c r="AB502" s="14" t="str">
        <f>_xlfn.XLOOKUP(AA502,M_ARTIST!A:A,M_ARTIST!B:B,"★★★",0,1)</f>
        <v>★★★</v>
      </c>
      <c r="AC502" s="14">
        <f t="shared" si="31"/>
        <v>0</v>
      </c>
      <c r="AD502" s="19" t="e">
        <f>HYPERLINK(_xlfn.XLOOKUP(C502,M_YT_LIVE_TIMESTAMP!AA:AA,M_YT_LIVE_TIMESTAMP!Z:Z,"★",0,-1))</f>
        <v>#VALUE!</v>
      </c>
    </row>
    <row r="503" spans="3:30" x14ac:dyDescent="0.4">
      <c r="C503" s="12" t="str">
        <f t="shared" si="29"/>
        <v/>
      </c>
      <c r="AA503" s="14">
        <f t="shared" si="30"/>
        <v>0</v>
      </c>
      <c r="AB503" s="14" t="str">
        <f>_xlfn.XLOOKUP(AA503,M_ARTIST!A:A,M_ARTIST!B:B,"★★★",0,1)</f>
        <v>★★★</v>
      </c>
      <c r="AC503" s="14">
        <f t="shared" si="31"/>
        <v>0</v>
      </c>
      <c r="AD503" s="19" t="e">
        <f>HYPERLINK(_xlfn.XLOOKUP(C503,M_YT_LIVE_TIMESTAMP!AA:AA,M_YT_LIVE_TIMESTAMP!Z:Z,"★",0,-1))</f>
        <v>#VALUE!</v>
      </c>
    </row>
    <row r="504" spans="3:30" x14ac:dyDescent="0.4">
      <c r="C504" s="12" t="str">
        <f t="shared" si="29"/>
        <v/>
      </c>
      <c r="AA504" s="14">
        <f t="shared" si="30"/>
        <v>0</v>
      </c>
      <c r="AB504" s="14" t="str">
        <f>_xlfn.XLOOKUP(AA504,M_ARTIST!A:A,M_ARTIST!B:B,"★★★",0,1)</f>
        <v>★★★</v>
      </c>
      <c r="AC504" s="14">
        <f t="shared" si="31"/>
        <v>0</v>
      </c>
      <c r="AD504" s="19" t="e">
        <f>HYPERLINK(_xlfn.XLOOKUP(C504,M_YT_LIVE_TIMESTAMP!AA:AA,M_YT_LIVE_TIMESTAMP!Z:Z,"★",0,-1))</f>
        <v>#VALUE!</v>
      </c>
    </row>
    <row r="505" spans="3:30" x14ac:dyDescent="0.4">
      <c r="C505" s="12" t="str">
        <f t="shared" si="29"/>
        <v/>
      </c>
      <c r="AA505" s="14">
        <f t="shared" si="30"/>
        <v>0</v>
      </c>
      <c r="AB505" s="14" t="str">
        <f>_xlfn.XLOOKUP(AA505,M_ARTIST!A:A,M_ARTIST!B:B,"★★★",0,1)</f>
        <v>★★★</v>
      </c>
      <c r="AC505" s="14">
        <f t="shared" si="31"/>
        <v>0</v>
      </c>
      <c r="AD505" s="19" t="e">
        <f>HYPERLINK(_xlfn.XLOOKUP(C505,M_YT_LIVE_TIMESTAMP!AA:AA,M_YT_LIVE_TIMESTAMP!Z:Z,"★",0,-1))</f>
        <v>#VALUE!</v>
      </c>
    </row>
    <row r="506" spans="3:30" x14ac:dyDescent="0.4">
      <c r="C506" s="12" t="str">
        <f t="shared" si="29"/>
        <v/>
      </c>
      <c r="AA506" s="14">
        <f t="shared" si="30"/>
        <v>0</v>
      </c>
      <c r="AB506" s="14" t="str">
        <f>_xlfn.XLOOKUP(AA506,M_ARTIST!A:A,M_ARTIST!B:B,"★★★",0,1)</f>
        <v>★★★</v>
      </c>
      <c r="AC506" s="14">
        <f t="shared" si="31"/>
        <v>0</v>
      </c>
      <c r="AD506" s="19" t="e">
        <f>HYPERLINK(_xlfn.XLOOKUP(C506,M_YT_LIVE_TIMESTAMP!AA:AA,M_YT_LIVE_TIMESTAMP!Z:Z,"★",0,-1))</f>
        <v>#VALUE!</v>
      </c>
    </row>
    <row r="507" spans="3:30" x14ac:dyDescent="0.4">
      <c r="C507" s="12" t="str">
        <f t="shared" si="29"/>
        <v/>
      </c>
      <c r="AA507" s="14">
        <f t="shared" si="30"/>
        <v>0</v>
      </c>
      <c r="AB507" s="14" t="str">
        <f>_xlfn.XLOOKUP(AA507,M_ARTIST!A:A,M_ARTIST!B:B,"★★★",0,1)</f>
        <v>★★★</v>
      </c>
      <c r="AC507" s="14">
        <f t="shared" si="31"/>
        <v>0</v>
      </c>
      <c r="AD507" s="19" t="e">
        <f>HYPERLINK(_xlfn.XLOOKUP(C507,M_YT_LIVE_TIMESTAMP!AA:AA,M_YT_LIVE_TIMESTAMP!Z:Z,"★",0,-1))</f>
        <v>#VALUE!</v>
      </c>
    </row>
    <row r="508" spans="3:30" x14ac:dyDescent="0.4">
      <c r="C508" s="12" t="str">
        <f t="shared" si="29"/>
        <v/>
      </c>
      <c r="AA508" s="14">
        <f t="shared" si="30"/>
        <v>0</v>
      </c>
      <c r="AB508" s="14" t="str">
        <f>_xlfn.XLOOKUP(AA508,M_ARTIST!A:A,M_ARTIST!B:B,"★★★",0,1)</f>
        <v>★★★</v>
      </c>
      <c r="AC508" s="14">
        <f t="shared" si="31"/>
        <v>0</v>
      </c>
      <c r="AD508" s="19" t="e">
        <f>HYPERLINK(_xlfn.XLOOKUP(C508,M_YT_LIVE_TIMESTAMP!AA:AA,M_YT_LIVE_TIMESTAMP!Z:Z,"★",0,-1))</f>
        <v>#VALUE!</v>
      </c>
    </row>
    <row r="509" spans="3:30" x14ac:dyDescent="0.4">
      <c r="C509" s="12" t="str">
        <f t="shared" si="29"/>
        <v/>
      </c>
      <c r="AA509" s="14">
        <f t="shared" si="30"/>
        <v>0</v>
      </c>
      <c r="AB509" s="14" t="str">
        <f>_xlfn.XLOOKUP(AA509,M_ARTIST!A:A,M_ARTIST!B:B,"★★★",0,1)</f>
        <v>★★★</v>
      </c>
      <c r="AC509" s="14">
        <f t="shared" si="31"/>
        <v>0</v>
      </c>
      <c r="AD509" s="19" t="e">
        <f>HYPERLINK(_xlfn.XLOOKUP(C509,M_YT_LIVE_TIMESTAMP!AA:AA,M_YT_LIVE_TIMESTAMP!Z:Z,"★",0,-1))</f>
        <v>#VALUE!</v>
      </c>
    </row>
    <row r="510" spans="3:30" x14ac:dyDescent="0.4">
      <c r="C510" s="12" t="str">
        <f t="shared" si="29"/>
        <v/>
      </c>
      <c r="AA510" s="14">
        <f t="shared" si="30"/>
        <v>0</v>
      </c>
      <c r="AB510" s="14" t="str">
        <f>_xlfn.XLOOKUP(AA510,M_ARTIST!A:A,M_ARTIST!B:B,"★★★",0,1)</f>
        <v>★★★</v>
      </c>
      <c r="AC510" s="14">
        <f t="shared" si="31"/>
        <v>0</v>
      </c>
      <c r="AD510" s="19" t="e">
        <f>HYPERLINK(_xlfn.XLOOKUP(C510,M_YT_LIVE_TIMESTAMP!AA:AA,M_YT_LIVE_TIMESTAMP!Z:Z,"★",0,-1))</f>
        <v>#VALUE!</v>
      </c>
    </row>
    <row r="511" spans="3:30" x14ac:dyDescent="0.4">
      <c r="C511" s="12" t="str">
        <f t="shared" si="29"/>
        <v/>
      </c>
      <c r="AA511" s="14">
        <f t="shared" si="30"/>
        <v>0</v>
      </c>
      <c r="AB511" s="14" t="str">
        <f>_xlfn.XLOOKUP(AA511,M_ARTIST!A:A,M_ARTIST!B:B,"★★★",0,1)</f>
        <v>★★★</v>
      </c>
      <c r="AC511" s="14">
        <f t="shared" si="31"/>
        <v>0</v>
      </c>
      <c r="AD511" s="19" t="e">
        <f>HYPERLINK(_xlfn.XLOOKUP(C511,M_YT_LIVE_TIMESTAMP!AA:AA,M_YT_LIVE_TIMESTAMP!Z:Z,"★",0,-1))</f>
        <v>#VALUE!</v>
      </c>
    </row>
    <row r="512" spans="3:30" x14ac:dyDescent="0.4">
      <c r="C512" s="12" t="str">
        <f t="shared" si="29"/>
        <v/>
      </c>
      <c r="AA512" s="14">
        <f t="shared" si="30"/>
        <v>0</v>
      </c>
      <c r="AB512" s="14" t="str">
        <f>_xlfn.XLOOKUP(AA512,M_ARTIST!A:A,M_ARTIST!B:B,"★★★",0,1)</f>
        <v>★★★</v>
      </c>
      <c r="AC512" s="14">
        <f t="shared" si="31"/>
        <v>0</v>
      </c>
      <c r="AD512" s="19" t="e">
        <f>HYPERLINK(_xlfn.XLOOKUP(C512,M_YT_LIVE_TIMESTAMP!AA:AA,M_YT_LIVE_TIMESTAMP!Z:Z,"★",0,-1))</f>
        <v>#VALUE!</v>
      </c>
    </row>
    <row r="513" spans="3:30" x14ac:dyDescent="0.4">
      <c r="C513" s="12" t="str">
        <f t="shared" si="29"/>
        <v/>
      </c>
      <c r="AA513" s="14">
        <f t="shared" si="30"/>
        <v>0</v>
      </c>
      <c r="AB513" s="14" t="str">
        <f>_xlfn.XLOOKUP(AA513,M_ARTIST!A:A,M_ARTIST!B:B,"★★★",0,1)</f>
        <v>★★★</v>
      </c>
      <c r="AC513" s="14">
        <f t="shared" si="31"/>
        <v>0</v>
      </c>
      <c r="AD513" s="19" t="e">
        <f>HYPERLINK(_xlfn.XLOOKUP(C513,M_YT_LIVE_TIMESTAMP!AA:AA,M_YT_LIVE_TIMESTAMP!Z:Z,"★",0,-1))</f>
        <v>#VALUE!</v>
      </c>
    </row>
    <row r="514" spans="3:30" x14ac:dyDescent="0.4">
      <c r="C514" s="12" t="str">
        <f t="shared" si="29"/>
        <v/>
      </c>
      <c r="AA514" s="14">
        <f t="shared" si="30"/>
        <v>0</v>
      </c>
      <c r="AB514" s="14" t="str">
        <f>_xlfn.XLOOKUP(AA514,M_ARTIST!A:A,M_ARTIST!B:B,"★★★",0,1)</f>
        <v>★★★</v>
      </c>
      <c r="AC514" s="14">
        <f t="shared" si="31"/>
        <v>0</v>
      </c>
      <c r="AD514" s="19" t="e">
        <f>HYPERLINK(_xlfn.XLOOKUP(C514,M_YT_LIVE_TIMESTAMP!AA:AA,M_YT_LIVE_TIMESTAMP!Z:Z,"★",0,-1))</f>
        <v>#VALUE!</v>
      </c>
    </row>
    <row r="515" spans="3:30" x14ac:dyDescent="0.4">
      <c r="C515" s="12" t="str">
        <f t="shared" si="29"/>
        <v/>
      </c>
      <c r="AA515" s="14">
        <f t="shared" si="30"/>
        <v>0</v>
      </c>
      <c r="AB515" s="14" t="str">
        <f>_xlfn.XLOOKUP(AA515,M_ARTIST!A:A,M_ARTIST!B:B,"★★★",0,1)</f>
        <v>★★★</v>
      </c>
      <c r="AC515" s="14">
        <f t="shared" si="31"/>
        <v>0</v>
      </c>
      <c r="AD515" s="19" t="e">
        <f>HYPERLINK(_xlfn.XLOOKUP(C515,M_YT_LIVE_TIMESTAMP!AA:AA,M_YT_LIVE_TIMESTAMP!Z:Z,"★",0,-1))</f>
        <v>#VALUE!</v>
      </c>
    </row>
    <row r="516" spans="3:30" x14ac:dyDescent="0.4">
      <c r="C516" s="12" t="str">
        <f t="shared" si="29"/>
        <v/>
      </c>
      <c r="AA516" s="14">
        <f t="shared" si="30"/>
        <v>0</v>
      </c>
      <c r="AB516" s="14" t="str">
        <f>_xlfn.XLOOKUP(AA516,M_ARTIST!A:A,M_ARTIST!B:B,"★★★",0,1)</f>
        <v>★★★</v>
      </c>
      <c r="AC516" s="14">
        <f t="shared" si="31"/>
        <v>0</v>
      </c>
      <c r="AD516" s="19" t="e">
        <f>HYPERLINK(_xlfn.XLOOKUP(C516,M_YT_LIVE_TIMESTAMP!AA:AA,M_YT_LIVE_TIMESTAMP!Z:Z,"★",0,-1))</f>
        <v>#VALUE!</v>
      </c>
    </row>
    <row r="517" spans="3:30" x14ac:dyDescent="0.4">
      <c r="C517" s="12" t="str">
        <f t="shared" si="29"/>
        <v/>
      </c>
      <c r="AA517" s="14">
        <f t="shared" si="30"/>
        <v>0</v>
      </c>
      <c r="AB517" s="14" t="str">
        <f>_xlfn.XLOOKUP(AA517,M_ARTIST!A:A,M_ARTIST!B:B,"★★★",0,1)</f>
        <v>★★★</v>
      </c>
      <c r="AC517" s="14">
        <f t="shared" si="31"/>
        <v>0</v>
      </c>
      <c r="AD517" s="19" t="e">
        <f>HYPERLINK(_xlfn.XLOOKUP(C517,M_YT_LIVE_TIMESTAMP!AA:AA,M_YT_LIVE_TIMESTAMP!Z:Z,"★",0,-1))</f>
        <v>#VALUE!</v>
      </c>
    </row>
    <row r="518" spans="3:30" x14ac:dyDescent="0.4">
      <c r="C518" s="12" t="str">
        <f t="shared" si="29"/>
        <v/>
      </c>
      <c r="AA518" s="14">
        <f t="shared" si="30"/>
        <v>0</v>
      </c>
      <c r="AB518" s="14" t="str">
        <f>_xlfn.XLOOKUP(AA518,M_ARTIST!A:A,M_ARTIST!B:B,"★★★",0,1)</f>
        <v>★★★</v>
      </c>
      <c r="AC518" s="14">
        <f t="shared" si="31"/>
        <v>0</v>
      </c>
      <c r="AD518" s="19" t="e">
        <f>HYPERLINK(_xlfn.XLOOKUP(C518,M_YT_LIVE_TIMESTAMP!AA:AA,M_YT_LIVE_TIMESTAMP!Z:Z,"★",0,-1))</f>
        <v>#VALUE!</v>
      </c>
    </row>
    <row r="519" spans="3:30" x14ac:dyDescent="0.4">
      <c r="C519" s="12" t="str">
        <f t="shared" si="29"/>
        <v/>
      </c>
      <c r="AA519" s="14">
        <f t="shared" si="30"/>
        <v>0</v>
      </c>
      <c r="AB519" s="14" t="str">
        <f>_xlfn.XLOOKUP(AA519,M_ARTIST!A:A,M_ARTIST!B:B,"★★★",0,1)</f>
        <v>★★★</v>
      </c>
      <c r="AC519" s="14">
        <f t="shared" si="31"/>
        <v>0</v>
      </c>
      <c r="AD519" s="19" t="e">
        <f>HYPERLINK(_xlfn.XLOOKUP(C519,M_YT_LIVE_TIMESTAMP!AA:AA,M_YT_LIVE_TIMESTAMP!Z:Z,"★",0,-1))</f>
        <v>#VALUE!</v>
      </c>
    </row>
    <row r="520" spans="3:30" x14ac:dyDescent="0.4">
      <c r="C520" s="12" t="str">
        <f t="shared" si="29"/>
        <v/>
      </c>
      <c r="AA520" s="14">
        <f t="shared" si="30"/>
        <v>0</v>
      </c>
      <c r="AB520" s="14" t="str">
        <f>_xlfn.XLOOKUP(AA520,M_ARTIST!A:A,M_ARTIST!B:B,"★★★",0,1)</f>
        <v>★★★</v>
      </c>
      <c r="AC520" s="14">
        <f t="shared" si="31"/>
        <v>0</v>
      </c>
      <c r="AD520" s="19" t="e">
        <f>HYPERLINK(_xlfn.XLOOKUP(C520,M_YT_LIVE_TIMESTAMP!AA:AA,M_YT_LIVE_TIMESTAMP!Z:Z,"★",0,-1))</f>
        <v>#VALUE!</v>
      </c>
    </row>
    <row r="521" spans="3:30" x14ac:dyDescent="0.4">
      <c r="C521" s="12" t="str">
        <f t="shared" si="29"/>
        <v/>
      </c>
      <c r="AA521" s="14">
        <f t="shared" si="30"/>
        <v>0</v>
      </c>
      <c r="AB521" s="14" t="str">
        <f>_xlfn.XLOOKUP(AA521,M_ARTIST!A:A,M_ARTIST!B:B,"★★★",0,1)</f>
        <v>★★★</v>
      </c>
      <c r="AC521" s="14">
        <f t="shared" si="31"/>
        <v>0</v>
      </c>
      <c r="AD521" s="19" t="e">
        <f>HYPERLINK(_xlfn.XLOOKUP(C521,M_YT_LIVE_TIMESTAMP!AA:AA,M_YT_LIVE_TIMESTAMP!Z:Z,"★",0,-1))</f>
        <v>#VALUE!</v>
      </c>
    </row>
    <row r="522" spans="3:30" x14ac:dyDescent="0.4">
      <c r="C522" s="12" t="str">
        <f t="shared" si="29"/>
        <v/>
      </c>
      <c r="AA522" s="14">
        <f t="shared" si="30"/>
        <v>0</v>
      </c>
      <c r="AB522" s="14" t="str">
        <f>_xlfn.XLOOKUP(AA522,M_ARTIST!A:A,M_ARTIST!B:B,"★★★",0,1)</f>
        <v>★★★</v>
      </c>
      <c r="AC522" s="14">
        <f t="shared" si="31"/>
        <v>0</v>
      </c>
      <c r="AD522" s="19" t="e">
        <f>HYPERLINK(_xlfn.XLOOKUP(C522,M_YT_LIVE_TIMESTAMP!AA:AA,M_YT_LIVE_TIMESTAMP!Z:Z,"★",0,-1))</f>
        <v>#VALUE!</v>
      </c>
    </row>
    <row r="523" spans="3:30" x14ac:dyDescent="0.4">
      <c r="C523" s="12" t="str">
        <f t="shared" si="29"/>
        <v/>
      </c>
      <c r="AA523" s="14">
        <f t="shared" si="30"/>
        <v>0</v>
      </c>
      <c r="AB523" s="14" t="str">
        <f>_xlfn.XLOOKUP(AA523,M_ARTIST!A:A,M_ARTIST!B:B,"★★★",0,1)</f>
        <v>★★★</v>
      </c>
      <c r="AC523" s="14">
        <f t="shared" si="31"/>
        <v>0</v>
      </c>
      <c r="AD523" s="19" t="e">
        <f>HYPERLINK(_xlfn.XLOOKUP(C523,M_YT_LIVE_TIMESTAMP!AA:AA,M_YT_LIVE_TIMESTAMP!Z:Z,"★",0,-1))</f>
        <v>#VALUE!</v>
      </c>
    </row>
    <row r="524" spans="3:30" x14ac:dyDescent="0.4">
      <c r="C524" s="12" t="str">
        <f t="shared" si="29"/>
        <v/>
      </c>
      <c r="AA524" s="14">
        <f t="shared" si="30"/>
        <v>0</v>
      </c>
      <c r="AB524" s="14" t="str">
        <f>_xlfn.XLOOKUP(AA524,M_ARTIST!A:A,M_ARTIST!B:B,"★★★",0,1)</f>
        <v>★★★</v>
      </c>
      <c r="AC524" s="14">
        <f t="shared" si="31"/>
        <v>0</v>
      </c>
      <c r="AD524" s="19" t="e">
        <f>HYPERLINK(_xlfn.XLOOKUP(C524,M_YT_LIVE_TIMESTAMP!AA:AA,M_YT_LIVE_TIMESTAMP!Z:Z,"★",0,-1))</f>
        <v>#VALUE!</v>
      </c>
    </row>
    <row r="525" spans="3:30" x14ac:dyDescent="0.4">
      <c r="C525" s="12" t="str">
        <f t="shared" si="29"/>
        <v/>
      </c>
      <c r="AA525" s="14">
        <f t="shared" si="30"/>
        <v>0</v>
      </c>
      <c r="AB525" s="14" t="str">
        <f>_xlfn.XLOOKUP(AA525,M_ARTIST!A:A,M_ARTIST!B:B,"★★★",0,1)</f>
        <v>★★★</v>
      </c>
      <c r="AC525" s="14">
        <f t="shared" si="31"/>
        <v>0</v>
      </c>
      <c r="AD525" s="19" t="e">
        <f>HYPERLINK(_xlfn.XLOOKUP(C525,M_YT_LIVE_TIMESTAMP!AA:AA,M_YT_LIVE_TIMESTAMP!Z:Z,"★",0,-1))</f>
        <v>#VALUE!</v>
      </c>
    </row>
    <row r="526" spans="3:30" x14ac:dyDescent="0.4">
      <c r="C526" s="12" t="str">
        <f t="shared" si="29"/>
        <v/>
      </c>
      <c r="AA526" s="14">
        <f t="shared" si="30"/>
        <v>0</v>
      </c>
      <c r="AB526" s="14" t="str">
        <f>_xlfn.XLOOKUP(AA526,M_ARTIST!A:A,M_ARTIST!B:B,"★★★",0,1)</f>
        <v>★★★</v>
      </c>
      <c r="AC526" s="14">
        <f t="shared" si="31"/>
        <v>0</v>
      </c>
      <c r="AD526" s="19" t="e">
        <f>HYPERLINK(_xlfn.XLOOKUP(C526,M_YT_LIVE_TIMESTAMP!AA:AA,M_YT_LIVE_TIMESTAMP!Z:Z,"★",0,-1))</f>
        <v>#VALUE!</v>
      </c>
    </row>
    <row r="527" spans="3:30" x14ac:dyDescent="0.4">
      <c r="C527" s="12" t="str">
        <f t="shared" si="29"/>
        <v/>
      </c>
      <c r="AA527" s="14">
        <f t="shared" si="30"/>
        <v>0</v>
      </c>
      <c r="AB527" s="14" t="str">
        <f>_xlfn.XLOOKUP(AA527,M_ARTIST!A:A,M_ARTIST!B:B,"★★★",0,1)</f>
        <v>★★★</v>
      </c>
      <c r="AC527" s="14">
        <f t="shared" si="31"/>
        <v>0</v>
      </c>
      <c r="AD527" s="19" t="e">
        <f>HYPERLINK(_xlfn.XLOOKUP(C527,M_YT_LIVE_TIMESTAMP!AA:AA,M_YT_LIVE_TIMESTAMP!Z:Z,"★",0,-1))</f>
        <v>#VALUE!</v>
      </c>
    </row>
    <row r="528" spans="3:30" x14ac:dyDescent="0.4">
      <c r="C528" s="12" t="str">
        <f t="shared" si="29"/>
        <v/>
      </c>
      <c r="AA528" s="14">
        <f t="shared" si="30"/>
        <v>0</v>
      </c>
      <c r="AB528" s="14" t="str">
        <f>_xlfn.XLOOKUP(AA528,M_ARTIST!A:A,M_ARTIST!B:B,"★★★",0,1)</f>
        <v>★★★</v>
      </c>
      <c r="AC528" s="14">
        <f t="shared" si="31"/>
        <v>0</v>
      </c>
      <c r="AD528" s="19" t="e">
        <f>HYPERLINK(_xlfn.XLOOKUP(C528,M_YT_LIVE_TIMESTAMP!AA:AA,M_YT_LIVE_TIMESTAMP!Z:Z,"★",0,-1))</f>
        <v>#VALUE!</v>
      </c>
    </row>
    <row r="529" spans="3:30" x14ac:dyDescent="0.4">
      <c r="C529" s="12" t="str">
        <f t="shared" si="29"/>
        <v/>
      </c>
      <c r="AA529" s="14">
        <f t="shared" si="30"/>
        <v>0</v>
      </c>
      <c r="AB529" s="14" t="str">
        <f>_xlfn.XLOOKUP(AA529,M_ARTIST!A:A,M_ARTIST!B:B,"★★★",0,1)</f>
        <v>★★★</v>
      </c>
      <c r="AC529" s="14">
        <f t="shared" si="31"/>
        <v>0</v>
      </c>
      <c r="AD529" s="19" t="e">
        <f>HYPERLINK(_xlfn.XLOOKUP(C529,M_YT_LIVE_TIMESTAMP!AA:AA,M_YT_LIVE_TIMESTAMP!Z:Z,"★",0,-1))</f>
        <v>#VALUE!</v>
      </c>
    </row>
    <row r="530" spans="3:30" x14ac:dyDescent="0.4">
      <c r="C530" s="12" t="str">
        <f t="shared" si="29"/>
        <v/>
      </c>
      <c r="AA530" s="14">
        <f t="shared" si="30"/>
        <v>0</v>
      </c>
      <c r="AB530" s="14" t="str">
        <f>_xlfn.XLOOKUP(AA530,M_ARTIST!A:A,M_ARTIST!B:B,"★★★",0,1)</f>
        <v>★★★</v>
      </c>
      <c r="AC530" s="14">
        <f t="shared" si="31"/>
        <v>0</v>
      </c>
      <c r="AD530" s="19" t="e">
        <f>HYPERLINK(_xlfn.XLOOKUP(C530,M_YT_LIVE_TIMESTAMP!AA:AA,M_YT_LIVE_TIMESTAMP!Z:Z,"★",0,-1))</f>
        <v>#VALUE!</v>
      </c>
    </row>
    <row r="531" spans="3:30" x14ac:dyDescent="0.4">
      <c r="C531" s="12" t="str">
        <f t="shared" ref="C531:C594" si="32">TRIM(B531)&amp;TRIM(A531)</f>
        <v/>
      </c>
      <c r="AA531" s="14">
        <f t="shared" ref="AA531:AA594" si="33">B531</f>
        <v>0</v>
      </c>
      <c r="AB531" s="14" t="str">
        <f>_xlfn.XLOOKUP(AA531,M_ARTIST!A:A,M_ARTIST!B:B,"★★★",0,1)</f>
        <v>★★★</v>
      </c>
      <c r="AC531" s="14">
        <f t="shared" ref="AC531:AC594" si="34">A531</f>
        <v>0</v>
      </c>
      <c r="AD531" s="19" t="e">
        <f>HYPERLINK(_xlfn.XLOOKUP(C531,M_YT_LIVE_TIMESTAMP!AA:AA,M_YT_LIVE_TIMESTAMP!Z:Z,"★",0,-1))</f>
        <v>#VALUE!</v>
      </c>
    </row>
    <row r="532" spans="3:30" x14ac:dyDescent="0.4">
      <c r="C532" s="12" t="str">
        <f t="shared" si="32"/>
        <v/>
      </c>
      <c r="AA532" s="14">
        <f t="shared" si="33"/>
        <v>0</v>
      </c>
      <c r="AB532" s="14" t="str">
        <f>_xlfn.XLOOKUP(AA532,M_ARTIST!A:A,M_ARTIST!B:B,"★★★",0,1)</f>
        <v>★★★</v>
      </c>
      <c r="AC532" s="14">
        <f t="shared" si="34"/>
        <v>0</v>
      </c>
      <c r="AD532" s="19" t="e">
        <f>HYPERLINK(_xlfn.XLOOKUP(C532,M_YT_LIVE_TIMESTAMP!AA:AA,M_YT_LIVE_TIMESTAMP!Z:Z,"★",0,-1))</f>
        <v>#VALUE!</v>
      </c>
    </row>
    <row r="533" spans="3:30" x14ac:dyDescent="0.4">
      <c r="C533" s="12" t="str">
        <f t="shared" si="32"/>
        <v/>
      </c>
      <c r="AA533" s="14">
        <f t="shared" si="33"/>
        <v>0</v>
      </c>
      <c r="AB533" s="14" t="str">
        <f>_xlfn.XLOOKUP(AA533,M_ARTIST!A:A,M_ARTIST!B:B,"★★★",0,1)</f>
        <v>★★★</v>
      </c>
      <c r="AC533" s="14">
        <f t="shared" si="34"/>
        <v>0</v>
      </c>
      <c r="AD533" s="19" t="e">
        <f>HYPERLINK(_xlfn.XLOOKUP(C533,M_YT_LIVE_TIMESTAMP!AA:AA,M_YT_LIVE_TIMESTAMP!Z:Z,"★",0,-1))</f>
        <v>#VALUE!</v>
      </c>
    </row>
    <row r="534" spans="3:30" x14ac:dyDescent="0.4">
      <c r="C534" s="12" t="str">
        <f t="shared" si="32"/>
        <v/>
      </c>
      <c r="AA534" s="14">
        <f t="shared" si="33"/>
        <v>0</v>
      </c>
      <c r="AB534" s="14" t="str">
        <f>_xlfn.XLOOKUP(AA534,M_ARTIST!A:A,M_ARTIST!B:B,"★★★",0,1)</f>
        <v>★★★</v>
      </c>
      <c r="AC534" s="14">
        <f t="shared" si="34"/>
        <v>0</v>
      </c>
      <c r="AD534" s="19" t="e">
        <f>HYPERLINK(_xlfn.XLOOKUP(C534,M_YT_LIVE_TIMESTAMP!AA:AA,M_YT_LIVE_TIMESTAMP!Z:Z,"★",0,-1))</f>
        <v>#VALUE!</v>
      </c>
    </row>
    <row r="535" spans="3:30" x14ac:dyDescent="0.4">
      <c r="C535" s="12" t="str">
        <f t="shared" si="32"/>
        <v/>
      </c>
      <c r="AA535" s="14">
        <f t="shared" si="33"/>
        <v>0</v>
      </c>
      <c r="AB535" s="14" t="str">
        <f>_xlfn.XLOOKUP(AA535,M_ARTIST!A:A,M_ARTIST!B:B,"★★★",0,1)</f>
        <v>★★★</v>
      </c>
      <c r="AC535" s="14">
        <f t="shared" si="34"/>
        <v>0</v>
      </c>
      <c r="AD535" s="19" t="e">
        <f>HYPERLINK(_xlfn.XLOOKUP(C535,M_YT_LIVE_TIMESTAMP!AA:AA,M_YT_LIVE_TIMESTAMP!Z:Z,"★",0,-1))</f>
        <v>#VALUE!</v>
      </c>
    </row>
    <row r="536" spans="3:30" x14ac:dyDescent="0.4">
      <c r="C536" s="12" t="str">
        <f t="shared" si="32"/>
        <v/>
      </c>
      <c r="AA536" s="14">
        <f t="shared" si="33"/>
        <v>0</v>
      </c>
      <c r="AB536" s="14" t="str">
        <f>_xlfn.XLOOKUP(AA536,M_ARTIST!A:A,M_ARTIST!B:B,"★★★",0,1)</f>
        <v>★★★</v>
      </c>
      <c r="AC536" s="14">
        <f t="shared" si="34"/>
        <v>0</v>
      </c>
      <c r="AD536" s="19" t="e">
        <f>HYPERLINK(_xlfn.XLOOKUP(C536,M_YT_LIVE_TIMESTAMP!AA:AA,M_YT_LIVE_TIMESTAMP!Z:Z,"★",0,-1))</f>
        <v>#VALUE!</v>
      </c>
    </row>
    <row r="537" spans="3:30" x14ac:dyDescent="0.4">
      <c r="C537" s="12" t="str">
        <f t="shared" si="32"/>
        <v/>
      </c>
      <c r="AA537" s="14">
        <f t="shared" si="33"/>
        <v>0</v>
      </c>
      <c r="AB537" s="14" t="str">
        <f>_xlfn.XLOOKUP(AA537,M_ARTIST!A:A,M_ARTIST!B:B,"★★★",0,1)</f>
        <v>★★★</v>
      </c>
      <c r="AC537" s="14">
        <f t="shared" si="34"/>
        <v>0</v>
      </c>
      <c r="AD537" s="19" t="e">
        <f>HYPERLINK(_xlfn.XLOOKUP(C537,M_YT_LIVE_TIMESTAMP!AA:AA,M_YT_LIVE_TIMESTAMP!Z:Z,"★",0,-1))</f>
        <v>#VALUE!</v>
      </c>
    </row>
    <row r="538" spans="3:30" x14ac:dyDescent="0.4">
      <c r="C538" s="12" t="str">
        <f t="shared" si="32"/>
        <v/>
      </c>
      <c r="AA538" s="14">
        <f t="shared" si="33"/>
        <v>0</v>
      </c>
      <c r="AB538" s="14" t="str">
        <f>_xlfn.XLOOKUP(AA538,M_ARTIST!A:A,M_ARTIST!B:B,"★★★",0,1)</f>
        <v>★★★</v>
      </c>
      <c r="AC538" s="14">
        <f t="shared" si="34"/>
        <v>0</v>
      </c>
      <c r="AD538" s="19" t="e">
        <f>HYPERLINK(_xlfn.XLOOKUP(C538,M_YT_LIVE_TIMESTAMP!AA:AA,M_YT_LIVE_TIMESTAMP!Z:Z,"★",0,-1))</f>
        <v>#VALUE!</v>
      </c>
    </row>
    <row r="539" spans="3:30" x14ac:dyDescent="0.4">
      <c r="C539" s="12" t="str">
        <f t="shared" si="32"/>
        <v/>
      </c>
      <c r="AA539" s="14">
        <f t="shared" si="33"/>
        <v>0</v>
      </c>
      <c r="AB539" s="14" t="str">
        <f>_xlfn.XLOOKUP(AA539,M_ARTIST!A:A,M_ARTIST!B:B,"★★★",0,1)</f>
        <v>★★★</v>
      </c>
      <c r="AC539" s="14">
        <f t="shared" si="34"/>
        <v>0</v>
      </c>
      <c r="AD539" s="19" t="e">
        <f>HYPERLINK(_xlfn.XLOOKUP(C539,M_YT_LIVE_TIMESTAMP!AA:AA,M_YT_LIVE_TIMESTAMP!Z:Z,"★",0,-1))</f>
        <v>#VALUE!</v>
      </c>
    </row>
    <row r="540" spans="3:30" x14ac:dyDescent="0.4">
      <c r="C540" s="12" t="str">
        <f t="shared" si="32"/>
        <v/>
      </c>
      <c r="AA540" s="14">
        <f t="shared" si="33"/>
        <v>0</v>
      </c>
      <c r="AB540" s="14" t="str">
        <f>_xlfn.XLOOKUP(AA540,M_ARTIST!A:A,M_ARTIST!B:B,"★★★",0,1)</f>
        <v>★★★</v>
      </c>
      <c r="AC540" s="14">
        <f t="shared" si="34"/>
        <v>0</v>
      </c>
      <c r="AD540" s="19" t="e">
        <f>HYPERLINK(_xlfn.XLOOKUP(C540,M_YT_LIVE_TIMESTAMP!AA:AA,M_YT_LIVE_TIMESTAMP!Z:Z,"★",0,-1))</f>
        <v>#VALUE!</v>
      </c>
    </row>
    <row r="541" spans="3:30" x14ac:dyDescent="0.4">
      <c r="C541" s="12" t="str">
        <f t="shared" si="32"/>
        <v/>
      </c>
      <c r="AA541" s="14">
        <f t="shared" si="33"/>
        <v>0</v>
      </c>
      <c r="AB541" s="14" t="str">
        <f>_xlfn.XLOOKUP(AA541,M_ARTIST!A:A,M_ARTIST!B:B,"★★★",0,1)</f>
        <v>★★★</v>
      </c>
      <c r="AC541" s="14">
        <f t="shared" si="34"/>
        <v>0</v>
      </c>
      <c r="AD541" s="19" t="e">
        <f>HYPERLINK(_xlfn.XLOOKUP(C541,M_YT_LIVE_TIMESTAMP!AA:AA,M_YT_LIVE_TIMESTAMP!Z:Z,"★",0,-1))</f>
        <v>#VALUE!</v>
      </c>
    </row>
    <row r="542" spans="3:30" x14ac:dyDescent="0.4">
      <c r="C542" s="12" t="str">
        <f t="shared" si="32"/>
        <v/>
      </c>
      <c r="AA542" s="14">
        <f t="shared" si="33"/>
        <v>0</v>
      </c>
      <c r="AB542" s="14" t="str">
        <f>_xlfn.XLOOKUP(AA542,M_ARTIST!A:A,M_ARTIST!B:B,"★★★",0,1)</f>
        <v>★★★</v>
      </c>
      <c r="AC542" s="14">
        <f t="shared" si="34"/>
        <v>0</v>
      </c>
      <c r="AD542" s="19" t="e">
        <f>HYPERLINK(_xlfn.XLOOKUP(C542,M_YT_LIVE_TIMESTAMP!AA:AA,M_YT_LIVE_TIMESTAMP!Z:Z,"★",0,-1))</f>
        <v>#VALUE!</v>
      </c>
    </row>
    <row r="543" spans="3:30" x14ac:dyDescent="0.4">
      <c r="C543" s="12" t="str">
        <f t="shared" si="32"/>
        <v/>
      </c>
      <c r="AA543" s="14">
        <f t="shared" si="33"/>
        <v>0</v>
      </c>
      <c r="AB543" s="14" t="str">
        <f>_xlfn.XLOOKUP(AA543,M_ARTIST!A:A,M_ARTIST!B:B,"★★★",0,1)</f>
        <v>★★★</v>
      </c>
      <c r="AC543" s="14">
        <f t="shared" si="34"/>
        <v>0</v>
      </c>
      <c r="AD543" s="19" t="e">
        <f>HYPERLINK(_xlfn.XLOOKUP(C543,M_YT_LIVE_TIMESTAMP!AA:AA,M_YT_LIVE_TIMESTAMP!Z:Z,"★",0,-1))</f>
        <v>#VALUE!</v>
      </c>
    </row>
    <row r="544" spans="3:30" x14ac:dyDescent="0.4">
      <c r="C544" s="12" t="str">
        <f t="shared" si="32"/>
        <v/>
      </c>
      <c r="AA544" s="14">
        <f t="shared" si="33"/>
        <v>0</v>
      </c>
      <c r="AB544" s="14" t="str">
        <f>_xlfn.XLOOKUP(AA544,M_ARTIST!A:A,M_ARTIST!B:B,"★★★",0,1)</f>
        <v>★★★</v>
      </c>
      <c r="AC544" s="14">
        <f t="shared" si="34"/>
        <v>0</v>
      </c>
      <c r="AD544" s="19" t="e">
        <f>HYPERLINK(_xlfn.XLOOKUP(C544,M_YT_LIVE_TIMESTAMP!AA:AA,M_YT_LIVE_TIMESTAMP!Z:Z,"★",0,-1))</f>
        <v>#VALUE!</v>
      </c>
    </row>
    <row r="545" spans="3:30" x14ac:dyDescent="0.4">
      <c r="C545" s="12" t="str">
        <f t="shared" si="32"/>
        <v/>
      </c>
      <c r="AA545" s="14">
        <f t="shared" si="33"/>
        <v>0</v>
      </c>
      <c r="AB545" s="14" t="str">
        <f>_xlfn.XLOOKUP(AA545,M_ARTIST!A:A,M_ARTIST!B:B,"★★★",0,1)</f>
        <v>★★★</v>
      </c>
      <c r="AC545" s="14">
        <f t="shared" si="34"/>
        <v>0</v>
      </c>
      <c r="AD545" s="19" t="e">
        <f>HYPERLINK(_xlfn.XLOOKUP(C545,M_YT_LIVE_TIMESTAMP!AA:AA,M_YT_LIVE_TIMESTAMP!Z:Z,"★",0,-1))</f>
        <v>#VALUE!</v>
      </c>
    </row>
    <row r="546" spans="3:30" x14ac:dyDescent="0.4">
      <c r="C546" s="12" t="str">
        <f t="shared" si="32"/>
        <v/>
      </c>
      <c r="AA546" s="14">
        <f t="shared" si="33"/>
        <v>0</v>
      </c>
      <c r="AB546" s="14" t="str">
        <f>_xlfn.XLOOKUP(AA546,M_ARTIST!A:A,M_ARTIST!B:B,"★★★",0,1)</f>
        <v>★★★</v>
      </c>
      <c r="AC546" s="14">
        <f t="shared" si="34"/>
        <v>0</v>
      </c>
      <c r="AD546" s="19" t="e">
        <f>HYPERLINK(_xlfn.XLOOKUP(C546,M_YT_LIVE_TIMESTAMP!AA:AA,M_YT_LIVE_TIMESTAMP!Z:Z,"★",0,-1))</f>
        <v>#VALUE!</v>
      </c>
    </row>
    <row r="547" spans="3:30" x14ac:dyDescent="0.4">
      <c r="C547" s="12" t="str">
        <f t="shared" si="32"/>
        <v/>
      </c>
      <c r="AA547" s="14">
        <f t="shared" si="33"/>
        <v>0</v>
      </c>
      <c r="AB547" s="14" t="str">
        <f>_xlfn.XLOOKUP(AA547,M_ARTIST!A:A,M_ARTIST!B:B,"★★★",0,1)</f>
        <v>★★★</v>
      </c>
      <c r="AC547" s="14">
        <f t="shared" si="34"/>
        <v>0</v>
      </c>
      <c r="AD547" s="19" t="e">
        <f>HYPERLINK(_xlfn.XLOOKUP(C547,M_YT_LIVE_TIMESTAMP!AA:AA,M_YT_LIVE_TIMESTAMP!Z:Z,"★",0,-1))</f>
        <v>#VALUE!</v>
      </c>
    </row>
    <row r="548" spans="3:30" x14ac:dyDescent="0.4">
      <c r="C548" s="12" t="str">
        <f t="shared" si="32"/>
        <v/>
      </c>
      <c r="AA548" s="14">
        <f t="shared" si="33"/>
        <v>0</v>
      </c>
      <c r="AB548" s="14" t="str">
        <f>_xlfn.XLOOKUP(AA548,M_ARTIST!A:A,M_ARTIST!B:B,"★★★",0,1)</f>
        <v>★★★</v>
      </c>
      <c r="AC548" s="14">
        <f t="shared" si="34"/>
        <v>0</v>
      </c>
      <c r="AD548" s="19" t="e">
        <f>HYPERLINK(_xlfn.XLOOKUP(C548,M_YT_LIVE_TIMESTAMP!AA:AA,M_YT_LIVE_TIMESTAMP!Z:Z,"★",0,-1))</f>
        <v>#VALUE!</v>
      </c>
    </row>
    <row r="549" spans="3:30" x14ac:dyDescent="0.4">
      <c r="C549" s="12" t="str">
        <f t="shared" si="32"/>
        <v/>
      </c>
      <c r="AA549" s="14">
        <f t="shared" si="33"/>
        <v>0</v>
      </c>
      <c r="AB549" s="14" t="str">
        <f>_xlfn.XLOOKUP(AA549,M_ARTIST!A:A,M_ARTIST!B:B,"★★★",0,1)</f>
        <v>★★★</v>
      </c>
      <c r="AC549" s="14">
        <f t="shared" si="34"/>
        <v>0</v>
      </c>
      <c r="AD549" s="19" t="e">
        <f>HYPERLINK(_xlfn.XLOOKUP(C549,M_YT_LIVE_TIMESTAMP!AA:AA,M_YT_LIVE_TIMESTAMP!Z:Z,"★",0,-1))</f>
        <v>#VALUE!</v>
      </c>
    </row>
    <row r="550" spans="3:30" x14ac:dyDescent="0.4">
      <c r="C550" s="12" t="str">
        <f t="shared" si="32"/>
        <v/>
      </c>
      <c r="AA550" s="14">
        <f t="shared" si="33"/>
        <v>0</v>
      </c>
      <c r="AB550" s="14" t="str">
        <f>_xlfn.XLOOKUP(AA550,M_ARTIST!A:A,M_ARTIST!B:B,"★★★",0,1)</f>
        <v>★★★</v>
      </c>
      <c r="AC550" s="14">
        <f t="shared" si="34"/>
        <v>0</v>
      </c>
      <c r="AD550" s="19" t="e">
        <f>HYPERLINK(_xlfn.XLOOKUP(C550,M_YT_LIVE_TIMESTAMP!AA:AA,M_YT_LIVE_TIMESTAMP!Z:Z,"★",0,-1))</f>
        <v>#VALUE!</v>
      </c>
    </row>
    <row r="551" spans="3:30" x14ac:dyDescent="0.4">
      <c r="C551" s="12" t="str">
        <f t="shared" si="32"/>
        <v/>
      </c>
      <c r="AA551" s="14">
        <f t="shared" si="33"/>
        <v>0</v>
      </c>
      <c r="AB551" s="14" t="str">
        <f>_xlfn.XLOOKUP(AA551,M_ARTIST!A:A,M_ARTIST!B:B,"★★★",0,1)</f>
        <v>★★★</v>
      </c>
      <c r="AC551" s="14">
        <f t="shared" si="34"/>
        <v>0</v>
      </c>
      <c r="AD551" s="19" t="e">
        <f>HYPERLINK(_xlfn.XLOOKUP(C551,M_YT_LIVE_TIMESTAMP!AA:AA,M_YT_LIVE_TIMESTAMP!Z:Z,"★",0,-1))</f>
        <v>#VALUE!</v>
      </c>
    </row>
    <row r="552" spans="3:30" x14ac:dyDescent="0.4">
      <c r="C552" s="12" t="str">
        <f t="shared" si="32"/>
        <v/>
      </c>
      <c r="AA552" s="14">
        <f t="shared" si="33"/>
        <v>0</v>
      </c>
      <c r="AB552" s="14" t="str">
        <f>_xlfn.XLOOKUP(AA552,M_ARTIST!A:A,M_ARTIST!B:B,"★★★",0,1)</f>
        <v>★★★</v>
      </c>
      <c r="AC552" s="14">
        <f t="shared" si="34"/>
        <v>0</v>
      </c>
      <c r="AD552" s="19" t="e">
        <f>HYPERLINK(_xlfn.XLOOKUP(C552,M_YT_LIVE_TIMESTAMP!AA:AA,M_YT_LIVE_TIMESTAMP!Z:Z,"★",0,-1))</f>
        <v>#VALUE!</v>
      </c>
    </row>
    <row r="553" spans="3:30" x14ac:dyDescent="0.4">
      <c r="C553" s="12" t="str">
        <f t="shared" si="32"/>
        <v/>
      </c>
      <c r="AA553" s="14">
        <f t="shared" si="33"/>
        <v>0</v>
      </c>
      <c r="AB553" s="14" t="str">
        <f>_xlfn.XLOOKUP(AA553,M_ARTIST!A:A,M_ARTIST!B:B,"★★★",0,1)</f>
        <v>★★★</v>
      </c>
      <c r="AC553" s="14">
        <f t="shared" si="34"/>
        <v>0</v>
      </c>
      <c r="AD553" s="19" t="e">
        <f>HYPERLINK(_xlfn.XLOOKUP(C553,M_YT_LIVE_TIMESTAMP!AA:AA,M_YT_LIVE_TIMESTAMP!Z:Z,"★",0,-1))</f>
        <v>#VALUE!</v>
      </c>
    </row>
    <row r="554" spans="3:30" x14ac:dyDescent="0.4">
      <c r="C554" s="12" t="str">
        <f t="shared" si="32"/>
        <v/>
      </c>
      <c r="AA554" s="14">
        <f t="shared" si="33"/>
        <v>0</v>
      </c>
      <c r="AB554" s="14" t="str">
        <f>_xlfn.XLOOKUP(AA554,M_ARTIST!A:A,M_ARTIST!B:B,"★★★",0,1)</f>
        <v>★★★</v>
      </c>
      <c r="AC554" s="14">
        <f t="shared" si="34"/>
        <v>0</v>
      </c>
      <c r="AD554" s="19" t="e">
        <f>HYPERLINK(_xlfn.XLOOKUP(C554,M_YT_LIVE_TIMESTAMP!AA:AA,M_YT_LIVE_TIMESTAMP!Z:Z,"★",0,-1))</f>
        <v>#VALUE!</v>
      </c>
    </row>
    <row r="555" spans="3:30" x14ac:dyDescent="0.4">
      <c r="C555" s="12" t="str">
        <f t="shared" si="32"/>
        <v/>
      </c>
      <c r="AA555" s="14">
        <f t="shared" si="33"/>
        <v>0</v>
      </c>
      <c r="AB555" s="14" t="str">
        <f>_xlfn.XLOOKUP(AA555,M_ARTIST!A:A,M_ARTIST!B:B,"★★★",0,1)</f>
        <v>★★★</v>
      </c>
      <c r="AC555" s="14">
        <f t="shared" si="34"/>
        <v>0</v>
      </c>
      <c r="AD555" s="19" t="e">
        <f>HYPERLINK(_xlfn.XLOOKUP(C555,M_YT_LIVE_TIMESTAMP!AA:AA,M_YT_LIVE_TIMESTAMP!Z:Z,"★",0,-1))</f>
        <v>#VALUE!</v>
      </c>
    </row>
    <row r="556" spans="3:30" x14ac:dyDescent="0.4">
      <c r="C556" s="12" t="str">
        <f t="shared" si="32"/>
        <v/>
      </c>
      <c r="AA556" s="14">
        <f t="shared" si="33"/>
        <v>0</v>
      </c>
      <c r="AB556" s="14" t="str">
        <f>_xlfn.XLOOKUP(AA556,M_ARTIST!A:A,M_ARTIST!B:B,"★★★",0,1)</f>
        <v>★★★</v>
      </c>
      <c r="AC556" s="14">
        <f t="shared" si="34"/>
        <v>0</v>
      </c>
      <c r="AD556" s="19" t="e">
        <f>HYPERLINK(_xlfn.XLOOKUP(C556,M_YT_LIVE_TIMESTAMP!AA:AA,M_YT_LIVE_TIMESTAMP!Z:Z,"★",0,-1))</f>
        <v>#VALUE!</v>
      </c>
    </row>
    <row r="557" spans="3:30" x14ac:dyDescent="0.4">
      <c r="C557" s="12" t="str">
        <f t="shared" si="32"/>
        <v/>
      </c>
      <c r="AA557" s="14">
        <f t="shared" si="33"/>
        <v>0</v>
      </c>
      <c r="AB557" s="14" t="str">
        <f>_xlfn.XLOOKUP(AA557,M_ARTIST!A:A,M_ARTIST!B:B,"★★★",0,1)</f>
        <v>★★★</v>
      </c>
      <c r="AC557" s="14">
        <f t="shared" si="34"/>
        <v>0</v>
      </c>
      <c r="AD557" s="19" t="e">
        <f>HYPERLINK(_xlfn.XLOOKUP(C557,M_YT_LIVE_TIMESTAMP!AA:AA,M_YT_LIVE_TIMESTAMP!Z:Z,"★",0,-1))</f>
        <v>#VALUE!</v>
      </c>
    </row>
    <row r="558" spans="3:30" x14ac:dyDescent="0.4">
      <c r="C558" s="12" t="str">
        <f t="shared" si="32"/>
        <v/>
      </c>
      <c r="AA558" s="14">
        <f t="shared" si="33"/>
        <v>0</v>
      </c>
      <c r="AB558" s="14" t="str">
        <f>_xlfn.XLOOKUP(AA558,M_ARTIST!A:A,M_ARTIST!B:B,"★★★",0,1)</f>
        <v>★★★</v>
      </c>
      <c r="AC558" s="14">
        <f t="shared" si="34"/>
        <v>0</v>
      </c>
      <c r="AD558" s="19" t="e">
        <f>HYPERLINK(_xlfn.XLOOKUP(C558,M_YT_LIVE_TIMESTAMP!AA:AA,M_YT_LIVE_TIMESTAMP!Z:Z,"★",0,-1))</f>
        <v>#VALUE!</v>
      </c>
    </row>
    <row r="559" spans="3:30" x14ac:dyDescent="0.4">
      <c r="C559" s="12" t="str">
        <f t="shared" si="32"/>
        <v/>
      </c>
      <c r="AA559" s="14">
        <f t="shared" si="33"/>
        <v>0</v>
      </c>
      <c r="AB559" s="14" t="str">
        <f>_xlfn.XLOOKUP(AA559,M_ARTIST!A:A,M_ARTIST!B:B,"★★★",0,1)</f>
        <v>★★★</v>
      </c>
      <c r="AC559" s="14">
        <f t="shared" si="34"/>
        <v>0</v>
      </c>
      <c r="AD559" s="19" t="e">
        <f>HYPERLINK(_xlfn.XLOOKUP(C559,M_YT_LIVE_TIMESTAMP!AA:AA,M_YT_LIVE_TIMESTAMP!Z:Z,"★",0,-1))</f>
        <v>#VALUE!</v>
      </c>
    </row>
    <row r="560" spans="3:30" x14ac:dyDescent="0.4">
      <c r="C560" s="12" t="str">
        <f t="shared" si="32"/>
        <v/>
      </c>
      <c r="AA560" s="14">
        <f t="shared" si="33"/>
        <v>0</v>
      </c>
      <c r="AB560" s="14" t="str">
        <f>_xlfn.XLOOKUP(AA560,M_ARTIST!A:A,M_ARTIST!B:B,"★★★",0,1)</f>
        <v>★★★</v>
      </c>
      <c r="AC560" s="14">
        <f t="shared" si="34"/>
        <v>0</v>
      </c>
      <c r="AD560" s="19" t="e">
        <f>HYPERLINK(_xlfn.XLOOKUP(C560,M_YT_LIVE_TIMESTAMP!AA:AA,M_YT_LIVE_TIMESTAMP!Z:Z,"★",0,-1))</f>
        <v>#VALUE!</v>
      </c>
    </row>
    <row r="561" spans="3:30" x14ac:dyDescent="0.4">
      <c r="C561" s="12" t="str">
        <f t="shared" si="32"/>
        <v/>
      </c>
      <c r="AA561" s="14">
        <f t="shared" si="33"/>
        <v>0</v>
      </c>
      <c r="AB561" s="14" t="str">
        <f>_xlfn.XLOOKUP(AA561,M_ARTIST!A:A,M_ARTIST!B:B,"★★★",0,1)</f>
        <v>★★★</v>
      </c>
      <c r="AC561" s="14">
        <f t="shared" si="34"/>
        <v>0</v>
      </c>
      <c r="AD561" s="19" t="e">
        <f>HYPERLINK(_xlfn.XLOOKUP(C561,M_YT_LIVE_TIMESTAMP!AA:AA,M_YT_LIVE_TIMESTAMP!Z:Z,"★",0,-1))</f>
        <v>#VALUE!</v>
      </c>
    </row>
    <row r="562" spans="3:30" x14ac:dyDescent="0.4">
      <c r="C562" s="12" t="str">
        <f t="shared" si="32"/>
        <v/>
      </c>
      <c r="AA562" s="14">
        <f t="shared" si="33"/>
        <v>0</v>
      </c>
      <c r="AB562" s="14" t="str">
        <f>_xlfn.XLOOKUP(AA562,M_ARTIST!A:A,M_ARTIST!B:B,"★★★",0,1)</f>
        <v>★★★</v>
      </c>
      <c r="AC562" s="14">
        <f t="shared" si="34"/>
        <v>0</v>
      </c>
      <c r="AD562" s="19" t="e">
        <f>HYPERLINK(_xlfn.XLOOKUP(C562,M_YT_LIVE_TIMESTAMP!AA:AA,M_YT_LIVE_TIMESTAMP!Z:Z,"★",0,-1))</f>
        <v>#VALUE!</v>
      </c>
    </row>
    <row r="563" spans="3:30" x14ac:dyDescent="0.4">
      <c r="C563" s="12" t="str">
        <f t="shared" si="32"/>
        <v/>
      </c>
      <c r="AA563" s="14">
        <f t="shared" si="33"/>
        <v>0</v>
      </c>
      <c r="AB563" s="14" t="str">
        <f>_xlfn.XLOOKUP(AA563,M_ARTIST!A:A,M_ARTIST!B:B,"★★★",0,1)</f>
        <v>★★★</v>
      </c>
      <c r="AC563" s="14">
        <f t="shared" si="34"/>
        <v>0</v>
      </c>
      <c r="AD563" s="19" t="e">
        <f>HYPERLINK(_xlfn.XLOOKUP(C563,M_YT_LIVE_TIMESTAMP!AA:AA,M_YT_LIVE_TIMESTAMP!Z:Z,"★",0,-1))</f>
        <v>#VALUE!</v>
      </c>
    </row>
    <row r="564" spans="3:30" x14ac:dyDescent="0.4">
      <c r="C564" s="12" t="str">
        <f t="shared" si="32"/>
        <v/>
      </c>
      <c r="AA564" s="14">
        <f t="shared" si="33"/>
        <v>0</v>
      </c>
      <c r="AB564" s="14" t="str">
        <f>_xlfn.XLOOKUP(AA564,M_ARTIST!A:A,M_ARTIST!B:B,"★★★",0,1)</f>
        <v>★★★</v>
      </c>
      <c r="AC564" s="14">
        <f t="shared" si="34"/>
        <v>0</v>
      </c>
      <c r="AD564" s="19" t="e">
        <f>HYPERLINK(_xlfn.XLOOKUP(C564,M_YT_LIVE_TIMESTAMP!AA:AA,M_YT_LIVE_TIMESTAMP!Z:Z,"★",0,-1))</f>
        <v>#VALUE!</v>
      </c>
    </row>
    <row r="565" spans="3:30" x14ac:dyDescent="0.4">
      <c r="C565" s="12" t="str">
        <f t="shared" si="32"/>
        <v/>
      </c>
      <c r="AA565" s="14">
        <f t="shared" si="33"/>
        <v>0</v>
      </c>
      <c r="AB565" s="14" t="str">
        <f>_xlfn.XLOOKUP(AA565,M_ARTIST!A:A,M_ARTIST!B:B,"★★★",0,1)</f>
        <v>★★★</v>
      </c>
      <c r="AC565" s="14">
        <f t="shared" si="34"/>
        <v>0</v>
      </c>
      <c r="AD565" s="19" t="e">
        <f>HYPERLINK(_xlfn.XLOOKUP(C565,M_YT_LIVE_TIMESTAMP!AA:AA,M_YT_LIVE_TIMESTAMP!Z:Z,"★",0,-1))</f>
        <v>#VALUE!</v>
      </c>
    </row>
    <row r="566" spans="3:30" x14ac:dyDescent="0.4">
      <c r="C566" s="12" t="str">
        <f t="shared" si="32"/>
        <v/>
      </c>
      <c r="AA566" s="14">
        <f t="shared" si="33"/>
        <v>0</v>
      </c>
      <c r="AB566" s="14" t="str">
        <f>_xlfn.XLOOKUP(AA566,M_ARTIST!A:A,M_ARTIST!B:B,"★★★",0,1)</f>
        <v>★★★</v>
      </c>
      <c r="AC566" s="14">
        <f t="shared" si="34"/>
        <v>0</v>
      </c>
      <c r="AD566" s="19" t="e">
        <f>HYPERLINK(_xlfn.XLOOKUP(C566,M_YT_LIVE_TIMESTAMP!AA:AA,M_YT_LIVE_TIMESTAMP!Z:Z,"★",0,-1))</f>
        <v>#VALUE!</v>
      </c>
    </row>
    <row r="567" spans="3:30" x14ac:dyDescent="0.4">
      <c r="C567" s="12" t="str">
        <f t="shared" si="32"/>
        <v/>
      </c>
      <c r="AA567" s="14">
        <f t="shared" si="33"/>
        <v>0</v>
      </c>
      <c r="AB567" s="14" t="str">
        <f>_xlfn.XLOOKUP(AA567,M_ARTIST!A:A,M_ARTIST!B:B,"★★★",0,1)</f>
        <v>★★★</v>
      </c>
      <c r="AC567" s="14">
        <f t="shared" si="34"/>
        <v>0</v>
      </c>
      <c r="AD567" s="19" t="e">
        <f>HYPERLINK(_xlfn.XLOOKUP(C567,M_YT_LIVE_TIMESTAMP!AA:AA,M_YT_LIVE_TIMESTAMP!Z:Z,"★",0,-1))</f>
        <v>#VALUE!</v>
      </c>
    </row>
    <row r="568" spans="3:30" x14ac:dyDescent="0.4">
      <c r="C568" s="12" t="str">
        <f t="shared" si="32"/>
        <v/>
      </c>
      <c r="AA568" s="14">
        <f t="shared" si="33"/>
        <v>0</v>
      </c>
      <c r="AB568" s="14" t="str">
        <f>_xlfn.XLOOKUP(AA568,M_ARTIST!A:A,M_ARTIST!B:B,"★★★",0,1)</f>
        <v>★★★</v>
      </c>
      <c r="AC568" s="14">
        <f t="shared" si="34"/>
        <v>0</v>
      </c>
      <c r="AD568" s="19" t="e">
        <f>HYPERLINK(_xlfn.XLOOKUP(C568,M_YT_LIVE_TIMESTAMP!AA:AA,M_YT_LIVE_TIMESTAMP!Z:Z,"★",0,-1))</f>
        <v>#VALUE!</v>
      </c>
    </row>
    <row r="569" spans="3:30" x14ac:dyDescent="0.4">
      <c r="C569" s="12" t="str">
        <f t="shared" si="32"/>
        <v/>
      </c>
      <c r="AA569" s="14">
        <f t="shared" si="33"/>
        <v>0</v>
      </c>
      <c r="AB569" s="14" t="str">
        <f>_xlfn.XLOOKUP(AA569,M_ARTIST!A:A,M_ARTIST!B:B,"★★★",0,1)</f>
        <v>★★★</v>
      </c>
      <c r="AC569" s="14">
        <f t="shared" si="34"/>
        <v>0</v>
      </c>
      <c r="AD569" s="19" t="e">
        <f>HYPERLINK(_xlfn.XLOOKUP(C569,M_YT_LIVE_TIMESTAMP!AA:AA,M_YT_LIVE_TIMESTAMP!Z:Z,"★",0,-1))</f>
        <v>#VALUE!</v>
      </c>
    </row>
    <row r="570" spans="3:30" x14ac:dyDescent="0.4">
      <c r="C570" s="12" t="str">
        <f t="shared" si="32"/>
        <v/>
      </c>
      <c r="AA570" s="14">
        <f t="shared" si="33"/>
        <v>0</v>
      </c>
      <c r="AB570" s="14" t="str">
        <f>_xlfn.XLOOKUP(AA570,M_ARTIST!A:A,M_ARTIST!B:B,"★★★",0,1)</f>
        <v>★★★</v>
      </c>
      <c r="AC570" s="14">
        <f t="shared" si="34"/>
        <v>0</v>
      </c>
      <c r="AD570" s="19" t="e">
        <f>HYPERLINK(_xlfn.XLOOKUP(C570,M_YT_LIVE_TIMESTAMP!AA:AA,M_YT_LIVE_TIMESTAMP!Z:Z,"★",0,-1))</f>
        <v>#VALUE!</v>
      </c>
    </row>
    <row r="571" spans="3:30" x14ac:dyDescent="0.4">
      <c r="C571" s="12" t="str">
        <f t="shared" si="32"/>
        <v/>
      </c>
      <c r="AA571" s="14">
        <f t="shared" si="33"/>
        <v>0</v>
      </c>
      <c r="AB571" s="14" t="str">
        <f>_xlfn.XLOOKUP(AA571,M_ARTIST!A:A,M_ARTIST!B:B,"★★★",0,1)</f>
        <v>★★★</v>
      </c>
      <c r="AC571" s="14">
        <f t="shared" si="34"/>
        <v>0</v>
      </c>
      <c r="AD571" s="19" t="e">
        <f>HYPERLINK(_xlfn.XLOOKUP(C571,M_YT_LIVE_TIMESTAMP!AA:AA,M_YT_LIVE_TIMESTAMP!Z:Z,"★",0,-1))</f>
        <v>#VALUE!</v>
      </c>
    </row>
    <row r="572" spans="3:30" x14ac:dyDescent="0.4">
      <c r="C572" s="12" t="str">
        <f t="shared" si="32"/>
        <v/>
      </c>
      <c r="AA572" s="14">
        <f t="shared" si="33"/>
        <v>0</v>
      </c>
      <c r="AB572" s="14" t="str">
        <f>_xlfn.XLOOKUP(AA572,M_ARTIST!A:A,M_ARTIST!B:B,"★★★",0,1)</f>
        <v>★★★</v>
      </c>
      <c r="AC572" s="14">
        <f t="shared" si="34"/>
        <v>0</v>
      </c>
      <c r="AD572" s="19" t="e">
        <f>HYPERLINK(_xlfn.XLOOKUP(C572,M_YT_LIVE_TIMESTAMP!AA:AA,M_YT_LIVE_TIMESTAMP!Z:Z,"★",0,-1))</f>
        <v>#VALUE!</v>
      </c>
    </row>
    <row r="573" spans="3:30" x14ac:dyDescent="0.4">
      <c r="C573" s="12" t="str">
        <f t="shared" si="32"/>
        <v/>
      </c>
      <c r="AA573" s="14">
        <f t="shared" si="33"/>
        <v>0</v>
      </c>
      <c r="AB573" s="14" t="str">
        <f>_xlfn.XLOOKUP(AA573,M_ARTIST!A:A,M_ARTIST!B:B,"★★★",0,1)</f>
        <v>★★★</v>
      </c>
      <c r="AC573" s="14">
        <f t="shared" si="34"/>
        <v>0</v>
      </c>
      <c r="AD573" s="19" t="e">
        <f>HYPERLINK(_xlfn.XLOOKUP(C573,M_YT_LIVE_TIMESTAMP!AA:AA,M_YT_LIVE_TIMESTAMP!Z:Z,"★",0,-1))</f>
        <v>#VALUE!</v>
      </c>
    </row>
    <row r="574" spans="3:30" x14ac:dyDescent="0.4">
      <c r="C574" s="12" t="str">
        <f t="shared" si="32"/>
        <v/>
      </c>
      <c r="AA574" s="14">
        <f t="shared" si="33"/>
        <v>0</v>
      </c>
      <c r="AB574" s="14" t="str">
        <f>_xlfn.XLOOKUP(AA574,M_ARTIST!A:A,M_ARTIST!B:B,"★★★",0,1)</f>
        <v>★★★</v>
      </c>
      <c r="AC574" s="14">
        <f t="shared" si="34"/>
        <v>0</v>
      </c>
      <c r="AD574" s="19" t="e">
        <f>HYPERLINK(_xlfn.XLOOKUP(C574,M_YT_LIVE_TIMESTAMP!AA:AA,M_YT_LIVE_TIMESTAMP!Z:Z,"★",0,-1))</f>
        <v>#VALUE!</v>
      </c>
    </row>
    <row r="575" spans="3:30" x14ac:dyDescent="0.4">
      <c r="C575" s="12" t="str">
        <f t="shared" si="32"/>
        <v/>
      </c>
      <c r="AA575" s="14">
        <f t="shared" si="33"/>
        <v>0</v>
      </c>
      <c r="AB575" s="14" t="str">
        <f>_xlfn.XLOOKUP(AA575,M_ARTIST!A:A,M_ARTIST!B:B,"★★★",0,1)</f>
        <v>★★★</v>
      </c>
      <c r="AC575" s="14">
        <f t="shared" si="34"/>
        <v>0</v>
      </c>
      <c r="AD575" s="19" t="e">
        <f>HYPERLINK(_xlfn.XLOOKUP(C575,M_YT_LIVE_TIMESTAMP!AA:AA,M_YT_LIVE_TIMESTAMP!Z:Z,"★",0,-1))</f>
        <v>#VALUE!</v>
      </c>
    </row>
    <row r="576" spans="3:30" x14ac:dyDescent="0.4">
      <c r="C576" s="12" t="str">
        <f t="shared" si="32"/>
        <v/>
      </c>
      <c r="AA576" s="14">
        <f t="shared" si="33"/>
        <v>0</v>
      </c>
      <c r="AB576" s="14" t="str">
        <f>_xlfn.XLOOKUP(AA576,M_ARTIST!A:A,M_ARTIST!B:B,"★★★",0,1)</f>
        <v>★★★</v>
      </c>
      <c r="AC576" s="14">
        <f t="shared" si="34"/>
        <v>0</v>
      </c>
      <c r="AD576" s="19" t="e">
        <f>HYPERLINK(_xlfn.XLOOKUP(C576,M_YT_LIVE_TIMESTAMP!AA:AA,M_YT_LIVE_TIMESTAMP!Z:Z,"★",0,-1))</f>
        <v>#VALUE!</v>
      </c>
    </row>
    <row r="577" spans="3:30" x14ac:dyDescent="0.4">
      <c r="C577" s="12" t="str">
        <f t="shared" si="32"/>
        <v/>
      </c>
      <c r="AA577" s="14">
        <f t="shared" si="33"/>
        <v>0</v>
      </c>
      <c r="AB577" s="14" t="str">
        <f>_xlfn.XLOOKUP(AA577,M_ARTIST!A:A,M_ARTIST!B:B,"★★★",0,1)</f>
        <v>★★★</v>
      </c>
      <c r="AC577" s="14">
        <f t="shared" si="34"/>
        <v>0</v>
      </c>
      <c r="AD577" s="19" t="e">
        <f>HYPERLINK(_xlfn.XLOOKUP(C577,M_YT_LIVE_TIMESTAMP!AA:AA,M_YT_LIVE_TIMESTAMP!Z:Z,"★",0,-1))</f>
        <v>#VALUE!</v>
      </c>
    </row>
    <row r="578" spans="3:30" x14ac:dyDescent="0.4">
      <c r="C578" s="12" t="str">
        <f t="shared" si="32"/>
        <v/>
      </c>
      <c r="AA578" s="14">
        <f t="shared" si="33"/>
        <v>0</v>
      </c>
      <c r="AB578" s="14" t="str">
        <f>_xlfn.XLOOKUP(AA578,M_ARTIST!A:A,M_ARTIST!B:B,"★★★",0,1)</f>
        <v>★★★</v>
      </c>
      <c r="AC578" s="14">
        <f t="shared" si="34"/>
        <v>0</v>
      </c>
      <c r="AD578" s="19" t="e">
        <f>HYPERLINK(_xlfn.XLOOKUP(C578,M_YT_LIVE_TIMESTAMP!AA:AA,M_YT_LIVE_TIMESTAMP!Z:Z,"★",0,-1))</f>
        <v>#VALUE!</v>
      </c>
    </row>
    <row r="579" spans="3:30" x14ac:dyDescent="0.4">
      <c r="C579" s="12" t="str">
        <f t="shared" si="32"/>
        <v/>
      </c>
      <c r="AA579" s="14">
        <f t="shared" si="33"/>
        <v>0</v>
      </c>
      <c r="AB579" s="14" t="str">
        <f>_xlfn.XLOOKUP(AA579,M_ARTIST!A:A,M_ARTIST!B:B,"★★★",0,1)</f>
        <v>★★★</v>
      </c>
      <c r="AC579" s="14">
        <f t="shared" si="34"/>
        <v>0</v>
      </c>
      <c r="AD579" s="19" t="e">
        <f>HYPERLINK(_xlfn.XLOOKUP(C579,M_YT_LIVE_TIMESTAMP!AA:AA,M_YT_LIVE_TIMESTAMP!Z:Z,"★",0,-1))</f>
        <v>#VALUE!</v>
      </c>
    </row>
    <row r="580" spans="3:30" x14ac:dyDescent="0.4">
      <c r="C580" s="12" t="str">
        <f t="shared" si="32"/>
        <v/>
      </c>
      <c r="AA580" s="14">
        <f t="shared" si="33"/>
        <v>0</v>
      </c>
      <c r="AB580" s="14" t="str">
        <f>_xlfn.XLOOKUP(AA580,M_ARTIST!A:A,M_ARTIST!B:B,"★★★",0,1)</f>
        <v>★★★</v>
      </c>
      <c r="AC580" s="14">
        <f t="shared" si="34"/>
        <v>0</v>
      </c>
      <c r="AD580" s="19" t="e">
        <f>HYPERLINK(_xlfn.XLOOKUP(C580,M_YT_LIVE_TIMESTAMP!AA:AA,M_YT_LIVE_TIMESTAMP!Z:Z,"★",0,-1))</f>
        <v>#VALUE!</v>
      </c>
    </row>
    <row r="581" spans="3:30" x14ac:dyDescent="0.4">
      <c r="C581" s="12" t="str">
        <f t="shared" si="32"/>
        <v/>
      </c>
      <c r="AA581" s="14">
        <f t="shared" si="33"/>
        <v>0</v>
      </c>
      <c r="AB581" s="14" t="str">
        <f>_xlfn.XLOOKUP(AA581,M_ARTIST!A:A,M_ARTIST!B:B,"★★★",0,1)</f>
        <v>★★★</v>
      </c>
      <c r="AC581" s="14">
        <f t="shared" si="34"/>
        <v>0</v>
      </c>
      <c r="AD581" s="19" t="e">
        <f>HYPERLINK(_xlfn.XLOOKUP(C581,M_YT_LIVE_TIMESTAMP!AA:AA,M_YT_LIVE_TIMESTAMP!Z:Z,"★",0,-1))</f>
        <v>#VALUE!</v>
      </c>
    </row>
    <row r="582" spans="3:30" x14ac:dyDescent="0.4">
      <c r="C582" s="12" t="str">
        <f t="shared" si="32"/>
        <v/>
      </c>
      <c r="AA582" s="14">
        <f t="shared" si="33"/>
        <v>0</v>
      </c>
      <c r="AB582" s="14" t="str">
        <f>_xlfn.XLOOKUP(AA582,M_ARTIST!A:A,M_ARTIST!B:B,"★★★",0,1)</f>
        <v>★★★</v>
      </c>
      <c r="AC582" s="14">
        <f t="shared" si="34"/>
        <v>0</v>
      </c>
      <c r="AD582" s="19" t="e">
        <f>HYPERLINK(_xlfn.XLOOKUP(C582,M_YT_LIVE_TIMESTAMP!AA:AA,M_YT_LIVE_TIMESTAMP!Z:Z,"★",0,-1))</f>
        <v>#VALUE!</v>
      </c>
    </row>
    <row r="583" spans="3:30" x14ac:dyDescent="0.4">
      <c r="C583" s="12" t="str">
        <f t="shared" si="32"/>
        <v/>
      </c>
      <c r="AA583" s="14">
        <f t="shared" si="33"/>
        <v>0</v>
      </c>
      <c r="AB583" s="14" t="str">
        <f>_xlfn.XLOOKUP(AA583,M_ARTIST!A:A,M_ARTIST!B:B,"★★★",0,1)</f>
        <v>★★★</v>
      </c>
      <c r="AC583" s="14">
        <f t="shared" si="34"/>
        <v>0</v>
      </c>
      <c r="AD583" s="19" t="e">
        <f>HYPERLINK(_xlfn.XLOOKUP(C583,M_YT_LIVE_TIMESTAMP!AA:AA,M_YT_LIVE_TIMESTAMP!Z:Z,"★",0,-1))</f>
        <v>#VALUE!</v>
      </c>
    </row>
    <row r="584" spans="3:30" x14ac:dyDescent="0.4">
      <c r="C584" s="12" t="str">
        <f t="shared" si="32"/>
        <v/>
      </c>
      <c r="AA584" s="14">
        <f t="shared" si="33"/>
        <v>0</v>
      </c>
      <c r="AB584" s="14" t="str">
        <f>_xlfn.XLOOKUP(AA584,M_ARTIST!A:A,M_ARTIST!B:B,"★★★",0,1)</f>
        <v>★★★</v>
      </c>
      <c r="AC584" s="14">
        <f t="shared" si="34"/>
        <v>0</v>
      </c>
      <c r="AD584" s="19" t="e">
        <f>HYPERLINK(_xlfn.XLOOKUP(C584,M_YT_LIVE_TIMESTAMP!AA:AA,M_YT_LIVE_TIMESTAMP!Z:Z,"★",0,-1))</f>
        <v>#VALUE!</v>
      </c>
    </row>
    <row r="585" spans="3:30" x14ac:dyDescent="0.4">
      <c r="C585" s="12" t="str">
        <f t="shared" si="32"/>
        <v/>
      </c>
      <c r="AA585" s="14">
        <f t="shared" si="33"/>
        <v>0</v>
      </c>
      <c r="AB585" s="14" t="str">
        <f>_xlfn.XLOOKUP(AA585,M_ARTIST!A:A,M_ARTIST!B:B,"★★★",0,1)</f>
        <v>★★★</v>
      </c>
      <c r="AC585" s="14">
        <f t="shared" si="34"/>
        <v>0</v>
      </c>
      <c r="AD585" s="19" t="e">
        <f>HYPERLINK(_xlfn.XLOOKUP(C585,M_YT_LIVE_TIMESTAMP!AA:AA,M_YT_LIVE_TIMESTAMP!Z:Z,"★",0,-1))</f>
        <v>#VALUE!</v>
      </c>
    </row>
    <row r="586" spans="3:30" x14ac:dyDescent="0.4">
      <c r="C586" s="12" t="str">
        <f t="shared" si="32"/>
        <v/>
      </c>
      <c r="AA586" s="14">
        <f t="shared" si="33"/>
        <v>0</v>
      </c>
      <c r="AB586" s="14" t="str">
        <f>_xlfn.XLOOKUP(AA586,M_ARTIST!A:A,M_ARTIST!B:B,"★★★",0,1)</f>
        <v>★★★</v>
      </c>
      <c r="AC586" s="14">
        <f t="shared" si="34"/>
        <v>0</v>
      </c>
      <c r="AD586" s="19" t="e">
        <f>HYPERLINK(_xlfn.XLOOKUP(C586,M_YT_LIVE_TIMESTAMP!AA:AA,M_YT_LIVE_TIMESTAMP!Z:Z,"★",0,-1))</f>
        <v>#VALUE!</v>
      </c>
    </row>
    <row r="587" spans="3:30" x14ac:dyDescent="0.4">
      <c r="C587" s="12" t="str">
        <f t="shared" si="32"/>
        <v/>
      </c>
      <c r="AA587" s="14">
        <f t="shared" si="33"/>
        <v>0</v>
      </c>
      <c r="AB587" s="14" t="str">
        <f>_xlfn.XLOOKUP(AA587,M_ARTIST!A:A,M_ARTIST!B:B,"★★★",0,1)</f>
        <v>★★★</v>
      </c>
      <c r="AC587" s="14">
        <f t="shared" si="34"/>
        <v>0</v>
      </c>
      <c r="AD587" s="19" t="e">
        <f>HYPERLINK(_xlfn.XLOOKUP(C587,M_YT_LIVE_TIMESTAMP!AA:AA,M_YT_LIVE_TIMESTAMP!Z:Z,"★",0,-1))</f>
        <v>#VALUE!</v>
      </c>
    </row>
    <row r="588" spans="3:30" x14ac:dyDescent="0.4">
      <c r="C588" s="12" t="str">
        <f t="shared" si="32"/>
        <v/>
      </c>
      <c r="AA588" s="14">
        <f t="shared" si="33"/>
        <v>0</v>
      </c>
      <c r="AB588" s="14" t="str">
        <f>_xlfn.XLOOKUP(AA588,M_ARTIST!A:A,M_ARTIST!B:B,"★★★",0,1)</f>
        <v>★★★</v>
      </c>
      <c r="AC588" s="14">
        <f t="shared" si="34"/>
        <v>0</v>
      </c>
      <c r="AD588" s="19" t="e">
        <f>HYPERLINK(_xlfn.XLOOKUP(C588,M_YT_LIVE_TIMESTAMP!AA:AA,M_YT_LIVE_TIMESTAMP!Z:Z,"★",0,-1))</f>
        <v>#VALUE!</v>
      </c>
    </row>
    <row r="589" spans="3:30" x14ac:dyDescent="0.4">
      <c r="C589" s="12" t="str">
        <f t="shared" si="32"/>
        <v/>
      </c>
      <c r="AA589" s="14">
        <f t="shared" si="33"/>
        <v>0</v>
      </c>
      <c r="AB589" s="14" t="str">
        <f>_xlfn.XLOOKUP(AA589,M_ARTIST!A:A,M_ARTIST!B:B,"★★★",0,1)</f>
        <v>★★★</v>
      </c>
      <c r="AC589" s="14">
        <f t="shared" si="34"/>
        <v>0</v>
      </c>
      <c r="AD589" s="19" t="e">
        <f>HYPERLINK(_xlfn.XLOOKUP(C589,M_YT_LIVE_TIMESTAMP!AA:AA,M_YT_LIVE_TIMESTAMP!Z:Z,"★",0,-1))</f>
        <v>#VALUE!</v>
      </c>
    </row>
    <row r="590" spans="3:30" x14ac:dyDescent="0.4">
      <c r="C590" s="12" t="str">
        <f t="shared" si="32"/>
        <v/>
      </c>
      <c r="AA590" s="14">
        <f t="shared" si="33"/>
        <v>0</v>
      </c>
      <c r="AB590" s="14" t="str">
        <f>_xlfn.XLOOKUP(AA590,M_ARTIST!A:A,M_ARTIST!B:B,"★★★",0,1)</f>
        <v>★★★</v>
      </c>
      <c r="AC590" s="14">
        <f t="shared" si="34"/>
        <v>0</v>
      </c>
      <c r="AD590" s="19" t="e">
        <f>HYPERLINK(_xlfn.XLOOKUP(C590,M_YT_LIVE_TIMESTAMP!AA:AA,M_YT_LIVE_TIMESTAMP!Z:Z,"★",0,-1))</f>
        <v>#VALUE!</v>
      </c>
    </row>
    <row r="591" spans="3:30" x14ac:dyDescent="0.4">
      <c r="C591" s="12" t="str">
        <f t="shared" si="32"/>
        <v/>
      </c>
      <c r="AA591" s="14">
        <f t="shared" si="33"/>
        <v>0</v>
      </c>
      <c r="AB591" s="14" t="str">
        <f>_xlfn.XLOOKUP(AA591,M_ARTIST!A:A,M_ARTIST!B:B,"★★★",0,1)</f>
        <v>★★★</v>
      </c>
      <c r="AC591" s="14">
        <f t="shared" si="34"/>
        <v>0</v>
      </c>
      <c r="AD591" s="19" t="e">
        <f>HYPERLINK(_xlfn.XLOOKUP(C591,M_YT_LIVE_TIMESTAMP!AA:AA,M_YT_LIVE_TIMESTAMP!Z:Z,"★",0,-1))</f>
        <v>#VALUE!</v>
      </c>
    </row>
    <row r="592" spans="3:30" x14ac:dyDescent="0.4">
      <c r="C592" s="12" t="str">
        <f t="shared" si="32"/>
        <v/>
      </c>
      <c r="AA592" s="14">
        <f t="shared" si="33"/>
        <v>0</v>
      </c>
      <c r="AB592" s="14" t="str">
        <f>_xlfn.XLOOKUP(AA592,M_ARTIST!A:A,M_ARTIST!B:B,"★★★",0,1)</f>
        <v>★★★</v>
      </c>
      <c r="AC592" s="14">
        <f t="shared" si="34"/>
        <v>0</v>
      </c>
      <c r="AD592" s="19" t="e">
        <f>HYPERLINK(_xlfn.XLOOKUP(C592,M_YT_LIVE_TIMESTAMP!AA:AA,M_YT_LIVE_TIMESTAMP!Z:Z,"★",0,-1))</f>
        <v>#VALUE!</v>
      </c>
    </row>
    <row r="593" spans="3:30" x14ac:dyDescent="0.4">
      <c r="C593" s="12" t="str">
        <f t="shared" si="32"/>
        <v/>
      </c>
      <c r="AA593" s="14">
        <f t="shared" si="33"/>
        <v>0</v>
      </c>
      <c r="AB593" s="14" t="str">
        <f>_xlfn.XLOOKUP(AA593,M_ARTIST!A:A,M_ARTIST!B:B,"★★★",0,1)</f>
        <v>★★★</v>
      </c>
      <c r="AC593" s="14">
        <f t="shared" si="34"/>
        <v>0</v>
      </c>
      <c r="AD593" s="19" t="e">
        <f>HYPERLINK(_xlfn.XLOOKUP(C593,M_YT_LIVE_TIMESTAMP!AA:AA,M_YT_LIVE_TIMESTAMP!Z:Z,"★",0,-1))</f>
        <v>#VALUE!</v>
      </c>
    </row>
    <row r="594" spans="3:30" x14ac:dyDescent="0.4">
      <c r="C594" s="12" t="str">
        <f t="shared" si="32"/>
        <v/>
      </c>
      <c r="AA594" s="14">
        <f t="shared" si="33"/>
        <v>0</v>
      </c>
      <c r="AB594" s="14" t="str">
        <f>_xlfn.XLOOKUP(AA594,M_ARTIST!A:A,M_ARTIST!B:B,"★★★",0,1)</f>
        <v>★★★</v>
      </c>
      <c r="AC594" s="14">
        <f t="shared" si="34"/>
        <v>0</v>
      </c>
      <c r="AD594" s="19" t="e">
        <f>HYPERLINK(_xlfn.XLOOKUP(C594,M_YT_LIVE_TIMESTAMP!AA:AA,M_YT_LIVE_TIMESTAMP!Z:Z,"★",0,-1))</f>
        <v>#VALUE!</v>
      </c>
    </row>
    <row r="595" spans="3:30" x14ac:dyDescent="0.4">
      <c r="C595" s="12" t="str">
        <f t="shared" ref="C595:C658" si="35">TRIM(B595)&amp;TRIM(A595)</f>
        <v/>
      </c>
      <c r="AA595" s="14">
        <f t="shared" ref="AA595:AA658" si="36">B595</f>
        <v>0</v>
      </c>
      <c r="AB595" s="14" t="str">
        <f>_xlfn.XLOOKUP(AA595,M_ARTIST!A:A,M_ARTIST!B:B,"★★★",0,1)</f>
        <v>★★★</v>
      </c>
      <c r="AC595" s="14">
        <f t="shared" ref="AC595:AC658" si="37">A595</f>
        <v>0</v>
      </c>
      <c r="AD595" s="19" t="e">
        <f>HYPERLINK(_xlfn.XLOOKUP(C595,M_YT_LIVE_TIMESTAMP!AA:AA,M_YT_LIVE_TIMESTAMP!Z:Z,"★",0,-1))</f>
        <v>#VALUE!</v>
      </c>
    </row>
    <row r="596" spans="3:30" x14ac:dyDescent="0.4">
      <c r="C596" s="12" t="str">
        <f t="shared" si="35"/>
        <v/>
      </c>
      <c r="AA596" s="14">
        <f t="shared" si="36"/>
        <v>0</v>
      </c>
      <c r="AB596" s="14" t="str">
        <f>_xlfn.XLOOKUP(AA596,M_ARTIST!A:A,M_ARTIST!B:B,"★★★",0,1)</f>
        <v>★★★</v>
      </c>
      <c r="AC596" s="14">
        <f t="shared" si="37"/>
        <v>0</v>
      </c>
      <c r="AD596" s="19" t="e">
        <f>HYPERLINK(_xlfn.XLOOKUP(C596,M_YT_LIVE_TIMESTAMP!AA:AA,M_YT_LIVE_TIMESTAMP!Z:Z,"★",0,-1))</f>
        <v>#VALUE!</v>
      </c>
    </row>
    <row r="597" spans="3:30" x14ac:dyDescent="0.4">
      <c r="C597" s="12" t="str">
        <f t="shared" si="35"/>
        <v/>
      </c>
      <c r="AA597" s="14">
        <f t="shared" si="36"/>
        <v>0</v>
      </c>
      <c r="AB597" s="14" t="str">
        <f>_xlfn.XLOOKUP(AA597,M_ARTIST!A:A,M_ARTIST!B:B,"★★★",0,1)</f>
        <v>★★★</v>
      </c>
      <c r="AC597" s="14">
        <f t="shared" si="37"/>
        <v>0</v>
      </c>
      <c r="AD597" s="19" t="e">
        <f>HYPERLINK(_xlfn.XLOOKUP(C597,M_YT_LIVE_TIMESTAMP!AA:AA,M_YT_LIVE_TIMESTAMP!Z:Z,"★",0,-1))</f>
        <v>#VALUE!</v>
      </c>
    </row>
    <row r="598" spans="3:30" x14ac:dyDescent="0.4">
      <c r="C598" s="12" t="str">
        <f t="shared" si="35"/>
        <v/>
      </c>
      <c r="AA598" s="14">
        <f t="shared" si="36"/>
        <v>0</v>
      </c>
      <c r="AB598" s="14" t="str">
        <f>_xlfn.XLOOKUP(AA598,M_ARTIST!A:A,M_ARTIST!B:B,"★★★",0,1)</f>
        <v>★★★</v>
      </c>
      <c r="AC598" s="14">
        <f t="shared" si="37"/>
        <v>0</v>
      </c>
      <c r="AD598" s="19" t="e">
        <f>HYPERLINK(_xlfn.XLOOKUP(C598,M_YT_LIVE_TIMESTAMP!AA:AA,M_YT_LIVE_TIMESTAMP!Z:Z,"★",0,-1))</f>
        <v>#VALUE!</v>
      </c>
    </row>
    <row r="599" spans="3:30" x14ac:dyDescent="0.4">
      <c r="C599" s="12" t="str">
        <f t="shared" si="35"/>
        <v/>
      </c>
      <c r="AA599" s="14">
        <f t="shared" si="36"/>
        <v>0</v>
      </c>
      <c r="AB599" s="14" t="str">
        <f>_xlfn.XLOOKUP(AA599,M_ARTIST!A:A,M_ARTIST!B:B,"★★★",0,1)</f>
        <v>★★★</v>
      </c>
      <c r="AC599" s="14">
        <f t="shared" si="37"/>
        <v>0</v>
      </c>
      <c r="AD599" s="19" t="e">
        <f>HYPERLINK(_xlfn.XLOOKUP(C599,M_YT_LIVE_TIMESTAMP!AA:AA,M_YT_LIVE_TIMESTAMP!Z:Z,"★",0,-1))</f>
        <v>#VALUE!</v>
      </c>
    </row>
    <row r="600" spans="3:30" x14ac:dyDescent="0.4">
      <c r="C600" s="12" t="str">
        <f t="shared" si="35"/>
        <v/>
      </c>
      <c r="AA600" s="14">
        <f t="shared" si="36"/>
        <v>0</v>
      </c>
      <c r="AB600" s="14" t="str">
        <f>_xlfn.XLOOKUP(AA600,M_ARTIST!A:A,M_ARTIST!B:B,"★★★",0,1)</f>
        <v>★★★</v>
      </c>
      <c r="AC600" s="14">
        <f t="shared" si="37"/>
        <v>0</v>
      </c>
      <c r="AD600" s="19" t="e">
        <f>HYPERLINK(_xlfn.XLOOKUP(C600,M_YT_LIVE_TIMESTAMP!AA:AA,M_YT_LIVE_TIMESTAMP!Z:Z,"★",0,-1))</f>
        <v>#VALUE!</v>
      </c>
    </row>
    <row r="601" spans="3:30" x14ac:dyDescent="0.4">
      <c r="C601" s="12" t="str">
        <f t="shared" si="35"/>
        <v/>
      </c>
      <c r="AA601" s="14">
        <f t="shared" si="36"/>
        <v>0</v>
      </c>
      <c r="AB601" s="14" t="str">
        <f>_xlfn.XLOOKUP(AA601,M_ARTIST!A:A,M_ARTIST!B:B,"★★★",0,1)</f>
        <v>★★★</v>
      </c>
      <c r="AC601" s="14">
        <f t="shared" si="37"/>
        <v>0</v>
      </c>
      <c r="AD601" s="19" t="e">
        <f>HYPERLINK(_xlfn.XLOOKUP(C601,M_YT_LIVE_TIMESTAMP!AA:AA,M_YT_LIVE_TIMESTAMP!Z:Z,"★",0,-1))</f>
        <v>#VALUE!</v>
      </c>
    </row>
    <row r="602" spans="3:30" x14ac:dyDescent="0.4">
      <c r="C602" s="12" t="str">
        <f t="shared" si="35"/>
        <v/>
      </c>
      <c r="AA602" s="14">
        <f t="shared" si="36"/>
        <v>0</v>
      </c>
      <c r="AB602" s="14" t="str">
        <f>_xlfn.XLOOKUP(AA602,M_ARTIST!A:A,M_ARTIST!B:B,"★★★",0,1)</f>
        <v>★★★</v>
      </c>
      <c r="AC602" s="14">
        <f t="shared" si="37"/>
        <v>0</v>
      </c>
      <c r="AD602" s="19" t="e">
        <f>HYPERLINK(_xlfn.XLOOKUP(C602,M_YT_LIVE_TIMESTAMP!AA:AA,M_YT_LIVE_TIMESTAMP!Z:Z,"★",0,-1))</f>
        <v>#VALUE!</v>
      </c>
    </row>
    <row r="603" spans="3:30" x14ac:dyDescent="0.4">
      <c r="C603" s="12" t="str">
        <f t="shared" si="35"/>
        <v/>
      </c>
      <c r="AA603" s="14">
        <f t="shared" si="36"/>
        <v>0</v>
      </c>
      <c r="AB603" s="14" t="str">
        <f>_xlfn.XLOOKUP(AA603,M_ARTIST!A:A,M_ARTIST!B:B,"★★★",0,1)</f>
        <v>★★★</v>
      </c>
      <c r="AC603" s="14">
        <f t="shared" si="37"/>
        <v>0</v>
      </c>
      <c r="AD603" s="19" t="e">
        <f>HYPERLINK(_xlfn.XLOOKUP(C603,M_YT_LIVE_TIMESTAMP!AA:AA,M_YT_LIVE_TIMESTAMP!Z:Z,"★",0,-1))</f>
        <v>#VALUE!</v>
      </c>
    </row>
    <row r="604" spans="3:30" x14ac:dyDescent="0.4">
      <c r="C604" s="12" t="str">
        <f t="shared" si="35"/>
        <v/>
      </c>
      <c r="AA604" s="14">
        <f t="shared" si="36"/>
        <v>0</v>
      </c>
      <c r="AB604" s="14" t="str">
        <f>_xlfn.XLOOKUP(AA604,M_ARTIST!A:A,M_ARTIST!B:B,"★★★",0,1)</f>
        <v>★★★</v>
      </c>
      <c r="AC604" s="14">
        <f t="shared" si="37"/>
        <v>0</v>
      </c>
      <c r="AD604" s="19" t="e">
        <f>HYPERLINK(_xlfn.XLOOKUP(C604,M_YT_LIVE_TIMESTAMP!AA:AA,M_YT_LIVE_TIMESTAMP!Z:Z,"★",0,-1))</f>
        <v>#VALUE!</v>
      </c>
    </row>
    <row r="605" spans="3:30" x14ac:dyDescent="0.4">
      <c r="C605" s="12" t="str">
        <f t="shared" si="35"/>
        <v/>
      </c>
      <c r="AA605" s="14">
        <f t="shared" si="36"/>
        <v>0</v>
      </c>
      <c r="AB605" s="14" t="str">
        <f>_xlfn.XLOOKUP(AA605,M_ARTIST!A:A,M_ARTIST!B:B,"★★★",0,1)</f>
        <v>★★★</v>
      </c>
      <c r="AC605" s="14">
        <f t="shared" si="37"/>
        <v>0</v>
      </c>
      <c r="AD605" s="19" t="e">
        <f>HYPERLINK(_xlfn.XLOOKUP(C605,M_YT_LIVE_TIMESTAMP!AA:AA,M_YT_LIVE_TIMESTAMP!Z:Z,"★",0,-1))</f>
        <v>#VALUE!</v>
      </c>
    </row>
    <row r="606" spans="3:30" x14ac:dyDescent="0.4">
      <c r="C606" s="12" t="str">
        <f t="shared" si="35"/>
        <v/>
      </c>
      <c r="AA606" s="14">
        <f t="shared" si="36"/>
        <v>0</v>
      </c>
      <c r="AB606" s="14" t="str">
        <f>_xlfn.XLOOKUP(AA606,M_ARTIST!A:A,M_ARTIST!B:B,"★★★",0,1)</f>
        <v>★★★</v>
      </c>
      <c r="AC606" s="14">
        <f t="shared" si="37"/>
        <v>0</v>
      </c>
      <c r="AD606" s="19" t="e">
        <f>HYPERLINK(_xlfn.XLOOKUP(C606,M_YT_LIVE_TIMESTAMP!AA:AA,M_YT_LIVE_TIMESTAMP!Z:Z,"★",0,-1))</f>
        <v>#VALUE!</v>
      </c>
    </row>
    <row r="607" spans="3:30" x14ac:dyDescent="0.4">
      <c r="C607" s="12" t="str">
        <f t="shared" si="35"/>
        <v/>
      </c>
      <c r="AA607" s="14">
        <f t="shared" si="36"/>
        <v>0</v>
      </c>
      <c r="AB607" s="14" t="str">
        <f>_xlfn.XLOOKUP(AA607,M_ARTIST!A:A,M_ARTIST!B:B,"★★★",0,1)</f>
        <v>★★★</v>
      </c>
      <c r="AC607" s="14">
        <f t="shared" si="37"/>
        <v>0</v>
      </c>
      <c r="AD607" s="19" t="e">
        <f>HYPERLINK(_xlfn.XLOOKUP(C607,M_YT_LIVE_TIMESTAMP!AA:AA,M_YT_LIVE_TIMESTAMP!Z:Z,"★",0,-1))</f>
        <v>#VALUE!</v>
      </c>
    </row>
    <row r="608" spans="3:30" x14ac:dyDescent="0.4">
      <c r="C608" s="12" t="str">
        <f t="shared" si="35"/>
        <v/>
      </c>
      <c r="AA608" s="14">
        <f t="shared" si="36"/>
        <v>0</v>
      </c>
      <c r="AB608" s="14" t="str">
        <f>_xlfn.XLOOKUP(AA608,M_ARTIST!A:A,M_ARTIST!B:B,"★★★",0,1)</f>
        <v>★★★</v>
      </c>
      <c r="AC608" s="14">
        <f t="shared" si="37"/>
        <v>0</v>
      </c>
      <c r="AD608" s="19" t="e">
        <f>HYPERLINK(_xlfn.XLOOKUP(C608,M_YT_LIVE_TIMESTAMP!AA:AA,M_YT_LIVE_TIMESTAMP!Z:Z,"★",0,-1))</f>
        <v>#VALUE!</v>
      </c>
    </row>
    <row r="609" spans="3:30" x14ac:dyDescent="0.4">
      <c r="C609" s="12" t="str">
        <f t="shared" si="35"/>
        <v/>
      </c>
      <c r="AA609" s="14">
        <f t="shared" si="36"/>
        <v>0</v>
      </c>
      <c r="AB609" s="14" t="str">
        <f>_xlfn.XLOOKUP(AA609,M_ARTIST!A:A,M_ARTIST!B:B,"★★★",0,1)</f>
        <v>★★★</v>
      </c>
      <c r="AC609" s="14">
        <f t="shared" si="37"/>
        <v>0</v>
      </c>
      <c r="AD609" s="19" t="e">
        <f>HYPERLINK(_xlfn.XLOOKUP(C609,M_YT_LIVE_TIMESTAMP!AA:AA,M_YT_LIVE_TIMESTAMP!Z:Z,"★",0,-1))</f>
        <v>#VALUE!</v>
      </c>
    </row>
    <row r="610" spans="3:30" x14ac:dyDescent="0.4">
      <c r="C610" s="12" t="str">
        <f t="shared" si="35"/>
        <v/>
      </c>
      <c r="AA610" s="14">
        <f t="shared" si="36"/>
        <v>0</v>
      </c>
      <c r="AB610" s="14" t="str">
        <f>_xlfn.XLOOKUP(AA610,M_ARTIST!A:A,M_ARTIST!B:B,"★★★",0,1)</f>
        <v>★★★</v>
      </c>
      <c r="AC610" s="14">
        <f t="shared" si="37"/>
        <v>0</v>
      </c>
      <c r="AD610" s="19" t="e">
        <f>HYPERLINK(_xlfn.XLOOKUP(C610,M_YT_LIVE_TIMESTAMP!AA:AA,M_YT_LIVE_TIMESTAMP!Z:Z,"★",0,-1))</f>
        <v>#VALUE!</v>
      </c>
    </row>
    <row r="611" spans="3:30" x14ac:dyDescent="0.4">
      <c r="C611" s="12" t="str">
        <f t="shared" si="35"/>
        <v/>
      </c>
      <c r="AA611" s="14">
        <f t="shared" si="36"/>
        <v>0</v>
      </c>
      <c r="AB611" s="14" t="str">
        <f>_xlfn.XLOOKUP(AA611,M_ARTIST!A:A,M_ARTIST!B:B,"★★★",0,1)</f>
        <v>★★★</v>
      </c>
      <c r="AC611" s="14">
        <f t="shared" si="37"/>
        <v>0</v>
      </c>
      <c r="AD611" s="19" t="e">
        <f>HYPERLINK(_xlfn.XLOOKUP(C611,M_YT_LIVE_TIMESTAMP!AA:AA,M_YT_LIVE_TIMESTAMP!Z:Z,"★",0,-1))</f>
        <v>#VALUE!</v>
      </c>
    </row>
    <row r="612" spans="3:30" x14ac:dyDescent="0.4">
      <c r="C612" s="12" t="str">
        <f t="shared" si="35"/>
        <v/>
      </c>
      <c r="AA612" s="14">
        <f t="shared" si="36"/>
        <v>0</v>
      </c>
      <c r="AB612" s="14" t="str">
        <f>_xlfn.XLOOKUP(AA612,M_ARTIST!A:A,M_ARTIST!B:B,"★★★",0,1)</f>
        <v>★★★</v>
      </c>
      <c r="AC612" s="14">
        <f t="shared" si="37"/>
        <v>0</v>
      </c>
      <c r="AD612" s="19" t="e">
        <f>HYPERLINK(_xlfn.XLOOKUP(C612,M_YT_LIVE_TIMESTAMP!AA:AA,M_YT_LIVE_TIMESTAMP!Z:Z,"★",0,-1))</f>
        <v>#VALUE!</v>
      </c>
    </row>
    <row r="613" spans="3:30" x14ac:dyDescent="0.4">
      <c r="C613" s="12" t="str">
        <f t="shared" si="35"/>
        <v/>
      </c>
      <c r="AA613" s="14">
        <f t="shared" si="36"/>
        <v>0</v>
      </c>
      <c r="AB613" s="14" t="str">
        <f>_xlfn.XLOOKUP(AA613,M_ARTIST!A:A,M_ARTIST!B:B,"★★★",0,1)</f>
        <v>★★★</v>
      </c>
      <c r="AC613" s="14">
        <f t="shared" si="37"/>
        <v>0</v>
      </c>
      <c r="AD613" s="19" t="e">
        <f>HYPERLINK(_xlfn.XLOOKUP(C613,M_YT_LIVE_TIMESTAMP!AA:AA,M_YT_LIVE_TIMESTAMP!Z:Z,"★",0,-1))</f>
        <v>#VALUE!</v>
      </c>
    </row>
    <row r="614" spans="3:30" x14ac:dyDescent="0.4">
      <c r="C614" s="12" t="str">
        <f t="shared" si="35"/>
        <v/>
      </c>
      <c r="AA614" s="14">
        <f t="shared" si="36"/>
        <v>0</v>
      </c>
      <c r="AB614" s="14" t="str">
        <f>_xlfn.XLOOKUP(AA614,M_ARTIST!A:A,M_ARTIST!B:B,"★★★",0,1)</f>
        <v>★★★</v>
      </c>
      <c r="AC614" s="14">
        <f t="shared" si="37"/>
        <v>0</v>
      </c>
      <c r="AD614" s="19" t="e">
        <f>HYPERLINK(_xlfn.XLOOKUP(C614,M_YT_LIVE_TIMESTAMP!AA:AA,M_YT_LIVE_TIMESTAMP!Z:Z,"★",0,-1))</f>
        <v>#VALUE!</v>
      </c>
    </row>
    <row r="615" spans="3:30" x14ac:dyDescent="0.4">
      <c r="C615" s="12" t="str">
        <f t="shared" si="35"/>
        <v/>
      </c>
      <c r="AA615" s="14">
        <f t="shared" si="36"/>
        <v>0</v>
      </c>
      <c r="AB615" s="14" t="str">
        <f>_xlfn.XLOOKUP(AA615,M_ARTIST!A:A,M_ARTIST!B:B,"★★★",0,1)</f>
        <v>★★★</v>
      </c>
      <c r="AC615" s="14">
        <f t="shared" si="37"/>
        <v>0</v>
      </c>
      <c r="AD615" s="19" t="e">
        <f>HYPERLINK(_xlfn.XLOOKUP(C615,M_YT_LIVE_TIMESTAMP!AA:AA,M_YT_LIVE_TIMESTAMP!Z:Z,"★",0,-1))</f>
        <v>#VALUE!</v>
      </c>
    </row>
    <row r="616" spans="3:30" x14ac:dyDescent="0.4">
      <c r="C616" s="12" t="str">
        <f t="shared" si="35"/>
        <v/>
      </c>
      <c r="AA616" s="14">
        <f t="shared" si="36"/>
        <v>0</v>
      </c>
      <c r="AB616" s="14" t="str">
        <f>_xlfn.XLOOKUP(AA616,M_ARTIST!A:A,M_ARTIST!B:B,"★★★",0,1)</f>
        <v>★★★</v>
      </c>
      <c r="AC616" s="14">
        <f t="shared" si="37"/>
        <v>0</v>
      </c>
      <c r="AD616" s="19" t="e">
        <f>HYPERLINK(_xlfn.XLOOKUP(C616,M_YT_LIVE_TIMESTAMP!AA:AA,M_YT_LIVE_TIMESTAMP!Z:Z,"★",0,-1))</f>
        <v>#VALUE!</v>
      </c>
    </row>
    <row r="617" spans="3:30" x14ac:dyDescent="0.4">
      <c r="C617" s="12" t="str">
        <f t="shared" si="35"/>
        <v/>
      </c>
      <c r="AA617" s="14">
        <f t="shared" si="36"/>
        <v>0</v>
      </c>
      <c r="AB617" s="14" t="str">
        <f>_xlfn.XLOOKUP(AA617,M_ARTIST!A:A,M_ARTIST!B:B,"★★★",0,1)</f>
        <v>★★★</v>
      </c>
      <c r="AC617" s="14">
        <f t="shared" si="37"/>
        <v>0</v>
      </c>
      <c r="AD617" s="19" t="e">
        <f>HYPERLINK(_xlfn.XLOOKUP(C617,M_YT_LIVE_TIMESTAMP!AA:AA,M_YT_LIVE_TIMESTAMP!Z:Z,"★",0,-1))</f>
        <v>#VALUE!</v>
      </c>
    </row>
    <row r="618" spans="3:30" x14ac:dyDescent="0.4">
      <c r="C618" s="12" t="str">
        <f t="shared" si="35"/>
        <v/>
      </c>
      <c r="AA618" s="14">
        <f t="shared" si="36"/>
        <v>0</v>
      </c>
      <c r="AB618" s="14" t="str">
        <f>_xlfn.XLOOKUP(AA618,M_ARTIST!A:A,M_ARTIST!B:B,"★★★",0,1)</f>
        <v>★★★</v>
      </c>
      <c r="AC618" s="14">
        <f t="shared" si="37"/>
        <v>0</v>
      </c>
      <c r="AD618" s="19" t="e">
        <f>HYPERLINK(_xlfn.XLOOKUP(C618,M_YT_LIVE_TIMESTAMP!AA:AA,M_YT_LIVE_TIMESTAMP!Z:Z,"★",0,-1))</f>
        <v>#VALUE!</v>
      </c>
    </row>
    <row r="619" spans="3:30" x14ac:dyDescent="0.4">
      <c r="C619" s="12" t="str">
        <f t="shared" si="35"/>
        <v/>
      </c>
      <c r="AA619" s="14">
        <f t="shared" si="36"/>
        <v>0</v>
      </c>
      <c r="AB619" s="14" t="str">
        <f>_xlfn.XLOOKUP(AA619,M_ARTIST!A:A,M_ARTIST!B:B,"★★★",0,1)</f>
        <v>★★★</v>
      </c>
      <c r="AC619" s="14">
        <f t="shared" si="37"/>
        <v>0</v>
      </c>
      <c r="AD619" s="19" t="e">
        <f>HYPERLINK(_xlfn.XLOOKUP(C619,M_YT_LIVE_TIMESTAMP!AA:AA,M_YT_LIVE_TIMESTAMP!Z:Z,"★",0,-1))</f>
        <v>#VALUE!</v>
      </c>
    </row>
    <row r="620" spans="3:30" x14ac:dyDescent="0.4">
      <c r="C620" s="12" t="str">
        <f t="shared" si="35"/>
        <v/>
      </c>
      <c r="AA620" s="14">
        <f t="shared" si="36"/>
        <v>0</v>
      </c>
      <c r="AB620" s="14" t="str">
        <f>_xlfn.XLOOKUP(AA620,M_ARTIST!A:A,M_ARTIST!B:B,"★★★",0,1)</f>
        <v>★★★</v>
      </c>
      <c r="AC620" s="14">
        <f t="shared" si="37"/>
        <v>0</v>
      </c>
      <c r="AD620" s="19" t="e">
        <f>HYPERLINK(_xlfn.XLOOKUP(C620,M_YT_LIVE_TIMESTAMP!AA:AA,M_YT_LIVE_TIMESTAMP!Z:Z,"★",0,-1))</f>
        <v>#VALUE!</v>
      </c>
    </row>
    <row r="621" spans="3:30" x14ac:dyDescent="0.4">
      <c r="C621" s="12" t="str">
        <f t="shared" si="35"/>
        <v/>
      </c>
      <c r="AA621" s="14">
        <f t="shared" si="36"/>
        <v>0</v>
      </c>
      <c r="AB621" s="14" t="str">
        <f>_xlfn.XLOOKUP(AA621,M_ARTIST!A:A,M_ARTIST!B:B,"★★★",0,1)</f>
        <v>★★★</v>
      </c>
      <c r="AC621" s="14">
        <f t="shared" si="37"/>
        <v>0</v>
      </c>
      <c r="AD621" s="19" t="e">
        <f>HYPERLINK(_xlfn.XLOOKUP(C621,M_YT_LIVE_TIMESTAMP!AA:AA,M_YT_LIVE_TIMESTAMP!Z:Z,"★",0,-1))</f>
        <v>#VALUE!</v>
      </c>
    </row>
    <row r="622" spans="3:30" x14ac:dyDescent="0.4">
      <c r="C622" s="12" t="str">
        <f t="shared" si="35"/>
        <v/>
      </c>
      <c r="AA622" s="14">
        <f t="shared" si="36"/>
        <v>0</v>
      </c>
      <c r="AB622" s="14" t="str">
        <f>_xlfn.XLOOKUP(AA622,M_ARTIST!A:A,M_ARTIST!B:B,"★★★",0,1)</f>
        <v>★★★</v>
      </c>
      <c r="AC622" s="14">
        <f t="shared" si="37"/>
        <v>0</v>
      </c>
      <c r="AD622" s="19" t="e">
        <f>HYPERLINK(_xlfn.XLOOKUP(C622,M_YT_LIVE_TIMESTAMP!AA:AA,M_YT_LIVE_TIMESTAMP!Z:Z,"★",0,-1))</f>
        <v>#VALUE!</v>
      </c>
    </row>
    <row r="623" spans="3:30" x14ac:dyDescent="0.4">
      <c r="C623" s="12" t="str">
        <f t="shared" si="35"/>
        <v/>
      </c>
      <c r="AA623" s="14">
        <f t="shared" si="36"/>
        <v>0</v>
      </c>
      <c r="AB623" s="14" t="str">
        <f>_xlfn.XLOOKUP(AA623,M_ARTIST!A:A,M_ARTIST!B:B,"★★★",0,1)</f>
        <v>★★★</v>
      </c>
      <c r="AC623" s="14">
        <f t="shared" si="37"/>
        <v>0</v>
      </c>
      <c r="AD623" s="19" t="e">
        <f>HYPERLINK(_xlfn.XLOOKUP(C623,M_YT_LIVE_TIMESTAMP!AA:AA,M_YT_LIVE_TIMESTAMP!Z:Z,"★",0,-1))</f>
        <v>#VALUE!</v>
      </c>
    </row>
    <row r="624" spans="3:30" x14ac:dyDescent="0.4">
      <c r="C624" s="12" t="str">
        <f t="shared" si="35"/>
        <v/>
      </c>
      <c r="AA624" s="14">
        <f t="shared" si="36"/>
        <v>0</v>
      </c>
      <c r="AB624" s="14" t="str">
        <f>_xlfn.XLOOKUP(AA624,M_ARTIST!A:A,M_ARTIST!B:B,"★★★",0,1)</f>
        <v>★★★</v>
      </c>
      <c r="AC624" s="14">
        <f t="shared" si="37"/>
        <v>0</v>
      </c>
      <c r="AD624" s="19" t="e">
        <f>HYPERLINK(_xlfn.XLOOKUP(C624,M_YT_LIVE_TIMESTAMP!AA:AA,M_YT_LIVE_TIMESTAMP!Z:Z,"★",0,-1))</f>
        <v>#VALUE!</v>
      </c>
    </row>
    <row r="625" spans="3:30" x14ac:dyDescent="0.4">
      <c r="C625" s="12" t="str">
        <f t="shared" si="35"/>
        <v/>
      </c>
      <c r="AA625" s="14">
        <f t="shared" si="36"/>
        <v>0</v>
      </c>
      <c r="AB625" s="14" t="str">
        <f>_xlfn.XLOOKUP(AA625,M_ARTIST!A:A,M_ARTIST!B:B,"★★★",0,1)</f>
        <v>★★★</v>
      </c>
      <c r="AC625" s="14">
        <f t="shared" si="37"/>
        <v>0</v>
      </c>
      <c r="AD625" s="19" t="e">
        <f>HYPERLINK(_xlfn.XLOOKUP(C625,M_YT_LIVE_TIMESTAMP!AA:AA,M_YT_LIVE_TIMESTAMP!Z:Z,"★",0,-1))</f>
        <v>#VALUE!</v>
      </c>
    </row>
    <row r="626" spans="3:30" x14ac:dyDescent="0.4">
      <c r="C626" s="12" t="str">
        <f t="shared" si="35"/>
        <v/>
      </c>
      <c r="AA626" s="14">
        <f t="shared" si="36"/>
        <v>0</v>
      </c>
      <c r="AB626" s="14" t="str">
        <f>_xlfn.XLOOKUP(AA626,M_ARTIST!A:A,M_ARTIST!B:B,"★★★",0,1)</f>
        <v>★★★</v>
      </c>
      <c r="AC626" s="14">
        <f t="shared" si="37"/>
        <v>0</v>
      </c>
      <c r="AD626" s="19" t="e">
        <f>HYPERLINK(_xlfn.XLOOKUP(C626,M_YT_LIVE_TIMESTAMP!AA:AA,M_YT_LIVE_TIMESTAMP!Z:Z,"★",0,-1))</f>
        <v>#VALUE!</v>
      </c>
    </row>
    <row r="627" spans="3:30" x14ac:dyDescent="0.4">
      <c r="C627" s="12" t="str">
        <f t="shared" si="35"/>
        <v/>
      </c>
      <c r="AA627" s="14">
        <f t="shared" si="36"/>
        <v>0</v>
      </c>
      <c r="AB627" s="14" t="str">
        <f>_xlfn.XLOOKUP(AA627,M_ARTIST!A:A,M_ARTIST!B:B,"★★★",0,1)</f>
        <v>★★★</v>
      </c>
      <c r="AC627" s="14">
        <f t="shared" si="37"/>
        <v>0</v>
      </c>
      <c r="AD627" s="19" t="e">
        <f>HYPERLINK(_xlfn.XLOOKUP(C627,M_YT_LIVE_TIMESTAMP!AA:AA,M_YT_LIVE_TIMESTAMP!Z:Z,"★",0,-1))</f>
        <v>#VALUE!</v>
      </c>
    </row>
    <row r="628" spans="3:30" x14ac:dyDescent="0.4">
      <c r="C628" s="12" t="str">
        <f t="shared" si="35"/>
        <v/>
      </c>
      <c r="AA628" s="14">
        <f t="shared" si="36"/>
        <v>0</v>
      </c>
      <c r="AB628" s="14" t="str">
        <f>_xlfn.XLOOKUP(AA628,M_ARTIST!A:A,M_ARTIST!B:B,"★★★",0,1)</f>
        <v>★★★</v>
      </c>
      <c r="AC628" s="14">
        <f t="shared" si="37"/>
        <v>0</v>
      </c>
      <c r="AD628" s="19" t="e">
        <f>HYPERLINK(_xlfn.XLOOKUP(C628,M_YT_LIVE_TIMESTAMP!AA:AA,M_YT_LIVE_TIMESTAMP!Z:Z,"★",0,-1))</f>
        <v>#VALUE!</v>
      </c>
    </row>
    <row r="629" spans="3:30" x14ac:dyDescent="0.4">
      <c r="C629" s="12" t="str">
        <f t="shared" si="35"/>
        <v/>
      </c>
      <c r="AA629" s="14">
        <f t="shared" si="36"/>
        <v>0</v>
      </c>
      <c r="AB629" s="14" t="str">
        <f>_xlfn.XLOOKUP(AA629,M_ARTIST!A:A,M_ARTIST!B:B,"★★★",0,1)</f>
        <v>★★★</v>
      </c>
      <c r="AC629" s="14">
        <f t="shared" si="37"/>
        <v>0</v>
      </c>
      <c r="AD629" s="19" t="e">
        <f>HYPERLINK(_xlfn.XLOOKUP(C629,M_YT_LIVE_TIMESTAMP!AA:AA,M_YT_LIVE_TIMESTAMP!Z:Z,"★",0,-1))</f>
        <v>#VALUE!</v>
      </c>
    </row>
    <row r="630" spans="3:30" x14ac:dyDescent="0.4">
      <c r="C630" s="12" t="str">
        <f t="shared" si="35"/>
        <v/>
      </c>
      <c r="AA630" s="14">
        <f t="shared" si="36"/>
        <v>0</v>
      </c>
      <c r="AB630" s="14" t="str">
        <f>_xlfn.XLOOKUP(AA630,M_ARTIST!A:A,M_ARTIST!B:B,"★★★",0,1)</f>
        <v>★★★</v>
      </c>
      <c r="AC630" s="14">
        <f t="shared" si="37"/>
        <v>0</v>
      </c>
      <c r="AD630" s="19" t="e">
        <f>HYPERLINK(_xlfn.XLOOKUP(C630,M_YT_LIVE_TIMESTAMP!AA:AA,M_YT_LIVE_TIMESTAMP!Z:Z,"★",0,-1))</f>
        <v>#VALUE!</v>
      </c>
    </row>
    <row r="631" spans="3:30" x14ac:dyDescent="0.4">
      <c r="C631" s="12" t="str">
        <f t="shared" si="35"/>
        <v/>
      </c>
      <c r="AA631" s="14">
        <f t="shared" si="36"/>
        <v>0</v>
      </c>
      <c r="AB631" s="14" t="str">
        <f>_xlfn.XLOOKUP(AA631,M_ARTIST!A:A,M_ARTIST!B:B,"★★★",0,1)</f>
        <v>★★★</v>
      </c>
      <c r="AC631" s="14">
        <f t="shared" si="37"/>
        <v>0</v>
      </c>
      <c r="AD631" s="19" t="e">
        <f>HYPERLINK(_xlfn.XLOOKUP(C631,M_YT_LIVE_TIMESTAMP!AA:AA,M_YT_LIVE_TIMESTAMP!Z:Z,"★",0,-1))</f>
        <v>#VALUE!</v>
      </c>
    </row>
    <row r="632" spans="3:30" x14ac:dyDescent="0.4">
      <c r="C632" s="12" t="str">
        <f t="shared" si="35"/>
        <v/>
      </c>
      <c r="AA632" s="14">
        <f t="shared" si="36"/>
        <v>0</v>
      </c>
      <c r="AB632" s="14" t="str">
        <f>_xlfn.XLOOKUP(AA632,M_ARTIST!A:A,M_ARTIST!B:B,"★★★",0,1)</f>
        <v>★★★</v>
      </c>
      <c r="AC632" s="14">
        <f t="shared" si="37"/>
        <v>0</v>
      </c>
      <c r="AD632" s="19" t="e">
        <f>HYPERLINK(_xlfn.XLOOKUP(C632,M_YT_LIVE_TIMESTAMP!AA:AA,M_YT_LIVE_TIMESTAMP!Z:Z,"★",0,-1))</f>
        <v>#VALUE!</v>
      </c>
    </row>
    <row r="633" spans="3:30" x14ac:dyDescent="0.4">
      <c r="C633" s="12" t="str">
        <f t="shared" si="35"/>
        <v/>
      </c>
      <c r="AA633" s="14">
        <f t="shared" si="36"/>
        <v>0</v>
      </c>
      <c r="AB633" s="14" t="str">
        <f>_xlfn.XLOOKUP(AA633,M_ARTIST!A:A,M_ARTIST!B:B,"★★★",0,1)</f>
        <v>★★★</v>
      </c>
      <c r="AC633" s="14">
        <f t="shared" si="37"/>
        <v>0</v>
      </c>
      <c r="AD633" s="19" t="e">
        <f>HYPERLINK(_xlfn.XLOOKUP(C633,M_YT_LIVE_TIMESTAMP!AA:AA,M_YT_LIVE_TIMESTAMP!Z:Z,"★",0,-1))</f>
        <v>#VALUE!</v>
      </c>
    </row>
    <row r="634" spans="3:30" x14ac:dyDescent="0.4">
      <c r="C634" s="12" t="str">
        <f t="shared" si="35"/>
        <v/>
      </c>
      <c r="AA634" s="14">
        <f t="shared" si="36"/>
        <v>0</v>
      </c>
      <c r="AB634" s="14" t="str">
        <f>_xlfn.XLOOKUP(AA634,M_ARTIST!A:A,M_ARTIST!B:B,"★★★",0,1)</f>
        <v>★★★</v>
      </c>
      <c r="AC634" s="14">
        <f t="shared" si="37"/>
        <v>0</v>
      </c>
      <c r="AD634" s="19" t="e">
        <f>HYPERLINK(_xlfn.XLOOKUP(C634,M_YT_LIVE_TIMESTAMP!AA:AA,M_YT_LIVE_TIMESTAMP!Z:Z,"★",0,-1))</f>
        <v>#VALUE!</v>
      </c>
    </row>
    <row r="635" spans="3:30" x14ac:dyDescent="0.4">
      <c r="C635" s="12" t="str">
        <f t="shared" si="35"/>
        <v/>
      </c>
      <c r="AA635" s="14">
        <f t="shared" si="36"/>
        <v>0</v>
      </c>
      <c r="AB635" s="14" t="str">
        <f>_xlfn.XLOOKUP(AA635,M_ARTIST!A:A,M_ARTIST!B:B,"★★★",0,1)</f>
        <v>★★★</v>
      </c>
      <c r="AC635" s="14">
        <f t="shared" si="37"/>
        <v>0</v>
      </c>
      <c r="AD635" s="19" t="e">
        <f>HYPERLINK(_xlfn.XLOOKUP(C635,M_YT_LIVE_TIMESTAMP!AA:AA,M_YT_LIVE_TIMESTAMP!Z:Z,"★",0,-1))</f>
        <v>#VALUE!</v>
      </c>
    </row>
    <row r="636" spans="3:30" x14ac:dyDescent="0.4">
      <c r="C636" s="12" t="str">
        <f t="shared" si="35"/>
        <v/>
      </c>
      <c r="AA636" s="14">
        <f t="shared" si="36"/>
        <v>0</v>
      </c>
      <c r="AB636" s="14" t="str">
        <f>_xlfn.XLOOKUP(AA636,M_ARTIST!A:A,M_ARTIST!B:B,"★★★",0,1)</f>
        <v>★★★</v>
      </c>
      <c r="AC636" s="14">
        <f t="shared" si="37"/>
        <v>0</v>
      </c>
      <c r="AD636" s="19" t="e">
        <f>HYPERLINK(_xlfn.XLOOKUP(C636,M_YT_LIVE_TIMESTAMP!AA:AA,M_YT_LIVE_TIMESTAMP!Z:Z,"★",0,-1))</f>
        <v>#VALUE!</v>
      </c>
    </row>
    <row r="637" spans="3:30" x14ac:dyDescent="0.4">
      <c r="C637" s="12" t="str">
        <f t="shared" si="35"/>
        <v/>
      </c>
      <c r="AA637" s="14">
        <f t="shared" si="36"/>
        <v>0</v>
      </c>
      <c r="AB637" s="14" t="str">
        <f>_xlfn.XLOOKUP(AA637,M_ARTIST!A:A,M_ARTIST!B:B,"★★★",0,1)</f>
        <v>★★★</v>
      </c>
      <c r="AC637" s="14">
        <f t="shared" si="37"/>
        <v>0</v>
      </c>
      <c r="AD637" s="19" t="e">
        <f>HYPERLINK(_xlfn.XLOOKUP(C637,M_YT_LIVE_TIMESTAMP!AA:AA,M_YT_LIVE_TIMESTAMP!Z:Z,"★",0,-1))</f>
        <v>#VALUE!</v>
      </c>
    </row>
    <row r="638" spans="3:30" x14ac:dyDescent="0.4">
      <c r="C638" s="12" t="str">
        <f t="shared" si="35"/>
        <v/>
      </c>
      <c r="AA638" s="14">
        <f t="shared" si="36"/>
        <v>0</v>
      </c>
      <c r="AB638" s="14" t="str">
        <f>_xlfn.XLOOKUP(AA638,M_ARTIST!A:A,M_ARTIST!B:B,"★★★",0,1)</f>
        <v>★★★</v>
      </c>
      <c r="AC638" s="14">
        <f t="shared" si="37"/>
        <v>0</v>
      </c>
      <c r="AD638" s="19" t="e">
        <f>HYPERLINK(_xlfn.XLOOKUP(C638,M_YT_LIVE_TIMESTAMP!AA:AA,M_YT_LIVE_TIMESTAMP!Z:Z,"★",0,-1))</f>
        <v>#VALUE!</v>
      </c>
    </row>
    <row r="639" spans="3:30" x14ac:dyDescent="0.4">
      <c r="C639" s="12" t="str">
        <f t="shared" si="35"/>
        <v/>
      </c>
      <c r="AA639" s="14">
        <f t="shared" si="36"/>
        <v>0</v>
      </c>
      <c r="AB639" s="14" t="str">
        <f>_xlfn.XLOOKUP(AA639,M_ARTIST!A:A,M_ARTIST!B:B,"★★★",0,1)</f>
        <v>★★★</v>
      </c>
      <c r="AC639" s="14">
        <f t="shared" si="37"/>
        <v>0</v>
      </c>
      <c r="AD639" s="19" t="e">
        <f>HYPERLINK(_xlfn.XLOOKUP(C639,M_YT_LIVE_TIMESTAMP!AA:AA,M_YT_LIVE_TIMESTAMP!Z:Z,"★",0,-1))</f>
        <v>#VALUE!</v>
      </c>
    </row>
    <row r="640" spans="3:30" x14ac:dyDescent="0.4">
      <c r="C640" s="12" t="str">
        <f t="shared" si="35"/>
        <v/>
      </c>
      <c r="AA640" s="14">
        <f t="shared" si="36"/>
        <v>0</v>
      </c>
      <c r="AB640" s="14" t="str">
        <f>_xlfn.XLOOKUP(AA640,M_ARTIST!A:A,M_ARTIST!B:B,"★★★",0,1)</f>
        <v>★★★</v>
      </c>
      <c r="AC640" s="14">
        <f t="shared" si="37"/>
        <v>0</v>
      </c>
      <c r="AD640" s="19" t="e">
        <f>HYPERLINK(_xlfn.XLOOKUP(C640,M_YT_LIVE_TIMESTAMP!AA:AA,M_YT_LIVE_TIMESTAMP!Z:Z,"★",0,-1))</f>
        <v>#VALUE!</v>
      </c>
    </row>
    <row r="641" spans="3:30" x14ac:dyDescent="0.4">
      <c r="C641" s="12" t="str">
        <f t="shared" si="35"/>
        <v/>
      </c>
      <c r="AA641" s="14">
        <f t="shared" si="36"/>
        <v>0</v>
      </c>
      <c r="AB641" s="14" t="str">
        <f>_xlfn.XLOOKUP(AA641,M_ARTIST!A:A,M_ARTIST!B:B,"★★★",0,1)</f>
        <v>★★★</v>
      </c>
      <c r="AC641" s="14">
        <f t="shared" si="37"/>
        <v>0</v>
      </c>
      <c r="AD641" s="19" t="e">
        <f>HYPERLINK(_xlfn.XLOOKUP(C641,M_YT_LIVE_TIMESTAMP!AA:AA,M_YT_LIVE_TIMESTAMP!Z:Z,"★",0,-1))</f>
        <v>#VALUE!</v>
      </c>
    </row>
    <row r="642" spans="3:30" x14ac:dyDescent="0.4">
      <c r="C642" s="12" t="str">
        <f t="shared" si="35"/>
        <v/>
      </c>
      <c r="AA642" s="14">
        <f t="shared" si="36"/>
        <v>0</v>
      </c>
      <c r="AB642" s="14" t="str">
        <f>_xlfn.XLOOKUP(AA642,M_ARTIST!A:A,M_ARTIST!B:B,"★★★",0,1)</f>
        <v>★★★</v>
      </c>
      <c r="AC642" s="14">
        <f t="shared" si="37"/>
        <v>0</v>
      </c>
      <c r="AD642" s="19" t="e">
        <f>HYPERLINK(_xlfn.XLOOKUP(C642,M_YT_LIVE_TIMESTAMP!AA:AA,M_YT_LIVE_TIMESTAMP!Z:Z,"★",0,-1))</f>
        <v>#VALUE!</v>
      </c>
    </row>
    <row r="643" spans="3:30" x14ac:dyDescent="0.4">
      <c r="C643" s="12" t="str">
        <f t="shared" si="35"/>
        <v/>
      </c>
      <c r="AA643" s="14">
        <f t="shared" si="36"/>
        <v>0</v>
      </c>
      <c r="AB643" s="14" t="str">
        <f>_xlfn.XLOOKUP(AA643,M_ARTIST!A:A,M_ARTIST!B:B,"★★★",0,1)</f>
        <v>★★★</v>
      </c>
      <c r="AC643" s="14">
        <f t="shared" si="37"/>
        <v>0</v>
      </c>
      <c r="AD643" s="19" t="e">
        <f>HYPERLINK(_xlfn.XLOOKUP(C643,M_YT_LIVE_TIMESTAMP!AA:AA,M_YT_LIVE_TIMESTAMP!Z:Z,"★",0,-1))</f>
        <v>#VALUE!</v>
      </c>
    </row>
    <row r="644" spans="3:30" x14ac:dyDescent="0.4">
      <c r="C644" s="12" t="str">
        <f t="shared" si="35"/>
        <v/>
      </c>
      <c r="AA644" s="14">
        <f t="shared" si="36"/>
        <v>0</v>
      </c>
      <c r="AB644" s="14" t="str">
        <f>_xlfn.XLOOKUP(AA644,M_ARTIST!A:A,M_ARTIST!B:B,"★★★",0,1)</f>
        <v>★★★</v>
      </c>
      <c r="AC644" s="14">
        <f t="shared" si="37"/>
        <v>0</v>
      </c>
      <c r="AD644" s="19" t="e">
        <f>HYPERLINK(_xlfn.XLOOKUP(C644,M_YT_LIVE_TIMESTAMP!AA:AA,M_YT_LIVE_TIMESTAMP!Z:Z,"★",0,-1))</f>
        <v>#VALUE!</v>
      </c>
    </row>
    <row r="645" spans="3:30" x14ac:dyDescent="0.4">
      <c r="C645" s="12" t="str">
        <f t="shared" si="35"/>
        <v/>
      </c>
      <c r="AA645" s="14">
        <f t="shared" si="36"/>
        <v>0</v>
      </c>
      <c r="AB645" s="14" t="str">
        <f>_xlfn.XLOOKUP(AA645,M_ARTIST!A:A,M_ARTIST!B:B,"★★★",0,1)</f>
        <v>★★★</v>
      </c>
      <c r="AC645" s="14">
        <f t="shared" si="37"/>
        <v>0</v>
      </c>
      <c r="AD645" s="19" t="e">
        <f>HYPERLINK(_xlfn.XLOOKUP(C645,M_YT_LIVE_TIMESTAMP!AA:AA,M_YT_LIVE_TIMESTAMP!Z:Z,"★",0,-1))</f>
        <v>#VALUE!</v>
      </c>
    </row>
    <row r="646" spans="3:30" x14ac:dyDescent="0.4">
      <c r="C646" s="12" t="str">
        <f t="shared" si="35"/>
        <v/>
      </c>
      <c r="AA646" s="14">
        <f t="shared" si="36"/>
        <v>0</v>
      </c>
      <c r="AB646" s="14" t="str">
        <f>_xlfn.XLOOKUP(AA646,M_ARTIST!A:A,M_ARTIST!B:B,"★★★",0,1)</f>
        <v>★★★</v>
      </c>
      <c r="AC646" s="14">
        <f t="shared" si="37"/>
        <v>0</v>
      </c>
      <c r="AD646" s="19" t="e">
        <f>HYPERLINK(_xlfn.XLOOKUP(C646,M_YT_LIVE_TIMESTAMP!AA:AA,M_YT_LIVE_TIMESTAMP!Z:Z,"★",0,-1))</f>
        <v>#VALUE!</v>
      </c>
    </row>
    <row r="647" spans="3:30" x14ac:dyDescent="0.4">
      <c r="C647" s="12" t="str">
        <f t="shared" si="35"/>
        <v/>
      </c>
      <c r="AA647" s="14">
        <f t="shared" si="36"/>
        <v>0</v>
      </c>
      <c r="AB647" s="14" t="str">
        <f>_xlfn.XLOOKUP(AA647,M_ARTIST!A:A,M_ARTIST!B:B,"★★★",0,1)</f>
        <v>★★★</v>
      </c>
      <c r="AC647" s="14">
        <f t="shared" si="37"/>
        <v>0</v>
      </c>
      <c r="AD647" s="19" t="e">
        <f>HYPERLINK(_xlfn.XLOOKUP(C647,M_YT_LIVE_TIMESTAMP!AA:AA,M_YT_LIVE_TIMESTAMP!Z:Z,"★",0,-1))</f>
        <v>#VALUE!</v>
      </c>
    </row>
    <row r="648" spans="3:30" x14ac:dyDescent="0.4">
      <c r="C648" s="12" t="str">
        <f t="shared" si="35"/>
        <v/>
      </c>
      <c r="AA648" s="14">
        <f t="shared" si="36"/>
        <v>0</v>
      </c>
      <c r="AB648" s="14" t="str">
        <f>_xlfn.XLOOKUP(AA648,M_ARTIST!A:A,M_ARTIST!B:B,"★★★",0,1)</f>
        <v>★★★</v>
      </c>
      <c r="AC648" s="14">
        <f t="shared" si="37"/>
        <v>0</v>
      </c>
      <c r="AD648" s="19" t="e">
        <f>HYPERLINK(_xlfn.XLOOKUP(C648,M_YT_LIVE_TIMESTAMP!AA:AA,M_YT_LIVE_TIMESTAMP!Z:Z,"★",0,-1))</f>
        <v>#VALUE!</v>
      </c>
    </row>
    <row r="649" spans="3:30" x14ac:dyDescent="0.4">
      <c r="C649" s="12" t="str">
        <f t="shared" si="35"/>
        <v/>
      </c>
      <c r="AA649" s="14">
        <f t="shared" si="36"/>
        <v>0</v>
      </c>
      <c r="AB649" s="14" t="str">
        <f>_xlfn.XLOOKUP(AA649,M_ARTIST!A:A,M_ARTIST!B:B,"★★★",0,1)</f>
        <v>★★★</v>
      </c>
      <c r="AC649" s="14">
        <f t="shared" si="37"/>
        <v>0</v>
      </c>
      <c r="AD649" s="19" t="e">
        <f>HYPERLINK(_xlfn.XLOOKUP(C649,M_YT_LIVE_TIMESTAMP!AA:AA,M_YT_LIVE_TIMESTAMP!Z:Z,"★",0,-1))</f>
        <v>#VALUE!</v>
      </c>
    </row>
    <row r="650" spans="3:30" x14ac:dyDescent="0.4">
      <c r="C650" s="12" t="str">
        <f t="shared" si="35"/>
        <v/>
      </c>
      <c r="AA650" s="14">
        <f t="shared" si="36"/>
        <v>0</v>
      </c>
      <c r="AB650" s="14" t="str">
        <f>_xlfn.XLOOKUP(AA650,M_ARTIST!A:A,M_ARTIST!B:B,"★★★",0,1)</f>
        <v>★★★</v>
      </c>
      <c r="AC650" s="14">
        <f t="shared" si="37"/>
        <v>0</v>
      </c>
      <c r="AD650" s="19" t="e">
        <f>HYPERLINK(_xlfn.XLOOKUP(C650,M_YT_LIVE_TIMESTAMP!AA:AA,M_YT_LIVE_TIMESTAMP!Z:Z,"★",0,-1))</f>
        <v>#VALUE!</v>
      </c>
    </row>
    <row r="651" spans="3:30" x14ac:dyDescent="0.4">
      <c r="C651" s="12" t="str">
        <f t="shared" si="35"/>
        <v/>
      </c>
      <c r="AA651" s="14">
        <f t="shared" si="36"/>
        <v>0</v>
      </c>
      <c r="AB651" s="14" t="str">
        <f>_xlfn.XLOOKUP(AA651,M_ARTIST!A:A,M_ARTIST!B:B,"★★★",0,1)</f>
        <v>★★★</v>
      </c>
      <c r="AC651" s="14">
        <f t="shared" si="37"/>
        <v>0</v>
      </c>
      <c r="AD651" s="19" t="e">
        <f>HYPERLINK(_xlfn.XLOOKUP(C651,M_YT_LIVE_TIMESTAMP!AA:AA,M_YT_LIVE_TIMESTAMP!Z:Z,"★",0,-1))</f>
        <v>#VALUE!</v>
      </c>
    </row>
    <row r="652" spans="3:30" x14ac:dyDescent="0.4">
      <c r="C652" s="12" t="str">
        <f t="shared" si="35"/>
        <v/>
      </c>
      <c r="AA652" s="14">
        <f t="shared" si="36"/>
        <v>0</v>
      </c>
      <c r="AB652" s="14" t="str">
        <f>_xlfn.XLOOKUP(AA652,M_ARTIST!A:A,M_ARTIST!B:B,"★★★",0,1)</f>
        <v>★★★</v>
      </c>
      <c r="AC652" s="14">
        <f t="shared" si="37"/>
        <v>0</v>
      </c>
      <c r="AD652" s="19" t="e">
        <f>HYPERLINK(_xlfn.XLOOKUP(C652,M_YT_LIVE_TIMESTAMP!AA:AA,M_YT_LIVE_TIMESTAMP!Z:Z,"★",0,-1))</f>
        <v>#VALUE!</v>
      </c>
    </row>
    <row r="653" spans="3:30" x14ac:dyDescent="0.4">
      <c r="C653" s="12" t="str">
        <f t="shared" si="35"/>
        <v/>
      </c>
      <c r="AA653" s="14">
        <f t="shared" si="36"/>
        <v>0</v>
      </c>
      <c r="AB653" s="14" t="str">
        <f>_xlfn.XLOOKUP(AA653,M_ARTIST!A:A,M_ARTIST!B:B,"★★★",0,1)</f>
        <v>★★★</v>
      </c>
      <c r="AC653" s="14">
        <f t="shared" si="37"/>
        <v>0</v>
      </c>
      <c r="AD653" s="19" t="e">
        <f>HYPERLINK(_xlfn.XLOOKUP(C653,M_YT_LIVE_TIMESTAMP!AA:AA,M_YT_LIVE_TIMESTAMP!Z:Z,"★",0,-1))</f>
        <v>#VALUE!</v>
      </c>
    </row>
    <row r="654" spans="3:30" x14ac:dyDescent="0.4">
      <c r="C654" s="12" t="str">
        <f t="shared" si="35"/>
        <v/>
      </c>
      <c r="AA654" s="14">
        <f t="shared" si="36"/>
        <v>0</v>
      </c>
      <c r="AB654" s="14" t="str">
        <f>_xlfn.XLOOKUP(AA654,M_ARTIST!A:A,M_ARTIST!B:B,"★★★",0,1)</f>
        <v>★★★</v>
      </c>
      <c r="AC654" s="14">
        <f t="shared" si="37"/>
        <v>0</v>
      </c>
      <c r="AD654" s="19" t="e">
        <f>HYPERLINK(_xlfn.XLOOKUP(C654,M_YT_LIVE_TIMESTAMP!AA:AA,M_YT_LIVE_TIMESTAMP!Z:Z,"★",0,-1))</f>
        <v>#VALUE!</v>
      </c>
    </row>
    <row r="655" spans="3:30" x14ac:dyDescent="0.4">
      <c r="C655" s="12" t="str">
        <f t="shared" si="35"/>
        <v/>
      </c>
      <c r="AA655" s="14">
        <f t="shared" si="36"/>
        <v>0</v>
      </c>
      <c r="AB655" s="14" t="str">
        <f>_xlfn.XLOOKUP(AA655,M_ARTIST!A:A,M_ARTIST!B:B,"★★★",0,1)</f>
        <v>★★★</v>
      </c>
      <c r="AC655" s="14">
        <f t="shared" si="37"/>
        <v>0</v>
      </c>
      <c r="AD655" s="19" t="e">
        <f>HYPERLINK(_xlfn.XLOOKUP(C655,M_YT_LIVE_TIMESTAMP!AA:AA,M_YT_LIVE_TIMESTAMP!Z:Z,"★",0,-1))</f>
        <v>#VALUE!</v>
      </c>
    </row>
    <row r="656" spans="3:30" x14ac:dyDescent="0.4">
      <c r="C656" s="12" t="str">
        <f t="shared" si="35"/>
        <v/>
      </c>
      <c r="AA656" s="14">
        <f t="shared" si="36"/>
        <v>0</v>
      </c>
      <c r="AB656" s="14" t="str">
        <f>_xlfn.XLOOKUP(AA656,M_ARTIST!A:A,M_ARTIST!B:B,"★★★",0,1)</f>
        <v>★★★</v>
      </c>
      <c r="AC656" s="14">
        <f t="shared" si="37"/>
        <v>0</v>
      </c>
      <c r="AD656" s="19" t="e">
        <f>HYPERLINK(_xlfn.XLOOKUP(C656,M_YT_LIVE_TIMESTAMP!AA:AA,M_YT_LIVE_TIMESTAMP!Z:Z,"★",0,-1))</f>
        <v>#VALUE!</v>
      </c>
    </row>
    <row r="657" spans="3:30" x14ac:dyDescent="0.4">
      <c r="C657" s="12" t="str">
        <f t="shared" si="35"/>
        <v/>
      </c>
      <c r="AA657" s="14">
        <f t="shared" si="36"/>
        <v>0</v>
      </c>
      <c r="AB657" s="14" t="str">
        <f>_xlfn.XLOOKUP(AA657,M_ARTIST!A:A,M_ARTIST!B:B,"★★★",0,1)</f>
        <v>★★★</v>
      </c>
      <c r="AC657" s="14">
        <f t="shared" si="37"/>
        <v>0</v>
      </c>
      <c r="AD657" s="19" t="e">
        <f>HYPERLINK(_xlfn.XLOOKUP(C657,M_YT_LIVE_TIMESTAMP!AA:AA,M_YT_LIVE_TIMESTAMP!Z:Z,"★",0,-1))</f>
        <v>#VALUE!</v>
      </c>
    </row>
    <row r="658" spans="3:30" x14ac:dyDescent="0.4">
      <c r="C658" s="12" t="str">
        <f t="shared" si="35"/>
        <v/>
      </c>
      <c r="AA658" s="14">
        <f t="shared" si="36"/>
        <v>0</v>
      </c>
      <c r="AB658" s="14" t="str">
        <f>_xlfn.XLOOKUP(AA658,M_ARTIST!A:A,M_ARTIST!B:B,"★★★",0,1)</f>
        <v>★★★</v>
      </c>
      <c r="AC658" s="14">
        <f t="shared" si="37"/>
        <v>0</v>
      </c>
      <c r="AD658" s="19" t="e">
        <f>HYPERLINK(_xlfn.XLOOKUP(C658,M_YT_LIVE_TIMESTAMP!AA:AA,M_YT_LIVE_TIMESTAMP!Z:Z,"★",0,-1))</f>
        <v>#VALUE!</v>
      </c>
    </row>
    <row r="659" spans="3:30" x14ac:dyDescent="0.4">
      <c r="C659" s="12" t="str">
        <f t="shared" ref="C659:C722" si="38">TRIM(B659)&amp;TRIM(A659)</f>
        <v/>
      </c>
      <c r="AA659" s="14">
        <f t="shared" ref="AA659:AA722" si="39">B659</f>
        <v>0</v>
      </c>
      <c r="AB659" s="14" t="str">
        <f>_xlfn.XLOOKUP(AA659,M_ARTIST!A:A,M_ARTIST!B:B,"★★★",0,1)</f>
        <v>★★★</v>
      </c>
      <c r="AC659" s="14">
        <f t="shared" ref="AC659:AC722" si="40">A659</f>
        <v>0</v>
      </c>
      <c r="AD659" s="19" t="e">
        <f>HYPERLINK(_xlfn.XLOOKUP(C659,M_YT_LIVE_TIMESTAMP!AA:AA,M_YT_LIVE_TIMESTAMP!Z:Z,"★",0,-1))</f>
        <v>#VALUE!</v>
      </c>
    </row>
    <row r="660" spans="3:30" x14ac:dyDescent="0.4">
      <c r="C660" s="12" t="str">
        <f t="shared" si="38"/>
        <v/>
      </c>
      <c r="AA660" s="14">
        <f t="shared" si="39"/>
        <v>0</v>
      </c>
      <c r="AB660" s="14" t="str">
        <f>_xlfn.XLOOKUP(AA660,M_ARTIST!A:A,M_ARTIST!B:B,"★★★",0,1)</f>
        <v>★★★</v>
      </c>
      <c r="AC660" s="14">
        <f t="shared" si="40"/>
        <v>0</v>
      </c>
      <c r="AD660" s="19" t="e">
        <f>HYPERLINK(_xlfn.XLOOKUP(C660,M_YT_LIVE_TIMESTAMP!AA:AA,M_YT_LIVE_TIMESTAMP!Z:Z,"★",0,-1))</f>
        <v>#VALUE!</v>
      </c>
    </row>
    <row r="661" spans="3:30" x14ac:dyDescent="0.4">
      <c r="C661" s="12" t="str">
        <f t="shared" si="38"/>
        <v/>
      </c>
      <c r="AA661" s="14">
        <f t="shared" si="39"/>
        <v>0</v>
      </c>
      <c r="AB661" s="14" t="str">
        <f>_xlfn.XLOOKUP(AA661,M_ARTIST!A:A,M_ARTIST!B:B,"★★★",0,1)</f>
        <v>★★★</v>
      </c>
      <c r="AC661" s="14">
        <f t="shared" si="40"/>
        <v>0</v>
      </c>
      <c r="AD661" s="19" t="e">
        <f>HYPERLINK(_xlfn.XLOOKUP(C661,M_YT_LIVE_TIMESTAMP!AA:AA,M_YT_LIVE_TIMESTAMP!Z:Z,"★",0,-1))</f>
        <v>#VALUE!</v>
      </c>
    </row>
    <row r="662" spans="3:30" x14ac:dyDescent="0.4">
      <c r="C662" s="12" t="str">
        <f t="shared" si="38"/>
        <v/>
      </c>
      <c r="AA662" s="14">
        <f t="shared" si="39"/>
        <v>0</v>
      </c>
      <c r="AB662" s="14" t="str">
        <f>_xlfn.XLOOKUP(AA662,M_ARTIST!A:A,M_ARTIST!B:B,"★★★",0,1)</f>
        <v>★★★</v>
      </c>
      <c r="AC662" s="14">
        <f t="shared" si="40"/>
        <v>0</v>
      </c>
      <c r="AD662" s="19" t="e">
        <f>HYPERLINK(_xlfn.XLOOKUP(C662,M_YT_LIVE_TIMESTAMP!AA:AA,M_YT_LIVE_TIMESTAMP!Z:Z,"★",0,-1))</f>
        <v>#VALUE!</v>
      </c>
    </row>
    <row r="663" spans="3:30" x14ac:dyDescent="0.4">
      <c r="C663" s="12" t="str">
        <f t="shared" si="38"/>
        <v/>
      </c>
      <c r="AA663" s="14">
        <f t="shared" si="39"/>
        <v>0</v>
      </c>
      <c r="AB663" s="14" t="str">
        <f>_xlfn.XLOOKUP(AA663,M_ARTIST!A:A,M_ARTIST!B:B,"★★★",0,1)</f>
        <v>★★★</v>
      </c>
      <c r="AC663" s="14">
        <f t="shared" si="40"/>
        <v>0</v>
      </c>
      <c r="AD663" s="19" t="e">
        <f>HYPERLINK(_xlfn.XLOOKUP(C663,M_YT_LIVE_TIMESTAMP!AA:AA,M_YT_LIVE_TIMESTAMP!Z:Z,"★",0,-1))</f>
        <v>#VALUE!</v>
      </c>
    </row>
    <row r="664" spans="3:30" x14ac:dyDescent="0.4">
      <c r="C664" s="12" t="str">
        <f t="shared" si="38"/>
        <v/>
      </c>
      <c r="AA664" s="14">
        <f t="shared" si="39"/>
        <v>0</v>
      </c>
      <c r="AB664" s="14" t="str">
        <f>_xlfn.XLOOKUP(AA664,M_ARTIST!A:A,M_ARTIST!B:B,"★★★",0,1)</f>
        <v>★★★</v>
      </c>
      <c r="AC664" s="14">
        <f t="shared" si="40"/>
        <v>0</v>
      </c>
      <c r="AD664" s="19" t="e">
        <f>HYPERLINK(_xlfn.XLOOKUP(C664,M_YT_LIVE_TIMESTAMP!AA:AA,M_YT_LIVE_TIMESTAMP!Z:Z,"★",0,-1))</f>
        <v>#VALUE!</v>
      </c>
    </row>
    <row r="665" spans="3:30" x14ac:dyDescent="0.4">
      <c r="C665" s="12" t="str">
        <f t="shared" si="38"/>
        <v/>
      </c>
      <c r="AA665" s="14">
        <f t="shared" si="39"/>
        <v>0</v>
      </c>
      <c r="AB665" s="14" t="str">
        <f>_xlfn.XLOOKUP(AA665,M_ARTIST!A:A,M_ARTIST!B:B,"★★★",0,1)</f>
        <v>★★★</v>
      </c>
      <c r="AC665" s="14">
        <f t="shared" si="40"/>
        <v>0</v>
      </c>
      <c r="AD665" s="19" t="e">
        <f>HYPERLINK(_xlfn.XLOOKUP(C665,M_YT_LIVE_TIMESTAMP!AA:AA,M_YT_LIVE_TIMESTAMP!Z:Z,"★",0,-1))</f>
        <v>#VALUE!</v>
      </c>
    </row>
    <row r="666" spans="3:30" x14ac:dyDescent="0.4">
      <c r="C666" s="12" t="str">
        <f t="shared" si="38"/>
        <v/>
      </c>
      <c r="AA666" s="14">
        <f t="shared" si="39"/>
        <v>0</v>
      </c>
      <c r="AB666" s="14" t="str">
        <f>_xlfn.XLOOKUP(AA666,M_ARTIST!A:A,M_ARTIST!B:B,"★★★",0,1)</f>
        <v>★★★</v>
      </c>
      <c r="AC666" s="14">
        <f t="shared" si="40"/>
        <v>0</v>
      </c>
      <c r="AD666" s="19" t="e">
        <f>HYPERLINK(_xlfn.XLOOKUP(C666,M_YT_LIVE_TIMESTAMP!AA:AA,M_YT_LIVE_TIMESTAMP!Z:Z,"★",0,-1))</f>
        <v>#VALUE!</v>
      </c>
    </row>
    <row r="667" spans="3:30" x14ac:dyDescent="0.4">
      <c r="C667" s="12" t="str">
        <f t="shared" si="38"/>
        <v/>
      </c>
      <c r="AA667" s="14">
        <f t="shared" si="39"/>
        <v>0</v>
      </c>
      <c r="AB667" s="14" t="str">
        <f>_xlfn.XLOOKUP(AA667,M_ARTIST!A:A,M_ARTIST!B:B,"★★★",0,1)</f>
        <v>★★★</v>
      </c>
      <c r="AC667" s="14">
        <f t="shared" si="40"/>
        <v>0</v>
      </c>
      <c r="AD667" s="19" t="e">
        <f>HYPERLINK(_xlfn.XLOOKUP(C667,M_YT_LIVE_TIMESTAMP!AA:AA,M_YT_LIVE_TIMESTAMP!Z:Z,"★",0,-1))</f>
        <v>#VALUE!</v>
      </c>
    </row>
    <row r="668" spans="3:30" x14ac:dyDescent="0.4">
      <c r="C668" s="12" t="str">
        <f t="shared" si="38"/>
        <v/>
      </c>
      <c r="AA668" s="14">
        <f t="shared" si="39"/>
        <v>0</v>
      </c>
      <c r="AB668" s="14" t="str">
        <f>_xlfn.XLOOKUP(AA668,M_ARTIST!A:A,M_ARTIST!B:B,"★★★",0,1)</f>
        <v>★★★</v>
      </c>
      <c r="AC668" s="14">
        <f t="shared" si="40"/>
        <v>0</v>
      </c>
      <c r="AD668" s="19" t="e">
        <f>HYPERLINK(_xlfn.XLOOKUP(C668,M_YT_LIVE_TIMESTAMP!AA:AA,M_YT_LIVE_TIMESTAMP!Z:Z,"★",0,-1))</f>
        <v>#VALUE!</v>
      </c>
    </row>
    <row r="669" spans="3:30" x14ac:dyDescent="0.4">
      <c r="C669" s="12" t="str">
        <f t="shared" si="38"/>
        <v/>
      </c>
      <c r="AA669" s="14">
        <f t="shared" si="39"/>
        <v>0</v>
      </c>
      <c r="AB669" s="14" t="str">
        <f>_xlfn.XLOOKUP(AA669,M_ARTIST!A:A,M_ARTIST!B:B,"★★★",0,1)</f>
        <v>★★★</v>
      </c>
      <c r="AC669" s="14">
        <f t="shared" si="40"/>
        <v>0</v>
      </c>
      <c r="AD669" s="19" t="e">
        <f>HYPERLINK(_xlfn.XLOOKUP(C669,M_YT_LIVE_TIMESTAMP!AA:AA,M_YT_LIVE_TIMESTAMP!Z:Z,"★",0,-1))</f>
        <v>#VALUE!</v>
      </c>
    </row>
    <row r="670" spans="3:30" x14ac:dyDescent="0.4">
      <c r="C670" s="12" t="str">
        <f t="shared" si="38"/>
        <v/>
      </c>
      <c r="AA670" s="14">
        <f t="shared" si="39"/>
        <v>0</v>
      </c>
      <c r="AB670" s="14" t="str">
        <f>_xlfn.XLOOKUP(AA670,M_ARTIST!A:A,M_ARTIST!B:B,"★★★",0,1)</f>
        <v>★★★</v>
      </c>
      <c r="AC670" s="14">
        <f t="shared" si="40"/>
        <v>0</v>
      </c>
      <c r="AD670" s="19" t="e">
        <f>HYPERLINK(_xlfn.XLOOKUP(C670,M_YT_LIVE_TIMESTAMP!AA:AA,M_YT_LIVE_TIMESTAMP!Z:Z,"★",0,-1))</f>
        <v>#VALUE!</v>
      </c>
    </row>
    <row r="671" spans="3:30" x14ac:dyDescent="0.4">
      <c r="C671" s="12" t="str">
        <f t="shared" si="38"/>
        <v/>
      </c>
      <c r="AA671" s="14">
        <f t="shared" si="39"/>
        <v>0</v>
      </c>
      <c r="AB671" s="14" t="str">
        <f>_xlfn.XLOOKUP(AA671,M_ARTIST!A:A,M_ARTIST!B:B,"★★★",0,1)</f>
        <v>★★★</v>
      </c>
      <c r="AC671" s="14">
        <f t="shared" si="40"/>
        <v>0</v>
      </c>
      <c r="AD671" s="19" t="e">
        <f>HYPERLINK(_xlfn.XLOOKUP(C671,M_YT_LIVE_TIMESTAMP!AA:AA,M_YT_LIVE_TIMESTAMP!Z:Z,"★",0,-1))</f>
        <v>#VALUE!</v>
      </c>
    </row>
    <row r="672" spans="3:30" x14ac:dyDescent="0.4">
      <c r="C672" s="12" t="str">
        <f t="shared" si="38"/>
        <v/>
      </c>
      <c r="AA672" s="14">
        <f t="shared" si="39"/>
        <v>0</v>
      </c>
      <c r="AB672" s="14" t="str">
        <f>_xlfn.XLOOKUP(AA672,M_ARTIST!A:A,M_ARTIST!B:B,"★★★",0,1)</f>
        <v>★★★</v>
      </c>
      <c r="AC672" s="14">
        <f t="shared" si="40"/>
        <v>0</v>
      </c>
      <c r="AD672" s="19" t="e">
        <f>HYPERLINK(_xlfn.XLOOKUP(C672,M_YT_LIVE_TIMESTAMP!AA:AA,M_YT_LIVE_TIMESTAMP!Z:Z,"★",0,-1))</f>
        <v>#VALUE!</v>
      </c>
    </row>
    <row r="673" spans="3:30" x14ac:dyDescent="0.4">
      <c r="C673" s="12" t="str">
        <f t="shared" si="38"/>
        <v/>
      </c>
      <c r="AA673" s="14">
        <f t="shared" si="39"/>
        <v>0</v>
      </c>
      <c r="AB673" s="14" t="str">
        <f>_xlfn.XLOOKUP(AA673,M_ARTIST!A:A,M_ARTIST!B:B,"★★★",0,1)</f>
        <v>★★★</v>
      </c>
      <c r="AC673" s="14">
        <f t="shared" si="40"/>
        <v>0</v>
      </c>
      <c r="AD673" s="19" t="e">
        <f>HYPERLINK(_xlfn.XLOOKUP(C673,M_YT_LIVE_TIMESTAMP!AA:AA,M_YT_LIVE_TIMESTAMP!Z:Z,"★",0,-1))</f>
        <v>#VALUE!</v>
      </c>
    </row>
    <row r="674" spans="3:30" x14ac:dyDescent="0.4">
      <c r="C674" s="12" t="str">
        <f t="shared" si="38"/>
        <v/>
      </c>
      <c r="AA674" s="14">
        <f t="shared" si="39"/>
        <v>0</v>
      </c>
      <c r="AB674" s="14" t="str">
        <f>_xlfn.XLOOKUP(AA674,M_ARTIST!A:A,M_ARTIST!B:B,"★★★",0,1)</f>
        <v>★★★</v>
      </c>
      <c r="AC674" s="14">
        <f t="shared" si="40"/>
        <v>0</v>
      </c>
      <c r="AD674" s="19" t="e">
        <f>HYPERLINK(_xlfn.XLOOKUP(C674,M_YT_LIVE_TIMESTAMP!AA:AA,M_YT_LIVE_TIMESTAMP!Z:Z,"★",0,-1))</f>
        <v>#VALUE!</v>
      </c>
    </row>
    <row r="675" spans="3:30" x14ac:dyDescent="0.4">
      <c r="C675" s="12" t="str">
        <f t="shared" si="38"/>
        <v/>
      </c>
      <c r="AA675" s="14">
        <f t="shared" si="39"/>
        <v>0</v>
      </c>
      <c r="AB675" s="14" t="str">
        <f>_xlfn.XLOOKUP(AA675,M_ARTIST!A:A,M_ARTIST!B:B,"★★★",0,1)</f>
        <v>★★★</v>
      </c>
      <c r="AC675" s="14">
        <f t="shared" si="40"/>
        <v>0</v>
      </c>
      <c r="AD675" s="19" t="e">
        <f>HYPERLINK(_xlfn.XLOOKUP(C675,M_YT_LIVE_TIMESTAMP!AA:AA,M_YT_LIVE_TIMESTAMP!Z:Z,"★",0,-1))</f>
        <v>#VALUE!</v>
      </c>
    </row>
    <row r="676" spans="3:30" x14ac:dyDescent="0.4">
      <c r="C676" s="12" t="str">
        <f t="shared" si="38"/>
        <v/>
      </c>
      <c r="AA676" s="14">
        <f t="shared" si="39"/>
        <v>0</v>
      </c>
      <c r="AB676" s="14" t="str">
        <f>_xlfn.XLOOKUP(AA676,M_ARTIST!A:A,M_ARTIST!B:B,"★★★",0,1)</f>
        <v>★★★</v>
      </c>
      <c r="AC676" s="14">
        <f t="shared" si="40"/>
        <v>0</v>
      </c>
      <c r="AD676" s="19" t="e">
        <f>HYPERLINK(_xlfn.XLOOKUP(C676,M_YT_LIVE_TIMESTAMP!AA:AA,M_YT_LIVE_TIMESTAMP!Z:Z,"★",0,-1))</f>
        <v>#VALUE!</v>
      </c>
    </row>
    <row r="677" spans="3:30" x14ac:dyDescent="0.4">
      <c r="C677" s="12" t="str">
        <f t="shared" si="38"/>
        <v/>
      </c>
      <c r="AA677" s="14">
        <f t="shared" si="39"/>
        <v>0</v>
      </c>
      <c r="AB677" s="14" t="str">
        <f>_xlfn.XLOOKUP(AA677,M_ARTIST!A:A,M_ARTIST!B:B,"★★★",0,1)</f>
        <v>★★★</v>
      </c>
      <c r="AC677" s="14">
        <f t="shared" si="40"/>
        <v>0</v>
      </c>
      <c r="AD677" s="19" t="e">
        <f>HYPERLINK(_xlfn.XLOOKUP(C677,M_YT_LIVE_TIMESTAMP!AA:AA,M_YT_LIVE_TIMESTAMP!Z:Z,"★",0,-1))</f>
        <v>#VALUE!</v>
      </c>
    </row>
    <row r="678" spans="3:30" x14ac:dyDescent="0.4">
      <c r="C678" s="12" t="str">
        <f t="shared" si="38"/>
        <v/>
      </c>
      <c r="AA678" s="14">
        <f t="shared" si="39"/>
        <v>0</v>
      </c>
      <c r="AB678" s="14" t="str">
        <f>_xlfn.XLOOKUP(AA678,M_ARTIST!A:A,M_ARTIST!B:B,"★★★",0,1)</f>
        <v>★★★</v>
      </c>
      <c r="AC678" s="14">
        <f t="shared" si="40"/>
        <v>0</v>
      </c>
      <c r="AD678" s="19" t="e">
        <f>HYPERLINK(_xlfn.XLOOKUP(C678,M_YT_LIVE_TIMESTAMP!AA:AA,M_YT_LIVE_TIMESTAMP!Z:Z,"★",0,-1))</f>
        <v>#VALUE!</v>
      </c>
    </row>
    <row r="679" spans="3:30" x14ac:dyDescent="0.4">
      <c r="C679" s="12" t="str">
        <f t="shared" si="38"/>
        <v/>
      </c>
      <c r="AA679" s="14">
        <f t="shared" si="39"/>
        <v>0</v>
      </c>
      <c r="AB679" s="14" t="str">
        <f>_xlfn.XLOOKUP(AA679,M_ARTIST!A:A,M_ARTIST!B:B,"★★★",0,1)</f>
        <v>★★★</v>
      </c>
      <c r="AC679" s="14">
        <f t="shared" si="40"/>
        <v>0</v>
      </c>
      <c r="AD679" s="19" t="e">
        <f>HYPERLINK(_xlfn.XLOOKUP(C679,M_YT_LIVE_TIMESTAMP!AA:AA,M_YT_LIVE_TIMESTAMP!Z:Z,"★",0,-1))</f>
        <v>#VALUE!</v>
      </c>
    </row>
    <row r="680" spans="3:30" x14ac:dyDescent="0.4">
      <c r="C680" s="12" t="str">
        <f t="shared" si="38"/>
        <v/>
      </c>
      <c r="AA680" s="14">
        <f t="shared" si="39"/>
        <v>0</v>
      </c>
      <c r="AB680" s="14" t="str">
        <f>_xlfn.XLOOKUP(AA680,M_ARTIST!A:A,M_ARTIST!B:B,"★★★",0,1)</f>
        <v>★★★</v>
      </c>
      <c r="AC680" s="14">
        <f t="shared" si="40"/>
        <v>0</v>
      </c>
      <c r="AD680" s="19" t="e">
        <f>HYPERLINK(_xlfn.XLOOKUP(C680,M_YT_LIVE_TIMESTAMP!AA:AA,M_YT_LIVE_TIMESTAMP!Z:Z,"★",0,-1))</f>
        <v>#VALUE!</v>
      </c>
    </row>
    <row r="681" spans="3:30" x14ac:dyDescent="0.4">
      <c r="C681" s="12" t="str">
        <f t="shared" si="38"/>
        <v/>
      </c>
      <c r="AA681" s="14">
        <f t="shared" si="39"/>
        <v>0</v>
      </c>
      <c r="AB681" s="14" t="str">
        <f>_xlfn.XLOOKUP(AA681,M_ARTIST!A:A,M_ARTIST!B:B,"★★★",0,1)</f>
        <v>★★★</v>
      </c>
      <c r="AC681" s="14">
        <f t="shared" si="40"/>
        <v>0</v>
      </c>
      <c r="AD681" s="19" t="e">
        <f>HYPERLINK(_xlfn.XLOOKUP(C681,M_YT_LIVE_TIMESTAMP!AA:AA,M_YT_LIVE_TIMESTAMP!Z:Z,"★",0,-1))</f>
        <v>#VALUE!</v>
      </c>
    </row>
    <row r="682" spans="3:30" x14ac:dyDescent="0.4">
      <c r="C682" s="12" t="str">
        <f t="shared" si="38"/>
        <v/>
      </c>
      <c r="AA682" s="14">
        <f t="shared" si="39"/>
        <v>0</v>
      </c>
      <c r="AB682" s="14" t="str">
        <f>_xlfn.XLOOKUP(AA682,M_ARTIST!A:A,M_ARTIST!B:B,"★★★",0,1)</f>
        <v>★★★</v>
      </c>
      <c r="AC682" s="14">
        <f t="shared" si="40"/>
        <v>0</v>
      </c>
      <c r="AD682" s="19" t="e">
        <f>HYPERLINK(_xlfn.XLOOKUP(C682,M_YT_LIVE_TIMESTAMP!AA:AA,M_YT_LIVE_TIMESTAMP!Z:Z,"★",0,-1))</f>
        <v>#VALUE!</v>
      </c>
    </row>
    <row r="683" spans="3:30" x14ac:dyDescent="0.4">
      <c r="C683" s="12" t="str">
        <f t="shared" si="38"/>
        <v/>
      </c>
      <c r="AA683" s="14">
        <f t="shared" si="39"/>
        <v>0</v>
      </c>
      <c r="AB683" s="14" t="str">
        <f>_xlfn.XLOOKUP(AA683,M_ARTIST!A:A,M_ARTIST!B:B,"★★★",0,1)</f>
        <v>★★★</v>
      </c>
      <c r="AC683" s="14">
        <f t="shared" si="40"/>
        <v>0</v>
      </c>
      <c r="AD683" s="19" t="e">
        <f>HYPERLINK(_xlfn.XLOOKUP(C683,M_YT_LIVE_TIMESTAMP!AA:AA,M_YT_LIVE_TIMESTAMP!Z:Z,"★",0,-1))</f>
        <v>#VALUE!</v>
      </c>
    </row>
    <row r="684" spans="3:30" x14ac:dyDescent="0.4">
      <c r="C684" s="12" t="str">
        <f t="shared" si="38"/>
        <v/>
      </c>
      <c r="AA684" s="14">
        <f t="shared" si="39"/>
        <v>0</v>
      </c>
      <c r="AB684" s="14" t="str">
        <f>_xlfn.XLOOKUP(AA684,M_ARTIST!A:A,M_ARTIST!B:B,"★★★",0,1)</f>
        <v>★★★</v>
      </c>
      <c r="AC684" s="14">
        <f t="shared" si="40"/>
        <v>0</v>
      </c>
      <c r="AD684" s="19" t="e">
        <f>HYPERLINK(_xlfn.XLOOKUP(C684,M_YT_LIVE_TIMESTAMP!AA:AA,M_YT_LIVE_TIMESTAMP!Z:Z,"★",0,-1))</f>
        <v>#VALUE!</v>
      </c>
    </row>
    <row r="685" spans="3:30" x14ac:dyDescent="0.4">
      <c r="C685" s="12" t="str">
        <f t="shared" si="38"/>
        <v/>
      </c>
      <c r="AA685" s="14">
        <f t="shared" si="39"/>
        <v>0</v>
      </c>
      <c r="AB685" s="14" t="str">
        <f>_xlfn.XLOOKUP(AA685,M_ARTIST!A:A,M_ARTIST!B:B,"★★★",0,1)</f>
        <v>★★★</v>
      </c>
      <c r="AC685" s="14">
        <f t="shared" si="40"/>
        <v>0</v>
      </c>
      <c r="AD685" s="19" t="e">
        <f>HYPERLINK(_xlfn.XLOOKUP(C685,M_YT_LIVE_TIMESTAMP!AA:AA,M_YT_LIVE_TIMESTAMP!Z:Z,"★",0,-1))</f>
        <v>#VALUE!</v>
      </c>
    </row>
    <row r="686" spans="3:30" x14ac:dyDescent="0.4">
      <c r="C686" s="12" t="str">
        <f t="shared" si="38"/>
        <v/>
      </c>
      <c r="AA686" s="14">
        <f t="shared" si="39"/>
        <v>0</v>
      </c>
      <c r="AB686" s="14" t="str">
        <f>_xlfn.XLOOKUP(AA686,M_ARTIST!A:A,M_ARTIST!B:B,"★★★",0,1)</f>
        <v>★★★</v>
      </c>
      <c r="AC686" s="14">
        <f t="shared" si="40"/>
        <v>0</v>
      </c>
      <c r="AD686" s="19" t="e">
        <f>HYPERLINK(_xlfn.XLOOKUP(C686,M_YT_LIVE_TIMESTAMP!AA:AA,M_YT_LIVE_TIMESTAMP!Z:Z,"★",0,-1))</f>
        <v>#VALUE!</v>
      </c>
    </row>
    <row r="687" spans="3:30" x14ac:dyDescent="0.4">
      <c r="C687" s="12" t="str">
        <f t="shared" si="38"/>
        <v/>
      </c>
      <c r="AA687" s="14">
        <f t="shared" si="39"/>
        <v>0</v>
      </c>
      <c r="AB687" s="14" t="str">
        <f>_xlfn.XLOOKUP(AA687,M_ARTIST!A:A,M_ARTIST!B:B,"★★★",0,1)</f>
        <v>★★★</v>
      </c>
      <c r="AC687" s="14">
        <f t="shared" si="40"/>
        <v>0</v>
      </c>
      <c r="AD687" s="19" t="e">
        <f>HYPERLINK(_xlfn.XLOOKUP(C687,M_YT_LIVE_TIMESTAMP!AA:AA,M_YT_LIVE_TIMESTAMP!Z:Z,"★",0,-1))</f>
        <v>#VALUE!</v>
      </c>
    </row>
    <row r="688" spans="3:30" x14ac:dyDescent="0.4">
      <c r="C688" s="12" t="str">
        <f t="shared" si="38"/>
        <v/>
      </c>
      <c r="AA688" s="14">
        <f t="shared" si="39"/>
        <v>0</v>
      </c>
      <c r="AB688" s="14" t="str">
        <f>_xlfn.XLOOKUP(AA688,M_ARTIST!A:A,M_ARTIST!B:B,"★★★",0,1)</f>
        <v>★★★</v>
      </c>
      <c r="AC688" s="14">
        <f t="shared" si="40"/>
        <v>0</v>
      </c>
      <c r="AD688" s="19" t="e">
        <f>HYPERLINK(_xlfn.XLOOKUP(C688,M_YT_LIVE_TIMESTAMP!AA:AA,M_YT_LIVE_TIMESTAMP!Z:Z,"★",0,-1))</f>
        <v>#VALUE!</v>
      </c>
    </row>
    <row r="689" spans="3:30" x14ac:dyDescent="0.4">
      <c r="C689" s="12" t="str">
        <f t="shared" si="38"/>
        <v/>
      </c>
      <c r="AA689" s="14">
        <f t="shared" si="39"/>
        <v>0</v>
      </c>
      <c r="AB689" s="14" t="str">
        <f>_xlfn.XLOOKUP(AA689,M_ARTIST!A:A,M_ARTIST!B:B,"★★★",0,1)</f>
        <v>★★★</v>
      </c>
      <c r="AC689" s="14">
        <f t="shared" si="40"/>
        <v>0</v>
      </c>
      <c r="AD689" s="19" t="e">
        <f>HYPERLINK(_xlfn.XLOOKUP(C689,M_YT_LIVE_TIMESTAMP!AA:AA,M_YT_LIVE_TIMESTAMP!Z:Z,"★",0,-1))</f>
        <v>#VALUE!</v>
      </c>
    </row>
    <row r="690" spans="3:30" x14ac:dyDescent="0.4">
      <c r="C690" s="12" t="str">
        <f t="shared" si="38"/>
        <v/>
      </c>
      <c r="AA690" s="14">
        <f t="shared" si="39"/>
        <v>0</v>
      </c>
      <c r="AB690" s="14" t="str">
        <f>_xlfn.XLOOKUP(AA690,M_ARTIST!A:A,M_ARTIST!B:B,"★★★",0,1)</f>
        <v>★★★</v>
      </c>
      <c r="AC690" s="14">
        <f t="shared" si="40"/>
        <v>0</v>
      </c>
      <c r="AD690" s="19" t="e">
        <f>HYPERLINK(_xlfn.XLOOKUP(C690,M_YT_LIVE_TIMESTAMP!AA:AA,M_YT_LIVE_TIMESTAMP!Z:Z,"★",0,-1))</f>
        <v>#VALUE!</v>
      </c>
    </row>
    <row r="691" spans="3:30" x14ac:dyDescent="0.4">
      <c r="C691" s="12" t="str">
        <f t="shared" si="38"/>
        <v/>
      </c>
      <c r="AA691" s="14">
        <f t="shared" si="39"/>
        <v>0</v>
      </c>
      <c r="AB691" s="14" t="str">
        <f>_xlfn.XLOOKUP(AA691,M_ARTIST!A:A,M_ARTIST!B:B,"★★★",0,1)</f>
        <v>★★★</v>
      </c>
      <c r="AC691" s="14">
        <f t="shared" si="40"/>
        <v>0</v>
      </c>
      <c r="AD691" s="19" t="e">
        <f>HYPERLINK(_xlfn.XLOOKUP(C691,M_YT_LIVE_TIMESTAMP!AA:AA,M_YT_LIVE_TIMESTAMP!Z:Z,"★",0,-1))</f>
        <v>#VALUE!</v>
      </c>
    </row>
    <row r="692" spans="3:30" x14ac:dyDescent="0.4">
      <c r="C692" s="12" t="str">
        <f t="shared" si="38"/>
        <v/>
      </c>
      <c r="AA692" s="14">
        <f t="shared" si="39"/>
        <v>0</v>
      </c>
      <c r="AB692" s="14" t="str">
        <f>_xlfn.XLOOKUP(AA692,M_ARTIST!A:A,M_ARTIST!B:B,"★★★",0,1)</f>
        <v>★★★</v>
      </c>
      <c r="AC692" s="14">
        <f t="shared" si="40"/>
        <v>0</v>
      </c>
      <c r="AD692" s="19" t="e">
        <f>HYPERLINK(_xlfn.XLOOKUP(C692,M_YT_LIVE_TIMESTAMP!AA:AA,M_YT_LIVE_TIMESTAMP!Z:Z,"★",0,-1))</f>
        <v>#VALUE!</v>
      </c>
    </row>
    <row r="693" spans="3:30" x14ac:dyDescent="0.4">
      <c r="C693" s="12" t="str">
        <f t="shared" si="38"/>
        <v/>
      </c>
      <c r="AA693" s="14">
        <f t="shared" si="39"/>
        <v>0</v>
      </c>
      <c r="AB693" s="14" t="str">
        <f>_xlfn.XLOOKUP(AA693,M_ARTIST!A:A,M_ARTIST!B:B,"★★★",0,1)</f>
        <v>★★★</v>
      </c>
      <c r="AC693" s="14">
        <f t="shared" si="40"/>
        <v>0</v>
      </c>
      <c r="AD693" s="19" t="e">
        <f>HYPERLINK(_xlfn.XLOOKUP(C693,M_YT_LIVE_TIMESTAMP!AA:AA,M_YT_LIVE_TIMESTAMP!Z:Z,"★",0,-1))</f>
        <v>#VALUE!</v>
      </c>
    </row>
    <row r="694" spans="3:30" x14ac:dyDescent="0.4">
      <c r="C694" s="12" t="str">
        <f t="shared" si="38"/>
        <v/>
      </c>
      <c r="AA694" s="14">
        <f t="shared" si="39"/>
        <v>0</v>
      </c>
      <c r="AB694" s="14" t="str">
        <f>_xlfn.XLOOKUP(AA694,M_ARTIST!A:A,M_ARTIST!B:B,"★★★",0,1)</f>
        <v>★★★</v>
      </c>
      <c r="AC694" s="14">
        <f t="shared" si="40"/>
        <v>0</v>
      </c>
      <c r="AD694" s="19" t="e">
        <f>HYPERLINK(_xlfn.XLOOKUP(C694,M_YT_LIVE_TIMESTAMP!AA:AA,M_YT_LIVE_TIMESTAMP!Z:Z,"★",0,-1))</f>
        <v>#VALUE!</v>
      </c>
    </row>
    <row r="695" spans="3:30" x14ac:dyDescent="0.4">
      <c r="C695" s="12" t="str">
        <f t="shared" si="38"/>
        <v/>
      </c>
      <c r="AA695" s="14">
        <f t="shared" si="39"/>
        <v>0</v>
      </c>
      <c r="AB695" s="14" t="str">
        <f>_xlfn.XLOOKUP(AA695,M_ARTIST!A:A,M_ARTIST!B:B,"★★★",0,1)</f>
        <v>★★★</v>
      </c>
      <c r="AC695" s="14">
        <f t="shared" si="40"/>
        <v>0</v>
      </c>
      <c r="AD695" s="19" t="e">
        <f>HYPERLINK(_xlfn.XLOOKUP(C695,M_YT_LIVE_TIMESTAMP!AA:AA,M_YT_LIVE_TIMESTAMP!Z:Z,"★",0,-1))</f>
        <v>#VALUE!</v>
      </c>
    </row>
    <row r="696" spans="3:30" x14ac:dyDescent="0.4">
      <c r="C696" s="12" t="str">
        <f t="shared" si="38"/>
        <v/>
      </c>
      <c r="AA696" s="14">
        <f t="shared" si="39"/>
        <v>0</v>
      </c>
      <c r="AB696" s="14" t="str">
        <f>_xlfn.XLOOKUP(AA696,M_ARTIST!A:A,M_ARTIST!B:B,"★★★",0,1)</f>
        <v>★★★</v>
      </c>
      <c r="AC696" s="14">
        <f t="shared" si="40"/>
        <v>0</v>
      </c>
      <c r="AD696" s="19" t="e">
        <f>HYPERLINK(_xlfn.XLOOKUP(C696,M_YT_LIVE_TIMESTAMP!AA:AA,M_YT_LIVE_TIMESTAMP!Z:Z,"★",0,-1))</f>
        <v>#VALUE!</v>
      </c>
    </row>
    <row r="697" spans="3:30" x14ac:dyDescent="0.4">
      <c r="C697" s="12" t="str">
        <f t="shared" si="38"/>
        <v/>
      </c>
      <c r="AA697" s="14">
        <f t="shared" si="39"/>
        <v>0</v>
      </c>
      <c r="AB697" s="14" t="str">
        <f>_xlfn.XLOOKUP(AA697,M_ARTIST!A:A,M_ARTIST!B:B,"★★★",0,1)</f>
        <v>★★★</v>
      </c>
      <c r="AC697" s="14">
        <f t="shared" si="40"/>
        <v>0</v>
      </c>
      <c r="AD697" s="19" t="e">
        <f>HYPERLINK(_xlfn.XLOOKUP(C697,M_YT_LIVE_TIMESTAMP!AA:AA,M_YT_LIVE_TIMESTAMP!Z:Z,"★",0,-1))</f>
        <v>#VALUE!</v>
      </c>
    </row>
    <row r="698" spans="3:30" x14ac:dyDescent="0.4">
      <c r="C698" s="12" t="str">
        <f t="shared" si="38"/>
        <v/>
      </c>
      <c r="AA698" s="14">
        <f t="shared" si="39"/>
        <v>0</v>
      </c>
      <c r="AB698" s="14" t="str">
        <f>_xlfn.XLOOKUP(AA698,M_ARTIST!A:A,M_ARTIST!B:B,"★★★",0,1)</f>
        <v>★★★</v>
      </c>
      <c r="AC698" s="14">
        <f t="shared" si="40"/>
        <v>0</v>
      </c>
      <c r="AD698" s="19" t="e">
        <f>HYPERLINK(_xlfn.XLOOKUP(C698,M_YT_LIVE_TIMESTAMP!AA:AA,M_YT_LIVE_TIMESTAMP!Z:Z,"★",0,-1))</f>
        <v>#VALUE!</v>
      </c>
    </row>
    <row r="699" spans="3:30" x14ac:dyDescent="0.4">
      <c r="C699" s="12" t="str">
        <f t="shared" si="38"/>
        <v/>
      </c>
      <c r="AA699" s="14">
        <f t="shared" si="39"/>
        <v>0</v>
      </c>
      <c r="AB699" s="14" t="str">
        <f>_xlfn.XLOOKUP(AA699,M_ARTIST!A:A,M_ARTIST!B:B,"★★★",0,1)</f>
        <v>★★★</v>
      </c>
      <c r="AC699" s="14">
        <f t="shared" si="40"/>
        <v>0</v>
      </c>
      <c r="AD699" s="19" t="e">
        <f>HYPERLINK(_xlfn.XLOOKUP(C699,M_YT_LIVE_TIMESTAMP!AA:AA,M_YT_LIVE_TIMESTAMP!Z:Z,"★",0,-1))</f>
        <v>#VALUE!</v>
      </c>
    </row>
    <row r="700" spans="3:30" x14ac:dyDescent="0.4">
      <c r="C700" s="12" t="str">
        <f t="shared" si="38"/>
        <v/>
      </c>
      <c r="AA700" s="14">
        <f t="shared" si="39"/>
        <v>0</v>
      </c>
      <c r="AB700" s="14" t="str">
        <f>_xlfn.XLOOKUP(AA700,M_ARTIST!A:A,M_ARTIST!B:B,"★★★",0,1)</f>
        <v>★★★</v>
      </c>
      <c r="AC700" s="14">
        <f t="shared" si="40"/>
        <v>0</v>
      </c>
      <c r="AD700" s="19" t="e">
        <f>HYPERLINK(_xlfn.XLOOKUP(C700,M_YT_LIVE_TIMESTAMP!AA:AA,M_YT_LIVE_TIMESTAMP!Z:Z,"★",0,-1))</f>
        <v>#VALUE!</v>
      </c>
    </row>
    <row r="701" spans="3:30" x14ac:dyDescent="0.4">
      <c r="C701" s="12" t="str">
        <f t="shared" si="38"/>
        <v/>
      </c>
      <c r="AA701" s="14">
        <f t="shared" si="39"/>
        <v>0</v>
      </c>
      <c r="AB701" s="14" t="str">
        <f>_xlfn.XLOOKUP(AA701,M_ARTIST!A:A,M_ARTIST!B:B,"★★★",0,1)</f>
        <v>★★★</v>
      </c>
      <c r="AC701" s="14">
        <f t="shared" si="40"/>
        <v>0</v>
      </c>
      <c r="AD701" s="19" t="e">
        <f>HYPERLINK(_xlfn.XLOOKUP(C701,M_YT_LIVE_TIMESTAMP!AA:AA,M_YT_LIVE_TIMESTAMP!Z:Z,"★",0,-1))</f>
        <v>#VALUE!</v>
      </c>
    </row>
    <row r="702" spans="3:30" x14ac:dyDescent="0.4">
      <c r="C702" s="12" t="str">
        <f t="shared" si="38"/>
        <v/>
      </c>
      <c r="AA702" s="14">
        <f t="shared" si="39"/>
        <v>0</v>
      </c>
      <c r="AB702" s="14" t="str">
        <f>_xlfn.XLOOKUP(AA702,M_ARTIST!A:A,M_ARTIST!B:B,"★★★",0,1)</f>
        <v>★★★</v>
      </c>
      <c r="AC702" s="14">
        <f t="shared" si="40"/>
        <v>0</v>
      </c>
      <c r="AD702" s="19" t="e">
        <f>HYPERLINK(_xlfn.XLOOKUP(C702,M_YT_LIVE_TIMESTAMP!AA:AA,M_YT_LIVE_TIMESTAMP!Z:Z,"★",0,-1))</f>
        <v>#VALUE!</v>
      </c>
    </row>
    <row r="703" spans="3:30" x14ac:dyDescent="0.4">
      <c r="C703" s="12" t="str">
        <f t="shared" si="38"/>
        <v/>
      </c>
      <c r="AA703" s="14">
        <f t="shared" si="39"/>
        <v>0</v>
      </c>
      <c r="AB703" s="14" t="str">
        <f>_xlfn.XLOOKUP(AA703,M_ARTIST!A:A,M_ARTIST!B:B,"★★★",0,1)</f>
        <v>★★★</v>
      </c>
      <c r="AC703" s="14">
        <f t="shared" si="40"/>
        <v>0</v>
      </c>
      <c r="AD703" s="19" t="e">
        <f>HYPERLINK(_xlfn.XLOOKUP(C703,M_YT_LIVE_TIMESTAMP!AA:AA,M_YT_LIVE_TIMESTAMP!Z:Z,"★",0,-1))</f>
        <v>#VALUE!</v>
      </c>
    </row>
    <row r="704" spans="3:30" x14ac:dyDescent="0.4">
      <c r="C704" s="12" t="str">
        <f t="shared" si="38"/>
        <v/>
      </c>
      <c r="AA704" s="14">
        <f t="shared" si="39"/>
        <v>0</v>
      </c>
      <c r="AB704" s="14" t="str">
        <f>_xlfn.XLOOKUP(AA704,M_ARTIST!A:A,M_ARTIST!B:B,"★★★",0,1)</f>
        <v>★★★</v>
      </c>
      <c r="AC704" s="14">
        <f t="shared" si="40"/>
        <v>0</v>
      </c>
      <c r="AD704" s="19" t="e">
        <f>HYPERLINK(_xlfn.XLOOKUP(C704,M_YT_LIVE_TIMESTAMP!AA:AA,M_YT_LIVE_TIMESTAMP!Z:Z,"★",0,-1))</f>
        <v>#VALUE!</v>
      </c>
    </row>
    <row r="705" spans="3:30" x14ac:dyDescent="0.4">
      <c r="C705" s="12" t="str">
        <f t="shared" si="38"/>
        <v/>
      </c>
      <c r="AA705" s="14">
        <f t="shared" si="39"/>
        <v>0</v>
      </c>
      <c r="AB705" s="14" t="str">
        <f>_xlfn.XLOOKUP(AA705,M_ARTIST!A:A,M_ARTIST!B:B,"★★★",0,1)</f>
        <v>★★★</v>
      </c>
      <c r="AC705" s="14">
        <f t="shared" si="40"/>
        <v>0</v>
      </c>
      <c r="AD705" s="19" t="e">
        <f>HYPERLINK(_xlfn.XLOOKUP(C705,M_YT_LIVE_TIMESTAMP!AA:AA,M_YT_LIVE_TIMESTAMP!Z:Z,"★",0,-1))</f>
        <v>#VALUE!</v>
      </c>
    </row>
    <row r="706" spans="3:30" x14ac:dyDescent="0.4">
      <c r="C706" s="12" t="str">
        <f t="shared" si="38"/>
        <v/>
      </c>
      <c r="AA706" s="14">
        <f t="shared" si="39"/>
        <v>0</v>
      </c>
      <c r="AB706" s="14" t="str">
        <f>_xlfn.XLOOKUP(AA706,M_ARTIST!A:A,M_ARTIST!B:B,"★★★",0,1)</f>
        <v>★★★</v>
      </c>
      <c r="AC706" s="14">
        <f t="shared" si="40"/>
        <v>0</v>
      </c>
      <c r="AD706" s="19" t="e">
        <f>HYPERLINK(_xlfn.XLOOKUP(C706,M_YT_LIVE_TIMESTAMP!AA:AA,M_YT_LIVE_TIMESTAMP!Z:Z,"★",0,-1))</f>
        <v>#VALUE!</v>
      </c>
    </row>
    <row r="707" spans="3:30" x14ac:dyDescent="0.4">
      <c r="C707" s="12" t="str">
        <f t="shared" si="38"/>
        <v/>
      </c>
      <c r="AA707" s="14">
        <f t="shared" si="39"/>
        <v>0</v>
      </c>
      <c r="AB707" s="14" t="str">
        <f>_xlfn.XLOOKUP(AA707,M_ARTIST!A:A,M_ARTIST!B:B,"★★★",0,1)</f>
        <v>★★★</v>
      </c>
      <c r="AC707" s="14">
        <f t="shared" si="40"/>
        <v>0</v>
      </c>
      <c r="AD707" s="19" t="e">
        <f>HYPERLINK(_xlfn.XLOOKUP(C707,M_YT_LIVE_TIMESTAMP!AA:AA,M_YT_LIVE_TIMESTAMP!Z:Z,"★",0,-1))</f>
        <v>#VALUE!</v>
      </c>
    </row>
    <row r="708" spans="3:30" x14ac:dyDescent="0.4">
      <c r="C708" s="12" t="str">
        <f t="shared" si="38"/>
        <v/>
      </c>
      <c r="AA708" s="14">
        <f t="shared" si="39"/>
        <v>0</v>
      </c>
      <c r="AB708" s="14" t="str">
        <f>_xlfn.XLOOKUP(AA708,M_ARTIST!A:A,M_ARTIST!B:B,"★★★",0,1)</f>
        <v>★★★</v>
      </c>
      <c r="AC708" s="14">
        <f t="shared" si="40"/>
        <v>0</v>
      </c>
      <c r="AD708" s="19" t="e">
        <f>HYPERLINK(_xlfn.XLOOKUP(C708,M_YT_LIVE_TIMESTAMP!AA:AA,M_YT_LIVE_TIMESTAMP!Z:Z,"★",0,-1))</f>
        <v>#VALUE!</v>
      </c>
    </row>
    <row r="709" spans="3:30" x14ac:dyDescent="0.4">
      <c r="C709" s="12" t="str">
        <f t="shared" si="38"/>
        <v/>
      </c>
      <c r="AA709" s="14">
        <f t="shared" si="39"/>
        <v>0</v>
      </c>
      <c r="AB709" s="14" t="str">
        <f>_xlfn.XLOOKUP(AA709,M_ARTIST!A:A,M_ARTIST!B:B,"★★★",0,1)</f>
        <v>★★★</v>
      </c>
      <c r="AC709" s="14">
        <f t="shared" si="40"/>
        <v>0</v>
      </c>
      <c r="AD709" s="19" t="e">
        <f>HYPERLINK(_xlfn.XLOOKUP(C709,M_YT_LIVE_TIMESTAMP!AA:AA,M_YT_LIVE_TIMESTAMP!Z:Z,"★",0,-1))</f>
        <v>#VALUE!</v>
      </c>
    </row>
    <row r="710" spans="3:30" x14ac:dyDescent="0.4">
      <c r="C710" s="12" t="str">
        <f t="shared" si="38"/>
        <v/>
      </c>
      <c r="AA710" s="14">
        <f t="shared" si="39"/>
        <v>0</v>
      </c>
      <c r="AB710" s="14" t="str">
        <f>_xlfn.XLOOKUP(AA710,M_ARTIST!A:A,M_ARTIST!B:B,"★★★",0,1)</f>
        <v>★★★</v>
      </c>
      <c r="AC710" s="14">
        <f t="shared" si="40"/>
        <v>0</v>
      </c>
      <c r="AD710" s="19" t="e">
        <f>HYPERLINK(_xlfn.XLOOKUP(C710,M_YT_LIVE_TIMESTAMP!AA:AA,M_YT_LIVE_TIMESTAMP!Z:Z,"★",0,-1))</f>
        <v>#VALUE!</v>
      </c>
    </row>
    <row r="711" spans="3:30" x14ac:dyDescent="0.4">
      <c r="C711" s="12" t="str">
        <f t="shared" si="38"/>
        <v/>
      </c>
      <c r="AA711" s="14">
        <f t="shared" si="39"/>
        <v>0</v>
      </c>
      <c r="AB711" s="14" t="str">
        <f>_xlfn.XLOOKUP(AA711,M_ARTIST!A:A,M_ARTIST!B:B,"★★★",0,1)</f>
        <v>★★★</v>
      </c>
      <c r="AC711" s="14">
        <f t="shared" si="40"/>
        <v>0</v>
      </c>
      <c r="AD711" s="19" t="e">
        <f>HYPERLINK(_xlfn.XLOOKUP(C711,M_YT_LIVE_TIMESTAMP!AA:AA,M_YT_LIVE_TIMESTAMP!Z:Z,"★",0,-1))</f>
        <v>#VALUE!</v>
      </c>
    </row>
    <row r="712" spans="3:30" x14ac:dyDescent="0.4">
      <c r="C712" s="12" t="str">
        <f t="shared" si="38"/>
        <v/>
      </c>
      <c r="AA712" s="14">
        <f t="shared" si="39"/>
        <v>0</v>
      </c>
      <c r="AB712" s="14" t="str">
        <f>_xlfn.XLOOKUP(AA712,M_ARTIST!A:A,M_ARTIST!B:B,"★★★",0,1)</f>
        <v>★★★</v>
      </c>
      <c r="AC712" s="14">
        <f t="shared" si="40"/>
        <v>0</v>
      </c>
      <c r="AD712" s="19" t="e">
        <f>HYPERLINK(_xlfn.XLOOKUP(C712,M_YT_LIVE_TIMESTAMP!AA:AA,M_YT_LIVE_TIMESTAMP!Z:Z,"★",0,-1))</f>
        <v>#VALUE!</v>
      </c>
    </row>
    <row r="713" spans="3:30" x14ac:dyDescent="0.4">
      <c r="C713" s="12" t="str">
        <f t="shared" si="38"/>
        <v/>
      </c>
      <c r="AA713" s="14">
        <f t="shared" si="39"/>
        <v>0</v>
      </c>
      <c r="AB713" s="14" t="str">
        <f>_xlfn.XLOOKUP(AA713,M_ARTIST!A:A,M_ARTIST!B:B,"★★★",0,1)</f>
        <v>★★★</v>
      </c>
      <c r="AC713" s="14">
        <f t="shared" si="40"/>
        <v>0</v>
      </c>
      <c r="AD713" s="19" t="e">
        <f>HYPERLINK(_xlfn.XLOOKUP(C713,M_YT_LIVE_TIMESTAMP!AA:AA,M_YT_LIVE_TIMESTAMP!Z:Z,"★",0,-1))</f>
        <v>#VALUE!</v>
      </c>
    </row>
    <row r="714" spans="3:30" x14ac:dyDescent="0.4">
      <c r="C714" s="12" t="str">
        <f t="shared" si="38"/>
        <v/>
      </c>
      <c r="AA714" s="14">
        <f t="shared" si="39"/>
        <v>0</v>
      </c>
      <c r="AB714" s="14" t="str">
        <f>_xlfn.XLOOKUP(AA714,M_ARTIST!A:A,M_ARTIST!B:B,"★★★",0,1)</f>
        <v>★★★</v>
      </c>
      <c r="AC714" s="14">
        <f t="shared" si="40"/>
        <v>0</v>
      </c>
      <c r="AD714" s="19" t="e">
        <f>HYPERLINK(_xlfn.XLOOKUP(C714,M_YT_LIVE_TIMESTAMP!AA:AA,M_YT_LIVE_TIMESTAMP!Z:Z,"★",0,-1))</f>
        <v>#VALUE!</v>
      </c>
    </row>
    <row r="715" spans="3:30" x14ac:dyDescent="0.4">
      <c r="C715" s="12" t="str">
        <f t="shared" si="38"/>
        <v/>
      </c>
      <c r="AA715" s="14">
        <f t="shared" si="39"/>
        <v>0</v>
      </c>
      <c r="AB715" s="14" t="str">
        <f>_xlfn.XLOOKUP(AA715,M_ARTIST!A:A,M_ARTIST!B:B,"★★★",0,1)</f>
        <v>★★★</v>
      </c>
      <c r="AC715" s="14">
        <f t="shared" si="40"/>
        <v>0</v>
      </c>
      <c r="AD715" s="19" t="e">
        <f>HYPERLINK(_xlfn.XLOOKUP(C715,M_YT_LIVE_TIMESTAMP!AA:AA,M_YT_LIVE_TIMESTAMP!Z:Z,"★",0,-1))</f>
        <v>#VALUE!</v>
      </c>
    </row>
    <row r="716" spans="3:30" x14ac:dyDescent="0.4">
      <c r="C716" s="12" t="str">
        <f t="shared" si="38"/>
        <v/>
      </c>
      <c r="AA716" s="14">
        <f t="shared" si="39"/>
        <v>0</v>
      </c>
      <c r="AB716" s="14" t="str">
        <f>_xlfn.XLOOKUP(AA716,M_ARTIST!A:A,M_ARTIST!B:B,"★★★",0,1)</f>
        <v>★★★</v>
      </c>
      <c r="AC716" s="14">
        <f t="shared" si="40"/>
        <v>0</v>
      </c>
      <c r="AD716" s="19" t="e">
        <f>HYPERLINK(_xlfn.XLOOKUP(C716,M_YT_LIVE_TIMESTAMP!AA:AA,M_YT_LIVE_TIMESTAMP!Z:Z,"★",0,-1))</f>
        <v>#VALUE!</v>
      </c>
    </row>
    <row r="717" spans="3:30" x14ac:dyDescent="0.4">
      <c r="C717" s="12" t="str">
        <f t="shared" si="38"/>
        <v/>
      </c>
      <c r="AA717" s="14">
        <f t="shared" si="39"/>
        <v>0</v>
      </c>
      <c r="AB717" s="14" t="str">
        <f>_xlfn.XLOOKUP(AA717,M_ARTIST!A:A,M_ARTIST!B:B,"★★★",0,1)</f>
        <v>★★★</v>
      </c>
      <c r="AC717" s="14">
        <f t="shared" si="40"/>
        <v>0</v>
      </c>
      <c r="AD717" s="19" t="e">
        <f>HYPERLINK(_xlfn.XLOOKUP(C717,M_YT_LIVE_TIMESTAMP!AA:AA,M_YT_LIVE_TIMESTAMP!Z:Z,"★",0,-1))</f>
        <v>#VALUE!</v>
      </c>
    </row>
    <row r="718" spans="3:30" x14ac:dyDescent="0.4">
      <c r="C718" s="12" t="str">
        <f t="shared" si="38"/>
        <v/>
      </c>
      <c r="AA718" s="14">
        <f t="shared" si="39"/>
        <v>0</v>
      </c>
      <c r="AB718" s="14" t="str">
        <f>_xlfn.XLOOKUP(AA718,M_ARTIST!A:A,M_ARTIST!B:B,"★★★",0,1)</f>
        <v>★★★</v>
      </c>
      <c r="AC718" s="14">
        <f t="shared" si="40"/>
        <v>0</v>
      </c>
      <c r="AD718" s="19" t="e">
        <f>HYPERLINK(_xlfn.XLOOKUP(C718,M_YT_LIVE_TIMESTAMP!AA:AA,M_YT_LIVE_TIMESTAMP!Z:Z,"★",0,-1))</f>
        <v>#VALUE!</v>
      </c>
    </row>
    <row r="719" spans="3:30" x14ac:dyDescent="0.4">
      <c r="C719" s="12" t="str">
        <f t="shared" si="38"/>
        <v/>
      </c>
      <c r="AA719" s="14">
        <f t="shared" si="39"/>
        <v>0</v>
      </c>
      <c r="AB719" s="14" t="str">
        <f>_xlfn.XLOOKUP(AA719,M_ARTIST!A:A,M_ARTIST!B:B,"★★★",0,1)</f>
        <v>★★★</v>
      </c>
      <c r="AC719" s="14">
        <f t="shared" si="40"/>
        <v>0</v>
      </c>
      <c r="AD719" s="19" t="e">
        <f>HYPERLINK(_xlfn.XLOOKUP(C719,M_YT_LIVE_TIMESTAMP!AA:AA,M_YT_LIVE_TIMESTAMP!Z:Z,"★",0,-1))</f>
        <v>#VALUE!</v>
      </c>
    </row>
    <row r="720" spans="3:30" x14ac:dyDescent="0.4">
      <c r="C720" s="12" t="str">
        <f t="shared" si="38"/>
        <v/>
      </c>
      <c r="AA720" s="14">
        <f t="shared" si="39"/>
        <v>0</v>
      </c>
      <c r="AB720" s="14" t="str">
        <f>_xlfn.XLOOKUP(AA720,M_ARTIST!A:A,M_ARTIST!B:B,"★★★",0,1)</f>
        <v>★★★</v>
      </c>
      <c r="AC720" s="14">
        <f t="shared" si="40"/>
        <v>0</v>
      </c>
      <c r="AD720" s="19" t="e">
        <f>HYPERLINK(_xlfn.XLOOKUP(C720,M_YT_LIVE_TIMESTAMP!AA:AA,M_YT_LIVE_TIMESTAMP!Z:Z,"★",0,-1))</f>
        <v>#VALUE!</v>
      </c>
    </row>
    <row r="721" spans="3:30" x14ac:dyDescent="0.4">
      <c r="C721" s="12" t="str">
        <f t="shared" si="38"/>
        <v/>
      </c>
      <c r="AA721" s="14">
        <f t="shared" si="39"/>
        <v>0</v>
      </c>
      <c r="AB721" s="14" t="str">
        <f>_xlfn.XLOOKUP(AA721,M_ARTIST!A:A,M_ARTIST!B:B,"★★★",0,1)</f>
        <v>★★★</v>
      </c>
      <c r="AC721" s="14">
        <f t="shared" si="40"/>
        <v>0</v>
      </c>
      <c r="AD721" s="19" t="e">
        <f>HYPERLINK(_xlfn.XLOOKUP(C721,M_YT_LIVE_TIMESTAMP!AA:AA,M_YT_LIVE_TIMESTAMP!Z:Z,"★",0,-1))</f>
        <v>#VALUE!</v>
      </c>
    </row>
    <row r="722" spans="3:30" x14ac:dyDescent="0.4">
      <c r="C722" s="12" t="str">
        <f t="shared" si="38"/>
        <v/>
      </c>
      <c r="AA722" s="14">
        <f t="shared" si="39"/>
        <v>0</v>
      </c>
      <c r="AB722" s="14" t="str">
        <f>_xlfn.XLOOKUP(AA722,M_ARTIST!A:A,M_ARTIST!B:B,"★★★",0,1)</f>
        <v>★★★</v>
      </c>
      <c r="AC722" s="14">
        <f t="shared" si="40"/>
        <v>0</v>
      </c>
      <c r="AD722" s="19" t="e">
        <f>HYPERLINK(_xlfn.XLOOKUP(C722,M_YT_LIVE_TIMESTAMP!AA:AA,M_YT_LIVE_TIMESTAMP!Z:Z,"★",0,-1))</f>
        <v>#VALUE!</v>
      </c>
    </row>
    <row r="723" spans="3:30" x14ac:dyDescent="0.4">
      <c r="C723" s="12" t="str">
        <f t="shared" ref="C723:C786" si="41">TRIM(B723)&amp;TRIM(A723)</f>
        <v/>
      </c>
      <c r="AA723" s="14">
        <f t="shared" ref="AA723:AA786" si="42">B723</f>
        <v>0</v>
      </c>
      <c r="AB723" s="14" t="str">
        <f>_xlfn.XLOOKUP(AA723,M_ARTIST!A:A,M_ARTIST!B:B,"★★★",0,1)</f>
        <v>★★★</v>
      </c>
      <c r="AC723" s="14">
        <f t="shared" ref="AC723:AC786" si="43">A723</f>
        <v>0</v>
      </c>
      <c r="AD723" s="19" t="e">
        <f>HYPERLINK(_xlfn.XLOOKUP(C723,M_YT_LIVE_TIMESTAMP!AA:AA,M_YT_LIVE_TIMESTAMP!Z:Z,"★",0,-1))</f>
        <v>#VALUE!</v>
      </c>
    </row>
    <row r="724" spans="3:30" x14ac:dyDescent="0.4">
      <c r="C724" s="12" t="str">
        <f t="shared" si="41"/>
        <v/>
      </c>
      <c r="AA724" s="14">
        <f t="shared" si="42"/>
        <v>0</v>
      </c>
      <c r="AB724" s="14" t="str">
        <f>_xlfn.XLOOKUP(AA724,M_ARTIST!A:A,M_ARTIST!B:B,"★★★",0,1)</f>
        <v>★★★</v>
      </c>
      <c r="AC724" s="14">
        <f t="shared" si="43"/>
        <v>0</v>
      </c>
      <c r="AD724" s="19" t="e">
        <f>HYPERLINK(_xlfn.XLOOKUP(C724,M_YT_LIVE_TIMESTAMP!AA:AA,M_YT_LIVE_TIMESTAMP!Z:Z,"★",0,-1))</f>
        <v>#VALUE!</v>
      </c>
    </row>
    <row r="725" spans="3:30" x14ac:dyDescent="0.4">
      <c r="C725" s="12" t="str">
        <f t="shared" si="41"/>
        <v/>
      </c>
      <c r="AA725" s="14">
        <f t="shared" si="42"/>
        <v>0</v>
      </c>
      <c r="AB725" s="14" t="str">
        <f>_xlfn.XLOOKUP(AA725,M_ARTIST!A:A,M_ARTIST!B:B,"★★★",0,1)</f>
        <v>★★★</v>
      </c>
      <c r="AC725" s="14">
        <f t="shared" si="43"/>
        <v>0</v>
      </c>
      <c r="AD725" s="19" t="e">
        <f>HYPERLINK(_xlfn.XLOOKUP(C725,M_YT_LIVE_TIMESTAMP!AA:AA,M_YT_LIVE_TIMESTAMP!Z:Z,"★",0,-1))</f>
        <v>#VALUE!</v>
      </c>
    </row>
    <row r="726" spans="3:30" x14ac:dyDescent="0.4">
      <c r="C726" s="12" t="str">
        <f t="shared" si="41"/>
        <v/>
      </c>
      <c r="AA726" s="14">
        <f t="shared" si="42"/>
        <v>0</v>
      </c>
      <c r="AB726" s="14" t="str">
        <f>_xlfn.XLOOKUP(AA726,M_ARTIST!A:A,M_ARTIST!B:B,"★★★",0,1)</f>
        <v>★★★</v>
      </c>
      <c r="AC726" s="14">
        <f t="shared" si="43"/>
        <v>0</v>
      </c>
      <c r="AD726" s="19" t="e">
        <f>HYPERLINK(_xlfn.XLOOKUP(C726,M_YT_LIVE_TIMESTAMP!AA:AA,M_YT_LIVE_TIMESTAMP!Z:Z,"★",0,-1))</f>
        <v>#VALUE!</v>
      </c>
    </row>
    <row r="727" spans="3:30" x14ac:dyDescent="0.4">
      <c r="C727" s="12" t="str">
        <f t="shared" si="41"/>
        <v/>
      </c>
      <c r="AA727" s="14">
        <f t="shared" si="42"/>
        <v>0</v>
      </c>
      <c r="AB727" s="14" t="str">
        <f>_xlfn.XLOOKUP(AA727,M_ARTIST!A:A,M_ARTIST!B:B,"★★★",0,1)</f>
        <v>★★★</v>
      </c>
      <c r="AC727" s="14">
        <f t="shared" si="43"/>
        <v>0</v>
      </c>
      <c r="AD727" s="19" t="e">
        <f>HYPERLINK(_xlfn.XLOOKUP(C727,M_YT_LIVE_TIMESTAMP!AA:AA,M_YT_LIVE_TIMESTAMP!Z:Z,"★",0,-1))</f>
        <v>#VALUE!</v>
      </c>
    </row>
    <row r="728" spans="3:30" x14ac:dyDescent="0.4">
      <c r="C728" s="12" t="str">
        <f t="shared" si="41"/>
        <v/>
      </c>
      <c r="AA728" s="14">
        <f t="shared" si="42"/>
        <v>0</v>
      </c>
      <c r="AB728" s="14" t="str">
        <f>_xlfn.XLOOKUP(AA728,M_ARTIST!A:A,M_ARTIST!B:B,"★★★",0,1)</f>
        <v>★★★</v>
      </c>
      <c r="AC728" s="14">
        <f t="shared" si="43"/>
        <v>0</v>
      </c>
      <c r="AD728" s="19" t="e">
        <f>HYPERLINK(_xlfn.XLOOKUP(C728,M_YT_LIVE_TIMESTAMP!AA:AA,M_YT_LIVE_TIMESTAMP!Z:Z,"★",0,-1))</f>
        <v>#VALUE!</v>
      </c>
    </row>
    <row r="729" spans="3:30" x14ac:dyDescent="0.4">
      <c r="C729" s="12" t="str">
        <f t="shared" si="41"/>
        <v/>
      </c>
      <c r="AA729" s="14">
        <f t="shared" si="42"/>
        <v>0</v>
      </c>
      <c r="AB729" s="14" t="str">
        <f>_xlfn.XLOOKUP(AA729,M_ARTIST!A:A,M_ARTIST!B:B,"★★★",0,1)</f>
        <v>★★★</v>
      </c>
      <c r="AC729" s="14">
        <f t="shared" si="43"/>
        <v>0</v>
      </c>
      <c r="AD729" s="19" t="e">
        <f>HYPERLINK(_xlfn.XLOOKUP(C729,M_YT_LIVE_TIMESTAMP!AA:AA,M_YT_LIVE_TIMESTAMP!Z:Z,"★",0,-1))</f>
        <v>#VALUE!</v>
      </c>
    </row>
    <row r="730" spans="3:30" x14ac:dyDescent="0.4">
      <c r="C730" s="12" t="str">
        <f t="shared" si="41"/>
        <v/>
      </c>
      <c r="AA730" s="14">
        <f t="shared" si="42"/>
        <v>0</v>
      </c>
      <c r="AB730" s="14" t="str">
        <f>_xlfn.XLOOKUP(AA730,M_ARTIST!A:A,M_ARTIST!B:B,"★★★",0,1)</f>
        <v>★★★</v>
      </c>
      <c r="AC730" s="14">
        <f t="shared" si="43"/>
        <v>0</v>
      </c>
      <c r="AD730" s="19" t="e">
        <f>HYPERLINK(_xlfn.XLOOKUP(C730,M_YT_LIVE_TIMESTAMP!AA:AA,M_YT_LIVE_TIMESTAMP!Z:Z,"★",0,-1))</f>
        <v>#VALUE!</v>
      </c>
    </row>
    <row r="731" spans="3:30" x14ac:dyDescent="0.4">
      <c r="C731" s="12" t="str">
        <f t="shared" si="41"/>
        <v/>
      </c>
      <c r="AA731" s="14">
        <f t="shared" si="42"/>
        <v>0</v>
      </c>
      <c r="AB731" s="14" t="str">
        <f>_xlfn.XLOOKUP(AA731,M_ARTIST!A:A,M_ARTIST!B:B,"★★★",0,1)</f>
        <v>★★★</v>
      </c>
      <c r="AC731" s="14">
        <f t="shared" si="43"/>
        <v>0</v>
      </c>
      <c r="AD731" s="19" t="e">
        <f>HYPERLINK(_xlfn.XLOOKUP(C731,M_YT_LIVE_TIMESTAMP!AA:AA,M_YT_LIVE_TIMESTAMP!Z:Z,"★",0,-1))</f>
        <v>#VALUE!</v>
      </c>
    </row>
    <row r="732" spans="3:30" x14ac:dyDescent="0.4">
      <c r="C732" s="12" t="str">
        <f t="shared" si="41"/>
        <v/>
      </c>
      <c r="AA732" s="14">
        <f t="shared" si="42"/>
        <v>0</v>
      </c>
      <c r="AB732" s="14" t="str">
        <f>_xlfn.XLOOKUP(AA732,M_ARTIST!A:A,M_ARTIST!B:B,"★★★",0,1)</f>
        <v>★★★</v>
      </c>
      <c r="AC732" s="14">
        <f t="shared" si="43"/>
        <v>0</v>
      </c>
      <c r="AD732" s="19" t="e">
        <f>HYPERLINK(_xlfn.XLOOKUP(C732,M_YT_LIVE_TIMESTAMP!AA:AA,M_YT_LIVE_TIMESTAMP!Z:Z,"★",0,-1))</f>
        <v>#VALUE!</v>
      </c>
    </row>
    <row r="733" spans="3:30" x14ac:dyDescent="0.4">
      <c r="C733" s="12" t="str">
        <f t="shared" si="41"/>
        <v/>
      </c>
      <c r="AA733" s="14">
        <f t="shared" si="42"/>
        <v>0</v>
      </c>
      <c r="AB733" s="14" t="str">
        <f>_xlfn.XLOOKUP(AA733,M_ARTIST!A:A,M_ARTIST!B:B,"★★★",0,1)</f>
        <v>★★★</v>
      </c>
      <c r="AC733" s="14">
        <f t="shared" si="43"/>
        <v>0</v>
      </c>
      <c r="AD733" s="19" t="e">
        <f>HYPERLINK(_xlfn.XLOOKUP(C733,M_YT_LIVE_TIMESTAMP!AA:AA,M_YT_LIVE_TIMESTAMP!Z:Z,"★",0,-1))</f>
        <v>#VALUE!</v>
      </c>
    </row>
    <row r="734" spans="3:30" x14ac:dyDescent="0.4">
      <c r="C734" s="12" t="str">
        <f t="shared" si="41"/>
        <v/>
      </c>
      <c r="AA734" s="14">
        <f t="shared" si="42"/>
        <v>0</v>
      </c>
      <c r="AB734" s="14" t="str">
        <f>_xlfn.XLOOKUP(AA734,M_ARTIST!A:A,M_ARTIST!B:B,"★★★",0,1)</f>
        <v>★★★</v>
      </c>
      <c r="AC734" s="14">
        <f t="shared" si="43"/>
        <v>0</v>
      </c>
      <c r="AD734" s="19" t="e">
        <f>HYPERLINK(_xlfn.XLOOKUP(C734,M_YT_LIVE_TIMESTAMP!AA:AA,M_YT_LIVE_TIMESTAMP!Z:Z,"★",0,-1))</f>
        <v>#VALUE!</v>
      </c>
    </row>
    <row r="735" spans="3:30" x14ac:dyDescent="0.4">
      <c r="C735" s="12" t="str">
        <f t="shared" si="41"/>
        <v/>
      </c>
      <c r="AA735" s="14">
        <f t="shared" si="42"/>
        <v>0</v>
      </c>
      <c r="AB735" s="14" t="str">
        <f>_xlfn.XLOOKUP(AA735,M_ARTIST!A:A,M_ARTIST!B:B,"★★★",0,1)</f>
        <v>★★★</v>
      </c>
      <c r="AC735" s="14">
        <f t="shared" si="43"/>
        <v>0</v>
      </c>
      <c r="AD735" s="19" t="e">
        <f>HYPERLINK(_xlfn.XLOOKUP(C735,M_YT_LIVE_TIMESTAMP!AA:AA,M_YT_LIVE_TIMESTAMP!Z:Z,"★",0,-1))</f>
        <v>#VALUE!</v>
      </c>
    </row>
    <row r="736" spans="3:30" x14ac:dyDescent="0.4">
      <c r="C736" s="12" t="str">
        <f t="shared" si="41"/>
        <v/>
      </c>
      <c r="AA736" s="14">
        <f t="shared" si="42"/>
        <v>0</v>
      </c>
      <c r="AB736" s="14" t="str">
        <f>_xlfn.XLOOKUP(AA736,M_ARTIST!A:A,M_ARTIST!B:B,"★★★",0,1)</f>
        <v>★★★</v>
      </c>
      <c r="AC736" s="14">
        <f t="shared" si="43"/>
        <v>0</v>
      </c>
      <c r="AD736" s="19" t="e">
        <f>HYPERLINK(_xlfn.XLOOKUP(C736,M_YT_LIVE_TIMESTAMP!AA:AA,M_YT_LIVE_TIMESTAMP!Z:Z,"★",0,-1))</f>
        <v>#VALUE!</v>
      </c>
    </row>
    <row r="737" spans="3:30" x14ac:dyDescent="0.4">
      <c r="C737" s="12" t="str">
        <f t="shared" si="41"/>
        <v/>
      </c>
      <c r="AA737" s="14">
        <f t="shared" si="42"/>
        <v>0</v>
      </c>
      <c r="AB737" s="14" t="str">
        <f>_xlfn.XLOOKUP(AA737,M_ARTIST!A:A,M_ARTIST!B:B,"★★★",0,1)</f>
        <v>★★★</v>
      </c>
      <c r="AC737" s="14">
        <f t="shared" si="43"/>
        <v>0</v>
      </c>
      <c r="AD737" s="19" t="e">
        <f>HYPERLINK(_xlfn.XLOOKUP(C737,M_YT_LIVE_TIMESTAMP!AA:AA,M_YT_LIVE_TIMESTAMP!Z:Z,"★",0,-1))</f>
        <v>#VALUE!</v>
      </c>
    </row>
    <row r="738" spans="3:30" x14ac:dyDescent="0.4">
      <c r="C738" s="12" t="str">
        <f t="shared" si="41"/>
        <v/>
      </c>
      <c r="AA738" s="14">
        <f t="shared" si="42"/>
        <v>0</v>
      </c>
      <c r="AB738" s="14" t="str">
        <f>_xlfn.XLOOKUP(AA738,M_ARTIST!A:A,M_ARTIST!B:B,"★★★",0,1)</f>
        <v>★★★</v>
      </c>
      <c r="AC738" s="14">
        <f t="shared" si="43"/>
        <v>0</v>
      </c>
      <c r="AD738" s="19" t="e">
        <f>HYPERLINK(_xlfn.XLOOKUP(C738,M_YT_LIVE_TIMESTAMP!AA:AA,M_YT_LIVE_TIMESTAMP!Z:Z,"★",0,-1))</f>
        <v>#VALUE!</v>
      </c>
    </row>
    <row r="739" spans="3:30" x14ac:dyDescent="0.4">
      <c r="C739" s="12" t="str">
        <f t="shared" si="41"/>
        <v/>
      </c>
      <c r="AA739" s="14">
        <f t="shared" si="42"/>
        <v>0</v>
      </c>
      <c r="AB739" s="14" t="str">
        <f>_xlfn.XLOOKUP(AA739,M_ARTIST!A:A,M_ARTIST!B:B,"★★★",0,1)</f>
        <v>★★★</v>
      </c>
      <c r="AC739" s="14">
        <f t="shared" si="43"/>
        <v>0</v>
      </c>
      <c r="AD739" s="19" t="e">
        <f>HYPERLINK(_xlfn.XLOOKUP(C739,M_YT_LIVE_TIMESTAMP!AA:AA,M_YT_LIVE_TIMESTAMP!Z:Z,"★",0,-1))</f>
        <v>#VALUE!</v>
      </c>
    </row>
    <row r="740" spans="3:30" x14ac:dyDescent="0.4">
      <c r="C740" s="12" t="str">
        <f t="shared" si="41"/>
        <v/>
      </c>
      <c r="AA740" s="14">
        <f t="shared" si="42"/>
        <v>0</v>
      </c>
      <c r="AB740" s="14" t="str">
        <f>_xlfn.XLOOKUP(AA740,M_ARTIST!A:A,M_ARTIST!B:B,"★★★",0,1)</f>
        <v>★★★</v>
      </c>
      <c r="AC740" s="14">
        <f t="shared" si="43"/>
        <v>0</v>
      </c>
      <c r="AD740" s="19" t="e">
        <f>HYPERLINK(_xlfn.XLOOKUP(C740,M_YT_LIVE_TIMESTAMP!AA:AA,M_YT_LIVE_TIMESTAMP!Z:Z,"★",0,-1))</f>
        <v>#VALUE!</v>
      </c>
    </row>
    <row r="741" spans="3:30" x14ac:dyDescent="0.4">
      <c r="C741" s="12" t="str">
        <f t="shared" si="41"/>
        <v/>
      </c>
      <c r="AA741" s="14">
        <f t="shared" si="42"/>
        <v>0</v>
      </c>
      <c r="AB741" s="14" t="str">
        <f>_xlfn.XLOOKUP(AA741,M_ARTIST!A:A,M_ARTIST!B:B,"★★★",0,1)</f>
        <v>★★★</v>
      </c>
      <c r="AC741" s="14">
        <f t="shared" si="43"/>
        <v>0</v>
      </c>
      <c r="AD741" s="19" t="e">
        <f>HYPERLINK(_xlfn.XLOOKUP(C741,M_YT_LIVE_TIMESTAMP!AA:AA,M_YT_LIVE_TIMESTAMP!Z:Z,"★",0,-1))</f>
        <v>#VALUE!</v>
      </c>
    </row>
    <row r="742" spans="3:30" x14ac:dyDescent="0.4">
      <c r="C742" s="12" t="str">
        <f t="shared" si="41"/>
        <v/>
      </c>
      <c r="AA742" s="14">
        <f t="shared" si="42"/>
        <v>0</v>
      </c>
      <c r="AB742" s="14" t="str">
        <f>_xlfn.XLOOKUP(AA742,M_ARTIST!A:A,M_ARTIST!B:B,"★★★",0,1)</f>
        <v>★★★</v>
      </c>
      <c r="AC742" s="14">
        <f t="shared" si="43"/>
        <v>0</v>
      </c>
      <c r="AD742" s="19" t="e">
        <f>HYPERLINK(_xlfn.XLOOKUP(C742,M_YT_LIVE_TIMESTAMP!AA:AA,M_YT_LIVE_TIMESTAMP!Z:Z,"★",0,-1))</f>
        <v>#VALUE!</v>
      </c>
    </row>
    <row r="743" spans="3:30" x14ac:dyDescent="0.4">
      <c r="C743" s="12" t="str">
        <f t="shared" si="41"/>
        <v/>
      </c>
      <c r="AA743" s="14">
        <f t="shared" si="42"/>
        <v>0</v>
      </c>
      <c r="AB743" s="14" t="str">
        <f>_xlfn.XLOOKUP(AA743,M_ARTIST!A:A,M_ARTIST!B:B,"★★★",0,1)</f>
        <v>★★★</v>
      </c>
      <c r="AC743" s="14">
        <f t="shared" si="43"/>
        <v>0</v>
      </c>
      <c r="AD743" s="19" t="e">
        <f>HYPERLINK(_xlfn.XLOOKUP(C743,M_YT_LIVE_TIMESTAMP!AA:AA,M_YT_LIVE_TIMESTAMP!Z:Z,"★",0,-1))</f>
        <v>#VALUE!</v>
      </c>
    </row>
    <row r="744" spans="3:30" x14ac:dyDescent="0.4">
      <c r="C744" s="12" t="str">
        <f t="shared" si="41"/>
        <v/>
      </c>
      <c r="AA744" s="14">
        <f t="shared" si="42"/>
        <v>0</v>
      </c>
      <c r="AB744" s="14" t="str">
        <f>_xlfn.XLOOKUP(AA744,M_ARTIST!A:A,M_ARTIST!B:B,"★★★",0,1)</f>
        <v>★★★</v>
      </c>
      <c r="AC744" s="14">
        <f t="shared" si="43"/>
        <v>0</v>
      </c>
      <c r="AD744" s="19" t="e">
        <f>HYPERLINK(_xlfn.XLOOKUP(C744,M_YT_LIVE_TIMESTAMP!AA:AA,M_YT_LIVE_TIMESTAMP!Z:Z,"★",0,-1))</f>
        <v>#VALUE!</v>
      </c>
    </row>
    <row r="745" spans="3:30" x14ac:dyDescent="0.4">
      <c r="C745" s="12" t="str">
        <f t="shared" si="41"/>
        <v/>
      </c>
      <c r="AA745" s="14">
        <f t="shared" si="42"/>
        <v>0</v>
      </c>
      <c r="AB745" s="14" t="str">
        <f>_xlfn.XLOOKUP(AA745,M_ARTIST!A:A,M_ARTIST!B:B,"★★★",0,1)</f>
        <v>★★★</v>
      </c>
      <c r="AC745" s="14">
        <f t="shared" si="43"/>
        <v>0</v>
      </c>
      <c r="AD745" s="19" t="e">
        <f>HYPERLINK(_xlfn.XLOOKUP(C745,M_YT_LIVE_TIMESTAMP!AA:AA,M_YT_LIVE_TIMESTAMP!Z:Z,"★",0,-1))</f>
        <v>#VALUE!</v>
      </c>
    </row>
    <row r="746" spans="3:30" x14ac:dyDescent="0.4">
      <c r="C746" s="12" t="str">
        <f t="shared" si="41"/>
        <v/>
      </c>
      <c r="AA746" s="14">
        <f t="shared" si="42"/>
        <v>0</v>
      </c>
      <c r="AB746" s="14" t="str">
        <f>_xlfn.XLOOKUP(AA746,M_ARTIST!A:A,M_ARTIST!B:B,"★★★",0,1)</f>
        <v>★★★</v>
      </c>
      <c r="AC746" s="14">
        <f t="shared" si="43"/>
        <v>0</v>
      </c>
      <c r="AD746" s="19" t="e">
        <f>HYPERLINK(_xlfn.XLOOKUP(C746,M_YT_LIVE_TIMESTAMP!AA:AA,M_YT_LIVE_TIMESTAMP!Z:Z,"★",0,-1))</f>
        <v>#VALUE!</v>
      </c>
    </row>
    <row r="747" spans="3:30" x14ac:dyDescent="0.4">
      <c r="C747" s="12" t="str">
        <f t="shared" si="41"/>
        <v/>
      </c>
      <c r="AA747" s="14">
        <f t="shared" si="42"/>
        <v>0</v>
      </c>
      <c r="AB747" s="14" t="str">
        <f>_xlfn.XLOOKUP(AA747,M_ARTIST!A:A,M_ARTIST!B:B,"★★★",0,1)</f>
        <v>★★★</v>
      </c>
      <c r="AC747" s="14">
        <f t="shared" si="43"/>
        <v>0</v>
      </c>
      <c r="AD747" s="19" t="e">
        <f>HYPERLINK(_xlfn.XLOOKUP(C747,M_YT_LIVE_TIMESTAMP!AA:AA,M_YT_LIVE_TIMESTAMP!Z:Z,"★",0,-1))</f>
        <v>#VALUE!</v>
      </c>
    </row>
    <row r="748" spans="3:30" x14ac:dyDescent="0.4">
      <c r="C748" s="12" t="str">
        <f t="shared" si="41"/>
        <v/>
      </c>
      <c r="AA748" s="14">
        <f t="shared" si="42"/>
        <v>0</v>
      </c>
      <c r="AB748" s="14" t="str">
        <f>_xlfn.XLOOKUP(AA748,M_ARTIST!A:A,M_ARTIST!B:B,"★★★",0,1)</f>
        <v>★★★</v>
      </c>
      <c r="AC748" s="14">
        <f t="shared" si="43"/>
        <v>0</v>
      </c>
      <c r="AD748" s="19" t="e">
        <f>HYPERLINK(_xlfn.XLOOKUP(C748,M_YT_LIVE_TIMESTAMP!AA:AA,M_YT_LIVE_TIMESTAMP!Z:Z,"★",0,-1))</f>
        <v>#VALUE!</v>
      </c>
    </row>
    <row r="749" spans="3:30" x14ac:dyDescent="0.4">
      <c r="C749" s="12" t="str">
        <f t="shared" si="41"/>
        <v/>
      </c>
      <c r="AA749" s="14">
        <f t="shared" si="42"/>
        <v>0</v>
      </c>
      <c r="AB749" s="14" t="str">
        <f>_xlfn.XLOOKUP(AA749,M_ARTIST!A:A,M_ARTIST!B:B,"★★★",0,1)</f>
        <v>★★★</v>
      </c>
      <c r="AC749" s="14">
        <f t="shared" si="43"/>
        <v>0</v>
      </c>
      <c r="AD749" s="19" t="e">
        <f>HYPERLINK(_xlfn.XLOOKUP(C749,M_YT_LIVE_TIMESTAMP!AA:AA,M_YT_LIVE_TIMESTAMP!Z:Z,"★",0,-1))</f>
        <v>#VALUE!</v>
      </c>
    </row>
    <row r="750" spans="3:30" x14ac:dyDescent="0.4">
      <c r="C750" s="12" t="str">
        <f t="shared" si="41"/>
        <v/>
      </c>
      <c r="AA750" s="14">
        <f t="shared" si="42"/>
        <v>0</v>
      </c>
      <c r="AB750" s="14" t="str">
        <f>_xlfn.XLOOKUP(AA750,M_ARTIST!A:A,M_ARTIST!B:B,"★★★",0,1)</f>
        <v>★★★</v>
      </c>
      <c r="AC750" s="14">
        <f t="shared" si="43"/>
        <v>0</v>
      </c>
      <c r="AD750" s="19" t="e">
        <f>HYPERLINK(_xlfn.XLOOKUP(C750,M_YT_LIVE_TIMESTAMP!AA:AA,M_YT_LIVE_TIMESTAMP!Z:Z,"★",0,-1))</f>
        <v>#VALUE!</v>
      </c>
    </row>
    <row r="751" spans="3:30" x14ac:dyDescent="0.4">
      <c r="C751" s="12" t="str">
        <f t="shared" si="41"/>
        <v/>
      </c>
      <c r="AA751" s="14">
        <f t="shared" si="42"/>
        <v>0</v>
      </c>
      <c r="AB751" s="14" t="str">
        <f>_xlfn.XLOOKUP(AA751,M_ARTIST!A:A,M_ARTIST!B:B,"★★★",0,1)</f>
        <v>★★★</v>
      </c>
      <c r="AC751" s="14">
        <f t="shared" si="43"/>
        <v>0</v>
      </c>
      <c r="AD751" s="19" t="e">
        <f>HYPERLINK(_xlfn.XLOOKUP(C751,M_YT_LIVE_TIMESTAMP!AA:AA,M_YT_LIVE_TIMESTAMP!Z:Z,"★",0,-1))</f>
        <v>#VALUE!</v>
      </c>
    </row>
    <row r="752" spans="3:30" x14ac:dyDescent="0.4">
      <c r="C752" s="12" t="str">
        <f t="shared" si="41"/>
        <v/>
      </c>
      <c r="AA752" s="14">
        <f t="shared" si="42"/>
        <v>0</v>
      </c>
      <c r="AB752" s="14" t="str">
        <f>_xlfn.XLOOKUP(AA752,M_ARTIST!A:A,M_ARTIST!B:B,"★★★",0,1)</f>
        <v>★★★</v>
      </c>
      <c r="AC752" s="14">
        <f t="shared" si="43"/>
        <v>0</v>
      </c>
      <c r="AD752" s="19" t="e">
        <f>HYPERLINK(_xlfn.XLOOKUP(C752,M_YT_LIVE_TIMESTAMP!AA:AA,M_YT_LIVE_TIMESTAMP!Z:Z,"★",0,-1))</f>
        <v>#VALUE!</v>
      </c>
    </row>
    <row r="753" spans="3:30" x14ac:dyDescent="0.4">
      <c r="C753" s="12" t="str">
        <f t="shared" si="41"/>
        <v/>
      </c>
      <c r="AA753" s="14">
        <f t="shared" si="42"/>
        <v>0</v>
      </c>
      <c r="AB753" s="14" t="str">
        <f>_xlfn.XLOOKUP(AA753,M_ARTIST!A:A,M_ARTIST!B:B,"★★★",0,1)</f>
        <v>★★★</v>
      </c>
      <c r="AC753" s="14">
        <f t="shared" si="43"/>
        <v>0</v>
      </c>
      <c r="AD753" s="19" t="e">
        <f>HYPERLINK(_xlfn.XLOOKUP(C753,M_YT_LIVE_TIMESTAMP!AA:AA,M_YT_LIVE_TIMESTAMP!Z:Z,"★",0,-1))</f>
        <v>#VALUE!</v>
      </c>
    </row>
    <row r="754" spans="3:30" x14ac:dyDescent="0.4">
      <c r="C754" s="12" t="str">
        <f t="shared" si="41"/>
        <v/>
      </c>
      <c r="AA754" s="14">
        <f t="shared" si="42"/>
        <v>0</v>
      </c>
      <c r="AB754" s="14" t="str">
        <f>_xlfn.XLOOKUP(AA754,M_ARTIST!A:A,M_ARTIST!B:B,"★★★",0,1)</f>
        <v>★★★</v>
      </c>
      <c r="AC754" s="14">
        <f t="shared" si="43"/>
        <v>0</v>
      </c>
      <c r="AD754" s="19" t="e">
        <f>HYPERLINK(_xlfn.XLOOKUP(C754,M_YT_LIVE_TIMESTAMP!AA:AA,M_YT_LIVE_TIMESTAMP!Z:Z,"★",0,-1))</f>
        <v>#VALUE!</v>
      </c>
    </row>
    <row r="755" spans="3:30" x14ac:dyDescent="0.4">
      <c r="C755" s="12" t="str">
        <f t="shared" si="41"/>
        <v/>
      </c>
      <c r="AA755" s="14">
        <f t="shared" si="42"/>
        <v>0</v>
      </c>
      <c r="AB755" s="14" t="str">
        <f>_xlfn.XLOOKUP(AA755,M_ARTIST!A:A,M_ARTIST!B:B,"★★★",0,1)</f>
        <v>★★★</v>
      </c>
      <c r="AC755" s="14">
        <f t="shared" si="43"/>
        <v>0</v>
      </c>
      <c r="AD755" s="19" t="e">
        <f>HYPERLINK(_xlfn.XLOOKUP(C755,M_YT_LIVE_TIMESTAMP!AA:AA,M_YT_LIVE_TIMESTAMP!Z:Z,"★",0,-1))</f>
        <v>#VALUE!</v>
      </c>
    </row>
    <row r="756" spans="3:30" x14ac:dyDescent="0.4">
      <c r="C756" s="12" t="str">
        <f t="shared" si="41"/>
        <v/>
      </c>
      <c r="AA756" s="14">
        <f t="shared" si="42"/>
        <v>0</v>
      </c>
      <c r="AB756" s="14" t="str">
        <f>_xlfn.XLOOKUP(AA756,M_ARTIST!A:A,M_ARTIST!B:B,"★★★",0,1)</f>
        <v>★★★</v>
      </c>
      <c r="AC756" s="14">
        <f t="shared" si="43"/>
        <v>0</v>
      </c>
      <c r="AD756" s="19" t="e">
        <f>HYPERLINK(_xlfn.XLOOKUP(C756,M_YT_LIVE_TIMESTAMP!AA:AA,M_YT_LIVE_TIMESTAMP!Z:Z,"★",0,-1))</f>
        <v>#VALUE!</v>
      </c>
    </row>
    <row r="757" spans="3:30" x14ac:dyDescent="0.4">
      <c r="C757" s="12" t="str">
        <f t="shared" si="41"/>
        <v/>
      </c>
      <c r="AA757" s="14">
        <f t="shared" si="42"/>
        <v>0</v>
      </c>
      <c r="AB757" s="14" t="str">
        <f>_xlfn.XLOOKUP(AA757,M_ARTIST!A:A,M_ARTIST!B:B,"★★★",0,1)</f>
        <v>★★★</v>
      </c>
      <c r="AC757" s="14">
        <f t="shared" si="43"/>
        <v>0</v>
      </c>
      <c r="AD757" s="19" t="e">
        <f>HYPERLINK(_xlfn.XLOOKUP(C757,M_YT_LIVE_TIMESTAMP!AA:AA,M_YT_LIVE_TIMESTAMP!Z:Z,"★",0,-1))</f>
        <v>#VALUE!</v>
      </c>
    </row>
    <row r="758" spans="3:30" x14ac:dyDescent="0.4">
      <c r="C758" s="12" t="str">
        <f t="shared" si="41"/>
        <v/>
      </c>
      <c r="AA758" s="14">
        <f t="shared" si="42"/>
        <v>0</v>
      </c>
      <c r="AB758" s="14" t="str">
        <f>_xlfn.XLOOKUP(AA758,M_ARTIST!A:A,M_ARTIST!B:B,"★★★",0,1)</f>
        <v>★★★</v>
      </c>
      <c r="AC758" s="14">
        <f t="shared" si="43"/>
        <v>0</v>
      </c>
      <c r="AD758" s="19" t="e">
        <f>HYPERLINK(_xlfn.XLOOKUP(C758,M_YT_LIVE_TIMESTAMP!AA:AA,M_YT_LIVE_TIMESTAMP!Z:Z,"★",0,-1))</f>
        <v>#VALUE!</v>
      </c>
    </row>
    <row r="759" spans="3:30" x14ac:dyDescent="0.4">
      <c r="C759" s="12" t="str">
        <f t="shared" si="41"/>
        <v/>
      </c>
      <c r="AA759" s="14">
        <f t="shared" si="42"/>
        <v>0</v>
      </c>
      <c r="AB759" s="14" t="str">
        <f>_xlfn.XLOOKUP(AA759,M_ARTIST!A:A,M_ARTIST!B:B,"★★★",0,1)</f>
        <v>★★★</v>
      </c>
      <c r="AC759" s="14">
        <f t="shared" si="43"/>
        <v>0</v>
      </c>
      <c r="AD759" s="19" t="e">
        <f>HYPERLINK(_xlfn.XLOOKUP(C759,M_YT_LIVE_TIMESTAMP!AA:AA,M_YT_LIVE_TIMESTAMP!Z:Z,"★",0,-1))</f>
        <v>#VALUE!</v>
      </c>
    </row>
    <row r="760" spans="3:30" x14ac:dyDescent="0.4">
      <c r="C760" s="12" t="str">
        <f t="shared" si="41"/>
        <v/>
      </c>
      <c r="AA760" s="14">
        <f t="shared" si="42"/>
        <v>0</v>
      </c>
      <c r="AB760" s="14" t="str">
        <f>_xlfn.XLOOKUP(AA760,M_ARTIST!A:A,M_ARTIST!B:B,"★★★",0,1)</f>
        <v>★★★</v>
      </c>
      <c r="AC760" s="14">
        <f t="shared" si="43"/>
        <v>0</v>
      </c>
      <c r="AD760" s="19" t="e">
        <f>HYPERLINK(_xlfn.XLOOKUP(C760,M_YT_LIVE_TIMESTAMP!AA:AA,M_YT_LIVE_TIMESTAMP!Z:Z,"★",0,-1))</f>
        <v>#VALUE!</v>
      </c>
    </row>
    <row r="761" spans="3:30" x14ac:dyDescent="0.4">
      <c r="C761" s="12" t="str">
        <f t="shared" si="41"/>
        <v/>
      </c>
      <c r="AA761" s="14">
        <f t="shared" si="42"/>
        <v>0</v>
      </c>
      <c r="AB761" s="14" t="str">
        <f>_xlfn.XLOOKUP(AA761,M_ARTIST!A:A,M_ARTIST!B:B,"★★★",0,1)</f>
        <v>★★★</v>
      </c>
      <c r="AC761" s="14">
        <f t="shared" si="43"/>
        <v>0</v>
      </c>
      <c r="AD761" s="19" t="e">
        <f>HYPERLINK(_xlfn.XLOOKUP(C761,M_YT_LIVE_TIMESTAMP!AA:AA,M_YT_LIVE_TIMESTAMP!Z:Z,"★",0,-1))</f>
        <v>#VALUE!</v>
      </c>
    </row>
    <row r="762" spans="3:30" x14ac:dyDescent="0.4">
      <c r="C762" s="12" t="str">
        <f t="shared" si="41"/>
        <v/>
      </c>
      <c r="AA762" s="14">
        <f t="shared" si="42"/>
        <v>0</v>
      </c>
      <c r="AB762" s="14" t="str">
        <f>_xlfn.XLOOKUP(AA762,M_ARTIST!A:A,M_ARTIST!B:B,"★★★",0,1)</f>
        <v>★★★</v>
      </c>
      <c r="AC762" s="14">
        <f t="shared" si="43"/>
        <v>0</v>
      </c>
      <c r="AD762" s="19" t="e">
        <f>HYPERLINK(_xlfn.XLOOKUP(C762,M_YT_LIVE_TIMESTAMP!AA:AA,M_YT_LIVE_TIMESTAMP!Z:Z,"★",0,-1))</f>
        <v>#VALUE!</v>
      </c>
    </row>
    <row r="763" spans="3:30" x14ac:dyDescent="0.4">
      <c r="C763" s="12" t="str">
        <f t="shared" si="41"/>
        <v/>
      </c>
      <c r="AA763" s="14">
        <f t="shared" si="42"/>
        <v>0</v>
      </c>
      <c r="AB763" s="14" t="str">
        <f>_xlfn.XLOOKUP(AA763,M_ARTIST!A:A,M_ARTIST!B:B,"★★★",0,1)</f>
        <v>★★★</v>
      </c>
      <c r="AC763" s="14">
        <f t="shared" si="43"/>
        <v>0</v>
      </c>
      <c r="AD763" s="19" t="e">
        <f>HYPERLINK(_xlfn.XLOOKUP(C763,M_YT_LIVE_TIMESTAMP!AA:AA,M_YT_LIVE_TIMESTAMP!Z:Z,"★",0,-1))</f>
        <v>#VALUE!</v>
      </c>
    </row>
    <row r="764" spans="3:30" x14ac:dyDescent="0.4">
      <c r="C764" s="12" t="str">
        <f t="shared" si="41"/>
        <v/>
      </c>
      <c r="AA764" s="14">
        <f t="shared" si="42"/>
        <v>0</v>
      </c>
      <c r="AB764" s="14" t="str">
        <f>_xlfn.XLOOKUP(AA764,M_ARTIST!A:A,M_ARTIST!B:B,"★★★",0,1)</f>
        <v>★★★</v>
      </c>
      <c r="AC764" s="14">
        <f t="shared" si="43"/>
        <v>0</v>
      </c>
      <c r="AD764" s="19" t="e">
        <f>HYPERLINK(_xlfn.XLOOKUP(C764,M_YT_LIVE_TIMESTAMP!AA:AA,M_YT_LIVE_TIMESTAMP!Z:Z,"★",0,-1))</f>
        <v>#VALUE!</v>
      </c>
    </row>
    <row r="765" spans="3:30" x14ac:dyDescent="0.4">
      <c r="C765" s="12" t="str">
        <f t="shared" si="41"/>
        <v/>
      </c>
      <c r="AA765" s="14">
        <f t="shared" si="42"/>
        <v>0</v>
      </c>
      <c r="AB765" s="14" t="str">
        <f>_xlfn.XLOOKUP(AA765,M_ARTIST!A:A,M_ARTIST!B:B,"★★★",0,1)</f>
        <v>★★★</v>
      </c>
      <c r="AC765" s="14">
        <f t="shared" si="43"/>
        <v>0</v>
      </c>
      <c r="AD765" s="19" t="e">
        <f>HYPERLINK(_xlfn.XLOOKUP(C765,M_YT_LIVE_TIMESTAMP!AA:AA,M_YT_LIVE_TIMESTAMP!Z:Z,"★",0,-1))</f>
        <v>#VALUE!</v>
      </c>
    </row>
    <row r="766" spans="3:30" x14ac:dyDescent="0.4">
      <c r="C766" s="12" t="str">
        <f t="shared" si="41"/>
        <v/>
      </c>
      <c r="AA766" s="14">
        <f t="shared" si="42"/>
        <v>0</v>
      </c>
      <c r="AB766" s="14" t="str">
        <f>_xlfn.XLOOKUP(AA766,M_ARTIST!A:A,M_ARTIST!B:B,"★★★",0,1)</f>
        <v>★★★</v>
      </c>
      <c r="AC766" s="14">
        <f t="shared" si="43"/>
        <v>0</v>
      </c>
      <c r="AD766" s="19" t="e">
        <f>HYPERLINK(_xlfn.XLOOKUP(C766,M_YT_LIVE_TIMESTAMP!AA:AA,M_YT_LIVE_TIMESTAMP!Z:Z,"★",0,-1))</f>
        <v>#VALUE!</v>
      </c>
    </row>
    <row r="767" spans="3:30" x14ac:dyDescent="0.4">
      <c r="C767" s="12" t="str">
        <f t="shared" si="41"/>
        <v/>
      </c>
      <c r="AA767" s="14">
        <f t="shared" si="42"/>
        <v>0</v>
      </c>
      <c r="AB767" s="14" t="str">
        <f>_xlfn.XLOOKUP(AA767,M_ARTIST!A:A,M_ARTIST!B:B,"★★★",0,1)</f>
        <v>★★★</v>
      </c>
      <c r="AC767" s="14">
        <f t="shared" si="43"/>
        <v>0</v>
      </c>
      <c r="AD767" s="19" t="e">
        <f>HYPERLINK(_xlfn.XLOOKUP(C767,M_YT_LIVE_TIMESTAMP!AA:AA,M_YT_LIVE_TIMESTAMP!Z:Z,"★",0,-1))</f>
        <v>#VALUE!</v>
      </c>
    </row>
    <row r="768" spans="3:30" x14ac:dyDescent="0.4">
      <c r="C768" s="12" t="str">
        <f t="shared" si="41"/>
        <v/>
      </c>
      <c r="AA768" s="14">
        <f t="shared" si="42"/>
        <v>0</v>
      </c>
      <c r="AB768" s="14" t="str">
        <f>_xlfn.XLOOKUP(AA768,M_ARTIST!A:A,M_ARTIST!B:B,"★★★",0,1)</f>
        <v>★★★</v>
      </c>
      <c r="AC768" s="14">
        <f t="shared" si="43"/>
        <v>0</v>
      </c>
      <c r="AD768" s="19" t="e">
        <f>HYPERLINK(_xlfn.XLOOKUP(C768,M_YT_LIVE_TIMESTAMP!AA:AA,M_YT_LIVE_TIMESTAMP!Z:Z,"★",0,-1))</f>
        <v>#VALUE!</v>
      </c>
    </row>
    <row r="769" spans="3:30" x14ac:dyDescent="0.4">
      <c r="C769" s="12" t="str">
        <f t="shared" si="41"/>
        <v/>
      </c>
      <c r="AA769" s="14">
        <f t="shared" si="42"/>
        <v>0</v>
      </c>
      <c r="AB769" s="14" t="str">
        <f>_xlfn.XLOOKUP(AA769,M_ARTIST!A:A,M_ARTIST!B:B,"★★★",0,1)</f>
        <v>★★★</v>
      </c>
      <c r="AC769" s="14">
        <f t="shared" si="43"/>
        <v>0</v>
      </c>
      <c r="AD769" s="19" t="e">
        <f>HYPERLINK(_xlfn.XLOOKUP(C769,M_YT_LIVE_TIMESTAMP!AA:AA,M_YT_LIVE_TIMESTAMP!Z:Z,"★",0,-1))</f>
        <v>#VALUE!</v>
      </c>
    </row>
    <row r="770" spans="3:30" x14ac:dyDescent="0.4">
      <c r="C770" s="12" t="str">
        <f t="shared" si="41"/>
        <v/>
      </c>
      <c r="AA770" s="14">
        <f t="shared" si="42"/>
        <v>0</v>
      </c>
      <c r="AB770" s="14" t="str">
        <f>_xlfn.XLOOKUP(AA770,M_ARTIST!A:A,M_ARTIST!B:B,"★★★",0,1)</f>
        <v>★★★</v>
      </c>
      <c r="AC770" s="14">
        <f t="shared" si="43"/>
        <v>0</v>
      </c>
      <c r="AD770" s="19" t="e">
        <f>HYPERLINK(_xlfn.XLOOKUP(C770,M_YT_LIVE_TIMESTAMP!AA:AA,M_YT_LIVE_TIMESTAMP!Z:Z,"★",0,-1))</f>
        <v>#VALUE!</v>
      </c>
    </row>
    <row r="771" spans="3:30" x14ac:dyDescent="0.4">
      <c r="C771" s="12" t="str">
        <f t="shared" si="41"/>
        <v/>
      </c>
      <c r="AA771" s="14">
        <f t="shared" si="42"/>
        <v>0</v>
      </c>
      <c r="AB771" s="14" t="str">
        <f>_xlfn.XLOOKUP(AA771,M_ARTIST!A:A,M_ARTIST!B:B,"★★★",0,1)</f>
        <v>★★★</v>
      </c>
      <c r="AC771" s="14">
        <f t="shared" si="43"/>
        <v>0</v>
      </c>
      <c r="AD771" s="19" t="e">
        <f>HYPERLINK(_xlfn.XLOOKUP(C771,M_YT_LIVE_TIMESTAMP!AA:AA,M_YT_LIVE_TIMESTAMP!Z:Z,"★",0,-1))</f>
        <v>#VALUE!</v>
      </c>
    </row>
    <row r="772" spans="3:30" x14ac:dyDescent="0.4">
      <c r="C772" s="12" t="str">
        <f t="shared" si="41"/>
        <v/>
      </c>
      <c r="AA772" s="14">
        <f t="shared" si="42"/>
        <v>0</v>
      </c>
      <c r="AB772" s="14" t="str">
        <f>_xlfn.XLOOKUP(AA772,M_ARTIST!A:A,M_ARTIST!B:B,"★★★",0,1)</f>
        <v>★★★</v>
      </c>
      <c r="AC772" s="14">
        <f t="shared" si="43"/>
        <v>0</v>
      </c>
      <c r="AD772" s="19" t="e">
        <f>HYPERLINK(_xlfn.XLOOKUP(C772,M_YT_LIVE_TIMESTAMP!AA:AA,M_YT_LIVE_TIMESTAMP!Z:Z,"★",0,-1))</f>
        <v>#VALUE!</v>
      </c>
    </row>
    <row r="773" spans="3:30" x14ac:dyDescent="0.4">
      <c r="C773" s="12" t="str">
        <f t="shared" si="41"/>
        <v/>
      </c>
      <c r="AA773" s="14">
        <f t="shared" si="42"/>
        <v>0</v>
      </c>
      <c r="AB773" s="14" t="str">
        <f>_xlfn.XLOOKUP(AA773,M_ARTIST!A:A,M_ARTIST!B:B,"★★★",0,1)</f>
        <v>★★★</v>
      </c>
      <c r="AC773" s="14">
        <f t="shared" si="43"/>
        <v>0</v>
      </c>
      <c r="AD773" s="19" t="e">
        <f>HYPERLINK(_xlfn.XLOOKUP(C773,M_YT_LIVE_TIMESTAMP!AA:AA,M_YT_LIVE_TIMESTAMP!Z:Z,"★",0,-1))</f>
        <v>#VALUE!</v>
      </c>
    </row>
    <row r="774" spans="3:30" x14ac:dyDescent="0.4">
      <c r="C774" s="12" t="str">
        <f t="shared" si="41"/>
        <v/>
      </c>
      <c r="AA774" s="14">
        <f t="shared" si="42"/>
        <v>0</v>
      </c>
      <c r="AB774" s="14" t="str">
        <f>_xlfn.XLOOKUP(AA774,M_ARTIST!A:A,M_ARTIST!B:B,"★★★",0,1)</f>
        <v>★★★</v>
      </c>
      <c r="AC774" s="14">
        <f t="shared" si="43"/>
        <v>0</v>
      </c>
      <c r="AD774" s="19" t="e">
        <f>HYPERLINK(_xlfn.XLOOKUP(C774,M_YT_LIVE_TIMESTAMP!AA:AA,M_YT_LIVE_TIMESTAMP!Z:Z,"★",0,-1))</f>
        <v>#VALUE!</v>
      </c>
    </row>
    <row r="775" spans="3:30" x14ac:dyDescent="0.4">
      <c r="C775" s="12" t="str">
        <f t="shared" si="41"/>
        <v/>
      </c>
      <c r="AA775" s="14">
        <f t="shared" si="42"/>
        <v>0</v>
      </c>
      <c r="AB775" s="14" t="str">
        <f>_xlfn.XLOOKUP(AA775,M_ARTIST!A:A,M_ARTIST!B:B,"★★★",0,1)</f>
        <v>★★★</v>
      </c>
      <c r="AC775" s="14">
        <f t="shared" si="43"/>
        <v>0</v>
      </c>
      <c r="AD775" s="19" t="e">
        <f>HYPERLINK(_xlfn.XLOOKUP(C775,M_YT_LIVE_TIMESTAMP!AA:AA,M_YT_LIVE_TIMESTAMP!Z:Z,"★",0,-1))</f>
        <v>#VALUE!</v>
      </c>
    </row>
    <row r="776" spans="3:30" x14ac:dyDescent="0.4">
      <c r="C776" s="12" t="str">
        <f t="shared" si="41"/>
        <v/>
      </c>
      <c r="AA776" s="14">
        <f t="shared" si="42"/>
        <v>0</v>
      </c>
      <c r="AB776" s="14" t="str">
        <f>_xlfn.XLOOKUP(AA776,M_ARTIST!A:A,M_ARTIST!B:B,"★★★",0,1)</f>
        <v>★★★</v>
      </c>
      <c r="AC776" s="14">
        <f t="shared" si="43"/>
        <v>0</v>
      </c>
      <c r="AD776" s="19" t="e">
        <f>HYPERLINK(_xlfn.XLOOKUP(C776,M_YT_LIVE_TIMESTAMP!AA:AA,M_YT_LIVE_TIMESTAMP!Z:Z,"★",0,-1))</f>
        <v>#VALUE!</v>
      </c>
    </row>
    <row r="777" spans="3:30" x14ac:dyDescent="0.4">
      <c r="C777" s="12" t="str">
        <f t="shared" si="41"/>
        <v/>
      </c>
      <c r="AA777" s="14">
        <f t="shared" si="42"/>
        <v>0</v>
      </c>
      <c r="AB777" s="14" t="str">
        <f>_xlfn.XLOOKUP(AA777,M_ARTIST!A:A,M_ARTIST!B:B,"★★★",0,1)</f>
        <v>★★★</v>
      </c>
      <c r="AC777" s="14">
        <f t="shared" si="43"/>
        <v>0</v>
      </c>
      <c r="AD777" s="19" t="e">
        <f>HYPERLINK(_xlfn.XLOOKUP(C777,M_YT_LIVE_TIMESTAMP!AA:AA,M_YT_LIVE_TIMESTAMP!Z:Z,"★",0,-1))</f>
        <v>#VALUE!</v>
      </c>
    </row>
    <row r="778" spans="3:30" x14ac:dyDescent="0.4">
      <c r="C778" s="12" t="str">
        <f t="shared" si="41"/>
        <v/>
      </c>
      <c r="AA778" s="14">
        <f t="shared" si="42"/>
        <v>0</v>
      </c>
      <c r="AB778" s="14" t="str">
        <f>_xlfn.XLOOKUP(AA778,M_ARTIST!A:A,M_ARTIST!B:B,"★★★",0,1)</f>
        <v>★★★</v>
      </c>
      <c r="AC778" s="14">
        <f t="shared" si="43"/>
        <v>0</v>
      </c>
      <c r="AD778" s="19" t="e">
        <f>HYPERLINK(_xlfn.XLOOKUP(C778,M_YT_LIVE_TIMESTAMP!AA:AA,M_YT_LIVE_TIMESTAMP!Z:Z,"★",0,-1))</f>
        <v>#VALUE!</v>
      </c>
    </row>
    <row r="779" spans="3:30" x14ac:dyDescent="0.4">
      <c r="C779" s="12" t="str">
        <f t="shared" si="41"/>
        <v/>
      </c>
      <c r="AA779" s="14">
        <f t="shared" si="42"/>
        <v>0</v>
      </c>
      <c r="AB779" s="14" t="str">
        <f>_xlfn.XLOOKUP(AA779,M_ARTIST!A:A,M_ARTIST!B:B,"★★★",0,1)</f>
        <v>★★★</v>
      </c>
      <c r="AC779" s="14">
        <f t="shared" si="43"/>
        <v>0</v>
      </c>
      <c r="AD779" s="19" t="e">
        <f>HYPERLINK(_xlfn.XLOOKUP(C779,M_YT_LIVE_TIMESTAMP!AA:AA,M_YT_LIVE_TIMESTAMP!Z:Z,"★",0,-1))</f>
        <v>#VALUE!</v>
      </c>
    </row>
    <row r="780" spans="3:30" x14ac:dyDescent="0.4">
      <c r="C780" s="12" t="str">
        <f t="shared" si="41"/>
        <v/>
      </c>
      <c r="AA780" s="14">
        <f t="shared" si="42"/>
        <v>0</v>
      </c>
      <c r="AB780" s="14" t="str">
        <f>_xlfn.XLOOKUP(AA780,M_ARTIST!A:A,M_ARTIST!B:B,"★★★",0,1)</f>
        <v>★★★</v>
      </c>
      <c r="AC780" s="14">
        <f t="shared" si="43"/>
        <v>0</v>
      </c>
      <c r="AD780" s="19" t="e">
        <f>HYPERLINK(_xlfn.XLOOKUP(C780,M_YT_LIVE_TIMESTAMP!AA:AA,M_YT_LIVE_TIMESTAMP!Z:Z,"★",0,-1))</f>
        <v>#VALUE!</v>
      </c>
    </row>
    <row r="781" spans="3:30" x14ac:dyDescent="0.4">
      <c r="C781" s="12" t="str">
        <f t="shared" si="41"/>
        <v/>
      </c>
      <c r="AA781" s="14">
        <f t="shared" si="42"/>
        <v>0</v>
      </c>
      <c r="AB781" s="14" t="str">
        <f>_xlfn.XLOOKUP(AA781,M_ARTIST!A:A,M_ARTIST!B:B,"★★★",0,1)</f>
        <v>★★★</v>
      </c>
      <c r="AC781" s="14">
        <f t="shared" si="43"/>
        <v>0</v>
      </c>
      <c r="AD781" s="19" t="e">
        <f>HYPERLINK(_xlfn.XLOOKUP(C781,M_YT_LIVE_TIMESTAMP!AA:AA,M_YT_LIVE_TIMESTAMP!Z:Z,"★",0,-1))</f>
        <v>#VALUE!</v>
      </c>
    </row>
    <row r="782" spans="3:30" x14ac:dyDescent="0.4">
      <c r="C782" s="12" t="str">
        <f t="shared" si="41"/>
        <v/>
      </c>
      <c r="AA782" s="14">
        <f t="shared" si="42"/>
        <v>0</v>
      </c>
      <c r="AB782" s="14" t="str">
        <f>_xlfn.XLOOKUP(AA782,M_ARTIST!A:A,M_ARTIST!B:B,"★★★",0,1)</f>
        <v>★★★</v>
      </c>
      <c r="AC782" s="14">
        <f t="shared" si="43"/>
        <v>0</v>
      </c>
      <c r="AD782" s="19" t="e">
        <f>HYPERLINK(_xlfn.XLOOKUP(C782,M_YT_LIVE_TIMESTAMP!AA:AA,M_YT_LIVE_TIMESTAMP!Z:Z,"★",0,-1))</f>
        <v>#VALUE!</v>
      </c>
    </row>
    <row r="783" spans="3:30" x14ac:dyDescent="0.4">
      <c r="C783" s="12" t="str">
        <f t="shared" si="41"/>
        <v/>
      </c>
      <c r="AA783" s="14">
        <f t="shared" si="42"/>
        <v>0</v>
      </c>
      <c r="AB783" s="14" t="str">
        <f>_xlfn.XLOOKUP(AA783,M_ARTIST!A:A,M_ARTIST!B:B,"★★★",0,1)</f>
        <v>★★★</v>
      </c>
      <c r="AC783" s="14">
        <f t="shared" si="43"/>
        <v>0</v>
      </c>
      <c r="AD783" s="19" t="e">
        <f>HYPERLINK(_xlfn.XLOOKUP(C783,M_YT_LIVE_TIMESTAMP!AA:AA,M_YT_LIVE_TIMESTAMP!Z:Z,"★",0,-1))</f>
        <v>#VALUE!</v>
      </c>
    </row>
    <row r="784" spans="3:30" x14ac:dyDescent="0.4">
      <c r="C784" s="12" t="str">
        <f t="shared" si="41"/>
        <v/>
      </c>
      <c r="AA784" s="14">
        <f t="shared" si="42"/>
        <v>0</v>
      </c>
      <c r="AB784" s="14" t="str">
        <f>_xlfn.XLOOKUP(AA784,M_ARTIST!A:A,M_ARTIST!B:B,"★★★",0,1)</f>
        <v>★★★</v>
      </c>
      <c r="AC784" s="14">
        <f t="shared" si="43"/>
        <v>0</v>
      </c>
      <c r="AD784" s="19" t="e">
        <f>HYPERLINK(_xlfn.XLOOKUP(C784,M_YT_LIVE_TIMESTAMP!AA:AA,M_YT_LIVE_TIMESTAMP!Z:Z,"★",0,-1))</f>
        <v>#VALUE!</v>
      </c>
    </row>
    <row r="785" spans="3:30" x14ac:dyDescent="0.4">
      <c r="C785" s="12" t="str">
        <f t="shared" si="41"/>
        <v/>
      </c>
      <c r="AA785" s="14">
        <f t="shared" si="42"/>
        <v>0</v>
      </c>
      <c r="AB785" s="14" t="str">
        <f>_xlfn.XLOOKUP(AA785,M_ARTIST!A:A,M_ARTIST!B:B,"★★★",0,1)</f>
        <v>★★★</v>
      </c>
      <c r="AC785" s="14">
        <f t="shared" si="43"/>
        <v>0</v>
      </c>
      <c r="AD785" s="19" t="e">
        <f>HYPERLINK(_xlfn.XLOOKUP(C785,M_YT_LIVE_TIMESTAMP!AA:AA,M_YT_LIVE_TIMESTAMP!Z:Z,"★",0,-1))</f>
        <v>#VALUE!</v>
      </c>
    </row>
    <row r="786" spans="3:30" x14ac:dyDescent="0.4">
      <c r="C786" s="12" t="str">
        <f t="shared" si="41"/>
        <v/>
      </c>
      <c r="AA786" s="14">
        <f t="shared" si="42"/>
        <v>0</v>
      </c>
      <c r="AB786" s="14" t="str">
        <f>_xlfn.XLOOKUP(AA786,M_ARTIST!A:A,M_ARTIST!B:B,"★★★",0,1)</f>
        <v>★★★</v>
      </c>
      <c r="AC786" s="14">
        <f t="shared" si="43"/>
        <v>0</v>
      </c>
      <c r="AD786" s="19" t="e">
        <f>HYPERLINK(_xlfn.XLOOKUP(C786,M_YT_LIVE_TIMESTAMP!AA:AA,M_YT_LIVE_TIMESTAMP!Z:Z,"★",0,-1))</f>
        <v>#VALUE!</v>
      </c>
    </row>
    <row r="787" spans="3:30" x14ac:dyDescent="0.4">
      <c r="C787" s="12" t="str">
        <f t="shared" ref="C787:C850" si="44">TRIM(B787)&amp;TRIM(A787)</f>
        <v/>
      </c>
      <c r="AA787" s="14">
        <f t="shared" ref="AA787:AA850" si="45">B787</f>
        <v>0</v>
      </c>
      <c r="AB787" s="14" t="str">
        <f>_xlfn.XLOOKUP(AA787,M_ARTIST!A:A,M_ARTIST!B:B,"★★★",0,1)</f>
        <v>★★★</v>
      </c>
      <c r="AC787" s="14">
        <f t="shared" ref="AC787:AC850" si="46">A787</f>
        <v>0</v>
      </c>
      <c r="AD787" s="19" t="e">
        <f>HYPERLINK(_xlfn.XLOOKUP(C787,M_YT_LIVE_TIMESTAMP!AA:AA,M_YT_LIVE_TIMESTAMP!Z:Z,"★",0,-1))</f>
        <v>#VALUE!</v>
      </c>
    </row>
    <row r="788" spans="3:30" x14ac:dyDescent="0.4">
      <c r="C788" s="12" t="str">
        <f t="shared" si="44"/>
        <v/>
      </c>
      <c r="AA788" s="14">
        <f t="shared" si="45"/>
        <v>0</v>
      </c>
      <c r="AB788" s="14" t="str">
        <f>_xlfn.XLOOKUP(AA788,M_ARTIST!A:A,M_ARTIST!B:B,"★★★",0,1)</f>
        <v>★★★</v>
      </c>
      <c r="AC788" s="14">
        <f t="shared" si="46"/>
        <v>0</v>
      </c>
      <c r="AD788" s="19" t="e">
        <f>HYPERLINK(_xlfn.XLOOKUP(C788,M_YT_LIVE_TIMESTAMP!AA:AA,M_YT_LIVE_TIMESTAMP!Z:Z,"★",0,-1))</f>
        <v>#VALUE!</v>
      </c>
    </row>
    <row r="789" spans="3:30" x14ac:dyDescent="0.4">
      <c r="C789" s="12" t="str">
        <f t="shared" si="44"/>
        <v/>
      </c>
      <c r="AA789" s="14">
        <f t="shared" si="45"/>
        <v>0</v>
      </c>
      <c r="AB789" s="14" t="str">
        <f>_xlfn.XLOOKUP(AA789,M_ARTIST!A:A,M_ARTIST!B:B,"★★★",0,1)</f>
        <v>★★★</v>
      </c>
      <c r="AC789" s="14">
        <f t="shared" si="46"/>
        <v>0</v>
      </c>
      <c r="AD789" s="19" t="e">
        <f>HYPERLINK(_xlfn.XLOOKUP(C789,M_YT_LIVE_TIMESTAMP!AA:AA,M_YT_LIVE_TIMESTAMP!Z:Z,"★",0,-1))</f>
        <v>#VALUE!</v>
      </c>
    </row>
    <row r="790" spans="3:30" x14ac:dyDescent="0.4">
      <c r="C790" s="12" t="str">
        <f t="shared" si="44"/>
        <v/>
      </c>
      <c r="AA790" s="14">
        <f t="shared" si="45"/>
        <v>0</v>
      </c>
      <c r="AB790" s="14" t="str">
        <f>_xlfn.XLOOKUP(AA790,M_ARTIST!A:A,M_ARTIST!B:B,"★★★",0,1)</f>
        <v>★★★</v>
      </c>
      <c r="AC790" s="14">
        <f t="shared" si="46"/>
        <v>0</v>
      </c>
      <c r="AD790" s="19" t="e">
        <f>HYPERLINK(_xlfn.XLOOKUP(C790,M_YT_LIVE_TIMESTAMP!AA:AA,M_YT_LIVE_TIMESTAMP!Z:Z,"★",0,-1))</f>
        <v>#VALUE!</v>
      </c>
    </row>
    <row r="791" spans="3:30" x14ac:dyDescent="0.4">
      <c r="C791" s="12" t="str">
        <f t="shared" si="44"/>
        <v/>
      </c>
      <c r="AA791" s="14">
        <f t="shared" si="45"/>
        <v>0</v>
      </c>
      <c r="AB791" s="14" t="str">
        <f>_xlfn.XLOOKUP(AA791,M_ARTIST!A:A,M_ARTIST!B:B,"★★★",0,1)</f>
        <v>★★★</v>
      </c>
      <c r="AC791" s="14">
        <f t="shared" si="46"/>
        <v>0</v>
      </c>
      <c r="AD791" s="19" t="e">
        <f>HYPERLINK(_xlfn.XLOOKUP(C791,M_YT_LIVE_TIMESTAMP!AA:AA,M_YT_LIVE_TIMESTAMP!Z:Z,"★",0,-1))</f>
        <v>#VALUE!</v>
      </c>
    </row>
    <row r="792" spans="3:30" x14ac:dyDescent="0.4">
      <c r="C792" s="12" t="str">
        <f t="shared" si="44"/>
        <v/>
      </c>
      <c r="AA792" s="14">
        <f t="shared" si="45"/>
        <v>0</v>
      </c>
      <c r="AB792" s="14" t="str">
        <f>_xlfn.XLOOKUP(AA792,M_ARTIST!A:A,M_ARTIST!B:B,"★★★",0,1)</f>
        <v>★★★</v>
      </c>
      <c r="AC792" s="14">
        <f t="shared" si="46"/>
        <v>0</v>
      </c>
      <c r="AD792" s="19" t="e">
        <f>HYPERLINK(_xlfn.XLOOKUP(C792,M_YT_LIVE_TIMESTAMP!AA:AA,M_YT_LIVE_TIMESTAMP!Z:Z,"★",0,-1))</f>
        <v>#VALUE!</v>
      </c>
    </row>
    <row r="793" spans="3:30" x14ac:dyDescent="0.4">
      <c r="C793" s="12" t="str">
        <f t="shared" si="44"/>
        <v/>
      </c>
      <c r="AA793" s="14">
        <f t="shared" si="45"/>
        <v>0</v>
      </c>
      <c r="AB793" s="14" t="str">
        <f>_xlfn.XLOOKUP(AA793,M_ARTIST!A:A,M_ARTIST!B:B,"★★★",0,1)</f>
        <v>★★★</v>
      </c>
      <c r="AC793" s="14">
        <f t="shared" si="46"/>
        <v>0</v>
      </c>
      <c r="AD793" s="19" t="e">
        <f>HYPERLINK(_xlfn.XLOOKUP(C793,M_YT_LIVE_TIMESTAMP!AA:AA,M_YT_LIVE_TIMESTAMP!Z:Z,"★",0,-1))</f>
        <v>#VALUE!</v>
      </c>
    </row>
    <row r="794" spans="3:30" x14ac:dyDescent="0.4">
      <c r="C794" s="12" t="str">
        <f t="shared" si="44"/>
        <v/>
      </c>
      <c r="AA794" s="14">
        <f t="shared" si="45"/>
        <v>0</v>
      </c>
      <c r="AB794" s="14" t="str">
        <f>_xlfn.XLOOKUP(AA794,M_ARTIST!A:A,M_ARTIST!B:B,"★★★",0,1)</f>
        <v>★★★</v>
      </c>
      <c r="AC794" s="14">
        <f t="shared" si="46"/>
        <v>0</v>
      </c>
      <c r="AD794" s="19" t="e">
        <f>HYPERLINK(_xlfn.XLOOKUP(C794,M_YT_LIVE_TIMESTAMP!AA:AA,M_YT_LIVE_TIMESTAMP!Z:Z,"★",0,-1))</f>
        <v>#VALUE!</v>
      </c>
    </row>
    <row r="795" spans="3:30" x14ac:dyDescent="0.4">
      <c r="C795" s="12" t="str">
        <f t="shared" si="44"/>
        <v/>
      </c>
      <c r="AA795" s="14">
        <f t="shared" si="45"/>
        <v>0</v>
      </c>
      <c r="AB795" s="14" t="str">
        <f>_xlfn.XLOOKUP(AA795,M_ARTIST!A:A,M_ARTIST!B:B,"★★★",0,1)</f>
        <v>★★★</v>
      </c>
      <c r="AC795" s="14">
        <f t="shared" si="46"/>
        <v>0</v>
      </c>
      <c r="AD795" s="19" t="e">
        <f>HYPERLINK(_xlfn.XLOOKUP(C795,M_YT_LIVE_TIMESTAMP!AA:AA,M_YT_LIVE_TIMESTAMP!Z:Z,"★",0,-1))</f>
        <v>#VALUE!</v>
      </c>
    </row>
    <row r="796" spans="3:30" x14ac:dyDescent="0.4">
      <c r="C796" s="12" t="str">
        <f t="shared" si="44"/>
        <v/>
      </c>
      <c r="AA796" s="14">
        <f t="shared" si="45"/>
        <v>0</v>
      </c>
      <c r="AB796" s="14" t="str">
        <f>_xlfn.XLOOKUP(AA796,M_ARTIST!A:A,M_ARTIST!B:B,"★★★",0,1)</f>
        <v>★★★</v>
      </c>
      <c r="AC796" s="14">
        <f t="shared" si="46"/>
        <v>0</v>
      </c>
      <c r="AD796" s="19" t="e">
        <f>HYPERLINK(_xlfn.XLOOKUP(C796,M_YT_LIVE_TIMESTAMP!AA:AA,M_YT_LIVE_TIMESTAMP!Z:Z,"★",0,-1))</f>
        <v>#VALUE!</v>
      </c>
    </row>
    <row r="797" spans="3:30" x14ac:dyDescent="0.4">
      <c r="C797" s="12" t="str">
        <f t="shared" si="44"/>
        <v/>
      </c>
      <c r="AA797" s="14">
        <f t="shared" si="45"/>
        <v>0</v>
      </c>
      <c r="AB797" s="14" t="str">
        <f>_xlfn.XLOOKUP(AA797,M_ARTIST!A:A,M_ARTIST!B:B,"★★★",0,1)</f>
        <v>★★★</v>
      </c>
      <c r="AC797" s="14">
        <f t="shared" si="46"/>
        <v>0</v>
      </c>
      <c r="AD797" s="19" t="e">
        <f>HYPERLINK(_xlfn.XLOOKUP(C797,M_YT_LIVE_TIMESTAMP!AA:AA,M_YT_LIVE_TIMESTAMP!Z:Z,"★",0,-1))</f>
        <v>#VALUE!</v>
      </c>
    </row>
    <row r="798" spans="3:30" x14ac:dyDescent="0.4">
      <c r="C798" s="12" t="str">
        <f t="shared" si="44"/>
        <v/>
      </c>
      <c r="AA798" s="14">
        <f t="shared" si="45"/>
        <v>0</v>
      </c>
      <c r="AB798" s="14" t="str">
        <f>_xlfn.XLOOKUP(AA798,M_ARTIST!A:A,M_ARTIST!B:B,"★★★",0,1)</f>
        <v>★★★</v>
      </c>
      <c r="AC798" s="14">
        <f t="shared" si="46"/>
        <v>0</v>
      </c>
      <c r="AD798" s="19" t="e">
        <f>HYPERLINK(_xlfn.XLOOKUP(C798,M_YT_LIVE_TIMESTAMP!AA:AA,M_YT_LIVE_TIMESTAMP!Z:Z,"★",0,-1))</f>
        <v>#VALUE!</v>
      </c>
    </row>
    <row r="799" spans="3:30" x14ac:dyDescent="0.4">
      <c r="C799" s="12" t="str">
        <f t="shared" si="44"/>
        <v/>
      </c>
      <c r="AA799" s="14">
        <f t="shared" si="45"/>
        <v>0</v>
      </c>
      <c r="AB799" s="14" t="str">
        <f>_xlfn.XLOOKUP(AA799,M_ARTIST!A:A,M_ARTIST!B:B,"★★★",0,1)</f>
        <v>★★★</v>
      </c>
      <c r="AC799" s="14">
        <f t="shared" si="46"/>
        <v>0</v>
      </c>
      <c r="AD799" s="19" t="e">
        <f>HYPERLINK(_xlfn.XLOOKUP(C799,M_YT_LIVE_TIMESTAMP!AA:AA,M_YT_LIVE_TIMESTAMP!Z:Z,"★",0,-1))</f>
        <v>#VALUE!</v>
      </c>
    </row>
    <row r="800" spans="3:30" x14ac:dyDescent="0.4">
      <c r="C800" s="12" t="str">
        <f t="shared" si="44"/>
        <v/>
      </c>
      <c r="AA800" s="14">
        <f t="shared" si="45"/>
        <v>0</v>
      </c>
      <c r="AB800" s="14" t="str">
        <f>_xlfn.XLOOKUP(AA800,M_ARTIST!A:A,M_ARTIST!B:B,"★★★",0,1)</f>
        <v>★★★</v>
      </c>
      <c r="AC800" s="14">
        <f t="shared" si="46"/>
        <v>0</v>
      </c>
      <c r="AD800" s="19" t="e">
        <f>HYPERLINK(_xlfn.XLOOKUP(C800,M_YT_LIVE_TIMESTAMP!AA:AA,M_YT_LIVE_TIMESTAMP!Z:Z,"★",0,-1))</f>
        <v>#VALUE!</v>
      </c>
    </row>
    <row r="801" spans="3:30" x14ac:dyDescent="0.4">
      <c r="C801" s="12" t="str">
        <f t="shared" si="44"/>
        <v/>
      </c>
      <c r="AA801" s="14">
        <f t="shared" si="45"/>
        <v>0</v>
      </c>
      <c r="AB801" s="14" t="str">
        <f>_xlfn.XLOOKUP(AA801,M_ARTIST!A:A,M_ARTIST!B:B,"★★★",0,1)</f>
        <v>★★★</v>
      </c>
      <c r="AC801" s="14">
        <f t="shared" si="46"/>
        <v>0</v>
      </c>
      <c r="AD801" s="19" t="e">
        <f>HYPERLINK(_xlfn.XLOOKUP(C801,M_YT_LIVE_TIMESTAMP!AA:AA,M_YT_LIVE_TIMESTAMP!Z:Z,"★",0,-1))</f>
        <v>#VALUE!</v>
      </c>
    </row>
    <row r="802" spans="3:30" x14ac:dyDescent="0.4">
      <c r="C802" s="12" t="str">
        <f t="shared" si="44"/>
        <v/>
      </c>
      <c r="AA802" s="14">
        <f t="shared" si="45"/>
        <v>0</v>
      </c>
      <c r="AB802" s="14" t="str">
        <f>_xlfn.XLOOKUP(AA802,M_ARTIST!A:A,M_ARTIST!B:B,"★★★",0,1)</f>
        <v>★★★</v>
      </c>
      <c r="AC802" s="14">
        <f t="shared" si="46"/>
        <v>0</v>
      </c>
      <c r="AD802" s="19" t="e">
        <f>HYPERLINK(_xlfn.XLOOKUP(C802,M_YT_LIVE_TIMESTAMP!AA:AA,M_YT_LIVE_TIMESTAMP!Z:Z,"★",0,-1))</f>
        <v>#VALUE!</v>
      </c>
    </row>
    <row r="803" spans="3:30" x14ac:dyDescent="0.4">
      <c r="C803" s="12" t="str">
        <f t="shared" si="44"/>
        <v/>
      </c>
      <c r="AA803" s="14">
        <f t="shared" si="45"/>
        <v>0</v>
      </c>
      <c r="AB803" s="14" t="str">
        <f>_xlfn.XLOOKUP(AA803,M_ARTIST!A:A,M_ARTIST!B:B,"★★★",0,1)</f>
        <v>★★★</v>
      </c>
      <c r="AC803" s="14">
        <f t="shared" si="46"/>
        <v>0</v>
      </c>
      <c r="AD803" s="19" t="e">
        <f>HYPERLINK(_xlfn.XLOOKUP(C803,M_YT_LIVE_TIMESTAMP!AA:AA,M_YT_LIVE_TIMESTAMP!Z:Z,"★",0,-1))</f>
        <v>#VALUE!</v>
      </c>
    </row>
    <row r="804" spans="3:30" x14ac:dyDescent="0.4">
      <c r="C804" s="12" t="str">
        <f t="shared" si="44"/>
        <v/>
      </c>
      <c r="AA804" s="14">
        <f t="shared" si="45"/>
        <v>0</v>
      </c>
      <c r="AB804" s="14" t="str">
        <f>_xlfn.XLOOKUP(AA804,M_ARTIST!A:A,M_ARTIST!B:B,"★★★",0,1)</f>
        <v>★★★</v>
      </c>
      <c r="AC804" s="14">
        <f t="shared" si="46"/>
        <v>0</v>
      </c>
      <c r="AD804" s="19" t="e">
        <f>HYPERLINK(_xlfn.XLOOKUP(C804,M_YT_LIVE_TIMESTAMP!AA:AA,M_YT_LIVE_TIMESTAMP!Z:Z,"★",0,-1))</f>
        <v>#VALUE!</v>
      </c>
    </row>
    <row r="805" spans="3:30" x14ac:dyDescent="0.4">
      <c r="C805" s="12" t="str">
        <f t="shared" si="44"/>
        <v/>
      </c>
      <c r="AA805" s="14">
        <f t="shared" si="45"/>
        <v>0</v>
      </c>
      <c r="AB805" s="14" t="str">
        <f>_xlfn.XLOOKUP(AA805,M_ARTIST!A:A,M_ARTIST!B:B,"★★★",0,1)</f>
        <v>★★★</v>
      </c>
      <c r="AC805" s="14">
        <f t="shared" si="46"/>
        <v>0</v>
      </c>
      <c r="AD805" s="19" t="e">
        <f>HYPERLINK(_xlfn.XLOOKUP(C805,M_YT_LIVE_TIMESTAMP!AA:AA,M_YT_LIVE_TIMESTAMP!Z:Z,"★",0,-1))</f>
        <v>#VALUE!</v>
      </c>
    </row>
    <row r="806" spans="3:30" x14ac:dyDescent="0.4">
      <c r="C806" s="12" t="str">
        <f t="shared" si="44"/>
        <v/>
      </c>
      <c r="AA806" s="14">
        <f t="shared" si="45"/>
        <v>0</v>
      </c>
      <c r="AB806" s="14" t="str">
        <f>_xlfn.XLOOKUP(AA806,M_ARTIST!A:A,M_ARTIST!B:B,"★★★",0,1)</f>
        <v>★★★</v>
      </c>
      <c r="AC806" s="14">
        <f t="shared" si="46"/>
        <v>0</v>
      </c>
      <c r="AD806" s="19" t="e">
        <f>HYPERLINK(_xlfn.XLOOKUP(C806,M_YT_LIVE_TIMESTAMP!AA:AA,M_YT_LIVE_TIMESTAMP!Z:Z,"★",0,-1))</f>
        <v>#VALUE!</v>
      </c>
    </row>
    <row r="807" spans="3:30" x14ac:dyDescent="0.4">
      <c r="C807" s="12" t="str">
        <f t="shared" si="44"/>
        <v/>
      </c>
      <c r="AA807" s="14">
        <f t="shared" si="45"/>
        <v>0</v>
      </c>
      <c r="AB807" s="14" t="str">
        <f>_xlfn.XLOOKUP(AA807,M_ARTIST!A:A,M_ARTIST!B:B,"★★★",0,1)</f>
        <v>★★★</v>
      </c>
      <c r="AC807" s="14">
        <f t="shared" si="46"/>
        <v>0</v>
      </c>
      <c r="AD807" s="19" t="e">
        <f>HYPERLINK(_xlfn.XLOOKUP(C807,M_YT_LIVE_TIMESTAMP!AA:AA,M_YT_LIVE_TIMESTAMP!Z:Z,"★",0,-1))</f>
        <v>#VALUE!</v>
      </c>
    </row>
    <row r="808" spans="3:30" x14ac:dyDescent="0.4">
      <c r="C808" s="12" t="str">
        <f t="shared" si="44"/>
        <v/>
      </c>
      <c r="AA808" s="14">
        <f t="shared" si="45"/>
        <v>0</v>
      </c>
      <c r="AB808" s="14" t="str">
        <f>_xlfn.XLOOKUP(AA808,M_ARTIST!A:A,M_ARTIST!B:B,"★★★",0,1)</f>
        <v>★★★</v>
      </c>
      <c r="AC808" s="14">
        <f t="shared" si="46"/>
        <v>0</v>
      </c>
      <c r="AD808" s="19" t="e">
        <f>HYPERLINK(_xlfn.XLOOKUP(C808,M_YT_LIVE_TIMESTAMP!AA:AA,M_YT_LIVE_TIMESTAMP!Z:Z,"★",0,-1))</f>
        <v>#VALUE!</v>
      </c>
    </row>
    <row r="809" spans="3:30" x14ac:dyDescent="0.4">
      <c r="C809" s="12" t="str">
        <f t="shared" si="44"/>
        <v/>
      </c>
      <c r="AA809" s="14">
        <f t="shared" si="45"/>
        <v>0</v>
      </c>
      <c r="AB809" s="14" t="str">
        <f>_xlfn.XLOOKUP(AA809,M_ARTIST!A:A,M_ARTIST!B:B,"★★★",0,1)</f>
        <v>★★★</v>
      </c>
      <c r="AC809" s="14">
        <f t="shared" si="46"/>
        <v>0</v>
      </c>
      <c r="AD809" s="19" t="e">
        <f>HYPERLINK(_xlfn.XLOOKUP(C809,M_YT_LIVE_TIMESTAMP!AA:AA,M_YT_LIVE_TIMESTAMP!Z:Z,"★",0,-1))</f>
        <v>#VALUE!</v>
      </c>
    </row>
    <row r="810" spans="3:30" x14ac:dyDescent="0.4">
      <c r="C810" s="12" t="str">
        <f t="shared" si="44"/>
        <v/>
      </c>
      <c r="AA810" s="14">
        <f t="shared" si="45"/>
        <v>0</v>
      </c>
      <c r="AB810" s="14" t="str">
        <f>_xlfn.XLOOKUP(AA810,M_ARTIST!A:A,M_ARTIST!B:B,"★★★",0,1)</f>
        <v>★★★</v>
      </c>
      <c r="AC810" s="14">
        <f t="shared" si="46"/>
        <v>0</v>
      </c>
      <c r="AD810" s="19" t="e">
        <f>HYPERLINK(_xlfn.XLOOKUP(C810,M_YT_LIVE_TIMESTAMP!AA:AA,M_YT_LIVE_TIMESTAMP!Z:Z,"★",0,-1))</f>
        <v>#VALUE!</v>
      </c>
    </row>
    <row r="811" spans="3:30" x14ac:dyDescent="0.4">
      <c r="C811" s="12" t="str">
        <f t="shared" si="44"/>
        <v/>
      </c>
      <c r="AA811" s="14">
        <f t="shared" si="45"/>
        <v>0</v>
      </c>
      <c r="AB811" s="14" t="str">
        <f>_xlfn.XLOOKUP(AA811,M_ARTIST!A:A,M_ARTIST!B:B,"★★★",0,1)</f>
        <v>★★★</v>
      </c>
      <c r="AC811" s="14">
        <f t="shared" si="46"/>
        <v>0</v>
      </c>
      <c r="AD811" s="19" t="e">
        <f>HYPERLINK(_xlfn.XLOOKUP(C811,M_YT_LIVE_TIMESTAMP!AA:AA,M_YT_LIVE_TIMESTAMP!Z:Z,"★",0,-1))</f>
        <v>#VALUE!</v>
      </c>
    </row>
    <row r="812" spans="3:30" x14ac:dyDescent="0.4">
      <c r="C812" s="12" t="str">
        <f t="shared" si="44"/>
        <v/>
      </c>
      <c r="AA812" s="14">
        <f t="shared" si="45"/>
        <v>0</v>
      </c>
      <c r="AB812" s="14" t="str">
        <f>_xlfn.XLOOKUP(AA812,M_ARTIST!A:A,M_ARTIST!B:B,"★★★",0,1)</f>
        <v>★★★</v>
      </c>
      <c r="AC812" s="14">
        <f t="shared" si="46"/>
        <v>0</v>
      </c>
      <c r="AD812" s="19" t="e">
        <f>HYPERLINK(_xlfn.XLOOKUP(C812,M_YT_LIVE_TIMESTAMP!AA:AA,M_YT_LIVE_TIMESTAMP!Z:Z,"★",0,-1))</f>
        <v>#VALUE!</v>
      </c>
    </row>
    <row r="813" spans="3:30" x14ac:dyDescent="0.4">
      <c r="C813" s="12" t="str">
        <f t="shared" si="44"/>
        <v/>
      </c>
      <c r="AA813" s="14">
        <f t="shared" si="45"/>
        <v>0</v>
      </c>
      <c r="AB813" s="14" t="str">
        <f>_xlfn.XLOOKUP(AA813,M_ARTIST!A:A,M_ARTIST!B:B,"★★★",0,1)</f>
        <v>★★★</v>
      </c>
      <c r="AC813" s="14">
        <f t="shared" si="46"/>
        <v>0</v>
      </c>
      <c r="AD813" s="19" t="e">
        <f>HYPERLINK(_xlfn.XLOOKUP(C813,M_YT_LIVE_TIMESTAMP!AA:AA,M_YT_LIVE_TIMESTAMP!Z:Z,"★",0,-1))</f>
        <v>#VALUE!</v>
      </c>
    </row>
    <row r="814" spans="3:30" x14ac:dyDescent="0.4">
      <c r="C814" s="12" t="str">
        <f t="shared" si="44"/>
        <v/>
      </c>
      <c r="AA814" s="14">
        <f t="shared" si="45"/>
        <v>0</v>
      </c>
      <c r="AB814" s="14" t="str">
        <f>_xlfn.XLOOKUP(AA814,M_ARTIST!A:A,M_ARTIST!B:B,"★★★",0,1)</f>
        <v>★★★</v>
      </c>
      <c r="AC814" s="14">
        <f t="shared" si="46"/>
        <v>0</v>
      </c>
      <c r="AD814" s="19" t="e">
        <f>HYPERLINK(_xlfn.XLOOKUP(C814,M_YT_LIVE_TIMESTAMP!AA:AA,M_YT_LIVE_TIMESTAMP!Z:Z,"★",0,-1))</f>
        <v>#VALUE!</v>
      </c>
    </row>
    <row r="815" spans="3:30" x14ac:dyDescent="0.4">
      <c r="C815" s="12" t="str">
        <f t="shared" si="44"/>
        <v/>
      </c>
      <c r="AA815" s="14">
        <f t="shared" si="45"/>
        <v>0</v>
      </c>
      <c r="AB815" s="14" t="str">
        <f>_xlfn.XLOOKUP(AA815,M_ARTIST!A:A,M_ARTIST!B:B,"★★★",0,1)</f>
        <v>★★★</v>
      </c>
      <c r="AC815" s="14">
        <f t="shared" si="46"/>
        <v>0</v>
      </c>
      <c r="AD815" s="19" t="e">
        <f>HYPERLINK(_xlfn.XLOOKUP(C815,M_YT_LIVE_TIMESTAMP!AA:AA,M_YT_LIVE_TIMESTAMP!Z:Z,"★",0,-1))</f>
        <v>#VALUE!</v>
      </c>
    </row>
    <row r="816" spans="3:30" x14ac:dyDescent="0.4">
      <c r="C816" s="12" t="str">
        <f t="shared" si="44"/>
        <v/>
      </c>
      <c r="AA816" s="14">
        <f t="shared" si="45"/>
        <v>0</v>
      </c>
      <c r="AB816" s="14" t="str">
        <f>_xlfn.XLOOKUP(AA816,M_ARTIST!A:A,M_ARTIST!B:B,"★★★",0,1)</f>
        <v>★★★</v>
      </c>
      <c r="AC816" s="14">
        <f t="shared" si="46"/>
        <v>0</v>
      </c>
      <c r="AD816" s="19" t="e">
        <f>HYPERLINK(_xlfn.XLOOKUP(C816,M_YT_LIVE_TIMESTAMP!AA:AA,M_YT_LIVE_TIMESTAMP!Z:Z,"★",0,-1))</f>
        <v>#VALUE!</v>
      </c>
    </row>
    <row r="817" spans="3:30" x14ac:dyDescent="0.4">
      <c r="C817" s="12" t="str">
        <f t="shared" si="44"/>
        <v/>
      </c>
      <c r="AA817" s="14">
        <f t="shared" si="45"/>
        <v>0</v>
      </c>
      <c r="AB817" s="14" t="str">
        <f>_xlfn.XLOOKUP(AA817,M_ARTIST!A:A,M_ARTIST!B:B,"★★★",0,1)</f>
        <v>★★★</v>
      </c>
      <c r="AC817" s="14">
        <f t="shared" si="46"/>
        <v>0</v>
      </c>
      <c r="AD817" s="19" t="e">
        <f>HYPERLINK(_xlfn.XLOOKUP(C817,M_YT_LIVE_TIMESTAMP!AA:AA,M_YT_LIVE_TIMESTAMP!Z:Z,"★",0,-1))</f>
        <v>#VALUE!</v>
      </c>
    </row>
    <row r="818" spans="3:30" x14ac:dyDescent="0.4">
      <c r="C818" s="12" t="str">
        <f t="shared" si="44"/>
        <v/>
      </c>
      <c r="AA818" s="14">
        <f t="shared" si="45"/>
        <v>0</v>
      </c>
      <c r="AB818" s="14" t="str">
        <f>_xlfn.XLOOKUP(AA818,M_ARTIST!A:A,M_ARTIST!B:B,"★★★",0,1)</f>
        <v>★★★</v>
      </c>
      <c r="AC818" s="14">
        <f t="shared" si="46"/>
        <v>0</v>
      </c>
      <c r="AD818" s="19" t="e">
        <f>HYPERLINK(_xlfn.XLOOKUP(C818,M_YT_LIVE_TIMESTAMP!AA:AA,M_YT_LIVE_TIMESTAMP!Z:Z,"★",0,-1))</f>
        <v>#VALUE!</v>
      </c>
    </row>
    <row r="819" spans="3:30" x14ac:dyDescent="0.4">
      <c r="C819" s="12" t="str">
        <f t="shared" si="44"/>
        <v/>
      </c>
      <c r="AA819" s="14">
        <f t="shared" si="45"/>
        <v>0</v>
      </c>
      <c r="AB819" s="14" t="str">
        <f>_xlfn.XLOOKUP(AA819,M_ARTIST!A:A,M_ARTIST!B:B,"★★★",0,1)</f>
        <v>★★★</v>
      </c>
      <c r="AC819" s="14">
        <f t="shared" si="46"/>
        <v>0</v>
      </c>
      <c r="AD819" s="19" t="e">
        <f>HYPERLINK(_xlfn.XLOOKUP(C819,M_YT_LIVE_TIMESTAMP!AA:AA,M_YT_LIVE_TIMESTAMP!Z:Z,"★",0,-1))</f>
        <v>#VALUE!</v>
      </c>
    </row>
    <row r="820" spans="3:30" x14ac:dyDescent="0.4">
      <c r="C820" s="12" t="str">
        <f t="shared" si="44"/>
        <v/>
      </c>
      <c r="AA820" s="14">
        <f t="shared" si="45"/>
        <v>0</v>
      </c>
      <c r="AB820" s="14" t="str">
        <f>_xlfn.XLOOKUP(AA820,M_ARTIST!A:A,M_ARTIST!B:B,"★★★",0,1)</f>
        <v>★★★</v>
      </c>
      <c r="AC820" s="14">
        <f t="shared" si="46"/>
        <v>0</v>
      </c>
      <c r="AD820" s="19" t="e">
        <f>HYPERLINK(_xlfn.XLOOKUP(C820,M_YT_LIVE_TIMESTAMP!AA:AA,M_YT_LIVE_TIMESTAMP!Z:Z,"★",0,-1))</f>
        <v>#VALUE!</v>
      </c>
    </row>
    <row r="821" spans="3:30" x14ac:dyDescent="0.4">
      <c r="C821" s="12" t="str">
        <f t="shared" si="44"/>
        <v/>
      </c>
      <c r="AA821" s="14">
        <f t="shared" si="45"/>
        <v>0</v>
      </c>
      <c r="AB821" s="14" t="str">
        <f>_xlfn.XLOOKUP(AA821,M_ARTIST!A:A,M_ARTIST!B:B,"★★★",0,1)</f>
        <v>★★★</v>
      </c>
      <c r="AC821" s="14">
        <f t="shared" si="46"/>
        <v>0</v>
      </c>
      <c r="AD821" s="19" t="e">
        <f>HYPERLINK(_xlfn.XLOOKUP(C821,M_YT_LIVE_TIMESTAMP!AA:AA,M_YT_LIVE_TIMESTAMP!Z:Z,"★",0,-1))</f>
        <v>#VALUE!</v>
      </c>
    </row>
    <row r="822" spans="3:30" x14ac:dyDescent="0.4">
      <c r="C822" s="12" t="str">
        <f t="shared" si="44"/>
        <v/>
      </c>
      <c r="AA822" s="14">
        <f t="shared" si="45"/>
        <v>0</v>
      </c>
      <c r="AB822" s="14" t="str">
        <f>_xlfn.XLOOKUP(AA822,M_ARTIST!A:A,M_ARTIST!B:B,"★★★",0,1)</f>
        <v>★★★</v>
      </c>
      <c r="AC822" s="14">
        <f t="shared" si="46"/>
        <v>0</v>
      </c>
      <c r="AD822" s="19" t="e">
        <f>HYPERLINK(_xlfn.XLOOKUP(C822,M_YT_LIVE_TIMESTAMP!AA:AA,M_YT_LIVE_TIMESTAMP!Z:Z,"★",0,-1))</f>
        <v>#VALUE!</v>
      </c>
    </row>
    <row r="823" spans="3:30" x14ac:dyDescent="0.4">
      <c r="C823" s="12" t="str">
        <f t="shared" si="44"/>
        <v/>
      </c>
      <c r="AA823" s="14">
        <f t="shared" si="45"/>
        <v>0</v>
      </c>
      <c r="AB823" s="14" t="str">
        <f>_xlfn.XLOOKUP(AA823,M_ARTIST!A:A,M_ARTIST!B:B,"★★★",0,1)</f>
        <v>★★★</v>
      </c>
      <c r="AC823" s="14">
        <f t="shared" si="46"/>
        <v>0</v>
      </c>
      <c r="AD823" s="19" t="e">
        <f>HYPERLINK(_xlfn.XLOOKUP(C823,M_YT_LIVE_TIMESTAMP!AA:AA,M_YT_LIVE_TIMESTAMP!Z:Z,"★",0,-1))</f>
        <v>#VALUE!</v>
      </c>
    </row>
    <row r="824" spans="3:30" x14ac:dyDescent="0.4">
      <c r="C824" s="12" t="str">
        <f t="shared" si="44"/>
        <v/>
      </c>
      <c r="AA824" s="14">
        <f t="shared" si="45"/>
        <v>0</v>
      </c>
      <c r="AB824" s="14" t="str">
        <f>_xlfn.XLOOKUP(AA824,M_ARTIST!A:A,M_ARTIST!B:B,"★★★",0,1)</f>
        <v>★★★</v>
      </c>
      <c r="AC824" s="14">
        <f t="shared" si="46"/>
        <v>0</v>
      </c>
      <c r="AD824" s="19" t="e">
        <f>HYPERLINK(_xlfn.XLOOKUP(C824,M_YT_LIVE_TIMESTAMP!AA:AA,M_YT_LIVE_TIMESTAMP!Z:Z,"★",0,-1))</f>
        <v>#VALUE!</v>
      </c>
    </row>
    <row r="825" spans="3:30" x14ac:dyDescent="0.4">
      <c r="C825" s="12" t="str">
        <f t="shared" si="44"/>
        <v/>
      </c>
      <c r="AA825" s="14">
        <f t="shared" si="45"/>
        <v>0</v>
      </c>
      <c r="AB825" s="14" t="str">
        <f>_xlfn.XLOOKUP(AA825,M_ARTIST!A:A,M_ARTIST!B:B,"★★★",0,1)</f>
        <v>★★★</v>
      </c>
      <c r="AC825" s="14">
        <f t="shared" si="46"/>
        <v>0</v>
      </c>
      <c r="AD825" s="19" t="e">
        <f>HYPERLINK(_xlfn.XLOOKUP(C825,M_YT_LIVE_TIMESTAMP!AA:AA,M_YT_LIVE_TIMESTAMP!Z:Z,"★",0,-1))</f>
        <v>#VALUE!</v>
      </c>
    </row>
    <row r="826" spans="3:30" x14ac:dyDescent="0.4">
      <c r="C826" s="12" t="str">
        <f t="shared" si="44"/>
        <v/>
      </c>
      <c r="AA826" s="14">
        <f t="shared" si="45"/>
        <v>0</v>
      </c>
      <c r="AB826" s="14" t="str">
        <f>_xlfn.XLOOKUP(AA826,M_ARTIST!A:A,M_ARTIST!B:B,"★★★",0,1)</f>
        <v>★★★</v>
      </c>
      <c r="AC826" s="14">
        <f t="shared" si="46"/>
        <v>0</v>
      </c>
      <c r="AD826" s="19" t="e">
        <f>HYPERLINK(_xlfn.XLOOKUP(C826,M_YT_LIVE_TIMESTAMP!AA:AA,M_YT_LIVE_TIMESTAMP!Z:Z,"★",0,-1))</f>
        <v>#VALUE!</v>
      </c>
    </row>
    <row r="827" spans="3:30" x14ac:dyDescent="0.4">
      <c r="C827" s="12" t="str">
        <f t="shared" si="44"/>
        <v/>
      </c>
      <c r="AA827" s="14">
        <f t="shared" si="45"/>
        <v>0</v>
      </c>
      <c r="AB827" s="14" t="str">
        <f>_xlfn.XLOOKUP(AA827,M_ARTIST!A:A,M_ARTIST!B:B,"★★★",0,1)</f>
        <v>★★★</v>
      </c>
      <c r="AC827" s="14">
        <f t="shared" si="46"/>
        <v>0</v>
      </c>
      <c r="AD827" s="19" t="e">
        <f>HYPERLINK(_xlfn.XLOOKUP(C827,M_YT_LIVE_TIMESTAMP!AA:AA,M_YT_LIVE_TIMESTAMP!Z:Z,"★",0,-1))</f>
        <v>#VALUE!</v>
      </c>
    </row>
    <row r="828" spans="3:30" x14ac:dyDescent="0.4">
      <c r="C828" s="12" t="str">
        <f t="shared" si="44"/>
        <v/>
      </c>
      <c r="AA828" s="14">
        <f t="shared" si="45"/>
        <v>0</v>
      </c>
      <c r="AB828" s="14" t="str">
        <f>_xlfn.XLOOKUP(AA828,M_ARTIST!A:A,M_ARTIST!B:B,"★★★",0,1)</f>
        <v>★★★</v>
      </c>
      <c r="AC828" s="14">
        <f t="shared" si="46"/>
        <v>0</v>
      </c>
      <c r="AD828" s="19" t="e">
        <f>HYPERLINK(_xlfn.XLOOKUP(C828,M_YT_LIVE_TIMESTAMP!AA:AA,M_YT_LIVE_TIMESTAMP!Z:Z,"★",0,-1))</f>
        <v>#VALUE!</v>
      </c>
    </row>
    <row r="829" spans="3:30" x14ac:dyDescent="0.4">
      <c r="C829" s="12" t="str">
        <f t="shared" si="44"/>
        <v/>
      </c>
      <c r="AA829" s="14">
        <f t="shared" si="45"/>
        <v>0</v>
      </c>
      <c r="AB829" s="14" t="str">
        <f>_xlfn.XLOOKUP(AA829,M_ARTIST!A:A,M_ARTIST!B:B,"★★★",0,1)</f>
        <v>★★★</v>
      </c>
      <c r="AC829" s="14">
        <f t="shared" si="46"/>
        <v>0</v>
      </c>
      <c r="AD829" s="19" t="e">
        <f>HYPERLINK(_xlfn.XLOOKUP(C829,M_YT_LIVE_TIMESTAMP!AA:AA,M_YT_LIVE_TIMESTAMP!Z:Z,"★",0,-1))</f>
        <v>#VALUE!</v>
      </c>
    </row>
    <row r="830" spans="3:30" x14ac:dyDescent="0.4">
      <c r="C830" s="12" t="str">
        <f t="shared" si="44"/>
        <v/>
      </c>
      <c r="AA830" s="14">
        <f t="shared" si="45"/>
        <v>0</v>
      </c>
      <c r="AB830" s="14" t="str">
        <f>_xlfn.XLOOKUP(AA830,M_ARTIST!A:A,M_ARTIST!B:B,"★★★",0,1)</f>
        <v>★★★</v>
      </c>
      <c r="AC830" s="14">
        <f t="shared" si="46"/>
        <v>0</v>
      </c>
      <c r="AD830" s="19" t="e">
        <f>HYPERLINK(_xlfn.XLOOKUP(C830,M_YT_LIVE_TIMESTAMP!AA:AA,M_YT_LIVE_TIMESTAMP!Z:Z,"★",0,-1))</f>
        <v>#VALUE!</v>
      </c>
    </row>
    <row r="831" spans="3:30" x14ac:dyDescent="0.4">
      <c r="C831" s="12" t="str">
        <f t="shared" si="44"/>
        <v/>
      </c>
      <c r="AA831" s="14">
        <f t="shared" si="45"/>
        <v>0</v>
      </c>
      <c r="AB831" s="14" t="str">
        <f>_xlfn.XLOOKUP(AA831,M_ARTIST!A:A,M_ARTIST!B:B,"★★★",0,1)</f>
        <v>★★★</v>
      </c>
      <c r="AC831" s="14">
        <f t="shared" si="46"/>
        <v>0</v>
      </c>
      <c r="AD831" s="19" t="e">
        <f>HYPERLINK(_xlfn.XLOOKUP(C831,M_YT_LIVE_TIMESTAMP!AA:AA,M_YT_LIVE_TIMESTAMP!Z:Z,"★",0,-1))</f>
        <v>#VALUE!</v>
      </c>
    </row>
    <row r="832" spans="3:30" x14ac:dyDescent="0.4">
      <c r="C832" s="12" t="str">
        <f t="shared" si="44"/>
        <v/>
      </c>
      <c r="AA832" s="14">
        <f t="shared" si="45"/>
        <v>0</v>
      </c>
      <c r="AB832" s="14" t="str">
        <f>_xlfn.XLOOKUP(AA832,M_ARTIST!A:A,M_ARTIST!B:B,"★★★",0,1)</f>
        <v>★★★</v>
      </c>
      <c r="AC832" s="14">
        <f t="shared" si="46"/>
        <v>0</v>
      </c>
      <c r="AD832" s="19" t="e">
        <f>HYPERLINK(_xlfn.XLOOKUP(C832,M_YT_LIVE_TIMESTAMP!AA:AA,M_YT_LIVE_TIMESTAMP!Z:Z,"★",0,-1))</f>
        <v>#VALUE!</v>
      </c>
    </row>
    <row r="833" spans="3:30" x14ac:dyDescent="0.4">
      <c r="C833" s="12" t="str">
        <f t="shared" si="44"/>
        <v/>
      </c>
      <c r="AA833" s="14">
        <f t="shared" si="45"/>
        <v>0</v>
      </c>
      <c r="AB833" s="14" t="str">
        <f>_xlfn.XLOOKUP(AA833,M_ARTIST!A:A,M_ARTIST!B:B,"★★★",0,1)</f>
        <v>★★★</v>
      </c>
      <c r="AC833" s="14">
        <f t="shared" si="46"/>
        <v>0</v>
      </c>
      <c r="AD833" s="19" t="e">
        <f>HYPERLINK(_xlfn.XLOOKUP(C833,M_YT_LIVE_TIMESTAMP!AA:AA,M_YT_LIVE_TIMESTAMP!Z:Z,"★",0,-1))</f>
        <v>#VALUE!</v>
      </c>
    </row>
    <row r="834" spans="3:30" x14ac:dyDescent="0.4">
      <c r="C834" s="12" t="str">
        <f t="shared" si="44"/>
        <v/>
      </c>
      <c r="AA834" s="14">
        <f t="shared" si="45"/>
        <v>0</v>
      </c>
      <c r="AB834" s="14" t="str">
        <f>_xlfn.XLOOKUP(AA834,M_ARTIST!A:A,M_ARTIST!B:B,"★★★",0,1)</f>
        <v>★★★</v>
      </c>
      <c r="AC834" s="14">
        <f t="shared" si="46"/>
        <v>0</v>
      </c>
      <c r="AD834" s="19" t="e">
        <f>HYPERLINK(_xlfn.XLOOKUP(C834,M_YT_LIVE_TIMESTAMP!AA:AA,M_YT_LIVE_TIMESTAMP!Z:Z,"★",0,-1))</f>
        <v>#VALUE!</v>
      </c>
    </row>
    <row r="835" spans="3:30" x14ac:dyDescent="0.4">
      <c r="C835" s="12" t="str">
        <f t="shared" si="44"/>
        <v/>
      </c>
      <c r="AA835" s="14">
        <f t="shared" si="45"/>
        <v>0</v>
      </c>
      <c r="AB835" s="14" t="str">
        <f>_xlfn.XLOOKUP(AA835,M_ARTIST!A:A,M_ARTIST!B:B,"★★★",0,1)</f>
        <v>★★★</v>
      </c>
      <c r="AC835" s="14">
        <f t="shared" si="46"/>
        <v>0</v>
      </c>
      <c r="AD835" s="19" t="e">
        <f>HYPERLINK(_xlfn.XLOOKUP(C835,M_YT_LIVE_TIMESTAMP!AA:AA,M_YT_LIVE_TIMESTAMP!Z:Z,"★",0,-1))</f>
        <v>#VALUE!</v>
      </c>
    </row>
    <row r="836" spans="3:30" x14ac:dyDescent="0.4">
      <c r="C836" s="12" t="str">
        <f t="shared" si="44"/>
        <v/>
      </c>
      <c r="AA836" s="14">
        <f t="shared" si="45"/>
        <v>0</v>
      </c>
      <c r="AB836" s="14" t="str">
        <f>_xlfn.XLOOKUP(AA836,M_ARTIST!A:A,M_ARTIST!B:B,"★★★",0,1)</f>
        <v>★★★</v>
      </c>
      <c r="AC836" s="14">
        <f t="shared" si="46"/>
        <v>0</v>
      </c>
      <c r="AD836" s="19" t="e">
        <f>HYPERLINK(_xlfn.XLOOKUP(C836,M_YT_LIVE_TIMESTAMP!AA:AA,M_YT_LIVE_TIMESTAMP!Z:Z,"★",0,-1))</f>
        <v>#VALUE!</v>
      </c>
    </row>
    <row r="837" spans="3:30" x14ac:dyDescent="0.4">
      <c r="C837" s="12" t="str">
        <f t="shared" si="44"/>
        <v/>
      </c>
      <c r="AA837" s="14">
        <f t="shared" si="45"/>
        <v>0</v>
      </c>
      <c r="AB837" s="14" t="str">
        <f>_xlfn.XLOOKUP(AA837,M_ARTIST!A:A,M_ARTIST!B:B,"★★★",0,1)</f>
        <v>★★★</v>
      </c>
      <c r="AC837" s="14">
        <f t="shared" si="46"/>
        <v>0</v>
      </c>
      <c r="AD837" s="19" t="e">
        <f>HYPERLINK(_xlfn.XLOOKUP(C837,M_YT_LIVE_TIMESTAMP!AA:AA,M_YT_LIVE_TIMESTAMP!Z:Z,"★",0,-1))</f>
        <v>#VALUE!</v>
      </c>
    </row>
    <row r="838" spans="3:30" x14ac:dyDescent="0.4">
      <c r="C838" s="12" t="str">
        <f t="shared" si="44"/>
        <v/>
      </c>
      <c r="AA838" s="14">
        <f t="shared" si="45"/>
        <v>0</v>
      </c>
      <c r="AB838" s="14" t="str">
        <f>_xlfn.XLOOKUP(AA838,M_ARTIST!A:A,M_ARTIST!B:B,"★★★",0,1)</f>
        <v>★★★</v>
      </c>
      <c r="AC838" s="14">
        <f t="shared" si="46"/>
        <v>0</v>
      </c>
      <c r="AD838" s="19" t="e">
        <f>HYPERLINK(_xlfn.XLOOKUP(C838,M_YT_LIVE_TIMESTAMP!AA:AA,M_YT_LIVE_TIMESTAMP!Z:Z,"★",0,-1))</f>
        <v>#VALUE!</v>
      </c>
    </row>
    <row r="839" spans="3:30" x14ac:dyDescent="0.4">
      <c r="C839" s="12" t="str">
        <f t="shared" si="44"/>
        <v/>
      </c>
      <c r="AA839" s="14">
        <f t="shared" si="45"/>
        <v>0</v>
      </c>
      <c r="AB839" s="14" t="str">
        <f>_xlfn.XLOOKUP(AA839,M_ARTIST!A:A,M_ARTIST!B:B,"★★★",0,1)</f>
        <v>★★★</v>
      </c>
      <c r="AC839" s="14">
        <f t="shared" si="46"/>
        <v>0</v>
      </c>
      <c r="AD839" s="19" t="e">
        <f>HYPERLINK(_xlfn.XLOOKUP(C839,M_YT_LIVE_TIMESTAMP!AA:AA,M_YT_LIVE_TIMESTAMP!Z:Z,"★",0,-1))</f>
        <v>#VALUE!</v>
      </c>
    </row>
    <row r="840" spans="3:30" x14ac:dyDescent="0.4">
      <c r="C840" s="12" t="str">
        <f t="shared" si="44"/>
        <v/>
      </c>
      <c r="AA840" s="14">
        <f t="shared" si="45"/>
        <v>0</v>
      </c>
      <c r="AB840" s="14" t="str">
        <f>_xlfn.XLOOKUP(AA840,M_ARTIST!A:A,M_ARTIST!B:B,"★★★",0,1)</f>
        <v>★★★</v>
      </c>
      <c r="AC840" s="14">
        <f t="shared" si="46"/>
        <v>0</v>
      </c>
      <c r="AD840" s="19" t="e">
        <f>HYPERLINK(_xlfn.XLOOKUP(C840,M_YT_LIVE_TIMESTAMP!AA:AA,M_YT_LIVE_TIMESTAMP!Z:Z,"★",0,-1))</f>
        <v>#VALUE!</v>
      </c>
    </row>
    <row r="841" spans="3:30" x14ac:dyDescent="0.4">
      <c r="C841" s="12" t="str">
        <f t="shared" si="44"/>
        <v/>
      </c>
      <c r="AA841" s="14">
        <f t="shared" si="45"/>
        <v>0</v>
      </c>
      <c r="AB841" s="14" t="str">
        <f>_xlfn.XLOOKUP(AA841,M_ARTIST!A:A,M_ARTIST!B:B,"★★★",0,1)</f>
        <v>★★★</v>
      </c>
      <c r="AC841" s="14">
        <f t="shared" si="46"/>
        <v>0</v>
      </c>
      <c r="AD841" s="19" t="e">
        <f>HYPERLINK(_xlfn.XLOOKUP(C841,M_YT_LIVE_TIMESTAMP!AA:AA,M_YT_LIVE_TIMESTAMP!Z:Z,"★",0,-1))</f>
        <v>#VALUE!</v>
      </c>
    </row>
    <row r="842" spans="3:30" x14ac:dyDescent="0.4">
      <c r="C842" s="12" t="str">
        <f t="shared" si="44"/>
        <v/>
      </c>
      <c r="AA842" s="14">
        <f t="shared" si="45"/>
        <v>0</v>
      </c>
      <c r="AB842" s="14" t="str">
        <f>_xlfn.XLOOKUP(AA842,M_ARTIST!A:A,M_ARTIST!B:B,"★★★",0,1)</f>
        <v>★★★</v>
      </c>
      <c r="AC842" s="14">
        <f t="shared" si="46"/>
        <v>0</v>
      </c>
      <c r="AD842" s="19" t="e">
        <f>HYPERLINK(_xlfn.XLOOKUP(C842,M_YT_LIVE_TIMESTAMP!AA:AA,M_YT_LIVE_TIMESTAMP!Z:Z,"★",0,-1))</f>
        <v>#VALUE!</v>
      </c>
    </row>
    <row r="843" spans="3:30" x14ac:dyDescent="0.4">
      <c r="C843" s="12" t="str">
        <f t="shared" si="44"/>
        <v/>
      </c>
      <c r="AA843" s="14">
        <f t="shared" si="45"/>
        <v>0</v>
      </c>
      <c r="AB843" s="14" t="str">
        <f>_xlfn.XLOOKUP(AA843,M_ARTIST!A:A,M_ARTIST!B:B,"★★★",0,1)</f>
        <v>★★★</v>
      </c>
      <c r="AC843" s="14">
        <f t="shared" si="46"/>
        <v>0</v>
      </c>
      <c r="AD843" s="19" t="e">
        <f>HYPERLINK(_xlfn.XLOOKUP(C843,M_YT_LIVE_TIMESTAMP!AA:AA,M_YT_LIVE_TIMESTAMP!Z:Z,"★",0,-1))</f>
        <v>#VALUE!</v>
      </c>
    </row>
    <row r="844" spans="3:30" x14ac:dyDescent="0.4">
      <c r="C844" s="12" t="str">
        <f t="shared" si="44"/>
        <v/>
      </c>
      <c r="AA844" s="14">
        <f t="shared" si="45"/>
        <v>0</v>
      </c>
      <c r="AB844" s="14" t="str">
        <f>_xlfn.XLOOKUP(AA844,M_ARTIST!A:A,M_ARTIST!B:B,"★★★",0,1)</f>
        <v>★★★</v>
      </c>
      <c r="AC844" s="14">
        <f t="shared" si="46"/>
        <v>0</v>
      </c>
      <c r="AD844" s="19" t="e">
        <f>HYPERLINK(_xlfn.XLOOKUP(C844,M_YT_LIVE_TIMESTAMP!AA:AA,M_YT_LIVE_TIMESTAMP!Z:Z,"★",0,-1))</f>
        <v>#VALUE!</v>
      </c>
    </row>
    <row r="845" spans="3:30" x14ac:dyDescent="0.4">
      <c r="C845" s="12" t="str">
        <f t="shared" si="44"/>
        <v/>
      </c>
      <c r="AA845" s="14">
        <f t="shared" si="45"/>
        <v>0</v>
      </c>
      <c r="AB845" s="14" t="str">
        <f>_xlfn.XLOOKUP(AA845,M_ARTIST!A:A,M_ARTIST!B:B,"★★★",0,1)</f>
        <v>★★★</v>
      </c>
      <c r="AC845" s="14">
        <f t="shared" si="46"/>
        <v>0</v>
      </c>
      <c r="AD845" s="19" t="e">
        <f>HYPERLINK(_xlfn.XLOOKUP(C845,M_YT_LIVE_TIMESTAMP!AA:AA,M_YT_LIVE_TIMESTAMP!Z:Z,"★",0,-1))</f>
        <v>#VALUE!</v>
      </c>
    </row>
    <row r="846" spans="3:30" x14ac:dyDescent="0.4">
      <c r="C846" s="12" t="str">
        <f t="shared" si="44"/>
        <v/>
      </c>
      <c r="AA846" s="14">
        <f t="shared" si="45"/>
        <v>0</v>
      </c>
      <c r="AB846" s="14" t="str">
        <f>_xlfn.XLOOKUP(AA846,M_ARTIST!A:A,M_ARTIST!B:B,"★★★",0,1)</f>
        <v>★★★</v>
      </c>
      <c r="AC846" s="14">
        <f t="shared" si="46"/>
        <v>0</v>
      </c>
      <c r="AD846" s="19" t="e">
        <f>HYPERLINK(_xlfn.XLOOKUP(C846,M_YT_LIVE_TIMESTAMP!AA:AA,M_YT_LIVE_TIMESTAMP!Z:Z,"★",0,-1))</f>
        <v>#VALUE!</v>
      </c>
    </row>
    <row r="847" spans="3:30" x14ac:dyDescent="0.4">
      <c r="C847" s="12" t="str">
        <f t="shared" si="44"/>
        <v/>
      </c>
      <c r="AA847" s="14">
        <f t="shared" si="45"/>
        <v>0</v>
      </c>
      <c r="AB847" s="14" t="str">
        <f>_xlfn.XLOOKUP(AA847,M_ARTIST!A:A,M_ARTIST!B:B,"★★★",0,1)</f>
        <v>★★★</v>
      </c>
      <c r="AC847" s="14">
        <f t="shared" si="46"/>
        <v>0</v>
      </c>
      <c r="AD847" s="19" t="e">
        <f>HYPERLINK(_xlfn.XLOOKUP(C847,M_YT_LIVE_TIMESTAMP!AA:AA,M_YT_LIVE_TIMESTAMP!Z:Z,"★",0,-1))</f>
        <v>#VALUE!</v>
      </c>
    </row>
    <row r="848" spans="3:30" x14ac:dyDescent="0.4">
      <c r="C848" s="12" t="str">
        <f t="shared" si="44"/>
        <v/>
      </c>
      <c r="AA848" s="14">
        <f t="shared" si="45"/>
        <v>0</v>
      </c>
      <c r="AB848" s="14" t="str">
        <f>_xlfn.XLOOKUP(AA848,M_ARTIST!A:A,M_ARTIST!B:B,"★★★",0,1)</f>
        <v>★★★</v>
      </c>
      <c r="AC848" s="14">
        <f t="shared" si="46"/>
        <v>0</v>
      </c>
      <c r="AD848" s="19" t="e">
        <f>HYPERLINK(_xlfn.XLOOKUP(C848,M_YT_LIVE_TIMESTAMP!AA:AA,M_YT_LIVE_TIMESTAMP!Z:Z,"★",0,-1))</f>
        <v>#VALUE!</v>
      </c>
    </row>
    <row r="849" spans="3:30" x14ac:dyDescent="0.4">
      <c r="C849" s="12" t="str">
        <f t="shared" si="44"/>
        <v/>
      </c>
      <c r="AA849" s="14">
        <f t="shared" si="45"/>
        <v>0</v>
      </c>
      <c r="AB849" s="14" t="str">
        <f>_xlfn.XLOOKUP(AA849,M_ARTIST!A:A,M_ARTIST!B:B,"★★★",0,1)</f>
        <v>★★★</v>
      </c>
      <c r="AC849" s="14">
        <f t="shared" si="46"/>
        <v>0</v>
      </c>
      <c r="AD849" s="19" t="e">
        <f>HYPERLINK(_xlfn.XLOOKUP(C849,M_YT_LIVE_TIMESTAMP!AA:AA,M_YT_LIVE_TIMESTAMP!Z:Z,"★",0,-1))</f>
        <v>#VALUE!</v>
      </c>
    </row>
    <row r="850" spans="3:30" x14ac:dyDescent="0.4">
      <c r="C850" s="12" t="str">
        <f t="shared" si="44"/>
        <v/>
      </c>
      <c r="AA850" s="14">
        <f t="shared" si="45"/>
        <v>0</v>
      </c>
      <c r="AB850" s="14" t="str">
        <f>_xlfn.XLOOKUP(AA850,M_ARTIST!A:A,M_ARTIST!B:B,"★★★",0,1)</f>
        <v>★★★</v>
      </c>
      <c r="AC850" s="14">
        <f t="shared" si="46"/>
        <v>0</v>
      </c>
      <c r="AD850" s="19" t="e">
        <f>HYPERLINK(_xlfn.XLOOKUP(C850,M_YT_LIVE_TIMESTAMP!AA:AA,M_YT_LIVE_TIMESTAMP!Z:Z,"★",0,-1))</f>
        <v>#VALUE!</v>
      </c>
    </row>
    <row r="851" spans="3:30" x14ac:dyDescent="0.4">
      <c r="C851" s="12" t="str">
        <f t="shared" ref="C851:C914" si="47">TRIM(B851)&amp;TRIM(A851)</f>
        <v/>
      </c>
      <c r="AA851" s="14">
        <f t="shared" ref="AA851:AA914" si="48">B851</f>
        <v>0</v>
      </c>
      <c r="AB851" s="14" t="str">
        <f>_xlfn.XLOOKUP(AA851,M_ARTIST!A:A,M_ARTIST!B:B,"★★★",0,1)</f>
        <v>★★★</v>
      </c>
      <c r="AC851" s="14">
        <f t="shared" ref="AC851:AC914" si="49">A851</f>
        <v>0</v>
      </c>
      <c r="AD851" s="19" t="e">
        <f>HYPERLINK(_xlfn.XLOOKUP(C851,M_YT_LIVE_TIMESTAMP!AA:AA,M_YT_LIVE_TIMESTAMP!Z:Z,"★",0,-1))</f>
        <v>#VALUE!</v>
      </c>
    </row>
    <row r="852" spans="3:30" x14ac:dyDescent="0.4">
      <c r="C852" s="12" t="str">
        <f t="shared" si="47"/>
        <v/>
      </c>
      <c r="AA852" s="14">
        <f t="shared" si="48"/>
        <v>0</v>
      </c>
      <c r="AB852" s="14" t="str">
        <f>_xlfn.XLOOKUP(AA852,M_ARTIST!A:A,M_ARTIST!B:B,"★★★",0,1)</f>
        <v>★★★</v>
      </c>
      <c r="AC852" s="14">
        <f t="shared" si="49"/>
        <v>0</v>
      </c>
      <c r="AD852" s="19" t="e">
        <f>HYPERLINK(_xlfn.XLOOKUP(C852,M_YT_LIVE_TIMESTAMP!AA:AA,M_YT_LIVE_TIMESTAMP!Z:Z,"★",0,-1))</f>
        <v>#VALUE!</v>
      </c>
    </row>
    <row r="853" spans="3:30" x14ac:dyDescent="0.4">
      <c r="C853" s="12" t="str">
        <f t="shared" si="47"/>
        <v/>
      </c>
      <c r="AA853" s="14">
        <f t="shared" si="48"/>
        <v>0</v>
      </c>
      <c r="AB853" s="14" t="str">
        <f>_xlfn.XLOOKUP(AA853,M_ARTIST!A:A,M_ARTIST!B:B,"★★★",0,1)</f>
        <v>★★★</v>
      </c>
      <c r="AC853" s="14">
        <f t="shared" si="49"/>
        <v>0</v>
      </c>
      <c r="AD853" s="19" t="e">
        <f>HYPERLINK(_xlfn.XLOOKUP(C853,M_YT_LIVE_TIMESTAMP!AA:AA,M_YT_LIVE_TIMESTAMP!Z:Z,"★",0,-1))</f>
        <v>#VALUE!</v>
      </c>
    </row>
    <row r="854" spans="3:30" x14ac:dyDescent="0.4">
      <c r="C854" s="12" t="str">
        <f t="shared" si="47"/>
        <v/>
      </c>
      <c r="AA854" s="14">
        <f t="shared" si="48"/>
        <v>0</v>
      </c>
      <c r="AB854" s="14" t="str">
        <f>_xlfn.XLOOKUP(AA854,M_ARTIST!A:A,M_ARTIST!B:B,"★★★",0,1)</f>
        <v>★★★</v>
      </c>
      <c r="AC854" s="14">
        <f t="shared" si="49"/>
        <v>0</v>
      </c>
      <c r="AD854" s="19" t="e">
        <f>HYPERLINK(_xlfn.XLOOKUP(C854,M_YT_LIVE_TIMESTAMP!AA:AA,M_YT_LIVE_TIMESTAMP!Z:Z,"★",0,-1))</f>
        <v>#VALUE!</v>
      </c>
    </row>
    <row r="855" spans="3:30" x14ac:dyDescent="0.4">
      <c r="C855" s="12" t="str">
        <f t="shared" si="47"/>
        <v/>
      </c>
      <c r="AA855" s="14">
        <f t="shared" si="48"/>
        <v>0</v>
      </c>
      <c r="AB855" s="14" t="str">
        <f>_xlfn.XLOOKUP(AA855,M_ARTIST!A:A,M_ARTIST!B:B,"★★★",0,1)</f>
        <v>★★★</v>
      </c>
      <c r="AC855" s="14">
        <f t="shared" si="49"/>
        <v>0</v>
      </c>
      <c r="AD855" s="19" t="e">
        <f>HYPERLINK(_xlfn.XLOOKUP(C855,M_YT_LIVE_TIMESTAMP!AA:AA,M_YT_LIVE_TIMESTAMP!Z:Z,"★",0,-1))</f>
        <v>#VALUE!</v>
      </c>
    </row>
    <row r="856" spans="3:30" x14ac:dyDescent="0.4">
      <c r="C856" s="12" t="str">
        <f t="shared" si="47"/>
        <v/>
      </c>
      <c r="AA856" s="14">
        <f t="shared" si="48"/>
        <v>0</v>
      </c>
      <c r="AB856" s="14" t="str">
        <f>_xlfn.XLOOKUP(AA856,M_ARTIST!A:A,M_ARTIST!B:B,"★★★",0,1)</f>
        <v>★★★</v>
      </c>
      <c r="AC856" s="14">
        <f t="shared" si="49"/>
        <v>0</v>
      </c>
      <c r="AD856" s="19" t="e">
        <f>HYPERLINK(_xlfn.XLOOKUP(C856,M_YT_LIVE_TIMESTAMP!AA:AA,M_YT_LIVE_TIMESTAMP!Z:Z,"★",0,-1))</f>
        <v>#VALUE!</v>
      </c>
    </row>
    <row r="857" spans="3:30" x14ac:dyDescent="0.4">
      <c r="C857" s="12" t="str">
        <f t="shared" si="47"/>
        <v/>
      </c>
      <c r="AA857" s="14">
        <f t="shared" si="48"/>
        <v>0</v>
      </c>
      <c r="AB857" s="14" t="str">
        <f>_xlfn.XLOOKUP(AA857,M_ARTIST!A:A,M_ARTIST!B:B,"★★★",0,1)</f>
        <v>★★★</v>
      </c>
      <c r="AC857" s="14">
        <f t="shared" si="49"/>
        <v>0</v>
      </c>
      <c r="AD857" s="19" t="e">
        <f>HYPERLINK(_xlfn.XLOOKUP(C857,M_YT_LIVE_TIMESTAMP!AA:AA,M_YT_LIVE_TIMESTAMP!Z:Z,"★",0,-1))</f>
        <v>#VALUE!</v>
      </c>
    </row>
    <row r="858" spans="3:30" x14ac:dyDescent="0.4">
      <c r="C858" s="12" t="str">
        <f t="shared" si="47"/>
        <v/>
      </c>
      <c r="AA858" s="14">
        <f t="shared" si="48"/>
        <v>0</v>
      </c>
      <c r="AB858" s="14" t="str">
        <f>_xlfn.XLOOKUP(AA858,M_ARTIST!A:A,M_ARTIST!B:B,"★★★",0,1)</f>
        <v>★★★</v>
      </c>
      <c r="AC858" s="14">
        <f t="shared" si="49"/>
        <v>0</v>
      </c>
      <c r="AD858" s="19" t="e">
        <f>HYPERLINK(_xlfn.XLOOKUP(C858,M_YT_LIVE_TIMESTAMP!AA:AA,M_YT_LIVE_TIMESTAMP!Z:Z,"★",0,-1))</f>
        <v>#VALUE!</v>
      </c>
    </row>
    <row r="859" spans="3:30" x14ac:dyDescent="0.4">
      <c r="C859" s="12" t="str">
        <f t="shared" si="47"/>
        <v/>
      </c>
      <c r="AA859" s="14">
        <f t="shared" si="48"/>
        <v>0</v>
      </c>
      <c r="AB859" s="14" t="str">
        <f>_xlfn.XLOOKUP(AA859,M_ARTIST!A:A,M_ARTIST!B:B,"★★★",0,1)</f>
        <v>★★★</v>
      </c>
      <c r="AC859" s="14">
        <f t="shared" si="49"/>
        <v>0</v>
      </c>
      <c r="AD859" s="19" t="e">
        <f>HYPERLINK(_xlfn.XLOOKUP(C859,M_YT_LIVE_TIMESTAMP!AA:AA,M_YT_LIVE_TIMESTAMP!Z:Z,"★",0,-1))</f>
        <v>#VALUE!</v>
      </c>
    </row>
    <row r="860" spans="3:30" x14ac:dyDescent="0.4">
      <c r="C860" s="12" t="str">
        <f t="shared" si="47"/>
        <v/>
      </c>
      <c r="AA860" s="14">
        <f t="shared" si="48"/>
        <v>0</v>
      </c>
      <c r="AB860" s="14" t="str">
        <f>_xlfn.XLOOKUP(AA860,M_ARTIST!A:A,M_ARTIST!B:B,"★★★",0,1)</f>
        <v>★★★</v>
      </c>
      <c r="AC860" s="14">
        <f t="shared" si="49"/>
        <v>0</v>
      </c>
      <c r="AD860" s="19" t="e">
        <f>HYPERLINK(_xlfn.XLOOKUP(C860,M_YT_LIVE_TIMESTAMP!AA:AA,M_YT_LIVE_TIMESTAMP!Z:Z,"★",0,-1))</f>
        <v>#VALUE!</v>
      </c>
    </row>
    <row r="861" spans="3:30" x14ac:dyDescent="0.4">
      <c r="C861" s="12" t="str">
        <f t="shared" si="47"/>
        <v/>
      </c>
      <c r="AA861" s="14">
        <f t="shared" si="48"/>
        <v>0</v>
      </c>
      <c r="AB861" s="14" t="str">
        <f>_xlfn.XLOOKUP(AA861,M_ARTIST!A:A,M_ARTIST!B:B,"★★★",0,1)</f>
        <v>★★★</v>
      </c>
      <c r="AC861" s="14">
        <f t="shared" si="49"/>
        <v>0</v>
      </c>
      <c r="AD861" s="19" t="e">
        <f>HYPERLINK(_xlfn.XLOOKUP(C861,M_YT_LIVE_TIMESTAMP!AA:AA,M_YT_LIVE_TIMESTAMP!Z:Z,"★",0,-1))</f>
        <v>#VALUE!</v>
      </c>
    </row>
    <row r="862" spans="3:30" x14ac:dyDescent="0.4">
      <c r="C862" s="12" t="str">
        <f t="shared" si="47"/>
        <v/>
      </c>
      <c r="AA862" s="14">
        <f t="shared" si="48"/>
        <v>0</v>
      </c>
      <c r="AB862" s="14" t="str">
        <f>_xlfn.XLOOKUP(AA862,M_ARTIST!A:A,M_ARTIST!B:B,"★★★",0,1)</f>
        <v>★★★</v>
      </c>
      <c r="AC862" s="14">
        <f t="shared" si="49"/>
        <v>0</v>
      </c>
      <c r="AD862" s="19" t="e">
        <f>HYPERLINK(_xlfn.XLOOKUP(C862,M_YT_LIVE_TIMESTAMP!AA:AA,M_YT_LIVE_TIMESTAMP!Z:Z,"★",0,-1))</f>
        <v>#VALUE!</v>
      </c>
    </row>
    <row r="863" spans="3:30" x14ac:dyDescent="0.4">
      <c r="C863" s="12" t="str">
        <f t="shared" si="47"/>
        <v/>
      </c>
      <c r="AA863" s="14">
        <f t="shared" si="48"/>
        <v>0</v>
      </c>
      <c r="AB863" s="14" t="str">
        <f>_xlfn.XLOOKUP(AA863,M_ARTIST!A:A,M_ARTIST!B:B,"★★★",0,1)</f>
        <v>★★★</v>
      </c>
      <c r="AC863" s="14">
        <f t="shared" si="49"/>
        <v>0</v>
      </c>
      <c r="AD863" s="19" t="e">
        <f>HYPERLINK(_xlfn.XLOOKUP(C863,M_YT_LIVE_TIMESTAMP!AA:AA,M_YT_LIVE_TIMESTAMP!Z:Z,"★",0,-1))</f>
        <v>#VALUE!</v>
      </c>
    </row>
    <row r="864" spans="3:30" x14ac:dyDescent="0.4">
      <c r="C864" s="12" t="str">
        <f t="shared" si="47"/>
        <v/>
      </c>
      <c r="AA864" s="14">
        <f t="shared" si="48"/>
        <v>0</v>
      </c>
      <c r="AB864" s="14" t="str">
        <f>_xlfn.XLOOKUP(AA864,M_ARTIST!A:A,M_ARTIST!B:B,"★★★",0,1)</f>
        <v>★★★</v>
      </c>
      <c r="AC864" s="14">
        <f t="shared" si="49"/>
        <v>0</v>
      </c>
      <c r="AD864" s="19" t="e">
        <f>HYPERLINK(_xlfn.XLOOKUP(C864,M_YT_LIVE_TIMESTAMP!AA:AA,M_YT_LIVE_TIMESTAMP!Z:Z,"★",0,-1))</f>
        <v>#VALUE!</v>
      </c>
    </row>
    <row r="865" spans="3:30" x14ac:dyDescent="0.4">
      <c r="C865" s="12" t="str">
        <f t="shared" si="47"/>
        <v/>
      </c>
      <c r="AA865" s="14">
        <f t="shared" si="48"/>
        <v>0</v>
      </c>
      <c r="AB865" s="14" t="str">
        <f>_xlfn.XLOOKUP(AA865,M_ARTIST!A:A,M_ARTIST!B:B,"★★★",0,1)</f>
        <v>★★★</v>
      </c>
      <c r="AC865" s="14">
        <f t="shared" si="49"/>
        <v>0</v>
      </c>
      <c r="AD865" s="19" t="e">
        <f>HYPERLINK(_xlfn.XLOOKUP(C865,M_YT_LIVE_TIMESTAMP!AA:AA,M_YT_LIVE_TIMESTAMP!Z:Z,"★",0,-1))</f>
        <v>#VALUE!</v>
      </c>
    </row>
    <row r="866" spans="3:30" x14ac:dyDescent="0.4">
      <c r="C866" s="12" t="str">
        <f t="shared" si="47"/>
        <v/>
      </c>
      <c r="AA866" s="14">
        <f t="shared" si="48"/>
        <v>0</v>
      </c>
      <c r="AB866" s="14" t="str">
        <f>_xlfn.XLOOKUP(AA866,M_ARTIST!A:A,M_ARTIST!B:B,"★★★",0,1)</f>
        <v>★★★</v>
      </c>
      <c r="AC866" s="14">
        <f t="shared" si="49"/>
        <v>0</v>
      </c>
      <c r="AD866" s="19" t="e">
        <f>HYPERLINK(_xlfn.XLOOKUP(C866,M_YT_LIVE_TIMESTAMP!AA:AA,M_YT_LIVE_TIMESTAMP!Z:Z,"★",0,-1))</f>
        <v>#VALUE!</v>
      </c>
    </row>
    <row r="867" spans="3:30" x14ac:dyDescent="0.4">
      <c r="C867" s="12" t="str">
        <f t="shared" si="47"/>
        <v/>
      </c>
      <c r="AA867" s="14">
        <f t="shared" si="48"/>
        <v>0</v>
      </c>
      <c r="AB867" s="14" t="str">
        <f>_xlfn.XLOOKUP(AA867,M_ARTIST!A:A,M_ARTIST!B:B,"★★★",0,1)</f>
        <v>★★★</v>
      </c>
      <c r="AC867" s="14">
        <f t="shared" si="49"/>
        <v>0</v>
      </c>
      <c r="AD867" s="19" t="e">
        <f>HYPERLINK(_xlfn.XLOOKUP(C867,M_YT_LIVE_TIMESTAMP!AA:AA,M_YT_LIVE_TIMESTAMP!Z:Z,"★",0,-1))</f>
        <v>#VALUE!</v>
      </c>
    </row>
    <row r="868" spans="3:30" x14ac:dyDescent="0.4">
      <c r="C868" s="12" t="str">
        <f t="shared" si="47"/>
        <v/>
      </c>
      <c r="AA868" s="14">
        <f t="shared" si="48"/>
        <v>0</v>
      </c>
      <c r="AB868" s="14" t="str">
        <f>_xlfn.XLOOKUP(AA868,M_ARTIST!A:A,M_ARTIST!B:B,"★★★",0,1)</f>
        <v>★★★</v>
      </c>
      <c r="AC868" s="14">
        <f t="shared" si="49"/>
        <v>0</v>
      </c>
      <c r="AD868" s="19" t="e">
        <f>HYPERLINK(_xlfn.XLOOKUP(C868,M_YT_LIVE_TIMESTAMP!AA:AA,M_YT_LIVE_TIMESTAMP!Z:Z,"★",0,-1))</f>
        <v>#VALUE!</v>
      </c>
    </row>
    <row r="869" spans="3:30" x14ac:dyDescent="0.4">
      <c r="C869" s="12" t="str">
        <f t="shared" si="47"/>
        <v/>
      </c>
      <c r="AA869" s="14">
        <f t="shared" si="48"/>
        <v>0</v>
      </c>
      <c r="AB869" s="14" t="str">
        <f>_xlfn.XLOOKUP(AA869,M_ARTIST!A:A,M_ARTIST!B:B,"★★★",0,1)</f>
        <v>★★★</v>
      </c>
      <c r="AC869" s="14">
        <f t="shared" si="49"/>
        <v>0</v>
      </c>
      <c r="AD869" s="19" t="e">
        <f>HYPERLINK(_xlfn.XLOOKUP(C869,M_YT_LIVE_TIMESTAMP!AA:AA,M_YT_LIVE_TIMESTAMP!Z:Z,"★",0,-1))</f>
        <v>#VALUE!</v>
      </c>
    </row>
    <row r="870" spans="3:30" x14ac:dyDescent="0.4">
      <c r="C870" s="12" t="str">
        <f t="shared" si="47"/>
        <v/>
      </c>
      <c r="AA870" s="14">
        <f t="shared" si="48"/>
        <v>0</v>
      </c>
      <c r="AB870" s="14" t="str">
        <f>_xlfn.XLOOKUP(AA870,M_ARTIST!A:A,M_ARTIST!B:B,"★★★",0,1)</f>
        <v>★★★</v>
      </c>
      <c r="AC870" s="14">
        <f t="shared" si="49"/>
        <v>0</v>
      </c>
      <c r="AD870" s="19" t="e">
        <f>HYPERLINK(_xlfn.XLOOKUP(C870,M_YT_LIVE_TIMESTAMP!AA:AA,M_YT_LIVE_TIMESTAMP!Z:Z,"★",0,-1))</f>
        <v>#VALUE!</v>
      </c>
    </row>
    <row r="871" spans="3:30" x14ac:dyDescent="0.4">
      <c r="C871" s="12" t="str">
        <f t="shared" si="47"/>
        <v/>
      </c>
      <c r="AA871" s="14">
        <f t="shared" si="48"/>
        <v>0</v>
      </c>
      <c r="AB871" s="14" t="str">
        <f>_xlfn.XLOOKUP(AA871,M_ARTIST!A:A,M_ARTIST!B:B,"★★★",0,1)</f>
        <v>★★★</v>
      </c>
      <c r="AC871" s="14">
        <f t="shared" si="49"/>
        <v>0</v>
      </c>
      <c r="AD871" s="19" t="e">
        <f>HYPERLINK(_xlfn.XLOOKUP(C871,M_YT_LIVE_TIMESTAMP!AA:AA,M_YT_LIVE_TIMESTAMP!Z:Z,"★",0,-1))</f>
        <v>#VALUE!</v>
      </c>
    </row>
    <row r="872" spans="3:30" x14ac:dyDescent="0.4">
      <c r="C872" s="12" t="str">
        <f t="shared" si="47"/>
        <v/>
      </c>
      <c r="AA872" s="14">
        <f t="shared" si="48"/>
        <v>0</v>
      </c>
      <c r="AB872" s="14" t="str">
        <f>_xlfn.XLOOKUP(AA872,M_ARTIST!A:A,M_ARTIST!B:B,"★★★",0,1)</f>
        <v>★★★</v>
      </c>
      <c r="AC872" s="14">
        <f t="shared" si="49"/>
        <v>0</v>
      </c>
      <c r="AD872" s="19" t="e">
        <f>HYPERLINK(_xlfn.XLOOKUP(C872,M_YT_LIVE_TIMESTAMP!AA:AA,M_YT_LIVE_TIMESTAMP!Z:Z,"★",0,-1))</f>
        <v>#VALUE!</v>
      </c>
    </row>
    <row r="873" spans="3:30" x14ac:dyDescent="0.4">
      <c r="C873" s="12" t="str">
        <f t="shared" si="47"/>
        <v/>
      </c>
      <c r="AA873" s="14">
        <f t="shared" si="48"/>
        <v>0</v>
      </c>
      <c r="AB873" s="14" t="str">
        <f>_xlfn.XLOOKUP(AA873,M_ARTIST!A:A,M_ARTIST!B:B,"★★★",0,1)</f>
        <v>★★★</v>
      </c>
      <c r="AC873" s="14">
        <f t="shared" si="49"/>
        <v>0</v>
      </c>
      <c r="AD873" s="19" t="e">
        <f>HYPERLINK(_xlfn.XLOOKUP(C873,M_YT_LIVE_TIMESTAMP!AA:AA,M_YT_LIVE_TIMESTAMP!Z:Z,"★",0,-1))</f>
        <v>#VALUE!</v>
      </c>
    </row>
    <row r="874" spans="3:30" x14ac:dyDescent="0.4">
      <c r="C874" s="12" t="str">
        <f t="shared" si="47"/>
        <v/>
      </c>
      <c r="AA874" s="14">
        <f t="shared" si="48"/>
        <v>0</v>
      </c>
      <c r="AB874" s="14" t="str">
        <f>_xlfn.XLOOKUP(AA874,M_ARTIST!A:A,M_ARTIST!B:B,"★★★",0,1)</f>
        <v>★★★</v>
      </c>
      <c r="AC874" s="14">
        <f t="shared" si="49"/>
        <v>0</v>
      </c>
      <c r="AD874" s="19" t="e">
        <f>HYPERLINK(_xlfn.XLOOKUP(C874,M_YT_LIVE_TIMESTAMP!AA:AA,M_YT_LIVE_TIMESTAMP!Z:Z,"★",0,-1))</f>
        <v>#VALUE!</v>
      </c>
    </row>
    <row r="875" spans="3:30" x14ac:dyDescent="0.4">
      <c r="C875" s="12" t="str">
        <f t="shared" si="47"/>
        <v/>
      </c>
      <c r="AA875" s="14">
        <f t="shared" si="48"/>
        <v>0</v>
      </c>
      <c r="AB875" s="14" t="str">
        <f>_xlfn.XLOOKUP(AA875,M_ARTIST!A:A,M_ARTIST!B:B,"★★★",0,1)</f>
        <v>★★★</v>
      </c>
      <c r="AC875" s="14">
        <f t="shared" si="49"/>
        <v>0</v>
      </c>
      <c r="AD875" s="19" t="e">
        <f>HYPERLINK(_xlfn.XLOOKUP(C875,M_YT_LIVE_TIMESTAMP!AA:AA,M_YT_LIVE_TIMESTAMP!Z:Z,"★",0,-1))</f>
        <v>#VALUE!</v>
      </c>
    </row>
    <row r="876" spans="3:30" x14ac:dyDescent="0.4">
      <c r="C876" s="12" t="str">
        <f t="shared" si="47"/>
        <v/>
      </c>
      <c r="AA876" s="14">
        <f t="shared" si="48"/>
        <v>0</v>
      </c>
      <c r="AB876" s="14" t="str">
        <f>_xlfn.XLOOKUP(AA876,M_ARTIST!A:A,M_ARTIST!B:B,"★★★",0,1)</f>
        <v>★★★</v>
      </c>
      <c r="AC876" s="14">
        <f t="shared" si="49"/>
        <v>0</v>
      </c>
      <c r="AD876" s="19" t="e">
        <f>HYPERLINK(_xlfn.XLOOKUP(C876,M_YT_LIVE_TIMESTAMP!AA:AA,M_YT_LIVE_TIMESTAMP!Z:Z,"★",0,-1))</f>
        <v>#VALUE!</v>
      </c>
    </row>
    <row r="877" spans="3:30" x14ac:dyDescent="0.4">
      <c r="C877" s="12" t="str">
        <f t="shared" si="47"/>
        <v/>
      </c>
      <c r="AA877" s="14">
        <f t="shared" si="48"/>
        <v>0</v>
      </c>
      <c r="AB877" s="14" t="str">
        <f>_xlfn.XLOOKUP(AA877,M_ARTIST!A:A,M_ARTIST!B:B,"★★★",0,1)</f>
        <v>★★★</v>
      </c>
      <c r="AC877" s="14">
        <f t="shared" si="49"/>
        <v>0</v>
      </c>
      <c r="AD877" s="19" t="e">
        <f>HYPERLINK(_xlfn.XLOOKUP(C877,M_YT_LIVE_TIMESTAMP!AA:AA,M_YT_LIVE_TIMESTAMP!Z:Z,"★",0,-1))</f>
        <v>#VALUE!</v>
      </c>
    </row>
    <row r="878" spans="3:30" x14ac:dyDescent="0.4">
      <c r="C878" s="12" t="str">
        <f t="shared" si="47"/>
        <v/>
      </c>
      <c r="AA878" s="14">
        <f t="shared" si="48"/>
        <v>0</v>
      </c>
      <c r="AB878" s="14" t="str">
        <f>_xlfn.XLOOKUP(AA878,M_ARTIST!A:A,M_ARTIST!B:B,"★★★",0,1)</f>
        <v>★★★</v>
      </c>
      <c r="AC878" s="14">
        <f t="shared" si="49"/>
        <v>0</v>
      </c>
      <c r="AD878" s="19" t="e">
        <f>HYPERLINK(_xlfn.XLOOKUP(C878,M_YT_LIVE_TIMESTAMP!AA:AA,M_YT_LIVE_TIMESTAMP!Z:Z,"★",0,-1))</f>
        <v>#VALUE!</v>
      </c>
    </row>
    <row r="879" spans="3:30" x14ac:dyDescent="0.4">
      <c r="C879" s="12" t="str">
        <f t="shared" si="47"/>
        <v/>
      </c>
      <c r="AA879" s="14">
        <f t="shared" si="48"/>
        <v>0</v>
      </c>
      <c r="AB879" s="14" t="str">
        <f>_xlfn.XLOOKUP(AA879,M_ARTIST!A:A,M_ARTIST!B:B,"★★★",0,1)</f>
        <v>★★★</v>
      </c>
      <c r="AC879" s="14">
        <f t="shared" si="49"/>
        <v>0</v>
      </c>
      <c r="AD879" s="19" t="e">
        <f>HYPERLINK(_xlfn.XLOOKUP(C879,M_YT_LIVE_TIMESTAMP!AA:AA,M_YT_LIVE_TIMESTAMP!Z:Z,"★",0,-1))</f>
        <v>#VALUE!</v>
      </c>
    </row>
    <row r="880" spans="3:30" x14ac:dyDescent="0.4">
      <c r="C880" s="12" t="str">
        <f t="shared" si="47"/>
        <v/>
      </c>
      <c r="AA880" s="14">
        <f t="shared" si="48"/>
        <v>0</v>
      </c>
      <c r="AB880" s="14" t="str">
        <f>_xlfn.XLOOKUP(AA880,M_ARTIST!A:A,M_ARTIST!B:B,"★★★",0,1)</f>
        <v>★★★</v>
      </c>
      <c r="AC880" s="14">
        <f t="shared" si="49"/>
        <v>0</v>
      </c>
      <c r="AD880" s="19" t="e">
        <f>HYPERLINK(_xlfn.XLOOKUP(C880,M_YT_LIVE_TIMESTAMP!AA:AA,M_YT_LIVE_TIMESTAMP!Z:Z,"★",0,-1))</f>
        <v>#VALUE!</v>
      </c>
    </row>
    <row r="881" spans="3:30" x14ac:dyDescent="0.4">
      <c r="C881" s="12" t="str">
        <f t="shared" si="47"/>
        <v/>
      </c>
      <c r="AA881" s="14">
        <f t="shared" si="48"/>
        <v>0</v>
      </c>
      <c r="AB881" s="14" t="str">
        <f>_xlfn.XLOOKUP(AA881,M_ARTIST!A:A,M_ARTIST!B:B,"★★★",0,1)</f>
        <v>★★★</v>
      </c>
      <c r="AC881" s="14">
        <f t="shared" si="49"/>
        <v>0</v>
      </c>
      <c r="AD881" s="19" t="e">
        <f>HYPERLINK(_xlfn.XLOOKUP(C881,M_YT_LIVE_TIMESTAMP!AA:AA,M_YT_LIVE_TIMESTAMP!Z:Z,"★",0,-1))</f>
        <v>#VALUE!</v>
      </c>
    </row>
    <row r="882" spans="3:30" x14ac:dyDescent="0.4">
      <c r="C882" s="12" t="str">
        <f t="shared" si="47"/>
        <v/>
      </c>
      <c r="AA882" s="14">
        <f t="shared" si="48"/>
        <v>0</v>
      </c>
      <c r="AB882" s="14" t="str">
        <f>_xlfn.XLOOKUP(AA882,M_ARTIST!A:A,M_ARTIST!B:B,"★★★",0,1)</f>
        <v>★★★</v>
      </c>
      <c r="AC882" s="14">
        <f t="shared" si="49"/>
        <v>0</v>
      </c>
      <c r="AD882" s="19" t="e">
        <f>HYPERLINK(_xlfn.XLOOKUP(C882,M_YT_LIVE_TIMESTAMP!AA:AA,M_YT_LIVE_TIMESTAMP!Z:Z,"★",0,-1))</f>
        <v>#VALUE!</v>
      </c>
    </row>
    <row r="883" spans="3:30" x14ac:dyDescent="0.4">
      <c r="C883" s="12" t="str">
        <f t="shared" si="47"/>
        <v/>
      </c>
      <c r="AA883" s="14">
        <f t="shared" si="48"/>
        <v>0</v>
      </c>
      <c r="AB883" s="14" t="str">
        <f>_xlfn.XLOOKUP(AA883,M_ARTIST!A:A,M_ARTIST!B:B,"★★★",0,1)</f>
        <v>★★★</v>
      </c>
      <c r="AC883" s="14">
        <f t="shared" si="49"/>
        <v>0</v>
      </c>
      <c r="AD883" s="19" t="e">
        <f>HYPERLINK(_xlfn.XLOOKUP(C883,M_YT_LIVE_TIMESTAMP!AA:AA,M_YT_LIVE_TIMESTAMP!Z:Z,"★",0,-1))</f>
        <v>#VALUE!</v>
      </c>
    </row>
    <row r="884" spans="3:30" x14ac:dyDescent="0.4">
      <c r="C884" s="12" t="str">
        <f t="shared" si="47"/>
        <v/>
      </c>
      <c r="AA884" s="14">
        <f t="shared" si="48"/>
        <v>0</v>
      </c>
      <c r="AB884" s="14" t="str">
        <f>_xlfn.XLOOKUP(AA884,M_ARTIST!A:A,M_ARTIST!B:B,"★★★",0,1)</f>
        <v>★★★</v>
      </c>
      <c r="AC884" s="14">
        <f t="shared" si="49"/>
        <v>0</v>
      </c>
      <c r="AD884" s="19" t="e">
        <f>HYPERLINK(_xlfn.XLOOKUP(C884,M_YT_LIVE_TIMESTAMP!AA:AA,M_YT_LIVE_TIMESTAMP!Z:Z,"★",0,-1))</f>
        <v>#VALUE!</v>
      </c>
    </row>
    <row r="885" spans="3:30" x14ac:dyDescent="0.4">
      <c r="C885" s="12" t="str">
        <f t="shared" si="47"/>
        <v/>
      </c>
      <c r="AA885" s="14">
        <f t="shared" si="48"/>
        <v>0</v>
      </c>
      <c r="AB885" s="14" t="str">
        <f>_xlfn.XLOOKUP(AA885,M_ARTIST!A:A,M_ARTIST!B:B,"★★★",0,1)</f>
        <v>★★★</v>
      </c>
      <c r="AC885" s="14">
        <f t="shared" si="49"/>
        <v>0</v>
      </c>
      <c r="AD885" s="19" t="e">
        <f>HYPERLINK(_xlfn.XLOOKUP(C885,M_YT_LIVE_TIMESTAMP!AA:AA,M_YT_LIVE_TIMESTAMP!Z:Z,"★",0,-1))</f>
        <v>#VALUE!</v>
      </c>
    </row>
    <row r="886" spans="3:30" x14ac:dyDescent="0.4">
      <c r="C886" s="12" t="str">
        <f t="shared" si="47"/>
        <v/>
      </c>
      <c r="AA886" s="14">
        <f t="shared" si="48"/>
        <v>0</v>
      </c>
      <c r="AB886" s="14" t="str">
        <f>_xlfn.XLOOKUP(AA886,M_ARTIST!A:A,M_ARTIST!B:B,"★★★",0,1)</f>
        <v>★★★</v>
      </c>
      <c r="AC886" s="14">
        <f t="shared" si="49"/>
        <v>0</v>
      </c>
      <c r="AD886" s="19" t="e">
        <f>HYPERLINK(_xlfn.XLOOKUP(C886,M_YT_LIVE_TIMESTAMP!AA:AA,M_YT_LIVE_TIMESTAMP!Z:Z,"★",0,-1))</f>
        <v>#VALUE!</v>
      </c>
    </row>
    <row r="887" spans="3:30" x14ac:dyDescent="0.4">
      <c r="C887" s="12" t="str">
        <f t="shared" si="47"/>
        <v/>
      </c>
      <c r="AA887" s="14">
        <f t="shared" si="48"/>
        <v>0</v>
      </c>
      <c r="AB887" s="14" t="str">
        <f>_xlfn.XLOOKUP(AA887,M_ARTIST!A:A,M_ARTIST!B:B,"★★★",0,1)</f>
        <v>★★★</v>
      </c>
      <c r="AC887" s="14">
        <f t="shared" si="49"/>
        <v>0</v>
      </c>
      <c r="AD887" s="19" t="e">
        <f>HYPERLINK(_xlfn.XLOOKUP(C887,M_YT_LIVE_TIMESTAMP!AA:AA,M_YT_LIVE_TIMESTAMP!Z:Z,"★",0,-1))</f>
        <v>#VALUE!</v>
      </c>
    </row>
    <row r="888" spans="3:30" x14ac:dyDescent="0.4">
      <c r="C888" s="12" t="str">
        <f t="shared" si="47"/>
        <v/>
      </c>
      <c r="AA888" s="14">
        <f t="shared" si="48"/>
        <v>0</v>
      </c>
      <c r="AB888" s="14" t="str">
        <f>_xlfn.XLOOKUP(AA888,M_ARTIST!A:A,M_ARTIST!B:B,"★★★",0,1)</f>
        <v>★★★</v>
      </c>
      <c r="AC888" s="14">
        <f t="shared" si="49"/>
        <v>0</v>
      </c>
      <c r="AD888" s="19" t="e">
        <f>HYPERLINK(_xlfn.XLOOKUP(C888,M_YT_LIVE_TIMESTAMP!AA:AA,M_YT_LIVE_TIMESTAMP!Z:Z,"★",0,-1))</f>
        <v>#VALUE!</v>
      </c>
    </row>
    <row r="889" spans="3:30" x14ac:dyDescent="0.4">
      <c r="C889" s="12" t="str">
        <f t="shared" si="47"/>
        <v/>
      </c>
      <c r="AA889" s="14">
        <f t="shared" si="48"/>
        <v>0</v>
      </c>
      <c r="AB889" s="14" t="str">
        <f>_xlfn.XLOOKUP(AA889,M_ARTIST!A:A,M_ARTIST!B:B,"★★★",0,1)</f>
        <v>★★★</v>
      </c>
      <c r="AC889" s="14">
        <f t="shared" si="49"/>
        <v>0</v>
      </c>
      <c r="AD889" s="19" t="e">
        <f>HYPERLINK(_xlfn.XLOOKUP(C889,M_YT_LIVE_TIMESTAMP!AA:AA,M_YT_LIVE_TIMESTAMP!Z:Z,"★",0,-1))</f>
        <v>#VALUE!</v>
      </c>
    </row>
    <row r="890" spans="3:30" x14ac:dyDescent="0.4">
      <c r="C890" s="12" t="str">
        <f t="shared" si="47"/>
        <v/>
      </c>
      <c r="AA890" s="14">
        <f t="shared" si="48"/>
        <v>0</v>
      </c>
      <c r="AB890" s="14" t="str">
        <f>_xlfn.XLOOKUP(AA890,M_ARTIST!A:A,M_ARTIST!B:B,"★★★",0,1)</f>
        <v>★★★</v>
      </c>
      <c r="AC890" s="14">
        <f t="shared" si="49"/>
        <v>0</v>
      </c>
      <c r="AD890" s="19" t="e">
        <f>HYPERLINK(_xlfn.XLOOKUP(C890,M_YT_LIVE_TIMESTAMP!AA:AA,M_YT_LIVE_TIMESTAMP!Z:Z,"★",0,-1))</f>
        <v>#VALUE!</v>
      </c>
    </row>
    <row r="891" spans="3:30" x14ac:dyDescent="0.4">
      <c r="C891" s="12" t="str">
        <f t="shared" si="47"/>
        <v/>
      </c>
      <c r="AA891" s="14">
        <f t="shared" si="48"/>
        <v>0</v>
      </c>
      <c r="AB891" s="14" t="str">
        <f>_xlfn.XLOOKUP(AA891,M_ARTIST!A:A,M_ARTIST!B:B,"★★★",0,1)</f>
        <v>★★★</v>
      </c>
      <c r="AC891" s="14">
        <f t="shared" si="49"/>
        <v>0</v>
      </c>
      <c r="AD891" s="19" t="e">
        <f>HYPERLINK(_xlfn.XLOOKUP(C891,M_YT_LIVE_TIMESTAMP!AA:AA,M_YT_LIVE_TIMESTAMP!Z:Z,"★",0,-1))</f>
        <v>#VALUE!</v>
      </c>
    </row>
    <row r="892" spans="3:30" x14ac:dyDescent="0.4">
      <c r="C892" s="12" t="str">
        <f t="shared" si="47"/>
        <v/>
      </c>
      <c r="AA892" s="14">
        <f t="shared" si="48"/>
        <v>0</v>
      </c>
      <c r="AB892" s="14" t="str">
        <f>_xlfn.XLOOKUP(AA892,M_ARTIST!A:A,M_ARTIST!B:B,"★★★",0,1)</f>
        <v>★★★</v>
      </c>
      <c r="AC892" s="14">
        <f t="shared" si="49"/>
        <v>0</v>
      </c>
      <c r="AD892" s="19" t="e">
        <f>HYPERLINK(_xlfn.XLOOKUP(C892,M_YT_LIVE_TIMESTAMP!AA:AA,M_YT_LIVE_TIMESTAMP!Z:Z,"★",0,-1))</f>
        <v>#VALUE!</v>
      </c>
    </row>
    <row r="893" spans="3:30" x14ac:dyDescent="0.4">
      <c r="C893" s="12" t="str">
        <f t="shared" si="47"/>
        <v/>
      </c>
      <c r="AA893" s="14">
        <f t="shared" si="48"/>
        <v>0</v>
      </c>
      <c r="AB893" s="14" t="str">
        <f>_xlfn.XLOOKUP(AA893,M_ARTIST!A:A,M_ARTIST!B:B,"★★★",0,1)</f>
        <v>★★★</v>
      </c>
      <c r="AC893" s="14">
        <f t="shared" si="49"/>
        <v>0</v>
      </c>
      <c r="AD893" s="19" t="e">
        <f>HYPERLINK(_xlfn.XLOOKUP(C893,M_YT_LIVE_TIMESTAMP!AA:AA,M_YT_LIVE_TIMESTAMP!Z:Z,"★",0,-1))</f>
        <v>#VALUE!</v>
      </c>
    </row>
    <row r="894" spans="3:30" x14ac:dyDescent="0.4">
      <c r="C894" s="12" t="str">
        <f t="shared" si="47"/>
        <v/>
      </c>
      <c r="AA894" s="14">
        <f t="shared" si="48"/>
        <v>0</v>
      </c>
      <c r="AB894" s="14" t="str">
        <f>_xlfn.XLOOKUP(AA894,M_ARTIST!A:A,M_ARTIST!B:B,"★★★",0,1)</f>
        <v>★★★</v>
      </c>
      <c r="AC894" s="14">
        <f t="shared" si="49"/>
        <v>0</v>
      </c>
      <c r="AD894" s="19" t="e">
        <f>HYPERLINK(_xlfn.XLOOKUP(C894,M_YT_LIVE_TIMESTAMP!AA:AA,M_YT_LIVE_TIMESTAMP!Z:Z,"★",0,-1))</f>
        <v>#VALUE!</v>
      </c>
    </row>
    <row r="895" spans="3:30" x14ac:dyDescent="0.4">
      <c r="C895" s="12" t="str">
        <f t="shared" si="47"/>
        <v/>
      </c>
      <c r="AA895" s="14">
        <f t="shared" si="48"/>
        <v>0</v>
      </c>
      <c r="AB895" s="14" t="str">
        <f>_xlfn.XLOOKUP(AA895,M_ARTIST!A:A,M_ARTIST!B:B,"★★★",0,1)</f>
        <v>★★★</v>
      </c>
      <c r="AC895" s="14">
        <f t="shared" si="49"/>
        <v>0</v>
      </c>
      <c r="AD895" s="19" t="e">
        <f>HYPERLINK(_xlfn.XLOOKUP(C895,M_YT_LIVE_TIMESTAMP!AA:AA,M_YT_LIVE_TIMESTAMP!Z:Z,"★",0,-1))</f>
        <v>#VALUE!</v>
      </c>
    </row>
    <row r="896" spans="3:30" x14ac:dyDescent="0.4">
      <c r="C896" s="12" t="str">
        <f t="shared" si="47"/>
        <v/>
      </c>
      <c r="AA896" s="14">
        <f t="shared" si="48"/>
        <v>0</v>
      </c>
      <c r="AB896" s="14" t="str">
        <f>_xlfn.XLOOKUP(AA896,M_ARTIST!A:A,M_ARTIST!B:B,"★★★",0,1)</f>
        <v>★★★</v>
      </c>
      <c r="AC896" s="14">
        <f t="shared" si="49"/>
        <v>0</v>
      </c>
      <c r="AD896" s="19" t="e">
        <f>HYPERLINK(_xlfn.XLOOKUP(C896,M_YT_LIVE_TIMESTAMP!AA:AA,M_YT_LIVE_TIMESTAMP!Z:Z,"★",0,-1))</f>
        <v>#VALUE!</v>
      </c>
    </row>
    <row r="897" spans="3:30" x14ac:dyDescent="0.4">
      <c r="C897" s="12" t="str">
        <f t="shared" si="47"/>
        <v/>
      </c>
      <c r="AA897" s="14">
        <f t="shared" si="48"/>
        <v>0</v>
      </c>
      <c r="AB897" s="14" t="str">
        <f>_xlfn.XLOOKUP(AA897,M_ARTIST!A:A,M_ARTIST!B:B,"★★★",0,1)</f>
        <v>★★★</v>
      </c>
      <c r="AC897" s="14">
        <f t="shared" si="49"/>
        <v>0</v>
      </c>
      <c r="AD897" s="19" t="e">
        <f>HYPERLINK(_xlfn.XLOOKUP(C897,M_YT_LIVE_TIMESTAMP!AA:AA,M_YT_LIVE_TIMESTAMP!Z:Z,"★",0,-1))</f>
        <v>#VALUE!</v>
      </c>
    </row>
    <row r="898" spans="3:30" x14ac:dyDescent="0.4">
      <c r="C898" s="12" t="str">
        <f t="shared" si="47"/>
        <v/>
      </c>
      <c r="AA898" s="14">
        <f t="shared" si="48"/>
        <v>0</v>
      </c>
      <c r="AB898" s="14" t="str">
        <f>_xlfn.XLOOKUP(AA898,M_ARTIST!A:A,M_ARTIST!B:B,"★★★",0,1)</f>
        <v>★★★</v>
      </c>
      <c r="AC898" s="14">
        <f t="shared" si="49"/>
        <v>0</v>
      </c>
      <c r="AD898" s="19" t="e">
        <f>HYPERLINK(_xlfn.XLOOKUP(C898,M_YT_LIVE_TIMESTAMP!AA:AA,M_YT_LIVE_TIMESTAMP!Z:Z,"★",0,-1))</f>
        <v>#VALUE!</v>
      </c>
    </row>
    <row r="899" spans="3:30" x14ac:dyDescent="0.4">
      <c r="C899" s="12" t="str">
        <f t="shared" si="47"/>
        <v/>
      </c>
      <c r="AA899" s="14">
        <f t="shared" si="48"/>
        <v>0</v>
      </c>
      <c r="AB899" s="14" t="str">
        <f>_xlfn.XLOOKUP(AA899,M_ARTIST!A:A,M_ARTIST!B:B,"★★★",0,1)</f>
        <v>★★★</v>
      </c>
      <c r="AC899" s="14">
        <f t="shared" si="49"/>
        <v>0</v>
      </c>
      <c r="AD899" s="19" t="e">
        <f>HYPERLINK(_xlfn.XLOOKUP(C899,M_YT_LIVE_TIMESTAMP!AA:AA,M_YT_LIVE_TIMESTAMP!Z:Z,"★",0,-1))</f>
        <v>#VALUE!</v>
      </c>
    </row>
    <row r="900" spans="3:30" x14ac:dyDescent="0.4">
      <c r="C900" s="12" t="str">
        <f t="shared" si="47"/>
        <v/>
      </c>
      <c r="AA900" s="14">
        <f t="shared" si="48"/>
        <v>0</v>
      </c>
      <c r="AB900" s="14" t="str">
        <f>_xlfn.XLOOKUP(AA900,M_ARTIST!A:A,M_ARTIST!B:B,"★★★",0,1)</f>
        <v>★★★</v>
      </c>
      <c r="AC900" s="14">
        <f t="shared" si="49"/>
        <v>0</v>
      </c>
      <c r="AD900" s="19" t="e">
        <f>HYPERLINK(_xlfn.XLOOKUP(C900,M_YT_LIVE_TIMESTAMP!AA:AA,M_YT_LIVE_TIMESTAMP!Z:Z,"★",0,-1))</f>
        <v>#VALUE!</v>
      </c>
    </row>
    <row r="901" spans="3:30" x14ac:dyDescent="0.4">
      <c r="C901" s="12" t="str">
        <f t="shared" si="47"/>
        <v/>
      </c>
      <c r="AA901" s="14">
        <f t="shared" si="48"/>
        <v>0</v>
      </c>
      <c r="AB901" s="14" t="str">
        <f>_xlfn.XLOOKUP(AA901,M_ARTIST!A:A,M_ARTIST!B:B,"★★★",0,1)</f>
        <v>★★★</v>
      </c>
      <c r="AC901" s="14">
        <f t="shared" si="49"/>
        <v>0</v>
      </c>
      <c r="AD901" s="19" t="e">
        <f>HYPERLINK(_xlfn.XLOOKUP(C901,M_YT_LIVE_TIMESTAMP!AA:AA,M_YT_LIVE_TIMESTAMP!Z:Z,"★",0,-1))</f>
        <v>#VALUE!</v>
      </c>
    </row>
    <row r="902" spans="3:30" x14ac:dyDescent="0.4">
      <c r="C902" s="12" t="str">
        <f t="shared" si="47"/>
        <v/>
      </c>
      <c r="AA902" s="14">
        <f t="shared" si="48"/>
        <v>0</v>
      </c>
      <c r="AB902" s="14" t="str">
        <f>_xlfn.XLOOKUP(AA902,M_ARTIST!A:A,M_ARTIST!B:B,"★★★",0,1)</f>
        <v>★★★</v>
      </c>
      <c r="AC902" s="14">
        <f t="shared" si="49"/>
        <v>0</v>
      </c>
      <c r="AD902" s="19" t="e">
        <f>HYPERLINK(_xlfn.XLOOKUP(C902,M_YT_LIVE_TIMESTAMP!AA:AA,M_YT_LIVE_TIMESTAMP!Z:Z,"★",0,-1))</f>
        <v>#VALUE!</v>
      </c>
    </row>
    <row r="903" spans="3:30" x14ac:dyDescent="0.4">
      <c r="C903" s="12" t="str">
        <f t="shared" si="47"/>
        <v/>
      </c>
      <c r="AA903" s="14">
        <f t="shared" si="48"/>
        <v>0</v>
      </c>
      <c r="AB903" s="14" t="str">
        <f>_xlfn.XLOOKUP(AA903,M_ARTIST!A:A,M_ARTIST!B:B,"★★★",0,1)</f>
        <v>★★★</v>
      </c>
      <c r="AC903" s="14">
        <f t="shared" si="49"/>
        <v>0</v>
      </c>
      <c r="AD903" s="19" t="e">
        <f>HYPERLINK(_xlfn.XLOOKUP(C903,M_YT_LIVE_TIMESTAMP!AA:AA,M_YT_LIVE_TIMESTAMP!Z:Z,"★",0,-1))</f>
        <v>#VALUE!</v>
      </c>
    </row>
    <row r="904" spans="3:30" x14ac:dyDescent="0.4">
      <c r="C904" s="12" t="str">
        <f t="shared" si="47"/>
        <v/>
      </c>
      <c r="AA904" s="14">
        <f t="shared" si="48"/>
        <v>0</v>
      </c>
      <c r="AB904" s="14" t="str">
        <f>_xlfn.XLOOKUP(AA904,M_ARTIST!A:A,M_ARTIST!B:B,"★★★",0,1)</f>
        <v>★★★</v>
      </c>
      <c r="AC904" s="14">
        <f t="shared" si="49"/>
        <v>0</v>
      </c>
      <c r="AD904" s="19" t="e">
        <f>HYPERLINK(_xlfn.XLOOKUP(C904,M_YT_LIVE_TIMESTAMP!AA:AA,M_YT_LIVE_TIMESTAMP!Z:Z,"★",0,-1))</f>
        <v>#VALUE!</v>
      </c>
    </row>
    <row r="905" spans="3:30" x14ac:dyDescent="0.4">
      <c r="C905" s="12" t="str">
        <f t="shared" si="47"/>
        <v/>
      </c>
      <c r="AA905" s="14">
        <f t="shared" si="48"/>
        <v>0</v>
      </c>
      <c r="AB905" s="14" t="str">
        <f>_xlfn.XLOOKUP(AA905,M_ARTIST!A:A,M_ARTIST!B:B,"★★★",0,1)</f>
        <v>★★★</v>
      </c>
      <c r="AC905" s="14">
        <f t="shared" si="49"/>
        <v>0</v>
      </c>
      <c r="AD905" s="19" t="e">
        <f>HYPERLINK(_xlfn.XLOOKUP(C905,M_YT_LIVE_TIMESTAMP!AA:AA,M_YT_LIVE_TIMESTAMP!Z:Z,"★",0,-1))</f>
        <v>#VALUE!</v>
      </c>
    </row>
    <row r="906" spans="3:30" x14ac:dyDescent="0.4">
      <c r="C906" s="12" t="str">
        <f t="shared" si="47"/>
        <v/>
      </c>
      <c r="AA906" s="14">
        <f t="shared" si="48"/>
        <v>0</v>
      </c>
      <c r="AB906" s="14" t="str">
        <f>_xlfn.XLOOKUP(AA906,M_ARTIST!A:A,M_ARTIST!B:B,"★★★",0,1)</f>
        <v>★★★</v>
      </c>
      <c r="AC906" s="14">
        <f t="shared" si="49"/>
        <v>0</v>
      </c>
      <c r="AD906" s="19" t="e">
        <f>HYPERLINK(_xlfn.XLOOKUP(C906,M_YT_LIVE_TIMESTAMP!AA:AA,M_YT_LIVE_TIMESTAMP!Z:Z,"★",0,-1))</f>
        <v>#VALUE!</v>
      </c>
    </row>
    <row r="907" spans="3:30" x14ac:dyDescent="0.4">
      <c r="C907" s="12" t="str">
        <f t="shared" si="47"/>
        <v/>
      </c>
      <c r="AA907" s="14">
        <f t="shared" si="48"/>
        <v>0</v>
      </c>
      <c r="AB907" s="14" t="str">
        <f>_xlfn.XLOOKUP(AA907,M_ARTIST!A:A,M_ARTIST!B:B,"★★★",0,1)</f>
        <v>★★★</v>
      </c>
      <c r="AC907" s="14">
        <f t="shared" si="49"/>
        <v>0</v>
      </c>
      <c r="AD907" s="19" t="e">
        <f>HYPERLINK(_xlfn.XLOOKUP(C907,M_YT_LIVE_TIMESTAMP!AA:AA,M_YT_LIVE_TIMESTAMP!Z:Z,"★",0,-1))</f>
        <v>#VALUE!</v>
      </c>
    </row>
    <row r="908" spans="3:30" x14ac:dyDescent="0.4">
      <c r="C908" s="12" t="str">
        <f t="shared" si="47"/>
        <v/>
      </c>
      <c r="AA908" s="14">
        <f t="shared" si="48"/>
        <v>0</v>
      </c>
      <c r="AB908" s="14" t="str">
        <f>_xlfn.XLOOKUP(AA908,M_ARTIST!A:A,M_ARTIST!B:B,"★★★",0,1)</f>
        <v>★★★</v>
      </c>
      <c r="AC908" s="14">
        <f t="shared" si="49"/>
        <v>0</v>
      </c>
      <c r="AD908" s="19" t="e">
        <f>HYPERLINK(_xlfn.XLOOKUP(C908,M_YT_LIVE_TIMESTAMP!AA:AA,M_YT_LIVE_TIMESTAMP!Z:Z,"★",0,-1))</f>
        <v>#VALUE!</v>
      </c>
    </row>
    <row r="909" spans="3:30" x14ac:dyDescent="0.4">
      <c r="C909" s="12" t="str">
        <f t="shared" si="47"/>
        <v/>
      </c>
      <c r="AA909" s="14">
        <f t="shared" si="48"/>
        <v>0</v>
      </c>
      <c r="AB909" s="14" t="str">
        <f>_xlfn.XLOOKUP(AA909,M_ARTIST!A:A,M_ARTIST!B:B,"★★★",0,1)</f>
        <v>★★★</v>
      </c>
      <c r="AC909" s="14">
        <f t="shared" si="49"/>
        <v>0</v>
      </c>
      <c r="AD909" s="19" t="e">
        <f>HYPERLINK(_xlfn.XLOOKUP(C909,M_YT_LIVE_TIMESTAMP!AA:AA,M_YT_LIVE_TIMESTAMP!Z:Z,"★",0,-1))</f>
        <v>#VALUE!</v>
      </c>
    </row>
    <row r="910" spans="3:30" x14ac:dyDescent="0.4">
      <c r="C910" s="12" t="str">
        <f t="shared" si="47"/>
        <v/>
      </c>
      <c r="AA910" s="14">
        <f t="shared" si="48"/>
        <v>0</v>
      </c>
      <c r="AB910" s="14" t="str">
        <f>_xlfn.XLOOKUP(AA910,M_ARTIST!A:A,M_ARTIST!B:B,"★★★",0,1)</f>
        <v>★★★</v>
      </c>
      <c r="AC910" s="14">
        <f t="shared" si="49"/>
        <v>0</v>
      </c>
      <c r="AD910" s="19" t="e">
        <f>HYPERLINK(_xlfn.XLOOKUP(C910,M_YT_LIVE_TIMESTAMP!AA:AA,M_YT_LIVE_TIMESTAMP!Z:Z,"★",0,-1))</f>
        <v>#VALUE!</v>
      </c>
    </row>
    <row r="911" spans="3:30" x14ac:dyDescent="0.4">
      <c r="C911" s="12" t="str">
        <f t="shared" si="47"/>
        <v/>
      </c>
      <c r="AA911" s="14">
        <f t="shared" si="48"/>
        <v>0</v>
      </c>
      <c r="AB911" s="14" t="str">
        <f>_xlfn.XLOOKUP(AA911,M_ARTIST!A:A,M_ARTIST!B:B,"★★★",0,1)</f>
        <v>★★★</v>
      </c>
      <c r="AC911" s="14">
        <f t="shared" si="49"/>
        <v>0</v>
      </c>
      <c r="AD911" s="19" t="e">
        <f>HYPERLINK(_xlfn.XLOOKUP(C911,M_YT_LIVE_TIMESTAMP!AA:AA,M_YT_LIVE_TIMESTAMP!Z:Z,"★",0,-1))</f>
        <v>#VALUE!</v>
      </c>
    </row>
    <row r="912" spans="3:30" x14ac:dyDescent="0.4">
      <c r="C912" s="12" t="str">
        <f t="shared" si="47"/>
        <v/>
      </c>
      <c r="AA912" s="14">
        <f t="shared" si="48"/>
        <v>0</v>
      </c>
      <c r="AB912" s="14" t="str">
        <f>_xlfn.XLOOKUP(AA912,M_ARTIST!A:A,M_ARTIST!B:B,"★★★",0,1)</f>
        <v>★★★</v>
      </c>
      <c r="AC912" s="14">
        <f t="shared" si="49"/>
        <v>0</v>
      </c>
      <c r="AD912" s="19" t="e">
        <f>HYPERLINK(_xlfn.XLOOKUP(C912,M_YT_LIVE_TIMESTAMP!AA:AA,M_YT_LIVE_TIMESTAMP!Z:Z,"★",0,-1))</f>
        <v>#VALUE!</v>
      </c>
    </row>
    <row r="913" spans="3:30" x14ac:dyDescent="0.4">
      <c r="C913" s="12" t="str">
        <f t="shared" si="47"/>
        <v/>
      </c>
      <c r="AA913" s="14">
        <f t="shared" si="48"/>
        <v>0</v>
      </c>
      <c r="AB913" s="14" t="str">
        <f>_xlfn.XLOOKUP(AA913,M_ARTIST!A:A,M_ARTIST!B:B,"★★★",0,1)</f>
        <v>★★★</v>
      </c>
      <c r="AC913" s="14">
        <f t="shared" si="49"/>
        <v>0</v>
      </c>
      <c r="AD913" s="19" t="e">
        <f>HYPERLINK(_xlfn.XLOOKUP(C913,M_YT_LIVE_TIMESTAMP!AA:AA,M_YT_LIVE_TIMESTAMP!Z:Z,"★",0,-1))</f>
        <v>#VALUE!</v>
      </c>
    </row>
    <row r="914" spans="3:30" x14ac:dyDescent="0.4">
      <c r="C914" s="12" t="str">
        <f t="shared" si="47"/>
        <v/>
      </c>
      <c r="AA914" s="14">
        <f t="shared" si="48"/>
        <v>0</v>
      </c>
      <c r="AB914" s="14" t="str">
        <f>_xlfn.XLOOKUP(AA914,M_ARTIST!A:A,M_ARTIST!B:B,"★★★",0,1)</f>
        <v>★★★</v>
      </c>
      <c r="AC914" s="14">
        <f t="shared" si="49"/>
        <v>0</v>
      </c>
      <c r="AD914" s="19" t="e">
        <f>HYPERLINK(_xlfn.XLOOKUP(C914,M_YT_LIVE_TIMESTAMP!AA:AA,M_YT_LIVE_TIMESTAMP!Z:Z,"★",0,-1))</f>
        <v>#VALUE!</v>
      </c>
    </row>
    <row r="915" spans="3:30" x14ac:dyDescent="0.4">
      <c r="C915" s="12" t="str">
        <f t="shared" ref="C915:C978" si="50">TRIM(B915)&amp;TRIM(A915)</f>
        <v/>
      </c>
      <c r="AA915" s="14">
        <f t="shared" ref="AA915:AA978" si="51">B915</f>
        <v>0</v>
      </c>
      <c r="AB915" s="14" t="str">
        <f>_xlfn.XLOOKUP(AA915,M_ARTIST!A:A,M_ARTIST!B:B,"★★★",0,1)</f>
        <v>★★★</v>
      </c>
      <c r="AC915" s="14">
        <f t="shared" ref="AC915:AC978" si="52">A915</f>
        <v>0</v>
      </c>
      <c r="AD915" s="19" t="e">
        <f>HYPERLINK(_xlfn.XLOOKUP(C915,M_YT_LIVE_TIMESTAMP!AA:AA,M_YT_LIVE_TIMESTAMP!Z:Z,"★",0,-1))</f>
        <v>#VALUE!</v>
      </c>
    </row>
    <row r="916" spans="3:30" x14ac:dyDescent="0.4">
      <c r="C916" s="12" t="str">
        <f t="shared" si="50"/>
        <v/>
      </c>
      <c r="AA916" s="14">
        <f t="shared" si="51"/>
        <v>0</v>
      </c>
      <c r="AB916" s="14" t="str">
        <f>_xlfn.XLOOKUP(AA916,M_ARTIST!A:A,M_ARTIST!B:B,"★★★",0,1)</f>
        <v>★★★</v>
      </c>
      <c r="AC916" s="14">
        <f t="shared" si="52"/>
        <v>0</v>
      </c>
      <c r="AD916" s="19" t="e">
        <f>HYPERLINK(_xlfn.XLOOKUP(C916,M_YT_LIVE_TIMESTAMP!AA:AA,M_YT_LIVE_TIMESTAMP!Z:Z,"★",0,-1))</f>
        <v>#VALUE!</v>
      </c>
    </row>
    <row r="917" spans="3:30" x14ac:dyDescent="0.4">
      <c r="C917" s="12" t="str">
        <f t="shared" si="50"/>
        <v/>
      </c>
      <c r="AA917" s="14">
        <f t="shared" si="51"/>
        <v>0</v>
      </c>
      <c r="AB917" s="14" t="str">
        <f>_xlfn.XLOOKUP(AA917,M_ARTIST!A:A,M_ARTIST!B:B,"★★★",0,1)</f>
        <v>★★★</v>
      </c>
      <c r="AC917" s="14">
        <f t="shared" si="52"/>
        <v>0</v>
      </c>
      <c r="AD917" s="19" t="e">
        <f>HYPERLINK(_xlfn.XLOOKUP(C917,M_YT_LIVE_TIMESTAMP!AA:AA,M_YT_LIVE_TIMESTAMP!Z:Z,"★",0,-1))</f>
        <v>#VALUE!</v>
      </c>
    </row>
    <row r="918" spans="3:30" x14ac:dyDescent="0.4">
      <c r="C918" s="12" t="str">
        <f t="shared" si="50"/>
        <v/>
      </c>
      <c r="AA918" s="14">
        <f t="shared" si="51"/>
        <v>0</v>
      </c>
      <c r="AB918" s="14" t="str">
        <f>_xlfn.XLOOKUP(AA918,M_ARTIST!A:A,M_ARTIST!B:B,"★★★",0,1)</f>
        <v>★★★</v>
      </c>
      <c r="AC918" s="14">
        <f t="shared" si="52"/>
        <v>0</v>
      </c>
      <c r="AD918" s="19" t="e">
        <f>HYPERLINK(_xlfn.XLOOKUP(C918,M_YT_LIVE_TIMESTAMP!AA:AA,M_YT_LIVE_TIMESTAMP!Z:Z,"★",0,-1))</f>
        <v>#VALUE!</v>
      </c>
    </row>
    <row r="919" spans="3:30" x14ac:dyDescent="0.4">
      <c r="C919" s="12" t="str">
        <f t="shared" si="50"/>
        <v/>
      </c>
      <c r="AA919" s="14">
        <f t="shared" si="51"/>
        <v>0</v>
      </c>
      <c r="AB919" s="14" t="str">
        <f>_xlfn.XLOOKUP(AA919,M_ARTIST!A:A,M_ARTIST!B:B,"★★★",0,1)</f>
        <v>★★★</v>
      </c>
      <c r="AC919" s="14">
        <f t="shared" si="52"/>
        <v>0</v>
      </c>
      <c r="AD919" s="19" t="e">
        <f>HYPERLINK(_xlfn.XLOOKUP(C919,M_YT_LIVE_TIMESTAMP!AA:AA,M_YT_LIVE_TIMESTAMP!Z:Z,"★",0,-1))</f>
        <v>#VALUE!</v>
      </c>
    </row>
    <row r="920" spans="3:30" x14ac:dyDescent="0.4">
      <c r="C920" s="12" t="str">
        <f t="shared" si="50"/>
        <v/>
      </c>
      <c r="AA920" s="14">
        <f t="shared" si="51"/>
        <v>0</v>
      </c>
      <c r="AB920" s="14" t="str">
        <f>_xlfn.XLOOKUP(AA920,M_ARTIST!A:A,M_ARTIST!B:B,"★★★",0,1)</f>
        <v>★★★</v>
      </c>
      <c r="AC920" s="14">
        <f t="shared" si="52"/>
        <v>0</v>
      </c>
      <c r="AD920" s="19" t="e">
        <f>HYPERLINK(_xlfn.XLOOKUP(C920,M_YT_LIVE_TIMESTAMP!AA:AA,M_YT_LIVE_TIMESTAMP!Z:Z,"★",0,-1))</f>
        <v>#VALUE!</v>
      </c>
    </row>
    <row r="921" spans="3:30" x14ac:dyDescent="0.4">
      <c r="C921" s="12" t="str">
        <f t="shared" si="50"/>
        <v/>
      </c>
      <c r="AA921" s="14">
        <f t="shared" si="51"/>
        <v>0</v>
      </c>
      <c r="AB921" s="14" t="str">
        <f>_xlfn.XLOOKUP(AA921,M_ARTIST!A:A,M_ARTIST!B:B,"★★★",0,1)</f>
        <v>★★★</v>
      </c>
      <c r="AC921" s="14">
        <f t="shared" si="52"/>
        <v>0</v>
      </c>
      <c r="AD921" s="19" t="e">
        <f>HYPERLINK(_xlfn.XLOOKUP(C921,M_YT_LIVE_TIMESTAMP!AA:AA,M_YT_LIVE_TIMESTAMP!Z:Z,"★",0,-1))</f>
        <v>#VALUE!</v>
      </c>
    </row>
    <row r="922" spans="3:30" x14ac:dyDescent="0.4">
      <c r="C922" s="12" t="str">
        <f t="shared" si="50"/>
        <v/>
      </c>
      <c r="AA922" s="14">
        <f t="shared" si="51"/>
        <v>0</v>
      </c>
      <c r="AB922" s="14" t="str">
        <f>_xlfn.XLOOKUP(AA922,M_ARTIST!A:A,M_ARTIST!B:B,"★★★",0,1)</f>
        <v>★★★</v>
      </c>
      <c r="AC922" s="14">
        <f t="shared" si="52"/>
        <v>0</v>
      </c>
      <c r="AD922" s="19" t="e">
        <f>HYPERLINK(_xlfn.XLOOKUP(C922,M_YT_LIVE_TIMESTAMP!AA:AA,M_YT_LIVE_TIMESTAMP!Z:Z,"★",0,-1))</f>
        <v>#VALUE!</v>
      </c>
    </row>
    <row r="923" spans="3:30" x14ac:dyDescent="0.4">
      <c r="C923" s="12" t="str">
        <f t="shared" si="50"/>
        <v/>
      </c>
      <c r="AA923" s="14">
        <f t="shared" si="51"/>
        <v>0</v>
      </c>
      <c r="AB923" s="14" t="str">
        <f>_xlfn.XLOOKUP(AA923,M_ARTIST!A:A,M_ARTIST!B:B,"★★★",0,1)</f>
        <v>★★★</v>
      </c>
      <c r="AC923" s="14">
        <f t="shared" si="52"/>
        <v>0</v>
      </c>
      <c r="AD923" s="19" t="e">
        <f>HYPERLINK(_xlfn.XLOOKUP(C923,M_YT_LIVE_TIMESTAMP!AA:AA,M_YT_LIVE_TIMESTAMP!Z:Z,"★",0,-1))</f>
        <v>#VALUE!</v>
      </c>
    </row>
    <row r="924" spans="3:30" x14ac:dyDescent="0.4">
      <c r="C924" s="12" t="str">
        <f t="shared" si="50"/>
        <v/>
      </c>
      <c r="AA924" s="14">
        <f t="shared" si="51"/>
        <v>0</v>
      </c>
      <c r="AB924" s="14" t="str">
        <f>_xlfn.XLOOKUP(AA924,M_ARTIST!A:A,M_ARTIST!B:B,"★★★",0,1)</f>
        <v>★★★</v>
      </c>
      <c r="AC924" s="14">
        <f t="shared" si="52"/>
        <v>0</v>
      </c>
      <c r="AD924" s="19" t="e">
        <f>HYPERLINK(_xlfn.XLOOKUP(C924,M_YT_LIVE_TIMESTAMP!AA:AA,M_YT_LIVE_TIMESTAMP!Z:Z,"★",0,-1))</f>
        <v>#VALUE!</v>
      </c>
    </row>
    <row r="925" spans="3:30" x14ac:dyDescent="0.4">
      <c r="C925" s="12" t="str">
        <f t="shared" si="50"/>
        <v/>
      </c>
      <c r="AA925" s="14">
        <f t="shared" si="51"/>
        <v>0</v>
      </c>
      <c r="AB925" s="14" t="str">
        <f>_xlfn.XLOOKUP(AA925,M_ARTIST!A:A,M_ARTIST!B:B,"★★★",0,1)</f>
        <v>★★★</v>
      </c>
      <c r="AC925" s="14">
        <f t="shared" si="52"/>
        <v>0</v>
      </c>
      <c r="AD925" s="19" t="e">
        <f>HYPERLINK(_xlfn.XLOOKUP(C925,M_YT_LIVE_TIMESTAMP!AA:AA,M_YT_LIVE_TIMESTAMP!Z:Z,"★",0,-1))</f>
        <v>#VALUE!</v>
      </c>
    </row>
    <row r="926" spans="3:30" x14ac:dyDescent="0.4">
      <c r="C926" s="12" t="str">
        <f t="shared" si="50"/>
        <v/>
      </c>
      <c r="AA926" s="14">
        <f t="shared" si="51"/>
        <v>0</v>
      </c>
      <c r="AB926" s="14" t="str">
        <f>_xlfn.XLOOKUP(AA926,M_ARTIST!A:A,M_ARTIST!B:B,"★★★",0,1)</f>
        <v>★★★</v>
      </c>
      <c r="AC926" s="14">
        <f t="shared" si="52"/>
        <v>0</v>
      </c>
      <c r="AD926" s="19" t="e">
        <f>HYPERLINK(_xlfn.XLOOKUP(C926,M_YT_LIVE_TIMESTAMP!AA:AA,M_YT_LIVE_TIMESTAMP!Z:Z,"★",0,-1))</f>
        <v>#VALUE!</v>
      </c>
    </row>
    <row r="927" spans="3:30" x14ac:dyDescent="0.4">
      <c r="C927" s="12" t="str">
        <f t="shared" si="50"/>
        <v/>
      </c>
      <c r="AA927" s="14">
        <f t="shared" si="51"/>
        <v>0</v>
      </c>
      <c r="AB927" s="14" t="str">
        <f>_xlfn.XLOOKUP(AA927,M_ARTIST!A:A,M_ARTIST!B:B,"★★★",0,1)</f>
        <v>★★★</v>
      </c>
      <c r="AC927" s="14">
        <f t="shared" si="52"/>
        <v>0</v>
      </c>
      <c r="AD927" s="19" t="e">
        <f>HYPERLINK(_xlfn.XLOOKUP(C927,M_YT_LIVE_TIMESTAMP!AA:AA,M_YT_LIVE_TIMESTAMP!Z:Z,"★",0,-1))</f>
        <v>#VALUE!</v>
      </c>
    </row>
    <row r="928" spans="3:30" x14ac:dyDescent="0.4">
      <c r="C928" s="12" t="str">
        <f t="shared" si="50"/>
        <v/>
      </c>
      <c r="AA928" s="14">
        <f t="shared" si="51"/>
        <v>0</v>
      </c>
      <c r="AB928" s="14" t="str">
        <f>_xlfn.XLOOKUP(AA928,M_ARTIST!A:A,M_ARTIST!B:B,"★★★",0,1)</f>
        <v>★★★</v>
      </c>
      <c r="AC928" s="14">
        <f t="shared" si="52"/>
        <v>0</v>
      </c>
      <c r="AD928" s="19" t="e">
        <f>HYPERLINK(_xlfn.XLOOKUP(C928,M_YT_LIVE_TIMESTAMP!AA:AA,M_YT_LIVE_TIMESTAMP!Z:Z,"★",0,-1))</f>
        <v>#VALUE!</v>
      </c>
    </row>
    <row r="929" spans="3:30" x14ac:dyDescent="0.4">
      <c r="C929" s="12" t="str">
        <f t="shared" si="50"/>
        <v/>
      </c>
      <c r="AA929" s="14">
        <f t="shared" si="51"/>
        <v>0</v>
      </c>
      <c r="AB929" s="14" t="str">
        <f>_xlfn.XLOOKUP(AA929,M_ARTIST!A:A,M_ARTIST!B:B,"★★★",0,1)</f>
        <v>★★★</v>
      </c>
      <c r="AC929" s="14">
        <f t="shared" si="52"/>
        <v>0</v>
      </c>
      <c r="AD929" s="19" t="e">
        <f>HYPERLINK(_xlfn.XLOOKUP(C929,M_YT_LIVE_TIMESTAMP!AA:AA,M_YT_LIVE_TIMESTAMP!Z:Z,"★",0,-1))</f>
        <v>#VALUE!</v>
      </c>
    </row>
    <row r="930" spans="3:30" x14ac:dyDescent="0.4">
      <c r="C930" s="12" t="str">
        <f t="shared" si="50"/>
        <v/>
      </c>
      <c r="AA930" s="14">
        <f t="shared" si="51"/>
        <v>0</v>
      </c>
      <c r="AB930" s="14" t="str">
        <f>_xlfn.XLOOKUP(AA930,M_ARTIST!A:A,M_ARTIST!B:B,"★★★",0,1)</f>
        <v>★★★</v>
      </c>
      <c r="AC930" s="14">
        <f t="shared" si="52"/>
        <v>0</v>
      </c>
      <c r="AD930" s="19" t="e">
        <f>HYPERLINK(_xlfn.XLOOKUP(C930,M_YT_LIVE_TIMESTAMP!AA:AA,M_YT_LIVE_TIMESTAMP!Z:Z,"★",0,-1))</f>
        <v>#VALUE!</v>
      </c>
    </row>
    <row r="931" spans="3:30" x14ac:dyDescent="0.4">
      <c r="C931" s="12" t="str">
        <f t="shared" si="50"/>
        <v/>
      </c>
      <c r="AA931" s="14">
        <f t="shared" si="51"/>
        <v>0</v>
      </c>
      <c r="AB931" s="14" t="str">
        <f>_xlfn.XLOOKUP(AA931,M_ARTIST!A:A,M_ARTIST!B:B,"★★★",0,1)</f>
        <v>★★★</v>
      </c>
      <c r="AC931" s="14">
        <f t="shared" si="52"/>
        <v>0</v>
      </c>
      <c r="AD931" s="19" t="e">
        <f>HYPERLINK(_xlfn.XLOOKUP(C931,M_YT_LIVE_TIMESTAMP!AA:AA,M_YT_LIVE_TIMESTAMP!Z:Z,"★",0,-1))</f>
        <v>#VALUE!</v>
      </c>
    </row>
    <row r="932" spans="3:30" x14ac:dyDescent="0.4">
      <c r="C932" s="12" t="str">
        <f t="shared" si="50"/>
        <v/>
      </c>
      <c r="AA932" s="14">
        <f t="shared" si="51"/>
        <v>0</v>
      </c>
      <c r="AB932" s="14" t="str">
        <f>_xlfn.XLOOKUP(AA932,M_ARTIST!A:A,M_ARTIST!B:B,"★★★",0,1)</f>
        <v>★★★</v>
      </c>
      <c r="AC932" s="14">
        <f t="shared" si="52"/>
        <v>0</v>
      </c>
      <c r="AD932" s="19" t="e">
        <f>HYPERLINK(_xlfn.XLOOKUP(C932,M_YT_LIVE_TIMESTAMP!AA:AA,M_YT_LIVE_TIMESTAMP!Z:Z,"★",0,-1))</f>
        <v>#VALUE!</v>
      </c>
    </row>
    <row r="933" spans="3:30" x14ac:dyDescent="0.4">
      <c r="C933" s="12" t="str">
        <f t="shared" si="50"/>
        <v/>
      </c>
      <c r="AA933" s="14">
        <f t="shared" si="51"/>
        <v>0</v>
      </c>
      <c r="AB933" s="14" t="str">
        <f>_xlfn.XLOOKUP(AA933,M_ARTIST!A:A,M_ARTIST!B:B,"★★★",0,1)</f>
        <v>★★★</v>
      </c>
      <c r="AC933" s="14">
        <f t="shared" si="52"/>
        <v>0</v>
      </c>
      <c r="AD933" s="19" t="e">
        <f>HYPERLINK(_xlfn.XLOOKUP(C933,M_YT_LIVE_TIMESTAMP!AA:AA,M_YT_LIVE_TIMESTAMP!Z:Z,"★",0,-1))</f>
        <v>#VALUE!</v>
      </c>
    </row>
    <row r="934" spans="3:30" x14ac:dyDescent="0.4">
      <c r="C934" s="12" t="str">
        <f t="shared" si="50"/>
        <v/>
      </c>
      <c r="AA934" s="14">
        <f t="shared" si="51"/>
        <v>0</v>
      </c>
      <c r="AB934" s="14" t="str">
        <f>_xlfn.XLOOKUP(AA934,M_ARTIST!A:A,M_ARTIST!B:B,"★★★",0,1)</f>
        <v>★★★</v>
      </c>
      <c r="AC934" s="14">
        <f t="shared" si="52"/>
        <v>0</v>
      </c>
      <c r="AD934" s="19" t="e">
        <f>HYPERLINK(_xlfn.XLOOKUP(C934,M_YT_LIVE_TIMESTAMP!AA:AA,M_YT_LIVE_TIMESTAMP!Z:Z,"★",0,-1))</f>
        <v>#VALUE!</v>
      </c>
    </row>
    <row r="935" spans="3:30" x14ac:dyDescent="0.4">
      <c r="C935" s="12" t="str">
        <f t="shared" si="50"/>
        <v/>
      </c>
      <c r="AA935" s="14">
        <f t="shared" si="51"/>
        <v>0</v>
      </c>
      <c r="AB935" s="14" t="str">
        <f>_xlfn.XLOOKUP(AA935,M_ARTIST!A:A,M_ARTIST!B:B,"★★★",0,1)</f>
        <v>★★★</v>
      </c>
      <c r="AC935" s="14">
        <f t="shared" si="52"/>
        <v>0</v>
      </c>
      <c r="AD935" s="19" t="e">
        <f>HYPERLINK(_xlfn.XLOOKUP(C935,M_YT_LIVE_TIMESTAMP!AA:AA,M_YT_LIVE_TIMESTAMP!Z:Z,"★",0,-1))</f>
        <v>#VALUE!</v>
      </c>
    </row>
    <row r="936" spans="3:30" x14ac:dyDescent="0.4">
      <c r="C936" s="12" t="str">
        <f t="shared" si="50"/>
        <v/>
      </c>
      <c r="AA936" s="14">
        <f t="shared" si="51"/>
        <v>0</v>
      </c>
      <c r="AB936" s="14" t="str">
        <f>_xlfn.XLOOKUP(AA936,M_ARTIST!A:A,M_ARTIST!B:B,"★★★",0,1)</f>
        <v>★★★</v>
      </c>
      <c r="AC936" s="14">
        <f t="shared" si="52"/>
        <v>0</v>
      </c>
      <c r="AD936" s="19" t="e">
        <f>HYPERLINK(_xlfn.XLOOKUP(C936,M_YT_LIVE_TIMESTAMP!AA:AA,M_YT_LIVE_TIMESTAMP!Z:Z,"★",0,-1))</f>
        <v>#VALUE!</v>
      </c>
    </row>
    <row r="937" spans="3:30" x14ac:dyDescent="0.4">
      <c r="C937" s="12" t="str">
        <f t="shared" si="50"/>
        <v/>
      </c>
      <c r="AA937" s="14">
        <f t="shared" si="51"/>
        <v>0</v>
      </c>
      <c r="AB937" s="14" t="str">
        <f>_xlfn.XLOOKUP(AA937,M_ARTIST!A:A,M_ARTIST!B:B,"★★★",0,1)</f>
        <v>★★★</v>
      </c>
      <c r="AC937" s="14">
        <f t="shared" si="52"/>
        <v>0</v>
      </c>
      <c r="AD937" s="19" t="e">
        <f>HYPERLINK(_xlfn.XLOOKUP(C937,M_YT_LIVE_TIMESTAMP!AA:AA,M_YT_LIVE_TIMESTAMP!Z:Z,"★",0,-1))</f>
        <v>#VALUE!</v>
      </c>
    </row>
    <row r="938" spans="3:30" x14ac:dyDescent="0.4">
      <c r="C938" s="12" t="str">
        <f t="shared" si="50"/>
        <v/>
      </c>
      <c r="AA938" s="14">
        <f t="shared" si="51"/>
        <v>0</v>
      </c>
      <c r="AB938" s="14" t="str">
        <f>_xlfn.XLOOKUP(AA938,M_ARTIST!A:A,M_ARTIST!B:B,"★★★",0,1)</f>
        <v>★★★</v>
      </c>
      <c r="AC938" s="14">
        <f t="shared" si="52"/>
        <v>0</v>
      </c>
      <c r="AD938" s="19" t="e">
        <f>HYPERLINK(_xlfn.XLOOKUP(C938,M_YT_LIVE_TIMESTAMP!AA:AA,M_YT_LIVE_TIMESTAMP!Z:Z,"★",0,-1))</f>
        <v>#VALUE!</v>
      </c>
    </row>
    <row r="939" spans="3:30" x14ac:dyDescent="0.4">
      <c r="C939" s="12" t="str">
        <f t="shared" si="50"/>
        <v/>
      </c>
      <c r="AA939" s="14">
        <f t="shared" si="51"/>
        <v>0</v>
      </c>
      <c r="AB939" s="14" t="str">
        <f>_xlfn.XLOOKUP(AA939,M_ARTIST!A:A,M_ARTIST!B:B,"★★★",0,1)</f>
        <v>★★★</v>
      </c>
      <c r="AC939" s="14">
        <f t="shared" si="52"/>
        <v>0</v>
      </c>
      <c r="AD939" s="19" t="e">
        <f>HYPERLINK(_xlfn.XLOOKUP(C939,M_YT_LIVE_TIMESTAMP!AA:AA,M_YT_LIVE_TIMESTAMP!Z:Z,"★",0,-1))</f>
        <v>#VALUE!</v>
      </c>
    </row>
    <row r="940" spans="3:30" x14ac:dyDescent="0.4">
      <c r="C940" s="12" t="str">
        <f t="shared" si="50"/>
        <v/>
      </c>
      <c r="AA940" s="14">
        <f t="shared" si="51"/>
        <v>0</v>
      </c>
      <c r="AB940" s="14" t="str">
        <f>_xlfn.XLOOKUP(AA940,M_ARTIST!A:A,M_ARTIST!B:B,"★★★",0,1)</f>
        <v>★★★</v>
      </c>
      <c r="AC940" s="14">
        <f t="shared" si="52"/>
        <v>0</v>
      </c>
      <c r="AD940" s="19" t="e">
        <f>HYPERLINK(_xlfn.XLOOKUP(C940,M_YT_LIVE_TIMESTAMP!AA:AA,M_YT_LIVE_TIMESTAMP!Z:Z,"★",0,-1))</f>
        <v>#VALUE!</v>
      </c>
    </row>
    <row r="941" spans="3:30" x14ac:dyDescent="0.4">
      <c r="C941" s="12" t="str">
        <f t="shared" si="50"/>
        <v/>
      </c>
      <c r="AA941" s="14">
        <f t="shared" si="51"/>
        <v>0</v>
      </c>
      <c r="AB941" s="14" t="str">
        <f>_xlfn.XLOOKUP(AA941,M_ARTIST!A:A,M_ARTIST!B:B,"★★★",0,1)</f>
        <v>★★★</v>
      </c>
      <c r="AC941" s="14">
        <f t="shared" si="52"/>
        <v>0</v>
      </c>
      <c r="AD941" s="19" t="e">
        <f>HYPERLINK(_xlfn.XLOOKUP(C941,M_YT_LIVE_TIMESTAMP!AA:AA,M_YT_LIVE_TIMESTAMP!Z:Z,"★",0,-1))</f>
        <v>#VALUE!</v>
      </c>
    </row>
    <row r="942" spans="3:30" x14ac:dyDescent="0.4">
      <c r="C942" s="12" t="str">
        <f t="shared" si="50"/>
        <v/>
      </c>
      <c r="AA942" s="14">
        <f t="shared" si="51"/>
        <v>0</v>
      </c>
      <c r="AB942" s="14" t="str">
        <f>_xlfn.XLOOKUP(AA942,M_ARTIST!A:A,M_ARTIST!B:B,"★★★",0,1)</f>
        <v>★★★</v>
      </c>
      <c r="AC942" s="14">
        <f t="shared" si="52"/>
        <v>0</v>
      </c>
      <c r="AD942" s="19" t="e">
        <f>HYPERLINK(_xlfn.XLOOKUP(C942,M_YT_LIVE_TIMESTAMP!AA:AA,M_YT_LIVE_TIMESTAMP!Z:Z,"★",0,-1))</f>
        <v>#VALUE!</v>
      </c>
    </row>
    <row r="943" spans="3:30" x14ac:dyDescent="0.4">
      <c r="C943" s="12" t="str">
        <f t="shared" si="50"/>
        <v/>
      </c>
      <c r="AA943" s="14">
        <f t="shared" si="51"/>
        <v>0</v>
      </c>
      <c r="AB943" s="14" t="str">
        <f>_xlfn.XLOOKUP(AA943,M_ARTIST!A:A,M_ARTIST!B:B,"★★★",0,1)</f>
        <v>★★★</v>
      </c>
      <c r="AC943" s="14">
        <f t="shared" si="52"/>
        <v>0</v>
      </c>
      <c r="AD943" s="19" t="e">
        <f>HYPERLINK(_xlfn.XLOOKUP(C943,M_YT_LIVE_TIMESTAMP!AA:AA,M_YT_LIVE_TIMESTAMP!Z:Z,"★",0,-1))</f>
        <v>#VALUE!</v>
      </c>
    </row>
    <row r="944" spans="3:30" x14ac:dyDescent="0.4">
      <c r="C944" s="12" t="str">
        <f t="shared" si="50"/>
        <v/>
      </c>
      <c r="AA944" s="14">
        <f t="shared" si="51"/>
        <v>0</v>
      </c>
      <c r="AB944" s="14" t="str">
        <f>_xlfn.XLOOKUP(AA944,M_ARTIST!A:A,M_ARTIST!B:B,"★★★",0,1)</f>
        <v>★★★</v>
      </c>
      <c r="AC944" s="14">
        <f t="shared" si="52"/>
        <v>0</v>
      </c>
      <c r="AD944" s="19" t="e">
        <f>HYPERLINK(_xlfn.XLOOKUP(C944,M_YT_LIVE_TIMESTAMP!AA:AA,M_YT_LIVE_TIMESTAMP!Z:Z,"★",0,-1))</f>
        <v>#VALUE!</v>
      </c>
    </row>
    <row r="945" spans="3:30" x14ac:dyDescent="0.4">
      <c r="C945" s="12" t="str">
        <f t="shared" si="50"/>
        <v/>
      </c>
      <c r="AA945" s="14">
        <f t="shared" si="51"/>
        <v>0</v>
      </c>
      <c r="AB945" s="14" t="str">
        <f>_xlfn.XLOOKUP(AA945,M_ARTIST!A:A,M_ARTIST!B:B,"★★★",0,1)</f>
        <v>★★★</v>
      </c>
      <c r="AC945" s="14">
        <f t="shared" si="52"/>
        <v>0</v>
      </c>
      <c r="AD945" s="19" t="e">
        <f>HYPERLINK(_xlfn.XLOOKUP(C945,M_YT_LIVE_TIMESTAMP!AA:AA,M_YT_LIVE_TIMESTAMP!Z:Z,"★",0,-1))</f>
        <v>#VALUE!</v>
      </c>
    </row>
    <row r="946" spans="3:30" x14ac:dyDescent="0.4">
      <c r="C946" s="12" t="str">
        <f t="shared" si="50"/>
        <v/>
      </c>
      <c r="AA946" s="14">
        <f t="shared" si="51"/>
        <v>0</v>
      </c>
      <c r="AB946" s="14" t="str">
        <f>_xlfn.XLOOKUP(AA946,M_ARTIST!A:A,M_ARTIST!B:B,"★★★",0,1)</f>
        <v>★★★</v>
      </c>
      <c r="AC946" s="14">
        <f t="shared" si="52"/>
        <v>0</v>
      </c>
      <c r="AD946" s="19" t="e">
        <f>HYPERLINK(_xlfn.XLOOKUP(C946,M_YT_LIVE_TIMESTAMP!AA:AA,M_YT_LIVE_TIMESTAMP!Z:Z,"★",0,-1))</f>
        <v>#VALUE!</v>
      </c>
    </row>
    <row r="947" spans="3:30" x14ac:dyDescent="0.4">
      <c r="C947" s="12" t="str">
        <f t="shared" si="50"/>
        <v/>
      </c>
      <c r="AA947" s="14">
        <f t="shared" si="51"/>
        <v>0</v>
      </c>
      <c r="AB947" s="14" t="str">
        <f>_xlfn.XLOOKUP(AA947,M_ARTIST!A:A,M_ARTIST!B:B,"★★★",0,1)</f>
        <v>★★★</v>
      </c>
      <c r="AC947" s="14">
        <f t="shared" si="52"/>
        <v>0</v>
      </c>
      <c r="AD947" s="19" t="e">
        <f>HYPERLINK(_xlfn.XLOOKUP(C947,M_YT_LIVE_TIMESTAMP!AA:AA,M_YT_LIVE_TIMESTAMP!Z:Z,"★",0,-1))</f>
        <v>#VALUE!</v>
      </c>
    </row>
    <row r="948" spans="3:30" x14ac:dyDescent="0.4">
      <c r="C948" s="12" t="str">
        <f t="shared" si="50"/>
        <v/>
      </c>
      <c r="AA948" s="14">
        <f t="shared" si="51"/>
        <v>0</v>
      </c>
      <c r="AB948" s="14" t="str">
        <f>_xlfn.XLOOKUP(AA948,M_ARTIST!A:A,M_ARTIST!B:B,"★★★",0,1)</f>
        <v>★★★</v>
      </c>
      <c r="AC948" s="14">
        <f t="shared" si="52"/>
        <v>0</v>
      </c>
      <c r="AD948" s="19" t="e">
        <f>HYPERLINK(_xlfn.XLOOKUP(C948,M_YT_LIVE_TIMESTAMP!AA:AA,M_YT_LIVE_TIMESTAMP!Z:Z,"★",0,-1))</f>
        <v>#VALUE!</v>
      </c>
    </row>
    <row r="949" spans="3:30" x14ac:dyDescent="0.4">
      <c r="C949" s="12" t="str">
        <f t="shared" si="50"/>
        <v/>
      </c>
      <c r="AA949" s="14">
        <f t="shared" si="51"/>
        <v>0</v>
      </c>
      <c r="AB949" s="14" t="str">
        <f>_xlfn.XLOOKUP(AA949,M_ARTIST!A:A,M_ARTIST!B:B,"★★★",0,1)</f>
        <v>★★★</v>
      </c>
      <c r="AC949" s="14">
        <f t="shared" si="52"/>
        <v>0</v>
      </c>
      <c r="AD949" s="19" t="e">
        <f>HYPERLINK(_xlfn.XLOOKUP(C949,M_YT_LIVE_TIMESTAMP!AA:AA,M_YT_LIVE_TIMESTAMP!Z:Z,"★",0,-1))</f>
        <v>#VALUE!</v>
      </c>
    </row>
    <row r="950" spans="3:30" x14ac:dyDescent="0.4">
      <c r="C950" s="12" t="str">
        <f t="shared" si="50"/>
        <v/>
      </c>
      <c r="AA950" s="14">
        <f t="shared" si="51"/>
        <v>0</v>
      </c>
      <c r="AB950" s="14" t="str">
        <f>_xlfn.XLOOKUP(AA950,M_ARTIST!A:A,M_ARTIST!B:B,"★★★",0,1)</f>
        <v>★★★</v>
      </c>
      <c r="AC950" s="14">
        <f t="shared" si="52"/>
        <v>0</v>
      </c>
      <c r="AD950" s="19" t="e">
        <f>HYPERLINK(_xlfn.XLOOKUP(C950,M_YT_LIVE_TIMESTAMP!AA:AA,M_YT_LIVE_TIMESTAMP!Z:Z,"★",0,-1))</f>
        <v>#VALUE!</v>
      </c>
    </row>
    <row r="951" spans="3:30" x14ac:dyDescent="0.4">
      <c r="C951" s="12" t="str">
        <f t="shared" si="50"/>
        <v/>
      </c>
      <c r="AA951" s="14">
        <f t="shared" si="51"/>
        <v>0</v>
      </c>
      <c r="AB951" s="14" t="str">
        <f>_xlfn.XLOOKUP(AA951,M_ARTIST!A:A,M_ARTIST!B:B,"★★★",0,1)</f>
        <v>★★★</v>
      </c>
      <c r="AC951" s="14">
        <f t="shared" si="52"/>
        <v>0</v>
      </c>
      <c r="AD951" s="19" t="e">
        <f>HYPERLINK(_xlfn.XLOOKUP(C951,M_YT_LIVE_TIMESTAMP!AA:AA,M_YT_LIVE_TIMESTAMP!Z:Z,"★",0,-1))</f>
        <v>#VALUE!</v>
      </c>
    </row>
    <row r="952" spans="3:30" x14ac:dyDescent="0.4">
      <c r="C952" s="12" t="str">
        <f t="shared" si="50"/>
        <v/>
      </c>
      <c r="AA952" s="14">
        <f t="shared" si="51"/>
        <v>0</v>
      </c>
      <c r="AB952" s="14" t="str">
        <f>_xlfn.XLOOKUP(AA952,M_ARTIST!A:A,M_ARTIST!B:B,"★★★",0,1)</f>
        <v>★★★</v>
      </c>
      <c r="AC952" s="14">
        <f t="shared" si="52"/>
        <v>0</v>
      </c>
      <c r="AD952" s="19" t="e">
        <f>HYPERLINK(_xlfn.XLOOKUP(C952,M_YT_LIVE_TIMESTAMP!AA:AA,M_YT_LIVE_TIMESTAMP!Z:Z,"★",0,-1))</f>
        <v>#VALUE!</v>
      </c>
    </row>
    <row r="953" spans="3:30" x14ac:dyDescent="0.4">
      <c r="C953" s="12" t="str">
        <f t="shared" si="50"/>
        <v/>
      </c>
      <c r="AA953" s="14">
        <f t="shared" si="51"/>
        <v>0</v>
      </c>
      <c r="AB953" s="14" t="str">
        <f>_xlfn.XLOOKUP(AA953,M_ARTIST!A:A,M_ARTIST!B:B,"★★★",0,1)</f>
        <v>★★★</v>
      </c>
      <c r="AC953" s="14">
        <f t="shared" si="52"/>
        <v>0</v>
      </c>
      <c r="AD953" s="19" t="e">
        <f>HYPERLINK(_xlfn.XLOOKUP(C953,M_YT_LIVE_TIMESTAMP!AA:AA,M_YT_LIVE_TIMESTAMP!Z:Z,"★",0,-1))</f>
        <v>#VALUE!</v>
      </c>
    </row>
    <row r="954" spans="3:30" x14ac:dyDescent="0.4">
      <c r="C954" s="12" t="str">
        <f t="shared" si="50"/>
        <v/>
      </c>
      <c r="AA954" s="14">
        <f t="shared" si="51"/>
        <v>0</v>
      </c>
      <c r="AB954" s="14" t="str">
        <f>_xlfn.XLOOKUP(AA954,M_ARTIST!A:A,M_ARTIST!B:B,"★★★",0,1)</f>
        <v>★★★</v>
      </c>
      <c r="AC954" s="14">
        <f t="shared" si="52"/>
        <v>0</v>
      </c>
      <c r="AD954" s="19" t="e">
        <f>HYPERLINK(_xlfn.XLOOKUP(C954,M_YT_LIVE_TIMESTAMP!AA:AA,M_YT_LIVE_TIMESTAMP!Z:Z,"★",0,-1))</f>
        <v>#VALUE!</v>
      </c>
    </row>
    <row r="955" spans="3:30" x14ac:dyDescent="0.4">
      <c r="C955" s="12" t="str">
        <f t="shared" si="50"/>
        <v/>
      </c>
      <c r="AA955" s="14">
        <f t="shared" si="51"/>
        <v>0</v>
      </c>
      <c r="AB955" s="14" t="str">
        <f>_xlfn.XLOOKUP(AA955,M_ARTIST!A:A,M_ARTIST!B:B,"★★★",0,1)</f>
        <v>★★★</v>
      </c>
      <c r="AC955" s="14">
        <f t="shared" si="52"/>
        <v>0</v>
      </c>
      <c r="AD955" s="19" t="e">
        <f>HYPERLINK(_xlfn.XLOOKUP(C955,M_YT_LIVE_TIMESTAMP!AA:AA,M_YT_LIVE_TIMESTAMP!Z:Z,"★",0,-1))</f>
        <v>#VALUE!</v>
      </c>
    </row>
    <row r="956" spans="3:30" x14ac:dyDescent="0.4">
      <c r="C956" s="12" t="str">
        <f t="shared" si="50"/>
        <v/>
      </c>
      <c r="AA956" s="14">
        <f t="shared" si="51"/>
        <v>0</v>
      </c>
      <c r="AB956" s="14" t="str">
        <f>_xlfn.XLOOKUP(AA956,M_ARTIST!A:A,M_ARTIST!B:B,"★★★",0,1)</f>
        <v>★★★</v>
      </c>
      <c r="AC956" s="14">
        <f t="shared" si="52"/>
        <v>0</v>
      </c>
      <c r="AD956" s="19" t="e">
        <f>HYPERLINK(_xlfn.XLOOKUP(C956,M_YT_LIVE_TIMESTAMP!AA:AA,M_YT_LIVE_TIMESTAMP!Z:Z,"★",0,-1))</f>
        <v>#VALUE!</v>
      </c>
    </row>
    <row r="957" spans="3:30" x14ac:dyDescent="0.4">
      <c r="C957" s="12" t="str">
        <f t="shared" si="50"/>
        <v/>
      </c>
      <c r="AA957" s="14">
        <f t="shared" si="51"/>
        <v>0</v>
      </c>
      <c r="AB957" s="14" t="str">
        <f>_xlfn.XLOOKUP(AA957,M_ARTIST!A:A,M_ARTIST!B:B,"★★★",0,1)</f>
        <v>★★★</v>
      </c>
      <c r="AC957" s="14">
        <f t="shared" si="52"/>
        <v>0</v>
      </c>
      <c r="AD957" s="19" t="e">
        <f>HYPERLINK(_xlfn.XLOOKUP(C957,M_YT_LIVE_TIMESTAMP!AA:AA,M_YT_LIVE_TIMESTAMP!Z:Z,"★",0,-1))</f>
        <v>#VALUE!</v>
      </c>
    </row>
    <row r="958" spans="3:30" x14ac:dyDescent="0.4">
      <c r="C958" s="12" t="str">
        <f t="shared" si="50"/>
        <v/>
      </c>
      <c r="AA958" s="14">
        <f t="shared" si="51"/>
        <v>0</v>
      </c>
      <c r="AB958" s="14" t="str">
        <f>_xlfn.XLOOKUP(AA958,M_ARTIST!A:A,M_ARTIST!B:B,"★★★",0,1)</f>
        <v>★★★</v>
      </c>
      <c r="AC958" s="14">
        <f t="shared" si="52"/>
        <v>0</v>
      </c>
      <c r="AD958" s="19" t="e">
        <f>HYPERLINK(_xlfn.XLOOKUP(C958,M_YT_LIVE_TIMESTAMP!AA:AA,M_YT_LIVE_TIMESTAMP!Z:Z,"★",0,-1))</f>
        <v>#VALUE!</v>
      </c>
    </row>
    <row r="959" spans="3:30" x14ac:dyDescent="0.4">
      <c r="C959" s="12" t="str">
        <f t="shared" si="50"/>
        <v/>
      </c>
      <c r="AA959" s="14">
        <f t="shared" si="51"/>
        <v>0</v>
      </c>
      <c r="AB959" s="14" t="str">
        <f>_xlfn.XLOOKUP(AA959,M_ARTIST!A:A,M_ARTIST!B:B,"★★★",0,1)</f>
        <v>★★★</v>
      </c>
      <c r="AC959" s="14">
        <f t="shared" si="52"/>
        <v>0</v>
      </c>
      <c r="AD959" s="19" t="e">
        <f>HYPERLINK(_xlfn.XLOOKUP(C959,M_YT_LIVE_TIMESTAMP!AA:AA,M_YT_LIVE_TIMESTAMP!Z:Z,"★",0,-1))</f>
        <v>#VALUE!</v>
      </c>
    </row>
    <row r="960" spans="3:30" x14ac:dyDescent="0.4">
      <c r="C960" s="12" t="str">
        <f t="shared" si="50"/>
        <v/>
      </c>
      <c r="AA960" s="14">
        <f t="shared" si="51"/>
        <v>0</v>
      </c>
      <c r="AB960" s="14" t="str">
        <f>_xlfn.XLOOKUP(AA960,M_ARTIST!A:A,M_ARTIST!B:B,"★★★",0,1)</f>
        <v>★★★</v>
      </c>
      <c r="AC960" s="14">
        <f t="shared" si="52"/>
        <v>0</v>
      </c>
      <c r="AD960" s="19" t="e">
        <f>HYPERLINK(_xlfn.XLOOKUP(C960,M_YT_LIVE_TIMESTAMP!AA:AA,M_YT_LIVE_TIMESTAMP!Z:Z,"★",0,-1))</f>
        <v>#VALUE!</v>
      </c>
    </row>
    <row r="961" spans="3:30" x14ac:dyDescent="0.4">
      <c r="C961" s="12" t="str">
        <f t="shared" si="50"/>
        <v/>
      </c>
      <c r="AA961" s="14">
        <f t="shared" si="51"/>
        <v>0</v>
      </c>
      <c r="AB961" s="14" t="str">
        <f>_xlfn.XLOOKUP(AA961,M_ARTIST!A:A,M_ARTIST!B:B,"★★★",0,1)</f>
        <v>★★★</v>
      </c>
      <c r="AC961" s="14">
        <f t="shared" si="52"/>
        <v>0</v>
      </c>
      <c r="AD961" s="19" t="e">
        <f>HYPERLINK(_xlfn.XLOOKUP(C961,M_YT_LIVE_TIMESTAMP!AA:AA,M_YT_LIVE_TIMESTAMP!Z:Z,"★",0,-1))</f>
        <v>#VALUE!</v>
      </c>
    </row>
    <row r="962" spans="3:30" x14ac:dyDescent="0.4">
      <c r="C962" s="12" t="str">
        <f t="shared" si="50"/>
        <v/>
      </c>
      <c r="AA962" s="14">
        <f t="shared" si="51"/>
        <v>0</v>
      </c>
      <c r="AB962" s="14" t="str">
        <f>_xlfn.XLOOKUP(AA962,M_ARTIST!A:A,M_ARTIST!B:B,"★★★",0,1)</f>
        <v>★★★</v>
      </c>
      <c r="AC962" s="14">
        <f t="shared" si="52"/>
        <v>0</v>
      </c>
      <c r="AD962" s="19" t="e">
        <f>HYPERLINK(_xlfn.XLOOKUP(C962,M_YT_LIVE_TIMESTAMP!AA:AA,M_YT_LIVE_TIMESTAMP!Z:Z,"★",0,-1))</f>
        <v>#VALUE!</v>
      </c>
    </row>
    <row r="963" spans="3:30" x14ac:dyDescent="0.4">
      <c r="C963" s="12" t="str">
        <f t="shared" si="50"/>
        <v/>
      </c>
      <c r="AA963" s="14">
        <f t="shared" si="51"/>
        <v>0</v>
      </c>
      <c r="AB963" s="14" t="str">
        <f>_xlfn.XLOOKUP(AA963,M_ARTIST!A:A,M_ARTIST!B:B,"★★★",0,1)</f>
        <v>★★★</v>
      </c>
      <c r="AC963" s="14">
        <f t="shared" si="52"/>
        <v>0</v>
      </c>
      <c r="AD963" s="19" t="e">
        <f>HYPERLINK(_xlfn.XLOOKUP(C963,M_YT_LIVE_TIMESTAMP!AA:AA,M_YT_LIVE_TIMESTAMP!Z:Z,"★",0,-1))</f>
        <v>#VALUE!</v>
      </c>
    </row>
    <row r="964" spans="3:30" x14ac:dyDescent="0.4">
      <c r="C964" s="12" t="str">
        <f t="shared" si="50"/>
        <v/>
      </c>
      <c r="AA964" s="14">
        <f t="shared" si="51"/>
        <v>0</v>
      </c>
      <c r="AB964" s="14" t="str">
        <f>_xlfn.XLOOKUP(AA964,M_ARTIST!A:A,M_ARTIST!B:B,"★★★",0,1)</f>
        <v>★★★</v>
      </c>
      <c r="AC964" s="14">
        <f t="shared" si="52"/>
        <v>0</v>
      </c>
      <c r="AD964" s="19" t="e">
        <f>HYPERLINK(_xlfn.XLOOKUP(C964,M_YT_LIVE_TIMESTAMP!AA:AA,M_YT_LIVE_TIMESTAMP!Z:Z,"★",0,-1))</f>
        <v>#VALUE!</v>
      </c>
    </row>
    <row r="965" spans="3:30" x14ac:dyDescent="0.4">
      <c r="C965" s="12" t="str">
        <f t="shared" si="50"/>
        <v/>
      </c>
      <c r="AA965" s="14">
        <f t="shared" si="51"/>
        <v>0</v>
      </c>
      <c r="AB965" s="14" t="str">
        <f>_xlfn.XLOOKUP(AA965,M_ARTIST!A:A,M_ARTIST!B:B,"★★★",0,1)</f>
        <v>★★★</v>
      </c>
      <c r="AC965" s="14">
        <f t="shared" si="52"/>
        <v>0</v>
      </c>
      <c r="AD965" s="19" t="e">
        <f>HYPERLINK(_xlfn.XLOOKUP(C965,M_YT_LIVE_TIMESTAMP!AA:AA,M_YT_LIVE_TIMESTAMP!Z:Z,"★",0,-1))</f>
        <v>#VALUE!</v>
      </c>
    </row>
    <row r="966" spans="3:30" x14ac:dyDescent="0.4">
      <c r="C966" s="12" t="str">
        <f t="shared" si="50"/>
        <v/>
      </c>
      <c r="AA966" s="14">
        <f t="shared" si="51"/>
        <v>0</v>
      </c>
      <c r="AB966" s="14" t="str">
        <f>_xlfn.XLOOKUP(AA966,M_ARTIST!A:A,M_ARTIST!B:B,"★★★",0,1)</f>
        <v>★★★</v>
      </c>
      <c r="AC966" s="14">
        <f t="shared" si="52"/>
        <v>0</v>
      </c>
      <c r="AD966" s="19" t="e">
        <f>HYPERLINK(_xlfn.XLOOKUP(C966,M_YT_LIVE_TIMESTAMP!AA:AA,M_YT_LIVE_TIMESTAMP!Z:Z,"★",0,-1))</f>
        <v>#VALUE!</v>
      </c>
    </row>
    <row r="967" spans="3:30" x14ac:dyDescent="0.4">
      <c r="C967" s="12" t="str">
        <f t="shared" si="50"/>
        <v/>
      </c>
      <c r="AA967" s="14">
        <f t="shared" si="51"/>
        <v>0</v>
      </c>
      <c r="AB967" s="14" t="str">
        <f>_xlfn.XLOOKUP(AA967,M_ARTIST!A:A,M_ARTIST!B:B,"★★★",0,1)</f>
        <v>★★★</v>
      </c>
      <c r="AC967" s="14">
        <f t="shared" si="52"/>
        <v>0</v>
      </c>
      <c r="AD967" s="19" t="e">
        <f>HYPERLINK(_xlfn.XLOOKUP(C967,M_YT_LIVE_TIMESTAMP!AA:AA,M_YT_LIVE_TIMESTAMP!Z:Z,"★",0,-1))</f>
        <v>#VALUE!</v>
      </c>
    </row>
    <row r="968" spans="3:30" x14ac:dyDescent="0.4">
      <c r="C968" s="12" t="str">
        <f t="shared" si="50"/>
        <v/>
      </c>
      <c r="AA968" s="14">
        <f t="shared" si="51"/>
        <v>0</v>
      </c>
      <c r="AB968" s="14" t="str">
        <f>_xlfn.XLOOKUP(AA968,M_ARTIST!A:A,M_ARTIST!B:B,"★★★",0,1)</f>
        <v>★★★</v>
      </c>
      <c r="AC968" s="14">
        <f t="shared" si="52"/>
        <v>0</v>
      </c>
      <c r="AD968" s="19" t="e">
        <f>HYPERLINK(_xlfn.XLOOKUP(C968,M_YT_LIVE_TIMESTAMP!AA:AA,M_YT_LIVE_TIMESTAMP!Z:Z,"★",0,-1))</f>
        <v>#VALUE!</v>
      </c>
    </row>
    <row r="969" spans="3:30" x14ac:dyDescent="0.4">
      <c r="C969" s="12" t="str">
        <f t="shared" si="50"/>
        <v/>
      </c>
      <c r="AA969" s="14">
        <f t="shared" si="51"/>
        <v>0</v>
      </c>
      <c r="AB969" s="14" t="str">
        <f>_xlfn.XLOOKUP(AA969,M_ARTIST!A:A,M_ARTIST!B:B,"★★★",0,1)</f>
        <v>★★★</v>
      </c>
      <c r="AC969" s="14">
        <f t="shared" si="52"/>
        <v>0</v>
      </c>
      <c r="AD969" s="19" t="e">
        <f>HYPERLINK(_xlfn.XLOOKUP(C969,M_YT_LIVE_TIMESTAMP!AA:AA,M_YT_LIVE_TIMESTAMP!Z:Z,"★",0,-1))</f>
        <v>#VALUE!</v>
      </c>
    </row>
    <row r="970" spans="3:30" x14ac:dyDescent="0.4">
      <c r="C970" s="12" t="str">
        <f t="shared" si="50"/>
        <v/>
      </c>
      <c r="AA970" s="14">
        <f t="shared" si="51"/>
        <v>0</v>
      </c>
      <c r="AB970" s="14" t="str">
        <f>_xlfn.XLOOKUP(AA970,M_ARTIST!A:A,M_ARTIST!B:B,"★★★",0,1)</f>
        <v>★★★</v>
      </c>
      <c r="AC970" s="14">
        <f t="shared" si="52"/>
        <v>0</v>
      </c>
      <c r="AD970" s="19" t="e">
        <f>HYPERLINK(_xlfn.XLOOKUP(C970,M_YT_LIVE_TIMESTAMP!AA:AA,M_YT_LIVE_TIMESTAMP!Z:Z,"★",0,-1))</f>
        <v>#VALUE!</v>
      </c>
    </row>
    <row r="971" spans="3:30" x14ac:dyDescent="0.4">
      <c r="C971" s="12" t="str">
        <f t="shared" si="50"/>
        <v/>
      </c>
      <c r="AA971" s="14">
        <f t="shared" si="51"/>
        <v>0</v>
      </c>
      <c r="AB971" s="14" t="str">
        <f>_xlfn.XLOOKUP(AA971,M_ARTIST!A:A,M_ARTIST!B:B,"★★★",0,1)</f>
        <v>★★★</v>
      </c>
      <c r="AC971" s="14">
        <f t="shared" si="52"/>
        <v>0</v>
      </c>
      <c r="AD971" s="19" t="e">
        <f>HYPERLINK(_xlfn.XLOOKUP(C971,M_YT_LIVE_TIMESTAMP!AA:AA,M_YT_LIVE_TIMESTAMP!Z:Z,"★",0,-1))</f>
        <v>#VALUE!</v>
      </c>
    </row>
    <row r="972" spans="3:30" x14ac:dyDescent="0.4">
      <c r="C972" s="12" t="str">
        <f t="shared" si="50"/>
        <v/>
      </c>
      <c r="AA972" s="14">
        <f t="shared" si="51"/>
        <v>0</v>
      </c>
      <c r="AB972" s="14" t="str">
        <f>_xlfn.XLOOKUP(AA972,M_ARTIST!A:A,M_ARTIST!B:B,"★★★",0,1)</f>
        <v>★★★</v>
      </c>
      <c r="AC972" s="14">
        <f t="shared" si="52"/>
        <v>0</v>
      </c>
      <c r="AD972" s="19" t="e">
        <f>HYPERLINK(_xlfn.XLOOKUP(C972,M_YT_LIVE_TIMESTAMP!AA:AA,M_YT_LIVE_TIMESTAMP!Z:Z,"★",0,-1))</f>
        <v>#VALUE!</v>
      </c>
    </row>
    <row r="973" spans="3:30" x14ac:dyDescent="0.4">
      <c r="C973" s="12" t="str">
        <f t="shared" si="50"/>
        <v/>
      </c>
      <c r="AA973" s="14">
        <f t="shared" si="51"/>
        <v>0</v>
      </c>
      <c r="AB973" s="14" t="str">
        <f>_xlfn.XLOOKUP(AA973,M_ARTIST!A:A,M_ARTIST!B:B,"★★★",0,1)</f>
        <v>★★★</v>
      </c>
      <c r="AC973" s="14">
        <f t="shared" si="52"/>
        <v>0</v>
      </c>
      <c r="AD973" s="19" t="e">
        <f>HYPERLINK(_xlfn.XLOOKUP(C973,M_YT_LIVE_TIMESTAMP!AA:AA,M_YT_LIVE_TIMESTAMP!Z:Z,"★",0,-1))</f>
        <v>#VALUE!</v>
      </c>
    </row>
    <row r="974" spans="3:30" x14ac:dyDescent="0.4">
      <c r="C974" s="12" t="str">
        <f t="shared" si="50"/>
        <v/>
      </c>
      <c r="AA974" s="14">
        <f t="shared" si="51"/>
        <v>0</v>
      </c>
      <c r="AB974" s="14" t="str">
        <f>_xlfn.XLOOKUP(AA974,M_ARTIST!A:A,M_ARTIST!B:B,"★★★",0,1)</f>
        <v>★★★</v>
      </c>
      <c r="AC974" s="14">
        <f t="shared" si="52"/>
        <v>0</v>
      </c>
      <c r="AD974" s="19" t="e">
        <f>HYPERLINK(_xlfn.XLOOKUP(C974,M_YT_LIVE_TIMESTAMP!AA:AA,M_YT_LIVE_TIMESTAMP!Z:Z,"★",0,-1))</f>
        <v>#VALUE!</v>
      </c>
    </row>
    <row r="975" spans="3:30" x14ac:dyDescent="0.4">
      <c r="C975" s="12" t="str">
        <f t="shared" si="50"/>
        <v/>
      </c>
      <c r="AA975" s="14">
        <f t="shared" si="51"/>
        <v>0</v>
      </c>
      <c r="AB975" s="14" t="str">
        <f>_xlfn.XLOOKUP(AA975,M_ARTIST!A:A,M_ARTIST!B:B,"★★★",0,1)</f>
        <v>★★★</v>
      </c>
      <c r="AC975" s="14">
        <f t="shared" si="52"/>
        <v>0</v>
      </c>
      <c r="AD975" s="19" t="e">
        <f>HYPERLINK(_xlfn.XLOOKUP(C975,M_YT_LIVE_TIMESTAMP!AA:AA,M_YT_LIVE_TIMESTAMP!Z:Z,"★",0,-1))</f>
        <v>#VALUE!</v>
      </c>
    </row>
    <row r="976" spans="3:30" x14ac:dyDescent="0.4">
      <c r="C976" s="12" t="str">
        <f t="shared" si="50"/>
        <v/>
      </c>
      <c r="AA976" s="14">
        <f t="shared" si="51"/>
        <v>0</v>
      </c>
      <c r="AB976" s="14" t="str">
        <f>_xlfn.XLOOKUP(AA976,M_ARTIST!A:A,M_ARTIST!B:B,"★★★",0,1)</f>
        <v>★★★</v>
      </c>
      <c r="AC976" s="14">
        <f t="shared" si="52"/>
        <v>0</v>
      </c>
      <c r="AD976" s="19" t="e">
        <f>HYPERLINK(_xlfn.XLOOKUP(C976,M_YT_LIVE_TIMESTAMP!AA:AA,M_YT_LIVE_TIMESTAMP!Z:Z,"★",0,-1))</f>
        <v>#VALUE!</v>
      </c>
    </row>
    <row r="977" spans="3:30" x14ac:dyDescent="0.4">
      <c r="C977" s="12" t="str">
        <f t="shared" si="50"/>
        <v/>
      </c>
      <c r="AA977" s="14">
        <f t="shared" si="51"/>
        <v>0</v>
      </c>
      <c r="AB977" s="14" t="str">
        <f>_xlfn.XLOOKUP(AA977,M_ARTIST!A:A,M_ARTIST!B:B,"★★★",0,1)</f>
        <v>★★★</v>
      </c>
      <c r="AC977" s="14">
        <f t="shared" si="52"/>
        <v>0</v>
      </c>
      <c r="AD977" s="19" t="e">
        <f>HYPERLINK(_xlfn.XLOOKUP(C977,M_YT_LIVE_TIMESTAMP!AA:AA,M_YT_LIVE_TIMESTAMP!Z:Z,"★",0,-1))</f>
        <v>#VALUE!</v>
      </c>
    </row>
    <row r="978" spans="3:30" x14ac:dyDescent="0.4">
      <c r="C978" s="12" t="str">
        <f t="shared" si="50"/>
        <v/>
      </c>
      <c r="AA978" s="14">
        <f t="shared" si="51"/>
        <v>0</v>
      </c>
      <c r="AB978" s="14" t="str">
        <f>_xlfn.XLOOKUP(AA978,M_ARTIST!A:A,M_ARTIST!B:B,"★★★",0,1)</f>
        <v>★★★</v>
      </c>
      <c r="AC978" s="14">
        <f t="shared" si="52"/>
        <v>0</v>
      </c>
      <c r="AD978" s="19" t="e">
        <f>HYPERLINK(_xlfn.XLOOKUP(C978,M_YT_LIVE_TIMESTAMP!AA:AA,M_YT_LIVE_TIMESTAMP!Z:Z,"★",0,-1))</f>
        <v>#VALUE!</v>
      </c>
    </row>
    <row r="979" spans="3:30" x14ac:dyDescent="0.4">
      <c r="C979" s="12" t="str">
        <f t="shared" ref="C979:C1042" si="53">TRIM(B979)&amp;TRIM(A979)</f>
        <v/>
      </c>
      <c r="AA979" s="14">
        <f t="shared" ref="AA979:AA1042" si="54">B979</f>
        <v>0</v>
      </c>
      <c r="AB979" s="14" t="str">
        <f>_xlfn.XLOOKUP(AA979,M_ARTIST!A:A,M_ARTIST!B:B,"★★★",0,1)</f>
        <v>★★★</v>
      </c>
      <c r="AC979" s="14">
        <f t="shared" ref="AC979:AC1042" si="55">A979</f>
        <v>0</v>
      </c>
      <c r="AD979" s="19" t="e">
        <f>HYPERLINK(_xlfn.XLOOKUP(C979,M_YT_LIVE_TIMESTAMP!AA:AA,M_YT_LIVE_TIMESTAMP!Z:Z,"★",0,-1))</f>
        <v>#VALUE!</v>
      </c>
    </row>
    <row r="980" spans="3:30" x14ac:dyDescent="0.4">
      <c r="C980" s="12" t="str">
        <f t="shared" si="53"/>
        <v/>
      </c>
      <c r="AA980" s="14">
        <f t="shared" si="54"/>
        <v>0</v>
      </c>
      <c r="AB980" s="14" t="str">
        <f>_xlfn.XLOOKUP(AA980,M_ARTIST!A:A,M_ARTIST!B:B,"★★★",0,1)</f>
        <v>★★★</v>
      </c>
      <c r="AC980" s="14">
        <f t="shared" si="55"/>
        <v>0</v>
      </c>
      <c r="AD980" s="19" t="e">
        <f>HYPERLINK(_xlfn.XLOOKUP(C980,M_YT_LIVE_TIMESTAMP!AA:AA,M_YT_LIVE_TIMESTAMP!Z:Z,"★",0,-1))</f>
        <v>#VALUE!</v>
      </c>
    </row>
    <row r="981" spans="3:30" x14ac:dyDescent="0.4">
      <c r="C981" s="12" t="str">
        <f t="shared" si="53"/>
        <v/>
      </c>
      <c r="AA981" s="14">
        <f t="shared" si="54"/>
        <v>0</v>
      </c>
      <c r="AB981" s="14" t="str">
        <f>_xlfn.XLOOKUP(AA981,M_ARTIST!A:A,M_ARTIST!B:B,"★★★",0,1)</f>
        <v>★★★</v>
      </c>
      <c r="AC981" s="14">
        <f t="shared" si="55"/>
        <v>0</v>
      </c>
      <c r="AD981" s="19" t="e">
        <f>HYPERLINK(_xlfn.XLOOKUP(C981,M_YT_LIVE_TIMESTAMP!AA:AA,M_YT_LIVE_TIMESTAMP!Z:Z,"★",0,-1))</f>
        <v>#VALUE!</v>
      </c>
    </row>
    <row r="982" spans="3:30" x14ac:dyDescent="0.4">
      <c r="C982" s="12" t="str">
        <f t="shared" si="53"/>
        <v/>
      </c>
      <c r="AA982" s="14">
        <f t="shared" si="54"/>
        <v>0</v>
      </c>
      <c r="AB982" s="14" t="str">
        <f>_xlfn.XLOOKUP(AA982,M_ARTIST!A:A,M_ARTIST!B:B,"★★★",0,1)</f>
        <v>★★★</v>
      </c>
      <c r="AC982" s="14">
        <f t="shared" si="55"/>
        <v>0</v>
      </c>
      <c r="AD982" s="19" t="e">
        <f>HYPERLINK(_xlfn.XLOOKUP(C982,M_YT_LIVE_TIMESTAMP!AA:AA,M_YT_LIVE_TIMESTAMP!Z:Z,"★",0,-1))</f>
        <v>#VALUE!</v>
      </c>
    </row>
    <row r="983" spans="3:30" x14ac:dyDescent="0.4">
      <c r="C983" s="12" t="str">
        <f t="shared" si="53"/>
        <v/>
      </c>
      <c r="AA983" s="14">
        <f t="shared" si="54"/>
        <v>0</v>
      </c>
      <c r="AB983" s="14" t="str">
        <f>_xlfn.XLOOKUP(AA983,M_ARTIST!A:A,M_ARTIST!B:B,"★★★",0,1)</f>
        <v>★★★</v>
      </c>
      <c r="AC983" s="14">
        <f t="shared" si="55"/>
        <v>0</v>
      </c>
      <c r="AD983" s="19" t="e">
        <f>HYPERLINK(_xlfn.XLOOKUP(C983,M_YT_LIVE_TIMESTAMP!AA:AA,M_YT_LIVE_TIMESTAMP!Z:Z,"★",0,-1))</f>
        <v>#VALUE!</v>
      </c>
    </row>
    <row r="984" spans="3:30" x14ac:dyDescent="0.4">
      <c r="C984" s="12" t="str">
        <f t="shared" si="53"/>
        <v/>
      </c>
      <c r="AA984" s="14">
        <f t="shared" si="54"/>
        <v>0</v>
      </c>
      <c r="AB984" s="14" t="str">
        <f>_xlfn.XLOOKUP(AA984,M_ARTIST!A:A,M_ARTIST!B:B,"★★★",0,1)</f>
        <v>★★★</v>
      </c>
      <c r="AC984" s="14">
        <f t="shared" si="55"/>
        <v>0</v>
      </c>
      <c r="AD984" s="19" t="e">
        <f>HYPERLINK(_xlfn.XLOOKUP(C984,M_YT_LIVE_TIMESTAMP!AA:AA,M_YT_LIVE_TIMESTAMP!Z:Z,"★",0,-1))</f>
        <v>#VALUE!</v>
      </c>
    </row>
    <row r="985" spans="3:30" x14ac:dyDescent="0.4">
      <c r="C985" s="12" t="str">
        <f t="shared" si="53"/>
        <v/>
      </c>
      <c r="AA985" s="14">
        <f t="shared" si="54"/>
        <v>0</v>
      </c>
      <c r="AB985" s="14" t="str">
        <f>_xlfn.XLOOKUP(AA985,M_ARTIST!A:A,M_ARTIST!B:B,"★★★",0,1)</f>
        <v>★★★</v>
      </c>
      <c r="AC985" s="14">
        <f t="shared" si="55"/>
        <v>0</v>
      </c>
      <c r="AD985" s="19" t="e">
        <f>HYPERLINK(_xlfn.XLOOKUP(C985,M_YT_LIVE_TIMESTAMP!AA:AA,M_YT_LIVE_TIMESTAMP!Z:Z,"★",0,-1))</f>
        <v>#VALUE!</v>
      </c>
    </row>
    <row r="986" spans="3:30" x14ac:dyDescent="0.4">
      <c r="C986" s="12" t="str">
        <f t="shared" si="53"/>
        <v/>
      </c>
      <c r="AA986" s="14">
        <f t="shared" si="54"/>
        <v>0</v>
      </c>
      <c r="AB986" s="14" t="str">
        <f>_xlfn.XLOOKUP(AA986,M_ARTIST!A:A,M_ARTIST!B:B,"★★★",0,1)</f>
        <v>★★★</v>
      </c>
      <c r="AC986" s="14">
        <f t="shared" si="55"/>
        <v>0</v>
      </c>
      <c r="AD986" s="19" t="e">
        <f>HYPERLINK(_xlfn.XLOOKUP(C986,M_YT_LIVE_TIMESTAMP!AA:AA,M_YT_LIVE_TIMESTAMP!Z:Z,"★",0,-1))</f>
        <v>#VALUE!</v>
      </c>
    </row>
    <row r="987" spans="3:30" x14ac:dyDescent="0.4">
      <c r="C987" s="12" t="str">
        <f t="shared" si="53"/>
        <v/>
      </c>
      <c r="AA987" s="14">
        <f t="shared" si="54"/>
        <v>0</v>
      </c>
      <c r="AB987" s="14" t="str">
        <f>_xlfn.XLOOKUP(AA987,M_ARTIST!A:A,M_ARTIST!B:B,"★★★",0,1)</f>
        <v>★★★</v>
      </c>
      <c r="AC987" s="14">
        <f t="shared" si="55"/>
        <v>0</v>
      </c>
      <c r="AD987" s="19" t="e">
        <f>HYPERLINK(_xlfn.XLOOKUP(C987,M_YT_LIVE_TIMESTAMP!AA:AA,M_YT_LIVE_TIMESTAMP!Z:Z,"★",0,-1))</f>
        <v>#VALUE!</v>
      </c>
    </row>
    <row r="988" spans="3:30" x14ac:dyDescent="0.4">
      <c r="C988" s="12" t="str">
        <f t="shared" si="53"/>
        <v/>
      </c>
      <c r="AA988" s="14">
        <f t="shared" si="54"/>
        <v>0</v>
      </c>
      <c r="AB988" s="14" t="str">
        <f>_xlfn.XLOOKUP(AA988,M_ARTIST!A:A,M_ARTIST!B:B,"★★★",0,1)</f>
        <v>★★★</v>
      </c>
      <c r="AC988" s="14">
        <f t="shared" si="55"/>
        <v>0</v>
      </c>
      <c r="AD988" s="19" t="e">
        <f>HYPERLINK(_xlfn.XLOOKUP(C988,M_YT_LIVE_TIMESTAMP!AA:AA,M_YT_LIVE_TIMESTAMP!Z:Z,"★",0,-1))</f>
        <v>#VALUE!</v>
      </c>
    </row>
    <row r="989" spans="3:30" x14ac:dyDescent="0.4">
      <c r="C989" s="12" t="str">
        <f t="shared" si="53"/>
        <v/>
      </c>
      <c r="AA989" s="14">
        <f t="shared" si="54"/>
        <v>0</v>
      </c>
      <c r="AB989" s="14" t="str">
        <f>_xlfn.XLOOKUP(AA989,M_ARTIST!A:A,M_ARTIST!B:B,"★★★",0,1)</f>
        <v>★★★</v>
      </c>
      <c r="AC989" s="14">
        <f t="shared" si="55"/>
        <v>0</v>
      </c>
      <c r="AD989" s="19" t="e">
        <f>HYPERLINK(_xlfn.XLOOKUP(C989,M_YT_LIVE_TIMESTAMP!AA:AA,M_YT_LIVE_TIMESTAMP!Z:Z,"★",0,-1))</f>
        <v>#VALUE!</v>
      </c>
    </row>
    <row r="990" spans="3:30" x14ac:dyDescent="0.4">
      <c r="C990" s="12" t="str">
        <f t="shared" si="53"/>
        <v/>
      </c>
      <c r="AA990" s="14">
        <f t="shared" si="54"/>
        <v>0</v>
      </c>
      <c r="AB990" s="14" t="str">
        <f>_xlfn.XLOOKUP(AA990,M_ARTIST!A:A,M_ARTIST!B:B,"★★★",0,1)</f>
        <v>★★★</v>
      </c>
      <c r="AC990" s="14">
        <f t="shared" si="55"/>
        <v>0</v>
      </c>
      <c r="AD990" s="19" t="e">
        <f>HYPERLINK(_xlfn.XLOOKUP(C990,M_YT_LIVE_TIMESTAMP!AA:AA,M_YT_LIVE_TIMESTAMP!Z:Z,"★",0,-1))</f>
        <v>#VALUE!</v>
      </c>
    </row>
    <row r="991" spans="3:30" x14ac:dyDescent="0.4">
      <c r="C991" s="12" t="str">
        <f t="shared" si="53"/>
        <v/>
      </c>
      <c r="AA991" s="14">
        <f t="shared" si="54"/>
        <v>0</v>
      </c>
      <c r="AB991" s="14" t="str">
        <f>_xlfn.XLOOKUP(AA991,M_ARTIST!A:A,M_ARTIST!B:B,"★★★",0,1)</f>
        <v>★★★</v>
      </c>
      <c r="AC991" s="14">
        <f t="shared" si="55"/>
        <v>0</v>
      </c>
      <c r="AD991" s="19" t="e">
        <f>HYPERLINK(_xlfn.XLOOKUP(C991,M_YT_LIVE_TIMESTAMP!AA:AA,M_YT_LIVE_TIMESTAMP!Z:Z,"★",0,-1))</f>
        <v>#VALUE!</v>
      </c>
    </row>
    <row r="992" spans="3:30" x14ac:dyDescent="0.4">
      <c r="C992" s="12" t="str">
        <f t="shared" si="53"/>
        <v/>
      </c>
      <c r="AA992" s="14">
        <f t="shared" si="54"/>
        <v>0</v>
      </c>
      <c r="AB992" s="14" t="str">
        <f>_xlfn.XLOOKUP(AA992,M_ARTIST!A:A,M_ARTIST!B:B,"★★★",0,1)</f>
        <v>★★★</v>
      </c>
      <c r="AC992" s="14">
        <f t="shared" si="55"/>
        <v>0</v>
      </c>
      <c r="AD992" s="19" t="e">
        <f>HYPERLINK(_xlfn.XLOOKUP(C992,M_YT_LIVE_TIMESTAMP!AA:AA,M_YT_LIVE_TIMESTAMP!Z:Z,"★",0,-1))</f>
        <v>#VALUE!</v>
      </c>
    </row>
    <row r="993" spans="3:30" x14ac:dyDescent="0.4">
      <c r="C993" s="12" t="str">
        <f t="shared" si="53"/>
        <v/>
      </c>
      <c r="AA993" s="14">
        <f t="shared" si="54"/>
        <v>0</v>
      </c>
      <c r="AB993" s="14" t="str">
        <f>_xlfn.XLOOKUP(AA993,M_ARTIST!A:A,M_ARTIST!B:B,"★★★",0,1)</f>
        <v>★★★</v>
      </c>
      <c r="AC993" s="14">
        <f t="shared" si="55"/>
        <v>0</v>
      </c>
      <c r="AD993" s="19" t="e">
        <f>HYPERLINK(_xlfn.XLOOKUP(C993,M_YT_LIVE_TIMESTAMP!AA:AA,M_YT_LIVE_TIMESTAMP!Z:Z,"★",0,-1))</f>
        <v>#VALUE!</v>
      </c>
    </row>
    <row r="994" spans="3:30" x14ac:dyDescent="0.4">
      <c r="C994" s="12" t="str">
        <f t="shared" si="53"/>
        <v/>
      </c>
      <c r="AA994" s="14">
        <f t="shared" si="54"/>
        <v>0</v>
      </c>
      <c r="AB994" s="14" t="str">
        <f>_xlfn.XLOOKUP(AA994,M_ARTIST!A:A,M_ARTIST!B:B,"★★★",0,1)</f>
        <v>★★★</v>
      </c>
      <c r="AC994" s="14">
        <f t="shared" si="55"/>
        <v>0</v>
      </c>
      <c r="AD994" s="19" t="e">
        <f>HYPERLINK(_xlfn.XLOOKUP(C994,M_YT_LIVE_TIMESTAMP!AA:AA,M_YT_LIVE_TIMESTAMP!Z:Z,"★",0,-1))</f>
        <v>#VALUE!</v>
      </c>
    </row>
    <row r="995" spans="3:30" x14ac:dyDescent="0.4">
      <c r="C995" s="12" t="str">
        <f t="shared" si="53"/>
        <v/>
      </c>
      <c r="AA995" s="14">
        <f t="shared" si="54"/>
        <v>0</v>
      </c>
      <c r="AB995" s="14" t="str">
        <f>_xlfn.XLOOKUP(AA995,M_ARTIST!A:A,M_ARTIST!B:B,"★★★",0,1)</f>
        <v>★★★</v>
      </c>
      <c r="AC995" s="14">
        <f t="shared" si="55"/>
        <v>0</v>
      </c>
      <c r="AD995" s="19" t="e">
        <f>HYPERLINK(_xlfn.XLOOKUP(C995,M_YT_LIVE_TIMESTAMP!AA:AA,M_YT_LIVE_TIMESTAMP!Z:Z,"★",0,-1))</f>
        <v>#VALUE!</v>
      </c>
    </row>
    <row r="996" spans="3:30" x14ac:dyDescent="0.4">
      <c r="C996" s="12" t="str">
        <f t="shared" si="53"/>
        <v/>
      </c>
      <c r="AA996" s="14">
        <f t="shared" si="54"/>
        <v>0</v>
      </c>
      <c r="AB996" s="14" t="str">
        <f>_xlfn.XLOOKUP(AA996,M_ARTIST!A:A,M_ARTIST!B:B,"★★★",0,1)</f>
        <v>★★★</v>
      </c>
      <c r="AC996" s="14">
        <f t="shared" si="55"/>
        <v>0</v>
      </c>
      <c r="AD996" s="19" t="e">
        <f>HYPERLINK(_xlfn.XLOOKUP(C996,M_YT_LIVE_TIMESTAMP!AA:AA,M_YT_LIVE_TIMESTAMP!Z:Z,"★",0,-1))</f>
        <v>#VALUE!</v>
      </c>
    </row>
    <row r="997" spans="3:30" x14ac:dyDescent="0.4">
      <c r="C997" s="12" t="str">
        <f t="shared" si="53"/>
        <v/>
      </c>
      <c r="AA997" s="14">
        <f t="shared" si="54"/>
        <v>0</v>
      </c>
      <c r="AB997" s="14" t="str">
        <f>_xlfn.XLOOKUP(AA997,M_ARTIST!A:A,M_ARTIST!B:B,"★★★",0,1)</f>
        <v>★★★</v>
      </c>
      <c r="AC997" s="14">
        <f t="shared" si="55"/>
        <v>0</v>
      </c>
      <c r="AD997" s="19" t="e">
        <f>HYPERLINK(_xlfn.XLOOKUP(C997,M_YT_LIVE_TIMESTAMP!AA:AA,M_YT_LIVE_TIMESTAMP!Z:Z,"★",0,-1))</f>
        <v>#VALUE!</v>
      </c>
    </row>
    <row r="998" spans="3:30" x14ac:dyDescent="0.4">
      <c r="C998" s="12" t="str">
        <f t="shared" si="53"/>
        <v/>
      </c>
      <c r="AA998" s="14">
        <f t="shared" si="54"/>
        <v>0</v>
      </c>
      <c r="AB998" s="14" t="str">
        <f>_xlfn.XLOOKUP(AA998,M_ARTIST!A:A,M_ARTIST!B:B,"★★★",0,1)</f>
        <v>★★★</v>
      </c>
      <c r="AC998" s="14">
        <f t="shared" si="55"/>
        <v>0</v>
      </c>
      <c r="AD998" s="19" t="e">
        <f>HYPERLINK(_xlfn.XLOOKUP(C998,M_YT_LIVE_TIMESTAMP!AA:AA,M_YT_LIVE_TIMESTAMP!Z:Z,"★",0,-1))</f>
        <v>#VALUE!</v>
      </c>
    </row>
    <row r="999" spans="3:30" x14ac:dyDescent="0.4">
      <c r="C999" s="12" t="str">
        <f t="shared" si="53"/>
        <v/>
      </c>
      <c r="AA999" s="14">
        <f t="shared" si="54"/>
        <v>0</v>
      </c>
      <c r="AB999" s="14" t="str">
        <f>_xlfn.XLOOKUP(AA999,M_ARTIST!A:A,M_ARTIST!B:B,"★★★",0,1)</f>
        <v>★★★</v>
      </c>
      <c r="AC999" s="14">
        <f t="shared" si="55"/>
        <v>0</v>
      </c>
      <c r="AD999" s="19" t="e">
        <f>HYPERLINK(_xlfn.XLOOKUP(C999,M_YT_LIVE_TIMESTAMP!AA:AA,M_YT_LIVE_TIMESTAMP!Z:Z,"★",0,-1))</f>
        <v>#VALUE!</v>
      </c>
    </row>
    <row r="1000" spans="3:30" x14ac:dyDescent="0.4">
      <c r="C1000" s="12" t="str">
        <f t="shared" si="53"/>
        <v/>
      </c>
      <c r="AA1000" s="14">
        <f t="shared" si="54"/>
        <v>0</v>
      </c>
      <c r="AB1000" s="14" t="str">
        <f>_xlfn.XLOOKUP(AA1000,M_ARTIST!A:A,M_ARTIST!B:B,"★★★",0,1)</f>
        <v>★★★</v>
      </c>
      <c r="AC1000" s="14">
        <f t="shared" si="55"/>
        <v>0</v>
      </c>
      <c r="AD1000" s="19" t="e">
        <f>HYPERLINK(_xlfn.XLOOKUP(C1000,M_YT_LIVE_TIMESTAMP!AA:AA,M_YT_LIVE_TIMESTAMP!Z:Z,"★",0,-1))</f>
        <v>#VALUE!</v>
      </c>
    </row>
    <row r="1001" spans="3:30" x14ac:dyDescent="0.4">
      <c r="C1001" s="12" t="str">
        <f t="shared" si="53"/>
        <v/>
      </c>
      <c r="AA1001" s="14">
        <f t="shared" si="54"/>
        <v>0</v>
      </c>
      <c r="AB1001" s="14" t="str">
        <f>_xlfn.XLOOKUP(AA1001,M_ARTIST!A:A,M_ARTIST!B:B,"★★★",0,1)</f>
        <v>★★★</v>
      </c>
      <c r="AC1001" s="14">
        <f t="shared" si="55"/>
        <v>0</v>
      </c>
      <c r="AD1001" s="19" t="e">
        <f>HYPERLINK(_xlfn.XLOOKUP(C1001,M_YT_LIVE_TIMESTAMP!AA:AA,M_YT_LIVE_TIMESTAMP!Z:Z,"★",0,-1))</f>
        <v>#VALUE!</v>
      </c>
    </row>
    <row r="1002" spans="3:30" x14ac:dyDescent="0.4">
      <c r="C1002" s="12" t="str">
        <f t="shared" si="53"/>
        <v/>
      </c>
      <c r="AA1002" s="14">
        <f t="shared" si="54"/>
        <v>0</v>
      </c>
      <c r="AB1002" s="14" t="str">
        <f>_xlfn.XLOOKUP(AA1002,M_ARTIST!A:A,M_ARTIST!B:B,"★★★",0,1)</f>
        <v>★★★</v>
      </c>
      <c r="AC1002" s="14">
        <f t="shared" si="55"/>
        <v>0</v>
      </c>
      <c r="AD1002" s="19" t="e">
        <f>HYPERLINK(_xlfn.XLOOKUP(C1002,M_YT_LIVE_TIMESTAMP!AA:AA,M_YT_LIVE_TIMESTAMP!Z:Z,"★",0,-1))</f>
        <v>#VALUE!</v>
      </c>
    </row>
    <row r="1003" spans="3:30" x14ac:dyDescent="0.4">
      <c r="C1003" s="12" t="str">
        <f t="shared" si="53"/>
        <v/>
      </c>
      <c r="AA1003" s="14">
        <f t="shared" si="54"/>
        <v>0</v>
      </c>
      <c r="AB1003" s="14" t="str">
        <f>_xlfn.XLOOKUP(AA1003,M_ARTIST!A:A,M_ARTIST!B:B,"★★★",0,1)</f>
        <v>★★★</v>
      </c>
      <c r="AC1003" s="14">
        <f t="shared" si="55"/>
        <v>0</v>
      </c>
      <c r="AD1003" s="19" t="e">
        <f>HYPERLINK(_xlfn.XLOOKUP(C1003,M_YT_LIVE_TIMESTAMP!AA:AA,M_YT_LIVE_TIMESTAMP!Z:Z,"★",0,-1))</f>
        <v>#VALUE!</v>
      </c>
    </row>
    <row r="1004" spans="3:30" x14ac:dyDescent="0.4">
      <c r="C1004" s="12" t="str">
        <f t="shared" si="53"/>
        <v/>
      </c>
      <c r="AA1004" s="14">
        <f t="shared" si="54"/>
        <v>0</v>
      </c>
      <c r="AB1004" s="14" t="str">
        <f>_xlfn.XLOOKUP(AA1004,M_ARTIST!A:A,M_ARTIST!B:B,"★★★",0,1)</f>
        <v>★★★</v>
      </c>
      <c r="AC1004" s="14">
        <f t="shared" si="55"/>
        <v>0</v>
      </c>
      <c r="AD1004" s="19" t="e">
        <f>HYPERLINK(_xlfn.XLOOKUP(C1004,M_YT_LIVE_TIMESTAMP!AA:AA,M_YT_LIVE_TIMESTAMP!Z:Z,"★",0,-1))</f>
        <v>#VALUE!</v>
      </c>
    </row>
    <row r="1005" spans="3:30" x14ac:dyDescent="0.4">
      <c r="C1005" s="12" t="str">
        <f t="shared" si="53"/>
        <v/>
      </c>
      <c r="AA1005" s="14">
        <f t="shared" si="54"/>
        <v>0</v>
      </c>
      <c r="AB1005" s="14" t="str">
        <f>_xlfn.XLOOKUP(AA1005,M_ARTIST!A:A,M_ARTIST!B:B,"★★★",0,1)</f>
        <v>★★★</v>
      </c>
      <c r="AC1005" s="14">
        <f t="shared" si="55"/>
        <v>0</v>
      </c>
      <c r="AD1005" s="19" t="e">
        <f>HYPERLINK(_xlfn.XLOOKUP(C1005,M_YT_LIVE_TIMESTAMP!AA:AA,M_YT_LIVE_TIMESTAMP!Z:Z,"★",0,-1))</f>
        <v>#VALUE!</v>
      </c>
    </row>
    <row r="1006" spans="3:30" x14ac:dyDescent="0.4">
      <c r="C1006" s="12" t="str">
        <f t="shared" si="53"/>
        <v/>
      </c>
      <c r="AA1006" s="14">
        <f t="shared" si="54"/>
        <v>0</v>
      </c>
      <c r="AB1006" s="14" t="str">
        <f>_xlfn.XLOOKUP(AA1006,M_ARTIST!A:A,M_ARTIST!B:B,"★★★",0,1)</f>
        <v>★★★</v>
      </c>
      <c r="AC1006" s="14">
        <f t="shared" si="55"/>
        <v>0</v>
      </c>
      <c r="AD1006" s="19" t="e">
        <f>HYPERLINK(_xlfn.XLOOKUP(C1006,M_YT_LIVE_TIMESTAMP!AA:AA,M_YT_LIVE_TIMESTAMP!Z:Z,"★",0,-1))</f>
        <v>#VALUE!</v>
      </c>
    </row>
    <row r="1007" spans="3:30" x14ac:dyDescent="0.4">
      <c r="C1007" s="12" t="str">
        <f t="shared" si="53"/>
        <v/>
      </c>
      <c r="AA1007" s="14">
        <f t="shared" si="54"/>
        <v>0</v>
      </c>
      <c r="AB1007" s="14" t="str">
        <f>_xlfn.XLOOKUP(AA1007,M_ARTIST!A:A,M_ARTIST!B:B,"★★★",0,1)</f>
        <v>★★★</v>
      </c>
      <c r="AC1007" s="14">
        <f t="shared" si="55"/>
        <v>0</v>
      </c>
      <c r="AD1007" s="19" t="e">
        <f>HYPERLINK(_xlfn.XLOOKUP(C1007,M_YT_LIVE_TIMESTAMP!AA:AA,M_YT_LIVE_TIMESTAMP!Z:Z,"★",0,-1))</f>
        <v>#VALUE!</v>
      </c>
    </row>
    <row r="1008" spans="3:30" x14ac:dyDescent="0.4">
      <c r="C1008" s="12" t="str">
        <f t="shared" si="53"/>
        <v/>
      </c>
      <c r="AA1008" s="14">
        <f t="shared" si="54"/>
        <v>0</v>
      </c>
      <c r="AB1008" s="14" t="str">
        <f>_xlfn.XLOOKUP(AA1008,M_ARTIST!A:A,M_ARTIST!B:B,"★★★",0,1)</f>
        <v>★★★</v>
      </c>
      <c r="AC1008" s="14">
        <f t="shared" si="55"/>
        <v>0</v>
      </c>
      <c r="AD1008" s="19" t="e">
        <f>HYPERLINK(_xlfn.XLOOKUP(C1008,M_YT_LIVE_TIMESTAMP!AA:AA,M_YT_LIVE_TIMESTAMP!Z:Z,"★",0,-1))</f>
        <v>#VALUE!</v>
      </c>
    </row>
    <row r="1009" spans="3:30" x14ac:dyDescent="0.4">
      <c r="C1009" s="12" t="str">
        <f t="shared" si="53"/>
        <v/>
      </c>
      <c r="AA1009" s="14">
        <f t="shared" si="54"/>
        <v>0</v>
      </c>
      <c r="AB1009" s="14" t="str">
        <f>_xlfn.XLOOKUP(AA1009,M_ARTIST!A:A,M_ARTIST!B:B,"★★★",0,1)</f>
        <v>★★★</v>
      </c>
      <c r="AC1009" s="14">
        <f t="shared" si="55"/>
        <v>0</v>
      </c>
      <c r="AD1009" s="19" t="e">
        <f>HYPERLINK(_xlfn.XLOOKUP(C1009,M_YT_LIVE_TIMESTAMP!AA:AA,M_YT_LIVE_TIMESTAMP!Z:Z,"★",0,-1))</f>
        <v>#VALUE!</v>
      </c>
    </row>
    <row r="1010" spans="3:30" x14ac:dyDescent="0.4">
      <c r="C1010" s="12" t="str">
        <f t="shared" si="53"/>
        <v/>
      </c>
      <c r="AA1010" s="14">
        <f t="shared" si="54"/>
        <v>0</v>
      </c>
      <c r="AB1010" s="14" t="str">
        <f>_xlfn.XLOOKUP(AA1010,M_ARTIST!A:A,M_ARTIST!B:B,"★★★",0,1)</f>
        <v>★★★</v>
      </c>
      <c r="AC1010" s="14">
        <f t="shared" si="55"/>
        <v>0</v>
      </c>
      <c r="AD1010" s="19" t="e">
        <f>HYPERLINK(_xlfn.XLOOKUP(C1010,M_YT_LIVE_TIMESTAMP!AA:AA,M_YT_LIVE_TIMESTAMP!Z:Z,"★",0,-1))</f>
        <v>#VALUE!</v>
      </c>
    </row>
    <row r="1011" spans="3:30" x14ac:dyDescent="0.4">
      <c r="C1011" s="12" t="str">
        <f t="shared" si="53"/>
        <v/>
      </c>
      <c r="AA1011" s="14">
        <f t="shared" si="54"/>
        <v>0</v>
      </c>
      <c r="AB1011" s="14" t="str">
        <f>_xlfn.XLOOKUP(AA1011,M_ARTIST!A:A,M_ARTIST!B:B,"★★★",0,1)</f>
        <v>★★★</v>
      </c>
      <c r="AC1011" s="14">
        <f t="shared" si="55"/>
        <v>0</v>
      </c>
      <c r="AD1011" s="19" t="e">
        <f>HYPERLINK(_xlfn.XLOOKUP(C1011,M_YT_LIVE_TIMESTAMP!AA:AA,M_YT_LIVE_TIMESTAMP!Z:Z,"★",0,-1))</f>
        <v>#VALUE!</v>
      </c>
    </row>
    <row r="1012" spans="3:30" x14ac:dyDescent="0.4">
      <c r="C1012" s="12" t="str">
        <f t="shared" si="53"/>
        <v/>
      </c>
      <c r="AA1012" s="14">
        <f t="shared" si="54"/>
        <v>0</v>
      </c>
      <c r="AB1012" s="14" t="str">
        <f>_xlfn.XLOOKUP(AA1012,M_ARTIST!A:A,M_ARTIST!B:B,"★★★",0,1)</f>
        <v>★★★</v>
      </c>
      <c r="AC1012" s="14">
        <f t="shared" si="55"/>
        <v>0</v>
      </c>
      <c r="AD1012" s="19" t="e">
        <f>HYPERLINK(_xlfn.XLOOKUP(C1012,M_YT_LIVE_TIMESTAMP!AA:AA,M_YT_LIVE_TIMESTAMP!Z:Z,"★",0,-1))</f>
        <v>#VALUE!</v>
      </c>
    </row>
    <row r="1013" spans="3:30" x14ac:dyDescent="0.4">
      <c r="C1013" s="12" t="str">
        <f t="shared" si="53"/>
        <v/>
      </c>
      <c r="AA1013" s="14">
        <f t="shared" si="54"/>
        <v>0</v>
      </c>
      <c r="AB1013" s="14" t="str">
        <f>_xlfn.XLOOKUP(AA1013,M_ARTIST!A:A,M_ARTIST!B:B,"★★★",0,1)</f>
        <v>★★★</v>
      </c>
      <c r="AC1013" s="14">
        <f t="shared" si="55"/>
        <v>0</v>
      </c>
      <c r="AD1013" s="19" t="e">
        <f>HYPERLINK(_xlfn.XLOOKUP(C1013,M_YT_LIVE_TIMESTAMP!AA:AA,M_YT_LIVE_TIMESTAMP!Z:Z,"★",0,-1))</f>
        <v>#VALUE!</v>
      </c>
    </row>
    <row r="1014" spans="3:30" x14ac:dyDescent="0.4">
      <c r="C1014" s="12" t="str">
        <f t="shared" si="53"/>
        <v/>
      </c>
      <c r="AA1014" s="14">
        <f t="shared" si="54"/>
        <v>0</v>
      </c>
      <c r="AB1014" s="14" t="str">
        <f>_xlfn.XLOOKUP(AA1014,M_ARTIST!A:A,M_ARTIST!B:B,"★★★",0,1)</f>
        <v>★★★</v>
      </c>
      <c r="AC1014" s="14">
        <f t="shared" si="55"/>
        <v>0</v>
      </c>
      <c r="AD1014" s="19" t="e">
        <f>HYPERLINK(_xlfn.XLOOKUP(C1014,M_YT_LIVE_TIMESTAMP!AA:AA,M_YT_LIVE_TIMESTAMP!Z:Z,"★",0,-1))</f>
        <v>#VALUE!</v>
      </c>
    </row>
    <row r="1015" spans="3:30" x14ac:dyDescent="0.4">
      <c r="C1015" s="12" t="str">
        <f t="shared" si="53"/>
        <v/>
      </c>
      <c r="AA1015" s="14">
        <f t="shared" si="54"/>
        <v>0</v>
      </c>
      <c r="AB1015" s="14" t="str">
        <f>_xlfn.XLOOKUP(AA1015,M_ARTIST!A:A,M_ARTIST!B:B,"★★★",0,1)</f>
        <v>★★★</v>
      </c>
      <c r="AC1015" s="14">
        <f t="shared" si="55"/>
        <v>0</v>
      </c>
      <c r="AD1015" s="19" t="e">
        <f>HYPERLINK(_xlfn.XLOOKUP(C1015,M_YT_LIVE_TIMESTAMP!AA:AA,M_YT_LIVE_TIMESTAMP!Z:Z,"★",0,-1))</f>
        <v>#VALUE!</v>
      </c>
    </row>
    <row r="1016" spans="3:30" x14ac:dyDescent="0.4">
      <c r="C1016" s="12" t="str">
        <f t="shared" si="53"/>
        <v/>
      </c>
      <c r="AA1016" s="14">
        <f t="shared" si="54"/>
        <v>0</v>
      </c>
      <c r="AB1016" s="14" t="str">
        <f>_xlfn.XLOOKUP(AA1016,M_ARTIST!A:A,M_ARTIST!B:B,"★★★",0,1)</f>
        <v>★★★</v>
      </c>
      <c r="AC1016" s="14">
        <f t="shared" si="55"/>
        <v>0</v>
      </c>
      <c r="AD1016" s="19" t="e">
        <f>HYPERLINK(_xlfn.XLOOKUP(C1016,M_YT_LIVE_TIMESTAMP!AA:AA,M_YT_LIVE_TIMESTAMP!Z:Z,"★",0,-1))</f>
        <v>#VALUE!</v>
      </c>
    </row>
    <row r="1017" spans="3:30" x14ac:dyDescent="0.4">
      <c r="C1017" s="12" t="str">
        <f t="shared" si="53"/>
        <v/>
      </c>
      <c r="AA1017" s="14">
        <f t="shared" si="54"/>
        <v>0</v>
      </c>
      <c r="AB1017" s="14" t="str">
        <f>_xlfn.XLOOKUP(AA1017,M_ARTIST!A:A,M_ARTIST!B:B,"★★★",0,1)</f>
        <v>★★★</v>
      </c>
      <c r="AC1017" s="14">
        <f t="shared" si="55"/>
        <v>0</v>
      </c>
      <c r="AD1017" s="19" t="e">
        <f>HYPERLINK(_xlfn.XLOOKUP(C1017,M_YT_LIVE_TIMESTAMP!AA:AA,M_YT_LIVE_TIMESTAMP!Z:Z,"★",0,-1))</f>
        <v>#VALUE!</v>
      </c>
    </row>
    <row r="1018" spans="3:30" x14ac:dyDescent="0.4">
      <c r="C1018" s="12" t="str">
        <f t="shared" si="53"/>
        <v/>
      </c>
      <c r="AA1018" s="14">
        <f t="shared" si="54"/>
        <v>0</v>
      </c>
      <c r="AB1018" s="14" t="str">
        <f>_xlfn.XLOOKUP(AA1018,M_ARTIST!A:A,M_ARTIST!B:B,"★★★",0,1)</f>
        <v>★★★</v>
      </c>
      <c r="AC1018" s="14">
        <f t="shared" si="55"/>
        <v>0</v>
      </c>
      <c r="AD1018" s="19" t="e">
        <f>HYPERLINK(_xlfn.XLOOKUP(C1018,M_YT_LIVE_TIMESTAMP!AA:AA,M_YT_LIVE_TIMESTAMP!Z:Z,"★",0,-1))</f>
        <v>#VALUE!</v>
      </c>
    </row>
    <row r="1019" spans="3:30" x14ac:dyDescent="0.4">
      <c r="C1019" s="12" t="str">
        <f t="shared" si="53"/>
        <v/>
      </c>
      <c r="AA1019" s="14">
        <f t="shared" si="54"/>
        <v>0</v>
      </c>
      <c r="AB1019" s="14" t="str">
        <f>_xlfn.XLOOKUP(AA1019,M_ARTIST!A:A,M_ARTIST!B:B,"★★★",0,1)</f>
        <v>★★★</v>
      </c>
      <c r="AC1019" s="14">
        <f t="shared" si="55"/>
        <v>0</v>
      </c>
      <c r="AD1019" s="19" t="e">
        <f>HYPERLINK(_xlfn.XLOOKUP(C1019,M_YT_LIVE_TIMESTAMP!AA:AA,M_YT_LIVE_TIMESTAMP!Z:Z,"★",0,-1))</f>
        <v>#VALUE!</v>
      </c>
    </row>
    <row r="1020" spans="3:30" x14ac:dyDescent="0.4">
      <c r="C1020" s="12" t="str">
        <f t="shared" si="53"/>
        <v/>
      </c>
      <c r="AA1020" s="14">
        <f t="shared" si="54"/>
        <v>0</v>
      </c>
      <c r="AB1020" s="14" t="str">
        <f>_xlfn.XLOOKUP(AA1020,M_ARTIST!A:A,M_ARTIST!B:B,"★★★",0,1)</f>
        <v>★★★</v>
      </c>
      <c r="AC1020" s="14">
        <f t="shared" si="55"/>
        <v>0</v>
      </c>
      <c r="AD1020" s="19" t="e">
        <f>HYPERLINK(_xlfn.XLOOKUP(C1020,M_YT_LIVE_TIMESTAMP!AA:AA,M_YT_LIVE_TIMESTAMP!Z:Z,"★",0,-1))</f>
        <v>#VALUE!</v>
      </c>
    </row>
    <row r="1021" spans="3:30" x14ac:dyDescent="0.4">
      <c r="C1021" s="12" t="str">
        <f t="shared" si="53"/>
        <v/>
      </c>
      <c r="AA1021" s="14">
        <f t="shared" si="54"/>
        <v>0</v>
      </c>
      <c r="AB1021" s="14" t="str">
        <f>_xlfn.XLOOKUP(AA1021,M_ARTIST!A:A,M_ARTIST!B:B,"★★★",0,1)</f>
        <v>★★★</v>
      </c>
      <c r="AC1021" s="14">
        <f t="shared" si="55"/>
        <v>0</v>
      </c>
      <c r="AD1021" s="19" t="e">
        <f>HYPERLINK(_xlfn.XLOOKUP(C1021,M_YT_LIVE_TIMESTAMP!AA:AA,M_YT_LIVE_TIMESTAMP!Z:Z,"★",0,-1))</f>
        <v>#VALUE!</v>
      </c>
    </row>
    <row r="1022" spans="3:30" x14ac:dyDescent="0.4">
      <c r="C1022" s="12" t="str">
        <f t="shared" si="53"/>
        <v/>
      </c>
      <c r="AA1022" s="14">
        <f t="shared" si="54"/>
        <v>0</v>
      </c>
      <c r="AB1022" s="14" t="str">
        <f>_xlfn.XLOOKUP(AA1022,M_ARTIST!A:A,M_ARTIST!B:B,"★★★",0,1)</f>
        <v>★★★</v>
      </c>
      <c r="AC1022" s="14">
        <f t="shared" si="55"/>
        <v>0</v>
      </c>
      <c r="AD1022" s="19" t="e">
        <f>HYPERLINK(_xlfn.XLOOKUP(C1022,M_YT_LIVE_TIMESTAMP!AA:AA,M_YT_LIVE_TIMESTAMP!Z:Z,"★",0,-1))</f>
        <v>#VALUE!</v>
      </c>
    </row>
    <row r="1023" spans="3:30" x14ac:dyDescent="0.4">
      <c r="C1023" s="12" t="str">
        <f t="shared" si="53"/>
        <v/>
      </c>
      <c r="AA1023" s="14">
        <f t="shared" si="54"/>
        <v>0</v>
      </c>
      <c r="AB1023" s="14" t="str">
        <f>_xlfn.XLOOKUP(AA1023,M_ARTIST!A:A,M_ARTIST!B:B,"★★★",0,1)</f>
        <v>★★★</v>
      </c>
      <c r="AC1023" s="14">
        <f t="shared" si="55"/>
        <v>0</v>
      </c>
      <c r="AD1023" s="19" t="e">
        <f>HYPERLINK(_xlfn.XLOOKUP(C1023,M_YT_LIVE_TIMESTAMP!AA:AA,M_YT_LIVE_TIMESTAMP!Z:Z,"★",0,-1))</f>
        <v>#VALUE!</v>
      </c>
    </row>
    <row r="1024" spans="3:30" x14ac:dyDescent="0.4">
      <c r="C1024" s="12" t="str">
        <f t="shared" si="53"/>
        <v/>
      </c>
      <c r="AA1024" s="14">
        <f t="shared" si="54"/>
        <v>0</v>
      </c>
      <c r="AB1024" s="14" t="str">
        <f>_xlfn.XLOOKUP(AA1024,M_ARTIST!A:A,M_ARTIST!B:B,"★★★",0,1)</f>
        <v>★★★</v>
      </c>
      <c r="AC1024" s="14">
        <f t="shared" si="55"/>
        <v>0</v>
      </c>
      <c r="AD1024" s="19" t="e">
        <f>HYPERLINK(_xlfn.XLOOKUP(C1024,M_YT_LIVE_TIMESTAMP!AA:AA,M_YT_LIVE_TIMESTAMP!Z:Z,"★",0,-1))</f>
        <v>#VALUE!</v>
      </c>
    </row>
    <row r="1025" spans="3:30" x14ac:dyDescent="0.4">
      <c r="C1025" s="12" t="str">
        <f t="shared" si="53"/>
        <v/>
      </c>
      <c r="AA1025" s="14">
        <f t="shared" si="54"/>
        <v>0</v>
      </c>
      <c r="AB1025" s="14" t="str">
        <f>_xlfn.XLOOKUP(AA1025,M_ARTIST!A:A,M_ARTIST!B:B,"★★★",0,1)</f>
        <v>★★★</v>
      </c>
      <c r="AC1025" s="14">
        <f t="shared" si="55"/>
        <v>0</v>
      </c>
      <c r="AD1025" s="19" t="e">
        <f>HYPERLINK(_xlfn.XLOOKUP(C1025,M_YT_LIVE_TIMESTAMP!AA:AA,M_YT_LIVE_TIMESTAMP!Z:Z,"★",0,-1))</f>
        <v>#VALUE!</v>
      </c>
    </row>
    <row r="1026" spans="3:30" x14ac:dyDescent="0.4">
      <c r="C1026" s="12" t="str">
        <f t="shared" si="53"/>
        <v/>
      </c>
      <c r="AA1026" s="14">
        <f t="shared" si="54"/>
        <v>0</v>
      </c>
      <c r="AB1026" s="14" t="str">
        <f>_xlfn.XLOOKUP(AA1026,M_ARTIST!A:A,M_ARTIST!B:B,"★★★",0,1)</f>
        <v>★★★</v>
      </c>
      <c r="AC1026" s="14">
        <f t="shared" si="55"/>
        <v>0</v>
      </c>
      <c r="AD1026" s="19" t="e">
        <f>HYPERLINK(_xlfn.XLOOKUP(C1026,M_YT_LIVE_TIMESTAMP!AA:AA,M_YT_LIVE_TIMESTAMP!Z:Z,"★",0,-1))</f>
        <v>#VALUE!</v>
      </c>
    </row>
    <row r="1027" spans="3:30" x14ac:dyDescent="0.4">
      <c r="C1027" s="12" t="str">
        <f t="shared" si="53"/>
        <v/>
      </c>
      <c r="AA1027" s="14">
        <f t="shared" si="54"/>
        <v>0</v>
      </c>
      <c r="AB1027" s="14" t="str">
        <f>_xlfn.XLOOKUP(AA1027,M_ARTIST!A:A,M_ARTIST!B:B,"★★★",0,1)</f>
        <v>★★★</v>
      </c>
      <c r="AC1027" s="14">
        <f t="shared" si="55"/>
        <v>0</v>
      </c>
      <c r="AD1027" s="19" t="e">
        <f>HYPERLINK(_xlfn.XLOOKUP(C1027,M_YT_LIVE_TIMESTAMP!AA:AA,M_YT_LIVE_TIMESTAMP!Z:Z,"★",0,-1))</f>
        <v>#VALUE!</v>
      </c>
    </row>
    <row r="1028" spans="3:30" x14ac:dyDescent="0.4">
      <c r="C1028" s="12" t="str">
        <f t="shared" si="53"/>
        <v/>
      </c>
      <c r="AA1028" s="14">
        <f t="shared" si="54"/>
        <v>0</v>
      </c>
      <c r="AB1028" s="14" t="str">
        <f>_xlfn.XLOOKUP(AA1028,M_ARTIST!A:A,M_ARTIST!B:B,"★★★",0,1)</f>
        <v>★★★</v>
      </c>
      <c r="AC1028" s="14">
        <f t="shared" si="55"/>
        <v>0</v>
      </c>
      <c r="AD1028" s="19" t="e">
        <f>HYPERLINK(_xlfn.XLOOKUP(C1028,M_YT_LIVE_TIMESTAMP!AA:AA,M_YT_LIVE_TIMESTAMP!Z:Z,"★",0,-1))</f>
        <v>#VALUE!</v>
      </c>
    </row>
    <row r="1029" spans="3:30" x14ac:dyDescent="0.4">
      <c r="C1029" s="12" t="str">
        <f t="shared" si="53"/>
        <v/>
      </c>
      <c r="AA1029" s="14">
        <f t="shared" si="54"/>
        <v>0</v>
      </c>
      <c r="AB1029" s="14" t="str">
        <f>_xlfn.XLOOKUP(AA1029,M_ARTIST!A:A,M_ARTIST!B:B,"★★★",0,1)</f>
        <v>★★★</v>
      </c>
      <c r="AC1029" s="14">
        <f t="shared" si="55"/>
        <v>0</v>
      </c>
      <c r="AD1029" s="19" t="e">
        <f>HYPERLINK(_xlfn.XLOOKUP(C1029,M_YT_LIVE_TIMESTAMP!AA:AA,M_YT_LIVE_TIMESTAMP!Z:Z,"★",0,-1))</f>
        <v>#VALUE!</v>
      </c>
    </row>
    <row r="1030" spans="3:30" x14ac:dyDescent="0.4">
      <c r="C1030" s="12" t="str">
        <f t="shared" si="53"/>
        <v/>
      </c>
      <c r="AA1030" s="14">
        <f t="shared" si="54"/>
        <v>0</v>
      </c>
      <c r="AB1030" s="14" t="str">
        <f>_xlfn.XLOOKUP(AA1030,M_ARTIST!A:A,M_ARTIST!B:B,"★★★",0,1)</f>
        <v>★★★</v>
      </c>
      <c r="AC1030" s="14">
        <f t="shared" si="55"/>
        <v>0</v>
      </c>
      <c r="AD1030" s="19" t="e">
        <f>HYPERLINK(_xlfn.XLOOKUP(C1030,M_YT_LIVE_TIMESTAMP!AA:AA,M_YT_LIVE_TIMESTAMP!Z:Z,"★",0,-1))</f>
        <v>#VALUE!</v>
      </c>
    </row>
    <row r="1031" spans="3:30" x14ac:dyDescent="0.4">
      <c r="C1031" s="12" t="str">
        <f t="shared" si="53"/>
        <v/>
      </c>
      <c r="AA1031" s="14">
        <f t="shared" si="54"/>
        <v>0</v>
      </c>
      <c r="AB1031" s="14" t="str">
        <f>_xlfn.XLOOKUP(AA1031,M_ARTIST!A:A,M_ARTIST!B:B,"★★★",0,1)</f>
        <v>★★★</v>
      </c>
      <c r="AC1031" s="14">
        <f t="shared" si="55"/>
        <v>0</v>
      </c>
      <c r="AD1031" s="19" t="e">
        <f>HYPERLINK(_xlfn.XLOOKUP(C1031,M_YT_LIVE_TIMESTAMP!AA:AA,M_YT_LIVE_TIMESTAMP!Z:Z,"★",0,-1))</f>
        <v>#VALUE!</v>
      </c>
    </row>
    <row r="1032" spans="3:30" x14ac:dyDescent="0.4">
      <c r="C1032" s="12" t="str">
        <f t="shared" si="53"/>
        <v/>
      </c>
      <c r="AA1032" s="14">
        <f t="shared" si="54"/>
        <v>0</v>
      </c>
      <c r="AB1032" s="14" t="str">
        <f>_xlfn.XLOOKUP(AA1032,M_ARTIST!A:A,M_ARTIST!B:B,"★★★",0,1)</f>
        <v>★★★</v>
      </c>
      <c r="AC1032" s="14">
        <f t="shared" si="55"/>
        <v>0</v>
      </c>
      <c r="AD1032" s="19" t="e">
        <f>HYPERLINK(_xlfn.XLOOKUP(C1032,M_YT_LIVE_TIMESTAMP!AA:AA,M_YT_LIVE_TIMESTAMP!Z:Z,"★",0,-1))</f>
        <v>#VALUE!</v>
      </c>
    </row>
    <row r="1033" spans="3:30" x14ac:dyDescent="0.4">
      <c r="C1033" s="12" t="str">
        <f t="shared" si="53"/>
        <v/>
      </c>
      <c r="AA1033" s="14">
        <f t="shared" si="54"/>
        <v>0</v>
      </c>
      <c r="AB1033" s="14" t="str">
        <f>_xlfn.XLOOKUP(AA1033,M_ARTIST!A:A,M_ARTIST!B:B,"★★★",0,1)</f>
        <v>★★★</v>
      </c>
      <c r="AC1033" s="14">
        <f t="shared" si="55"/>
        <v>0</v>
      </c>
      <c r="AD1033" s="19" t="e">
        <f>HYPERLINK(_xlfn.XLOOKUP(C1033,M_YT_LIVE_TIMESTAMP!AA:AA,M_YT_LIVE_TIMESTAMP!Z:Z,"★",0,-1))</f>
        <v>#VALUE!</v>
      </c>
    </row>
    <row r="1034" spans="3:30" x14ac:dyDescent="0.4">
      <c r="C1034" s="12" t="str">
        <f t="shared" si="53"/>
        <v/>
      </c>
      <c r="AA1034" s="14">
        <f t="shared" si="54"/>
        <v>0</v>
      </c>
      <c r="AB1034" s="14" t="str">
        <f>_xlfn.XLOOKUP(AA1034,M_ARTIST!A:A,M_ARTIST!B:B,"★★★",0,1)</f>
        <v>★★★</v>
      </c>
      <c r="AC1034" s="14">
        <f t="shared" si="55"/>
        <v>0</v>
      </c>
      <c r="AD1034" s="19" t="e">
        <f>HYPERLINK(_xlfn.XLOOKUP(C1034,M_YT_LIVE_TIMESTAMP!AA:AA,M_YT_LIVE_TIMESTAMP!Z:Z,"★",0,-1))</f>
        <v>#VALUE!</v>
      </c>
    </row>
    <row r="1035" spans="3:30" x14ac:dyDescent="0.4">
      <c r="C1035" s="12" t="str">
        <f t="shared" si="53"/>
        <v/>
      </c>
      <c r="AA1035" s="14">
        <f t="shared" si="54"/>
        <v>0</v>
      </c>
      <c r="AB1035" s="14" t="str">
        <f>_xlfn.XLOOKUP(AA1035,M_ARTIST!A:A,M_ARTIST!B:B,"★★★",0,1)</f>
        <v>★★★</v>
      </c>
      <c r="AC1035" s="14">
        <f t="shared" si="55"/>
        <v>0</v>
      </c>
      <c r="AD1035" s="19" t="e">
        <f>HYPERLINK(_xlfn.XLOOKUP(C1035,M_YT_LIVE_TIMESTAMP!AA:AA,M_YT_LIVE_TIMESTAMP!Z:Z,"★",0,-1))</f>
        <v>#VALUE!</v>
      </c>
    </row>
    <row r="1036" spans="3:30" x14ac:dyDescent="0.4">
      <c r="C1036" s="12" t="str">
        <f t="shared" si="53"/>
        <v/>
      </c>
      <c r="AA1036" s="14">
        <f t="shared" si="54"/>
        <v>0</v>
      </c>
      <c r="AB1036" s="14" t="str">
        <f>_xlfn.XLOOKUP(AA1036,M_ARTIST!A:A,M_ARTIST!B:B,"★★★",0,1)</f>
        <v>★★★</v>
      </c>
      <c r="AC1036" s="14">
        <f t="shared" si="55"/>
        <v>0</v>
      </c>
      <c r="AD1036" s="19" t="e">
        <f>HYPERLINK(_xlfn.XLOOKUP(C1036,M_YT_LIVE_TIMESTAMP!AA:AA,M_YT_LIVE_TIMESTAMP!Z:Z,"★",0,-1))</f>
        <v>#VALUE!</v>
      </c>
    </row>
    <row r="1037" spans="3:30" x14ac:dyDescent="0.4">
      <c r="C1037" s="12" t="str">
        <f t="shared" si="53"/>
        <v/>
      </c>
      <c r="AA1037" s="14">
        <f t="shared" si="54"/>
        <v>0</v>
      </c>
      <c r="AB1037" s="14" t="str">
        <f>_xlfn.XLOOKUP(AA1037,M_ARTIST!A:A,M_ARTIST!B:B,"★★★",0,1)</f>
        <v>★★★</v>
      </c>
      <c r="AC1037" s="14">
        <f t="shared" si="55"/>
        <v>0</v>
      </c>
      <c r="AD1037" s="19" t="e">
        <f>HYPERLINK(_xlfn.XLOOKUP(C1037,M_YT_LIVE_TIMESTAMP!AA:AA,M_YT_LIVE_TIMESTAMP!Z:Z,"★",0,-1))</f>
        <v>#VALUE!</v>
      </c>
    </row>
    <row r="1038" spans="3:30" x14ac:dyDescent="0.4">
      <c r="C1038" s="12" t="str">
        <f t="shared" si="53"/>
        <v/>
      </c>
      <c r="AA1038" s="14">
        <f t="shared" si="54"/>
        <v>0</v>
      </c>
      <c r="AB1038" s="14" t="str">
        <f>_xlfn.XLOOKUP(AA1038,M_ARTIST!A:A,M_ARTIST!B:B,"★★★",0,1)</f>
        <v>★★★</v>
      </c>
      <c r="AC1038" s="14">
        <f t="shared" si="55"/>
        <v>0</v>
      </c>
      <c r="AD1038" s="19" t="e">
        <f>HYPERLINK(_xlfn.XLOOKUP(C1038,M_YT_LIVE_TIMESTAMP!AA:AA,M_YT_LIVE_TIMESTAMP!Z:Z,"★",0,-1))</f>
        <v>#VALUE!</v>
      </c>
    </row>
    <row r="1039" spans="3:30" x14ac:dyDescent="0.4">
      <c r="C1039" s="12" t="str">
        <f t="shared" si="53"/>
        <v/>
      </c>
      <c r="AA1039" s="14">
        <f t="shared" si="54"/>
        <v>0</v>
      </c>
      <c r="AB1039" s="14" t="str">
        <f>_xlfn.XLOOKUP(AA1039,M_ARTIST!A:A,M_ARTIST!B:B,"★★★",0,1)</f>
        <v>★★★</v>
      </c>
      <c r="AC1039" s="14">
        <f t="shared" si="55"/>
        <v>0</v>
      </c>
      <c r="AD1039" s="19" t="e">
        <f>HYPERLINK(_xlfn.XLOOKUP(C1039,M_YT_LIVE_TIMESTAMP!AA:AA,M_YT_LIVE_TIMESTAMP!Z:Z,"★",0,-1))</f>
        <v>#VALUE!</v>
      </c>
    </row>
    <row r="1040" spans="3:30" x14ac:dyDescent="0.4">
      <c r="C1040" s="12" t="str">
        <f t="shared" si="53"/>
        <v/>
      </c>
      <c r="AA1040" s="14">
        <f t="shared" si="54"/>
        <v>0</v>
      </c>
      <c r="AB1040" s="14" t="str">
        <f>_xlfn.XLOOKUP(AA1040,M_ARTIST!A:A,M_ARTIST!B:B,"★★★",0,1)</f>
        <v>★★★</v>
      </c>
      <c r="AC1040" s="14">
        <f t="shared" si="55"/>
        <v>0</v>
      </c>
      <c r="AD1040" s="19" t="e">
        <f>HYPERLINK(_xlfn.XLOOKUP(C1040,M_YT_LIVE_TIMESTAMP!AA:AA,M_YT_LIVE_TIMESTAMP!Z:Z,"★",0,-1))</f>
        <v>#VALUE!</v>
      </c>
    </row>
    <row r="1041" spans="3:30" x14ac:dyDescent="0.4">
      <c r="C1041" s="12" t="str">
        <f t="shared" si="53"/>
        <v/>
      </c>
      <c r="AA1041" s="14">
        <f t="shared" si="54"/>
        <v>0</v>
      </c>
      <c r="AB1041" s="14" t="str">
        <f>_xlfn.XLOOKUP(AA1041,M_ARTIST!A:A,M_ARTIST!B:B,"★★★",0,1)</f>
        <v>★★★</v>
      </c>
      <c r="AC1041" s="14">
        <f t="shared" si="55"/>
        <v>0</v>
      </c>
      <c r="AD1041" s="19" t="e">
        <f>HYPERLINK(_xlfn.XLOOKUP(C1041,M_YT_LIVE_TIMESTAMP!AA:AA,M_YT_LIVE_TIMESTAMP!Z:Z,"★",0,-1))</f>
        <v>#VALUE!</v>
      </c>
    </row>
    <row r="1042" spans="3:30" x14ac:dyDescent="0.4">
      <c r="C1042" s="12" t="str">
        <f t="shared" si="53"/>
        <v/>
      </c>
      <c r="AA1042" s="14">
        <f t="shared" si="54"/>
        <v>0</v>
      </c>
      <c r="AB1042" s="14" t="str">
        <f>_xlfn.XLOOKUP(AA1042,M_ARTIST!A:A,M_ARTIST!B:B,"★★★",0,1)</f>
        <v>★★★</v>
      </c>
      <c r="AC1042" s="14">
        <f t="shared" si="55"/>
        <v>0</v>
      </c>
      <c r="AD1042" s="19" t="e">
        <f>HYPERLINK(_xlfn.XLOOKUP(C1042,M_YT_LIVE_TIMESTAMP!AA:AA,M_YT_LIVE_TIMESTAMP!Z:Z,"★",0,-1))</f>
        <v>#VALUE!</v>
      </c>
    </row>
    <row r="1043" spans="3:30" x14ac:dyDescent="0.4">
      <c r="C1043" s="12" t="str">
        <f t="shared" ref="C1043:C1106" si="56">TRIM(B1043)&amp;TRIM(A1043)</f>
        <v/>
      </c>
      <c r="AA1043" s="14">
        <f t="shared" ref="AA1043:AA1106" si="57">B1043</f>
        <v>0</v>
      </c>
      <c r="AB1043" s="14" t="str">
        <f>_xlfn.XLOOKUP(AA1043,M_ARTIST!A:A,M_ARTIST!B:B,"★★★",0,1)</f>
        <v>★★★</v>
      </c>
      <c r="AC1043" s="14">
        <f t="shared" ref="AC1043:AC1106" si="58">A1043</f>
        <v>0</v>
      </c>
      <c r="AD1043" s="19" t="e">
        <f>HYPERLINK(_xlfn.XLOOKUP(C1043,M_YT_LIVE_TIMESTAMP!AA:AA,M_YT_LIVE_TIMESTAMP!Z:Z,"★",0,-1))</f>
        <v>#VALUE!</v>
      </c>
    </row>
    <row r="1044" spans="3:30" x14ac:dyDescent="0.4">
      <c r="C1044" s="12" t="str">
        <f t="shared" si="56"/>
        <v/>
      </c>
      <c r="AA1044" s="14">
        <f t="shared" si="57"/>
        <v>0</v>
      </c>
      <c r="AB1044" s="14" t="str">
        <f>_xlfn.XLOOKUP(AA1044,M_ARTIST!A:A,M_ARTIST!B:B,"★★★",0,1)</f>
        <v>★★★</v>
      </c>
      <c r="AC1044" s="14">
        <f t="shared" si="58"/>
        <v>0</v>
      </c>
      <c r="AD1044" s="19" t="e">
        <f>HYPERLINK(_xlfn.XLOOKUP(C1044,M_YT_LIVE_TIMESTAMP!AA:AA,M_YT_LIVE_TIMESTAMP!Z:Z,"★",0,-1))</f>
        <v>#VALUE!</v>
      </c>
    </row>
    <row r="1045" spans="3:30" x14ac:dyDescent="0.4">
      <c r="C1045" s="12" t="str">
        <f t="shared" si="56"/>
        <v/>
      </c>
      <c r="AA1045" s="14">
        <f t="shared" si="57"/>
        <v>0</v>
      </c>
      <c r="AB1045" s="14" t="str">
        <f>_xlfn.XLOOKUP(AA1045,M_ARTIST!A:A,M_ARTIST!B:B,"★★★",0,1)</f>
        <v>★★★</v>
      </c>
      <c r="AC1045" s="14">
        <f t="shared" si="58"/>
        <v>0</v>
      </c>
      <c r="AD1045" s="19" t="e">
        <f>HYPERLINK(_xlfn.XLOOKUP(C1045,M_YT_LIVE_TIMESTAMP!AA:AA,M_YT_LIVE_TIMESTAMP!Z:Z,"★",0,-1))</f>
        <v>#VALUE!</v>
      </c>
    </row>
    <row r="1046" spans="3:30" x14ac:dyDescent="0.4">
      <c r="C1046" s="12" t="str">
        <f t="shared" si="56"/>
        <v/>
      </c>
      <c r="AA1046" s="14">
        <f t="shared" si="57"/>
        <v>0</v>
      </c>
      <c r="AB1046" s="14" t="str">
        <f>_xlfn.XLOOKUP(AA1046,M_ARTIST!A:A,M_ARTIST!B:B,"★★★",0,1)</f>
        <v>★★★</v>
      </c>
      <c r="AC1046" s="14">
        <f t="shared" si="58"/>
        <v>0</v>
      </c>
      <c r="AD1046" s="19" t="e">
        <f>HYPERLINK(_xlfn.XLOOKUP(C1046,M_YT_LIVE_TIMESTAMP!AA:AA,M_YT_LIVE_TIMESTAMP!Z:Z,"★",0,-1))</f>
        <v>#VALUE!</v>
      </c>
    </row>
    <row r="1047" spans="3:30" x14ac:dyDescent="0.4">
      <c r="C1047" s="12" t="str">
        <f t="shared" si="56"/>
        <v/>
      </c>
      <c r="AA1047" s="14">
        <f t="shared" si="57"/>
        <v>0</v>
      </c>
      <c r="AB1047" s="14" t="str">
        <f>_xlfn.XLOOKUP(AA1047,M_ARTIST!A:A,M_ARTIST!B:B,"★★★",0,1)</f>
        <v>★★★</v>
      </c>
      <c r="AC1047" s="14">
        <f t="shared" si="58"/>
        <v>0</v>
      </c>
      <c r="AD1047" s="19" t="e">
        <f>HYPERLINK(_xlfn.XLOOKUP(C1047,M_YT_LIVE_TIMESTAMP!AA:AA,M_YT_LIVE_TIMESTAMP!Z:Z,"★",0,-1))</f>
        <v>#VALUE!</v>
      </c>
    </row>
    <row r="1048" spans="3:30" x14ac:dyDescent="0.4">
      <c r="C1048" s="12" t="str">
        <f t="shared" si="56"/>
        <v/>
      </c>
      <c r="AA1048" s="14">
        <f t="shared" si="57"/>
        <v>0</v>
      </c>
      <c r="AB1048" s="14" t="str">
        <f>_xlfn.XLOOKUP(AA1048,M_ARTIST!A:A,M_ARTIST!B:B,"★★★",0,1)</f>
        <v>★★★</v>
      </c>
      <c r="AC1048" s="14">
        <f t="shared" si="58"/>
        <v>0</v>
      </c>
      <c r="AD1048" s="19" t="e">
        <f>HYPERLINK(_xlfn.XLOOKUP(C1048,M_YT_LIVE_TIMESTAMP!AA:AA,M_YT_LIVE_TIMESTAMP!Z:Z,"★",0,-1))</f>
        <v>#VALUE!</v>
      </c>
    </row>
    <row r="1049" spans="3:30" x14ac:dyDescent="0.4">
      <c r="C1049" s="12" t="str">
        <f t="shared" si="56"/>
        <v/>
      </c>
      <c r="AA1049" s="14">
        <f t="shared" si="57"/>
        <v>0</v>
      </c>
      <c r="AB1049" s="14" t="str">
        <f>_xlfn.XLOOKUP(AA1049,M_ARTIST!A:A,M_ARTIST!B:B,"★★★",0,1)</f>
        <v>★★★</v>
      </c>
      <c r="AC1049" s="14">
        <f t="shared" si="58"/>
        <v>0</v>
      </c>
      <c r="AD1049" s="19" t="e">
        <f>HYPERLINK(_xlfn.XLOOKUP(C1049,M_YT_LIVE_TIMESTAMP!AA:AA,M_YT_LIVE_TIMESTAMP!Z:Z,"★",0,-1))</f>
        <v>#VALUE!</v>
      </c>
    </row>
    <row r="1050" spans="3:30" x14ac:dyDescent="0.4">
      <c r="C1050" s="12" t="str">
        <f t="shared" si="56"/>
        <v/>
      </c>
      <c r="AA1050" s="14">
        <f t="shared" si="57"/>
        <v>0</v>
      </c>
      <c r="AB1050" s="14" t="str">
        <f>_xlfn.XLOOKUP(AA1050,M_ARTIST!A:A,M_ARTIST!B:B,"★★★",0,1)</f>
        <v>★★★</v>
      </c>
      <c r="AC1050" s="14">
        <f t="shared" si="58"/>
        <v>0</v>
      </c>
      <c r="AD1050" s="19" t="e">
        <f>HYPERLINK(_xlfn.XLOOKUP(C1050,M_YT_LIVE_TIMESTAMP!AA:AA,M_YT_LIVE_TIMESTAMP!Z:Z,"★",0,-1))</f>
        <v>#VALUE!</v>
      </c>
    </row>
    <row r="1051" spans="3:30" x14ac:dyDescent="0.4">
      <c r="C1051" s="12" t="str">
        <f t="shared" si="56"/>
        <v/>
      </c>
      <c r="AA1051" s="14">
        <f t="shared" si="57"/>
        <v>0</v>
      </c>
      <c r="AB1051" s="14" t="str">
        <f>_xlfn.XLOOKUP(AA1051,M_ARTIST!A:A,M_ARTIST!B:B,"★★★",0,1)</f>
        <v>★★★</v>
      </c>
      <c r="AC1051" s="14">
        <f t="shared" si="58"/>
        <v>0</v>
      </c>
      <c r="AD1051" s="19" t="e">
        <f>HYPERLINK(_xlfn.XLOOKUP(C1051,M_YT_LIVE_TIMESTAMP!AA:AA,M_YT_LIVE_TIMESTAMP!Z:Z,"★",0,-1))</f>
        <v>#VALUE!</v>
      </c>
    </row>
    <row r="1052" spans="3:30" x14ac:dyDescent="0.4">
      <c r="C1052" s="12" t="str">
        <f t="shared" si="56"/>
        <v/>
      </c>
      <c r="AA1052" s="14">
        <f t="shared" si="57"/>
        <v>0</v>
      </c>
      <c r="AB1052" s="14" t="str">
        <f>_xlfn.XLOOKUP(AA1052,M_ARTIST!A:A,M_ARTIST!B:B,"★★★",0,1)</f>
        <v>★★★</v>
      </c>
      <c r="AC1052" s="14">
        <f t="shared" si="58"/>
        <v>0</v>
      </c>
      <c r="AD1052" s="19" t="e">
        <f>HYPERLINK(_xlfn.XLOOKUP(C1052,M_YT_LIVE_TIMESTAMP!AA:AA,M_YT_LIVE_TIMESTAMP!Z:Z,"★",0,-1))</f>
        <v>#VALUE!</v>
      </c>
    </row>
    <row r="1053" spans="3:30" x14ac:dyDescent="0.4">
      <c r="C1053" s="12" t="str">
        <f t="shared" si="56"/>
        <v/>
      </c>
      <c r="AA1053" s="14">
        <f t="shared" si="57"/>
        <v>0</v>
      </c>
      <c r="AB1053" s="14" t="str">
        <f>_xlfn.XLOOKUP(AA1053,M_ARTIST!A:A,M_ARTIST!B:B,"★★★",0,1)</f>
        <v>★★★</v>
      </c>
      <c r="AC1053" s="14">
        <f t="shared" si="58"/>
        <v>0</v>
      </c>
      <c r="AD1053" s="19" t="e">
        <f>HYPERLINK(_xlfn.XLOOKUP(C1053,M_YT_LIVE_TIMESTAMP!AA:AA,M_YT_LIVE_TIMESTAMP!Z:Z,"★",0,-1))</f>
        <v>#VALUE!</v>
      </c>
    </row>
    <row r="1054" spans="3:30" x14ac:dyDescent="0.4">
      <c r="C1054" s="12" t="str">
        <f t="shared" si="56"/>
        <v/>
      </c>
      <c r="AA1054" s="14">
        <f t="shared" si="57"/>
        <v>0</v>
      </c>
      <c r="AB1054" s="14" t="str">
        <f>_xlfn.XLOOKUP(AA1054,M_ARTIST!A:A,M_ARTIST!B:B,"★★★",0,1)</f>
        <v>★★★</v>
      </c>
      <c r="AC1054" s="14">
        <f t="shared" si="58"/>
        <v>0</v>
      </c>
      <c r="AD1054" s="19" t="e">
        <f>HYPERLINK(_xlfn.XLOOKUP(C1054,M_YT_LIVE_TIMESTAMP!AA:AA,M_YT_LIVE_TIMESTAMP!Z:Z,"★",0,-1))</f>
        <v>#VALUE!</v>
      </c>
    </row>
    <row r="1055" spans="3:30" x14ac:dyDescent="0.4">
      <c r="C1055" s="12" t="str">
        <f t="shared" si="56"/>
        <v/>
      </c>
      <c r="AA1055" s="14">
        <f t="shared" si="57"/>
        <v>0</v>
      </c>
      <c r="AB1055" s="14" t="str">
        <f>_xlfn.XLOOKUP(AA1055,M_ARTIST!A:A,M_ARTIST!B:B,"★★★",0,1)</f>
        <v>★★★</v>
      </c>
      <c r="AC1055" s="14">
        <f t="shared" si="58"/>
        <v>0</v>
      </c>
      <c r="AD1055" s="19" t="e">
        <f>HYPERLINK(_xlfn.XLOOKUP(C1055,M_YT_LIVE_TIMESTAMP!AA:AA,M_YT_LIVE_TIMESTAMP!Z:Z,"★",0,-1))</f>
        <v>#VALUE!</v>
      </c>
    </row>
    <row r="1056" spans="3:30" x14ac:dyDescent="0.4">
      <c r="C1056" s="12" t="str">
        <f t="shared" si="56"/>
        <v/>
      </c>
      <c r="AA1056" s="14">
        <f t="shared" si="57"/>
        <v>0</v>
      </c>
      <c r="AB1056" s="14" t="str">
        <f>_xlfn.XLOOKUP(AA1056,M_ARTIST!A:A,M_ARTIST!B:B,"★★★",0,1)</f>
        <v>★★★</v>
      </c>
      <c r="AC1056" s="14">
        <f t="shared" si="58"/>
        <v>0</v>
      </c>
      <c r="AD1056" s="19" t="e">
        <f>HYPERLINK(_xlfn.XLOOKUP(C1056,M_YT_LIVE_TIMESTAMP!AA:AA,M_YT_LIVE_TIMESTAMP!Z:Z,"★",0,-1))</f>
        <v>#VALUE!</v>
      </c>
    </row>
    <row r="1057" spans="3:30" x14ac:dyDescent="0.4">
      <c r="C1057" s="12" t="str">
        <f t="shared" si="56"/>
        <v/>
      </c>
      <c r="AA1057" s="14">
        <f t="shared" si="57"/>
        <v>0</v>
      </c>
      <c r="AB1057" s="14" t="str">
        <f>_xlfn.XLOOKUP(AA1057,M_ARTIST!A:A,M_ARTIST!B:B,"★★★",0,1)</f>
        <v>★★★</v>
      </c>
      <c r="AC1057" s="14">
        <f t="shared" si="58"/>
        <v>0</v>
      </c>
      <c r="AD1057" s="19" t="e">
        <f>HYPERLINK(_xlfn.XLOOKUP(C1057,M_YT_LIVE_TIMESTAMP!AA:AA,M_YT_LIVE_TIMESTAMP!Z:Z,"★",0,-1))</f>
        <v>#VALUE!</v>
      </c>
    </row>
    <row r="1058" spans="3:30" x14ac:dyDescent="0.4">
      <c r="C1058" s="12" t="str">
        <f t="shared" si="56"/>
        <v/>
      </c>
      <c r="AA1058" s="14">
        <f t="shared" si="57"/>
        <v>0</v>
      </c>
      <c r="AB1058" s="14" t="str">
        <f>_xlfn.XLOOKUP(AA1058,M_ARTIST!A:A,M_ARTIST!B:B,"★★★",0,1)</f>
        <v>★★★</v>
      </c>
      <c r="AC1058" s="14">
        <f t="shared" si="58"/>
        <v>0</v>
      </c>
      <c r="AD1058" s="19" t="e">
        <f>HYPERLINK(_xlfn.XLOOKUP(C1058,M_YT_LIVE_TIMESTAMP!AA:AA,M_YT_LIVE_TIMESTAMP!Z:Z,"★",0,-1))</f>
        <v>#VALUE!</v>
      </c>
    </row>
    <row r="1059" spans="3:30" x14ac:dyDescent="0.4">
      <c r="C1059" s="12" t="str">
        <f t="shared" si="56"/>
        <v/>
      </c>
      <c r="AA1059" s="14">
        <f t="shared" si="57"/>
        <v>0</v>
      </c>
      <c r="AB1059" s="14" t="str">
        <f>_xlfn.XLOOKUP(AA1059,M_ARTIST!A:A,M_ARTIST!B:B,"★★★",0,1)</f>
        <v>★★★</v>
      </c>
      <c r="AC1059" s="14">
        <f t="shared" si="58"/>
        <v>0</v>
      </c>
      <c r="AD1059" s="19" t="e">
        <f>HYPERLINK(_xlfn.XLOOKUP(C1059,M_YT_LIVE_TIMESTAMP!AA:AA,M_YT_LIVE_TIMESTAMP!Z:Z,"★",0,-1))</f>
        <v>#VALUE!</v>
      </c>
    </row>
    <row r="1060" spans="3:30" x14ac:dyDescent="0.4">
      <c r="C1060" s="12" t="str">
        <f t="shared" si="56"/>
        <v/>
      </c>
      <c r="AA1060" s="14">
        <f t="shared" si="57"/>
        <v>0</v>
      </c>
      <c r="AB1060" s="14" t="str">
        <f>_xlfn.XLOOKUP(AA1060,M_ARTIST!A:A,M_ARTIST!B:B,"★★★",0,1)</f>
        <v>★★★</v>
      </c>
      <c r="AC1060" s="14">
        <f t="shared" si="58"/>
        <v>0</v>
      </c>
      <c r="AD1060" s="19" t="e">
        <f>HYPERLINK(_xlfn.XLOOKUP(C1060,M_YT_LIVE_TIMESTAMP!AA:AA,M_YT_LIVE_TIMESTAMP!Z:Z,"★",0,-1))</f>
        <v>#VALUE!</v>
      </c>
    </row>
    <row r="1061" spans="3:30" x14ac:dyDescent="0.4">
      <c r="C1061" s="12" t="str">
        <f t="shared" si="56"/>
        <v/>
      </c>
      <c r="AA1061" s="14">
        <f t="shared" si="57"/>
        <v>0</v>
      </c>
      <c r="AB1061" s="14" t="str">
        <f>_xlfn.XLOOKUP(AA1061,M_ARTIST!A:A,M_ARTIST!B:B,"★★★",0,1)</f>
        <v>★★★</v>
      </c>
      <c r="AC1061" s="14">
        <f t="shared" si="58"/>
        <v>0</v>
      </c>
      <c r="AD1061" s="19" t="e">
        <f>HYPERLINK(_xlfn.XLOOKUP(C1061,M_YT_LIVE_TIMESTAMP!AA:AA,M_YT_LIVE_TIMESTAMP!Z:Z,"★",0,-1))</f>
        <v>#VALUE!</v>
      </c>
    </row>
    <row r="1062" spans="3:30" x14ac:dyDescent="0.4">
      <c r="C1062" s="12" t="str">
        <f t="shared" si="56"/>
        <v/>
      </c>
      <c r="AA1062" s="14">
        <f t="shared" si="57"/>
        <v>0</v>
      </c>
      <c r="AB1062" s="14" t="str">
        <f>_xlfn.XLOOKUP(AA1062,M_ARTIST!A:A,M_ARTIST!B:B,"★★★",0,1)</f>
        <v>★★★</v>
      </c>
      <c r="AC1062" s="14">
        <f t="shared" si="58"/>
        <v>0</v>
      </c>
      <c r="AD1062" s="19" t="e">
        <f>HYPERLINK(_xlfn.XLOOKUP(C1062,M_YT_LIVE_TIMESTAMP!AA:AA,M_YT_LIVE_TIMESTAMP!Z:Z,"★",0,-1))</f>
        <v>#VALUE!</v>
      </c>
    </row>
    <row r="1063" spans="3:30" x14ac:dyDescent="0.4">
      <c r="C1063" s="12" t="str">
        <f t="shared" si="56"/>
        <v/>
      </c>
      <c r="AA1063" s="14">
        <f t="shared" si="57"/>
        <v>0</v>
      </c>
      <c r="AB1063" s="14" t="str">
        <f>_xlfn.XLOOKUP(AA1063,M_ARTIST!A:A,M_ARTIST!B:B,"★★★",0,1)</f>
        <v>★★★</v>
      </c>
      <c r="AC1063" s="14">
        <f t="shared" si="58"/>
        <v>0</v>
      </c>
      <c r="AD1063" s="19" t="e">
        <f>HYPERLINK(_xlfn.XLOOKUP(C1063,M_YT_LIVE_TIMESTAMP!AA:AA,M_YT_LIVE_TIMESTAMP!Z:Z,"★",0,-1))</f>
        <v>#VALUE!</v>
      </c>
    </row>
    <row r="1064" spans="3:30" x14ac:dyDescent="0.4">
      <c r="C1064" s="12" t="str">
        <f t="shared" si="56"/>
        <v/>
      </c>
      <c r="AA1064" s="14">
        <f t="shared" si="57"/>
        <v>0</v>
      </c>
      <c r="AB1064" s="14" t="str">
        <f>_xlfn.XLOOKUP(AA1064,M_ARTIST!A:A,M_ARTIST!B:B,"★★★",0,1)</f>
        <v>★★★</v>
      </c>
      <c r="AC1064" s="14">
        <f t="shared" si="58"/>
        <v>0</v>
      </c>
      <c r="AD1064" s="19" t="e">
        <f>HYPERLINK(_xlfn.XLOOKUP(C1064,M_YT_LIVE_TIMESTAMP!AA:AA,M_YT_LIVE_TIMESTAMP!Z:Z,"★",0,-1))</f>
        <v>#VALUE!</v>
      </c>
    </row>
    <row r="1065" spans="3:30" x14ac:dyDescent="0.4">
      <c r="C1065" s="12" t="str">
        <f t="shared" si="56"/>
        <v/>
      </c>
      <c r="AA1065" s="14">
        <f t="shared" si="57"/>
        <v>0</v>
      </c>
      <c r="AB1065" s="14" t="str">
        <f>_xlfn.XLOOKUP(AA1065,M_ARTIST!A:A,M_ARTIST!B:B,"★★★",0,1)</f>
        <v>★★★</v>
      </c>
      <c r="AC1065" s="14">
        <f t="shared" si="58"/>
        <v>0</v>
      </c>
      <c r="AD1065" s="19" t="e">
        <f>HYPERLINK(_xlfn.XLOOKUP(C1065,M_YT_LIVE_TIMESTAMP!AA:AA,M_YT_LIVE_TIMESTAMP!Z:Z,"★",0,-1))</f>
        <v>#VALUE!</v>
      </c>
    </row>
    <row r="1066" spans="3:30" x14ac:dyDescent="0.4">
      <c r="C1066" s="12" t="str">
        <f t="shared" si="56"/>
        <v/>
      </c>
      <c r="AA1066" s="14">
        <f t="shared" si="57"/>
        <v>0</v>
      </c>
      <c r="AB1066" s="14" t="str">
        <f>_xlfn.XLOOKUP(AA1066,M_ARTIST!A:A,M_ARTIST!B:B,"★★★",0,1)</f>
        <v>★★★</v>
      </c>
      <c r="AC1066" s="14">
        <f t="shared" si="58"/>
        <v>0</v>
      </c>
      <c r="AD1066" s="19" t="e">
        <f>HYPERLINK(_xlfn.XLOOKUP(C1066,M_YT_LIVE_TIMESTAMP!AA:AA,M_YT_LIVE_TIMESTAMP!Z:Z,"★",0,-1))</f>
        <v>#VALUE!</v>
      </c>
    </row>
    <row r="1067" spans="3:30" x14ac:dyDescent="0.4">
      <c r="C1067" s="12" t="str">
        <f t="shared" si="56"/>
        <v/>
      </c>
      <c r="AA1067" s="14">
        <f t="shared" si="57"/>
        <v>0</v>
      </c>
      <c r="AB1067" s="14" t="str">
        <f>_xlfn.XLOOKUP(AA1067,M_ARTIST!A:A,M_ARTIST!B:B,"★★★",0,1)</f>
        <v>★★★</v>
      </c>
      <c r="AC1067" s="14">
        <f t="shared" si="58"/>
        <v>0</v>
      </c>
      <c r="AD1067" s="19" t="e">
        <f>HYPERLINK(_xlfn.XLOOKUP(C1067,M_YT_LIVE_TIMESTAMP!AA:AA,M_YT_LIVE_TIMESTAMP!Z:Z,"★",0,-1))</f>
        <v>#VALUE!</v>
      </c>
    </row>
    <row r="1068" spans="3:30" x14ac:dyDescent="0.4">
      <c r="C1068" s="12" t="str">
        <f t="shared" si="56"/>
        <v/>
      </c>
      <c r="AA1068" s="14">
        <f t="shared" si="57"/>
        <v>0</v>
      </c>
      <c r="AB1068" s="14" t="str">
        <f>_xlfn.XLOOKUP(AA1068,M_ARTIST!A:A,M_ARTIST!B:B,"★★★",0,1)</f>
        <v>★★★</v>
      </c>
      <c r="AC1068" s="14">
        <f t="shared" si="58"/>
        <v>0</v>
      </c>
      <c r="AD1068" s="19" t="e">
        <f>HYPERLINK(_xlfn.XLOOKUP(C1068,M_YT_LIVE_TIMESTAMP!AA:AA,M_YT_LIVE_TIMESTAMP!Z:Z,"★",0,-1))</f>
        <v>#VALUE!</v>
      </c>
    </row>
    <row r="1069" spans="3:30" x14ac:dyDescent="0.4">
      <c r="C1069" s="12" t="str">
        <f t="shared" si="56"/>
        <v/>
      </c>
      <c r="AA1069" s="14">
        <f t="shared" si="57"/>
        <v>0</v>
      </c>
      <c r="AB1069" s="14" t="str">
        <f>_xlfn.XLOOKUP(AA1069,M_ARTIST!A:A,M_ARTIST!B:B,"★★★",0,1)</f>
        <v>★★★</v>
      </c>
      <c r="AC1069" s="14">
        <f t="shared" si="58"/>
        <v>0</v>
      </c>
      <c r="AD1069" s="19" t="e">
        <f>HYPERLINK(_xlfn.XLOOKUP(C1069,M_YT_LIVE_TIMESTAMP!AA:AA,M_YT_LIVE_TIMESTAMP!Z:Z,"★",0,-1))</f>
        <v>#VALUE!</v>
      </c>
    </row>
    <row r="1070" spans="3:30" x14ac:dyDescent="0.4">
      <c r="C1070" s="12" t="str">
        <f t="shared" si="56"/>
        <v/>
      </c>
      <c r="AA1070" s="14">
        <f t="shared" si="57"/>
        <v>0</v>
      </c>
      <c r="AB1070" s="14" t="str">
        <f>_xlfn.XLOOKUP(AA1070,M_ARTIST!A:A,M_ARTIST!B:B,"★★★",0,1)</f>
        <v>★★★</v>
      </c>
      <c r="AC1070" s="14">
        <f t="shared" si="58"/>
        <v>0</v>
      </c>
      <c r="AD1070" s="19" t="e">
        <f>HYPERLINK(_xlfn.XLOOKUP(C1070,M_YT_LIVE_TIMESTAMP!AA:AA,M_YT_LIVE_TIMESTAMP!Z:Z,"★",0,-1))</f>
        <v>#VALUE!</v>
      </c>
    </row>
    <row r="1071" spans="3:30" x14ac:dyDescent="0.4">
      <c r="C1071" s="12" t="str">
        <f t="shared" si="56"/>
        <v/>
      </c>
      <c r="AA1071" s="14">
        <f t="shared" si="57"/>
        <v>0</v>
      </c>
      <c r="AB1071" s="14" t="str">
        <f>_xlfn.XLOOKUP(AA1071,M_ARTIST!A:A,M_ARTIST!B:B,"★★★",0,1)</f>
        <v>★★★</v>
      </c>
      <c r="AC1071" s="14">
        <f t="shared" si="58"/>
        <v>0</v>
      </c>
      <c r="AD1071" s="19" t="e">
        <f>HYPERLINK(_xlfn.XLOOKUP(C1071,M_YT_LIVE_TIMESTAMP!AA:AA,M_YT_LIVE_TIMESTAMP!Z:Z,"★",0,-1))</f>
        <v>#VALUE!</v>
      </c>
    </row>
    <row r="1072" spans="3:30" x14ac:dyDescent="0.4">
      <c r="C1072" s="12" t="str">
        <f t="shared" si="56"/>
        <v/>
      </c>
      <c r="AA1072" s="14">
        <f t="shared" si="57"/>
        <v>0</v>
      </c>
      <c r="AB1072" s="14" t="str">
        <f>_xlfn.XLOOKUP(AA1072,M_ARTIST!A:A,M_ARTIST!B:B,"★★★",0,1)</f>
        <v>★★★</v>
      </c>
      <c r="AC1072" s="14">
        <f t="shared" si="58"/>
        <v>0</v>
      </c>
      <c r="AD1072" s="19" t="e">
        <f>HYPERLINK(_xlfn.XLOOKUP(C1072,M_YT_LIVE_TIMESTAMP!AA:AA,M_YT_LIVE_TIMESTAMP!Z:Z,"★",0,-1))</f>
        <v>#VALUE!</v>
      </c>
    </row>
    <row r="1073" spans="3:30" x14ac:dyDescent="0.4">
      <c r="C1073" s="12" t="str">
        <f t="shared" si="56"/>
        <v/>
      </c>
      <c r="AA1073" s="14">
        <f t="shared" si="57"/>
        <v>0</v>
      </c>
      <c r="AB1073" s="14" t="str">
        <f>_xlfn.XLOOKUP(AA1073,M_ARTIST!A:A,M_ARTIST!B:B,"★★★",0,1)</f>
        <v>★★★</v>
      </c>
      <c r="AC1073" s="14">
        <f t="shared" si="58"/>
        <v>0</v>
      </c>
      <c r="AD1073" s="19" t="e">
        <f>HYPERLINK(_xlfn.XLOOKUP(C1073,M_YT_LIVE_TIMESTAMP!AA:AA,M_YT_LIVE_TIMESTAMP!Z:Z,"★",0,-1))</f>
        <v>#VALUE!</v>
      </c>
    </row>
    <row r="1074" spans="3:30" x14ac:dyDescent="0.4">
      <c r="C1074" s="12" t="str">
        <f t="shared" si="56"/>
        <v/>
      </c>
      <c r="AA1074" s="14">
        <f t="shared" si="57"/>
        <v>0</v>
      </c>
      <c r="AB1074" s="14" t="str">
        <f>_xlfn.XLOOKUP(AA1074,M_ARTIST!A:A,M_ARTIST!B:B,"★★★",0,1)</f>
        <v>★★★</v>
      </c>
      <c r="AC1074" s="14">
        <f t="shared" si="58"/>
        <v>0</v>
      </c>
      <c r="AD1074" s="19" t="e">
        <f>HYPERLINK(_xlfn.XLOOKUP(C1074,M_YT_LIVE_TIMESTAMP!AA:AA,M_YT_LIVE_TIMESTAMP!Z:Z,"★",0,-1))</f>
        <v>#VALUE!</v>
      </c>
    </row>
    <row r="1075" spans="3:30" x14ac:dyDescent="0.4">
      <c r="C1075" s="12" t="str">
        <f t="shared" si="56"/>
        <v/>
      </c>
      <c r="AA1075" s="14">
        <f t="shared" si="57"/>
        <v>0</v>
      </c>
      <c r="AB1075" s="14" t="str">
        <f>_xlfn.XLOOKUP(AA1075,M_ARTIST!A:A,M_ARTIST!B:B,"★★★",0,1)</f>
        <v>★★★</v>
      </c>
      <c r="AC1075" s="14">
        <f t="shared" si="58"/>
        <v>0</v>
      </c>
      <c r="AD1075" s="19" t="e">
        <f>HYPERLINK(_xlfn.XLOOKUP(C1075,M_YT_LIVE_TIMESTAMP!AA:AA,M_YT_LIVE_TIMESTAMP!Z:Z,"★",0,-1))</f>
        <v>#VALUE!</v>
      </c>
    </row>
    <row r="1076" spans="3:30" x14ac:dyDescent="0.4">
      <c r="C1076" s="12" t="str">
        <f t="shared" si="56"/>
        <v/>
      </c>
      <c r="AA1076" s="14">
        <f t="shared" si="57"/>
        <v>0</v>
      </c>
      <c r="AB1076" s="14" t="str">
        <f>_xlfn.XLOOKUP(AA1076,M_ARTIST!A:A,M_ARTIST!B:B,"★★★",0,1)</f>
        <v>★★★</v>
      </c>
      <c r="AC1076" s="14">
        <f t="shared" si="58"/>
        <v>0</v>
      </c>
      <c r="AD1076" s="19" t="e">
        <f>HYPERLINK(_xlfn.XLOOKUP(C1076,M_YT_LIVE_TIMESTAMP!AA:AA,M_YT_LIVE_TIMESTAMP!Z:Z,"★",0,-1))</f>
        <v>#VALUE!</v>
      </c>
    </row>
    <row r="1077" spans="3:30" x14ac:dyDescent="0.4">
      <c r="C1077" s="12" t="str">
        <f t="shared" si="56"/>
        <v/>
      </c>
      <c r="AA1077" s="14">
        <f t="shared" si="57"/>
        <v>0</v>
      </c>
      <c r="AB1077" s="14" t="str">
        <f>_xlfn.XLOOKUP(AA1077,M_ARTIST!A:A,M_ARTIST!B:B,"★★★",0,1)</f>
        <v>★★★</v>
      </c>
      <c r="AC1077" s="14">
        <f t="shared" si="58"/>
        <v>0</v>
      </c>
      <c r="AD1077" s="19" t="e">
        <f>HYPERLINK(_xlfn.XLOOKUP(C1077,M_YT_LIVE_TIMESTAMP!AA:AA,M_YT_LIVE_TIMESTAMP!Z:Z,"★",0,-1))</f>
        <v>#VALUE!</v>
      </c>
    </row>
    <row r="1078" spans="3:30" x14ac:dyDescent="0.4">
      <c r="C1078" s="12" t="str">
        <f t="shared" si="56"/>
        <v/>
      </c>
      <c r="AA1078" s="14">
        <f t="shared" si="57"/>
        <v>0</v>
      </c>
      <c r="AB1078" s="14" t="str">
        <f>_xlfn.XLOOKUP(AA1078,M_ARTIST!A:A,M_ARTIST!B:B,"★★★",0,1)</f>
        <v>★★★</v>
      </c>
      <c r="AC1078" s="14">
        <f t="shared" si="58"/>
        <v>0</v>
      </c>
      <c r="AD1078" s="19" t="e">
        <f>HYPERLINK(_xlfn.XLOOKUP(C1078,M_YT_LIVE_TIMESTAMP!AA:AA,M_YT_LIVE_TIMESTAMP!Z:Z,"★",0,-1))</f>
        <v>#VALUE!</v>
      </c>
    </row>
    <row r="1079" spans="3:30" x14ac:dyDescent="0.4">
      <c r="C1079" s="12" t="str">
        <f t="shared" si="56"/>
        <v/>
      </c>
      <c r="AA1079" s="14">
        <f t="shared" si="57"/>
        <v>0</v>
      </c>
      <c r="AB1079" s="14" t="str">
        <f>_xlfn.XLOOKUP(AA1079,M_ARTIST!A:A,M_ARTIST!B:B,"★★★",0,1)</f>
        <v>★★★</v>
      </c>
      <c r="AC1079" s="14">
        <f t="shared" si="58"/>
        <v>0</v>
      </c>
      <c r="AD1079" s="19" t="e">
        <f>HYPERLINK(_xlfn.XLOOKUP(C1079,M_YT_LIVE_TIMESTAMP!AA:AA,M_YT_LIVE_TIMESTAMP!Z:Z,"★",0,-1))</f>
        <v>#VALUE!</v>
      </c>
    </row>
    <row r="1080" spans="3:30" x14ac:dyDescent="0.4">
      <c r="C1080" s="12" t="str">
        <f t="shared" si="56"/>
        <v/>
      </c>
      <c r="AA1080" s="14">
        <f t="shared" si="57"/>
        <v>0</v>
      </c>
      <c r="AB1080" s="14" t="str">
        <f>_xlfn.XLOOKUP(AA1080,M_ARTIST!A:A,M_ARTIST!B:B,"★★★",0,1)</f>
        <v>★★★</v>
      </c>
      <c r="AC1080" s="14">
        <f t="shared" si="58"/>
        <v>0</v>
      </c>
      <c r="AD1080" s="19" t="e">
        <f>HYPERLINK(_xlfn.XLOOKUP(C1080,M_YT_LIVE_TIMESTAMP!AA:AA,M_YT_LIVE_TIMESTAMP!Z:Z,"★",0,-1))</f>
        <v>#VALUE!</v>
      </c>
    </row>
    <row r="1081" spans="3:30" x14ac:dyDescent="0.4">
      <c r="C1081" s="12" t="str">
        <f t="shared" si="56"/>
        <v/>
      </c>
      <c r="AA1081" s="14">
        <f t="shared" si="57"/>
        <v>0</v>
      </c>
      <c r="AB1081" s="14" t="str">
        <f>_xlfn.XLOOKUP(AA1081,M_ARTIST!A:A,M_ARTIST!B:B,"★★★",0,1)</f>
        <v>★★★</v>
      </c>
      <c r="AC1081" s="14">
        <f t="shared" si="58"/>
        <v>0</v>
      </c>
      <c r="AD1081" s="19" t="e">
        <f>HYPERLINK(_xlfn.XLOOKUP(C1081,M_YT_LIVE_TIMESTAMP!AA:AA,M_YT_LIVE_TIMESTAMP!Z:Z,"★",0,-1))</f>
        <v>#VALUE!</v>
      </c>
    </row>
    <row r="1082" spans="3:30" x14ac:dyDescent="0.4">
      <c r="C1082" s="12" t="str">
        <f t="shared" si="56"/>
        <v/>
      </c>
      <c r="AA1082" s="14">
        <f t="shared" si="57"/>
        <v>0</v>
      </c>
      <c r="AB1082" s="14" t="str">
        <f>_xlfn.XLOOKUP(AA1082,M_ARTIST!A:A,M_ARTIST!B:B,"★★★",0,1)</f>
        <v>★★★</v>
      </c>
      <c r="AC1082" s="14">
        <f t="shared" si="58"/>
        <v>0</v>
      </c>
      <c r="AD1082" s="19" t="e">
        <f>HYPERLINK(_xlfn.XLOOKUP(C1082,M_YT_LIVE_TIMESTAMP!AA:AA,M_YT_LIVE_TIMESTAMP!Z:Z,"★",0,-1))</f>
        <v>#VALUE!</v>
      </c>
    </row>
    <row r="1083" spans="3:30" x14ac:dyDescent="0.4">
      <c r="C1083" s="12" t="str">
        <f t="shared" si="56"/>
        <v/>
      </c>
      <c r="AA1083" s="14">
        <f t="shared" si="57"/>
        <v>0</v>
      </c>
      <c r="AB1083" s="14" t="str">
        <f>_xlfn.XLOOKUP(AA1083,M_ARTIST!A:A,M_ARTIST!B:B,"★★★",0,1)</f>
        <v>★★★</v>
      </c>
      <c r="AC1083" s="14">
        <f t="shared" si="58"/>
        <v>0</v>
      </c>
      <c r="AD1083" s="19" t="e">
        <f>HYPERLINK(_xlfn.XLOOKUP(C1083,M_YT_LIVE_TIMESTAMP!AA:AA,M_YT_LIVE_TIMESTAMP!Z:Z,"★",0,-1))</f>
        <v>#VALUE!</v>
      </c>
    </row>
    <row r="1084" spans="3:30" x14ac:dyDescent="0.4">
      <c r="C1084" s="12" t="str">
        <f t="shared" si="56"/>
        <v/>
      </c>
      <c r="AA1084" s="14">
        <f t="shared" si="57"/>
        <v>0</v>
      </c>
      <c r="AB1084" s="14" t="str">
        <f>_xlfn.XLOOKUP(AA1084,M_ARTIST!A:A,M_ARTIST!B:B,"★★★",0,1)</f>
        <v>★★★</v>
      </c>
      <c r="AC1084" s="14">
        <f t="shared" si="58"/>
        <v>0</v>
      </c>
      <c r="AD1084" s="19" t="e">
        <f>HYPERLINK(_xlfn.XLOOKUP(C1084,M_YT_LIVE_TIMESTAMP!AA:AA,M_YT_LIVE_TIMESTAMP!Z:Z,"★",0,-1))</f>
        <v>#VALUE!</v>
      </c>
    </row>
    <row r="1085" spans="3:30" x14ac:dyDescent="0.4">
      <c r="C1085" s="12" t="str">
        <f t="shared" si="56"/>
        <v/>
      </c>
      <c r="AA1085" s="14">
        <f t="shared" si="57"/>
        <v>0</v>
      </c>
      <c r="AB1085" s="14" t="str">
        <f>_xlfn.XLOOKUP(AA1085,M_ARTIST!A:A,M_ARTIST!B:B,"★★★",0,1)</f>
        <v>★★★</v>
      </c>
      <c r="AC1085" s="14">
        <f t="shared" si="58"/>
        <v>0</v>
      </c>
      <c r="AD1085" s="19" t="e">
        <f>HYPERLINK(_xlfn.XLOOKUP(C1085,M_YT_LIVE_TIMESTAMP!AA:AA,M_YT_LIVE_TIMESTAMP!Z:Z,"★",0,-1))</f>
        <v>#VALUE!</v>
      </c>
    </row>
    <row r="1086" spans="3:30" x14ac:dyDescent="0.4">
      <c r="C1086" s="12" t="str">
        <f t="shared" si="56"/>
        <v/>
      </c>
      <c r="AA1086" s="14">
        <f t="shared" si="57"/>
        <v>0</v>
      </c>
      <c r="AB1086" s="14" t="str">
        <f>_xlfn.XLOOKUP(AA1086,M_ARTIST!A:A,M_ARTIST!B:B,"★★★",0,1)</f>
        <v>★★★</v>
      </c>
      <c r="AC1086" s="14">
        <f t="shared" si="58"/>
        <v>0</v>
      </c>
      <c r="AD1086" s="19" t="e">
        <f>HYPERLINK(_xlfn.XLOOKUP(C1086,M_YT_LIVE_TIMESTAMP!AA:AA,M_YT_LIVE_TIMESTAMP!Z:Z,"★",0,-1))</f>
        <v>#VALUE!</v>
      </c>
    </row>
    <row r="1087" spans="3:30" x14ac:dyDescent="0.4">
      <c r="C1087" s="12" t="str">
        <f t="shared" si="56"/>
        <v/>
      </c>
      <c r="AA1087" s="14">
        <f t="shared" si="57"/>
        <v>0</v>
      </c>
      <c r="AB1087" s="14" t="str">
        <f>_xlfn.XLOOKUP(AA1087,M_ARTIST!A:A,M_ARTIST!B:B,"★★★",0,1)</f>
        <v>★★★</v>
      </c>
      <c r="AC1087" s="14">
        <f t="shared" si="58"/>
        <v>0</v>
      </c>
      <c r="AD1087" s="19" t="e">
        <f>HYPERLINK(_xlfn.XLOOKUP(C1087,M_YT_LIVE_TIMESTAMP!AA:AA,M_YT_LIVE_TIMESTAMP!Z:Z,"★",0,-1))</f>
        <v>#VALUE!</v>
      </c>
    </row>
    <row r="1088" spans="3:30" x14ac:dyDescent="0.4">
      <c r="C1088" s="12" t="str">
        <f t="shared" si="56"/>
        <v/>
      </c>
      <c r="AA1088" s="14">
        <f t="shared" si="57"/>
        <v>0</v>
      </c>
      <c r="AB1088" s="14" t="str">
        <f>_xlfn.XLOOKUP(AA1088,M_ARTIST!A:A,M_ARTIST!B:B,"★★★",0,1)</f>
        <v>★★★</v>
      </c>
      <c r="AC1088" s="14">
        <f t="shared" si="58"/>
        <v>0</v>
      </c>
      <c r="AD1088" s="19" t="e">
        <f>HYPERLINK(_xlfn.XLOOKUP(C1088,M_YT_LIVE_TIMESTAMP!AA:AA,M_YT_LIVE_TIMESTAMP!Z:Z,"★",0,-1))</f>
        <v>#VALUE!</v>
      </c>
    </row>
    <row r="1089" spans="3:30" x14ac:dyDescent="0.4">
      <c r="C1089" s="12" t="str">
        <f t="shared" si="56"/>
        <v/>
      </c>
      <c r="AA1089" s="14">
        <f t="shared" si="57"/>
        <v>0</v>
      </c>
      <c r="AB1089" s="14" t="str">
        <f>_xlfn.XLOOKUP(AA1089,M_ARTIST!A:A,M_ARTIST!B:B,"★★★",0,1)</f>
        <v>★★★</v>
      </c>
      <c r="AC1089" s="14">
        <f t="shared" si="58"/>
        <v>0</v>
      </c>
      <c r="AD1089" s="19" t="e">
        <f>HYPERLINK(_xlfn.XLOOKUP(C1089,M_YT_LIVE_TIMESTAMP!AA:AA,M_YT_LIVE_TIMESTAMP!Z:Z,"★",0,-1))</f>
        <v>#VALUE!</v>
      </c>
    </row>
    <row r="1090" spans="3:30" x14ac:dyDescent="0.4">
      <c r="C1090" s="12" t="str">
        <f t="shared" si="56"/>
        <v/>
      </c>
      <c r="AA1090" s="14">
        <f t="shared" si="57"/>
        <v>0</v>
      </c>
      <c r="AB1090" s="14" t="str">
        <f>_xlfn.XLOOKUP(AA1090,M_ARTIST!A:A,M_ARTIST!B:B,"★★★",0,1)</f>
        <v>★★★</v>
      </c>
      <c r="AC1090" s="14">
        <f t="shared" si="58"/>
        <v>0</v>
      </c>
      <c r="AD1090" s="19" t="e">
        <f>HYPERLINK(_xlfn.XLOOKUP(C1090,M_YT_LIVE_TIMESTAMP!AA:AA,M_YT_LIVE_TIMESTAMP!Z:Z,"★",0,-1))</f>
        <v>#VALUE!</v>
      </c>
    </row>
    <row r="1091" spans="3:30" x14ac:dyDescent="0.4">
      <c r="C1091" s="12" t="str">
        <f t="shared" si="56"/>
        <v/>
      </c>
      <c r="AA1091" s="14">
        <f t="shared" si="57"/>
        <v>0</v>
      </c>
      <c r="AB1091" s="14" t="str">
        <f>_xlfn.XLOOKUP(AA1091,M_ARTIST!A:A,M_ARTIST!B:B,"★★★",0,1)</f>
        <v>★★★</v>
      </c>
      <c r="AC1091" s="14">
        <f t="shared" si="58"/>
        <v>0</v>
      </c>
      <c r="AD1091" s="19" t="e">
        <f>HYPERLINK(_xlfn.XLOOKUP(C1091,M_YT_LIVE_TIMESTAMP!AA:AA,M_YT_LIVE_TIMESTAMP!Z:Z,"★",0,-1))</f>
        <v>#VALUE!</v>
      </c>
    </row>
    <row r="1092" spans="3:30" x14ac:dyDescent="0.4">
      <c r="C1092" s="12" t="str">
        <f t="shared" si="56"/>
        <v/>
      </c>
      <c r="AA1092" s="14">
        <f t="shared" si="57"/>
        <v>0</v>
      </c>
      <c r="AB1092" s="14" t="str">
        <f>_xlfn.XLOOKUP(AA1092,M_ARTIST!A:A,M_ARTIST!B:B,"★★★",0,1)</f>
        <v>★★★</v>
      </c>
      <c r="AC1092" s="14">
        <f t="shared" si="58"/>
        <v>0</v>
      </c>
      <c r="AD1092" s="19" t="e">
        <f>HYPERLINK(_xlfn.XLOOKUP(C1092,M_YT_LIVE_TIMESTAMP!AA:AA,M_YT_LIVE_TIMESTAMP!Z:Z,"★",0,-1))</f>
        <v>#VALUE!</v>
      </c>
    </row>
    <row r="1093" spans="3:30" x14ac:dyDescent="0.4">
      <c r="C1093" s="12" t="str">
        <f t="shared" si="56"/>
        <v/>
      </c>
      <c r="AA1093" s="14">
        <f t="shared" si="57"/>
        <v>0</v>
      </c>
      <c r="AB1093" s="14" t="str">
        <f>_xlfn.XLOOKUP(AA1093,M_ARTIST!A:A,M_ARTIST!B:B,"★★★",0,1)</f>
        <v>★★★</v>
      </c>
      <c r="AC1093" s="14">
        <f t="shared" si="58"/>
        <v>0</v>
      </c>
      <c r="AD1093" s="19" t="e">
        <f>HYPERLINK(_xlfn.XLOOKUP(C1093,M_YT_LIVE_TIMESTAMP!AA:AA,M_YT_LIVE_TIMESTAMP!Z:Z,"★",0,-1))</f>
        <v>#VALUE!</v>
      </c>
    </row>
    <row r="1094" spans="3:30" x14ac:dyDescent="0.4">
      <c r="C1094" s="12" t="str">
        <f t="shared" si="56"/>
        <v/>
      </c>
      <c r="AA1094" s="14">
        <f t="shared" si="57"/>
        <v>0</v>
      </c>
      <c r="AB1094" s="14" t="str">
        <f>_xlfn.XLOOKUP(AA1094,M_ARTIST!A:A,M_ARTIST!B:B,"★★★",0,1)</f>
        <v>★★★</v>
      </c>
      <c r="AC1094" s="14">
        <f t="shared" si="58"/>
        <v>0</v>
      </c>
      <c r="AD1094" s="19" t="e">
        <f>HYPERLINK(_xlfn.XLOOKUP(C1094,M_YT_LIVE_TIMESTAMP!AA:AA,M_YT_LIVE_TIMESTAMP!Z:Z,"★",0,-1))</f>
        <v>#VALUE!</v>
      </c>
    </row>
    <row r="1095" spans="3:30" x14ac:dyDescent="0.4">
      <c r="C1095" s="12" t="str">
        <f t="shared" si="56"/>
        <v/>
      </c>
      <c r="AA1095" s="14">
        <f t="shared" si="57"/>
        <v>0</v>
      </c>
      <c r="AB1095" s="14" t="str">
        <f>_xlfn.XLOOKUP(AA1095,M_ARTIST!A:A,M_ARTIST!B:B,"★★★",0,1)</f>
        <v>★★★</v>
      </c>
      <c r="AC1095" s="14">
        <f t="shared" si="58"/>
        <v>0</v>
      </c>
      <c r="AD1095" s="19" t="e">
        <f>HYPERLINK(_xlfn.XLOOKUP(C1095,M_YT_LIVE_TIMESTAMP!AA:AA,M_YT_LIVE_TIMESTAMP!Z:Z,"★",0,-1))</f>
        <v>#VALUE!</v>
      </c>
    </row>
    <row r="1096" spans="3:30" x14ac:dyDescent="0.4">
      <c r="C1096" s="12" t="str">
        <f t="shared" si="56"/>
        <v/>
      </c>
      <c r="AA1096" s="14">
        <f t="shared" si="57"/>
        <v>0</v>
      </c>
      <c r="AB1096" s="14" t="str">
        <f>_xlfn.XLOOKUP(AA1096,M_ARTIST!A:A,M_ARTIST!B:B,"★★★",0,1)</f>
        <v>★★★</v>
      </c>
      <c r="AC1096" s="14">
        <f t="shared" si="58"/>
        <v>0</v>
      </c>
      <c r="AD1096" s="19" t="e">
        <f>HYPERLINK(_xlfn.XLOOKUP(C1096,M_YT_LIVE_TIMESTAMP!AA:AA,M_YT_LIVE_TIMESTAMP!Z:Z,"★",0,-1))</f>
        <v>#VALUE!</v>
      </c>
    </row>
    <row r="1097" spans="3:30" x14ac:dyDescent="0.4">
      <c r="C1097" s="12" t="str">
        <f t="shared" si="56"/>
        <v/>
      </c>
      <c r="AA1097" s="14">
        <f t="shared" si="57"/>
        <v>0</v>
      </c>
      <c r="AB1097" s="14" t="str">
        <f>_xlfn.XLOOKUP(AA1097,M_ARTIST!A:A,M_ARTIST!B:B,"★★★",0,1)</f>
        <v>★★★</v>
      </c>
      <c r="AC1097" s="14">
        <f t="shared" si="58"/>
        <v>0</v>
      </c>
      <c r="AD1097" s="19" t="e">
        <f>HYPERLINK(_xlfn.XLOOKUP(C1097,M_YT_LIVE_TIMESTAMP!AA:AA,M_YT_LIVE_TIMESTAMP!Z:Z,"★",0,-1))</f>
        <v>#VALUE!</v>
      </c>
    </row>
    <row r="1098" spans="3:30" x14ac:dyDescent="0.4">
      <c r="C1098" s="12" t="str">
        <f t="shared" si="56"/>
        <v/>
      </c>
      <c r="AA1098" s="14">
        <f t="shared" si="57"/>
        <v>0</v>
      </c>
      <c r="AB1098" s="14" t="str">
        <f>_xlfn.XLOOKUP(AA1098,M_ARTIST!A:A,M_ARTIST!B:B,"★★★",0,1)</f>
        <v>★★★</v>
      </c>
      <c r="AC1098" s="14">
        <f t="shared" si="58"/>
        <v>0</v>
      </c>
      <c r="AD1098" s="19" t="e">
        <f>HYPERLINK(_xlfn.XLOOKUP(C1098,M_YT_LIVE_TIMESTAMP!AA:AA,M_YT_LIVE_TIMESTAMP!Z:Z,"★",0,-1))</f>
        <v>#VALUE!</v>
      </c>
    </row>
    <row r="1099" spans="3:30" x14ac:dyDescent="0.4">
      <c r="C1099" s="12" t="str">
        <f t="shared" si="56"/>
        <v/>
      </c>
      <c r="AA1099" s="14">
        <f t="shared" si="57"/>
        <v>0</v>
      </c>
      <c r="AB1099" s="14" t="str">
        <f>_xlfn.XLOOKUP(AA1099,M_ARTIST!A:A,M_ARTIST!B:B,"★★★",0,1)</f>
        <v>★★★</v>
      </c>
      <c r="AC1099" s="14">
        <f t="shared" si="58"/>
        <v>0</v>
      </c>
      <c r="AD1099" s="19" t="e">
        <f>HYPERLINK(_xlfn.XLOOKUP(C1099,M_YT_LIVE_TIMESTAMP!AA:AA,M_YT_LIVE_TIMESTAMP!Z:Z,"★",0,-1))</f>
        <v>#VALUE!</v>
      </c>
    </row>
    <row r="1100" spans="3:30" x14ac:dyDescent="0.4">
      <c r="C1100" s="12" t="str">
        <f t="shared" si="56"/>
        <v/>
      </c>
      <c r="AA1100" s="14">
        <f t="shared" si="57"/>
        <v>0</v>
      </c>
      <c r="AB1100" s="14" t="str">
        <f>_xlfn.XLOOKUP(AA1100,M_ARTIST!A:A,M_ARTIST!B:B,"★★★",0,1)</f>
        <v>★★★</v>
      </c>
      <c r="AC1100" s="14">
        <f t="shared" si="58"/>
        <v>0</v>
      </c>
      <c r="AD1100" s="19" t="e">
        <f>HYPERLINK(_xlfn.XLOOKUP(C1100,M_YT_LIVE_TIMESTAMP!AA:AA,M_YT_LIVE_TIMESTAMP!Z:Z,"★",0,-1))</f>
        <v>#VALUE!</v>
      </c>
    </row>
    <row r="1101" spans="3:30" x14ac:dyDescent="0.4">
      <c r="C1101" s="12" t="str">
        <f t="shared" si="56"/>
        <v/>
      </c>
      <c r="AA1101" s="14">
        <f t="shared" si="57"/>
        <v>0</v>
      </c>
      <c r="AB1101" s="14" t="str">
        <f>_xlfn.XLOOKUP(AA1101,M_ARTIST!A:A,M_ARTIST!B:B,"★★★",0,1)</f>
        <v>★★★</v>
      </c>
      <c r="AC1101" s="14">
        <f t="shared" si="58"/>
        <v>0</v>
      </c>
      <c r="AD1101" s="19" t="e">
        <f>HYPERLINK(_xlfn.XLOOKUP(C1101,M_YT_LIVE_TIMESTAMP!AA:AA,M_YT_LIVE_TIMESTAMP!Z:Z,"★",0,-1))</f>
        <v>#VALUE!</v>
      </c>
    </row>
    <row r="1102" spans="3:30" x14ac:dyDescent="0.4">
      <c r="C1102" s="12" t="str">
        <f t="shared" si="56"/>
        <v/>
      </c>
      <c r="AA1102" s="14">
        <f t="shared" si="57"/>
        <v>0</v>
      </c>
      <c r="AB1102" s="14" t="str">
        <f>_xlfn.XLOOKUP(AA1102,M_ARTIST!A:A,M_ARTIST!B:B,"★★★",0,1)</f>
        <v>★★★</v>
      </c>
      <c r="AC1102" s="14">
        <f t="shared" si="58"/>
        <v>0</v>
      </c>
      <c r="AD1102" s="19" t="e">
        <f>HYPERLINK(_xlfn.XLOOKUP(C1102,M_YT_LIVE_TIMESTAMP!AA:AA,M_YT_LIVE_TIMESTAMP!Z:Z,"★",0,-1))</f>
        <v>#VALUE!</v>
      </c>
    </row>
    <row r="1103" spans="3:30" x14ac:dyDescent="0.4">
      <c r="C1103" s="12" t="str">
        <f t="shared" si="56"/>
        <v/>
      </c>
      <c r="AA1103" s="14">
        <f t="shared" si="57"/>
        <v>0</v>
      </c>
      <c r="AB1103" s="14" t="str">
        <f>_xlfn.XLOOKUP(AA1103,M_ARTIST!A:A,M_ARTIST!B:B,"★★★",0,1)</f>
        <v>★★★</v>
      </c>
      <c r="AC1103" s="14">
        <f t="shared" si="58"/>
        <v>0</v>
      </c>
      <c r="AD1103" s="19" t="e">
        <f>HYPERLINK(_xlfn.XLOOKUP(C1103,M_YT_LIVE_TIMESTAMP!AA:AA,M_YT_LIVE_TIMESTAMP!Z:Z,"★",0,-1))</f>
        <v>#VALUE!</v>
      </c>
    </row>
    <row r="1104" spans="3:30" x14ac:dyDescent="0.4">
      <c r="C1104" s="12" t="str">
        <f t="shared" si="56"/>
        <v/>
      </c>
      <c r="AA1104" s="14">
        <f t="shared" si="57"/>
        <v>0</v>
      </c>
      <c r="AB1104" s="14" t="str">
        <f>_xlfn.XLOOKUP(AA1104,M_ARTIST!A:A,M_ARTIST!B:B,"★★★",0,1)</f>
        <v>★★★</v>
      </c>
      <c r="AC1104" s="14">
        <f t="shared" si="58"/>
        <v>0</v>
      </c>
      <c r="AD1104" s="19" t="e">
        <f>HYPERLINK(_xlfn.XLOOKUP(C1104,M_YT_LIVE_TIMESTAMP!AA:AA,M_YT_LIVE_TIMESTAMP!Z:Z,"★",0,-1))</f>
        <v>#VALUE!</v>
      </c>
    </row>
    <row r="1105" spans="3:30" x14ac:dyDescent="0.4">
      <c r="C1105" s="12" t="str">
        <f t="shared" si="56"/>
        <v/>
      </c>
      <c r="AA1105" s="14">
        <f t="shared" si="57"/>
        <v>0</v>
      </c>
      <c r="AB1105" s="14" t="str">
        <f>_xlfn.XLOOKUP(AA1105,M_ARTIST!A:A,M_ARTIST!B:B,"★★★",0,1)</f>
        <v>★★★</v>
      </c>
      <c r="AC1105" s="14">
        <f t="shared" si="58"/>
        <v>0</v>
      </c>
      <c r="AD1105" s="19" t="e">
        <f>HYPERLINK(_xlfn.XLOOKUP(C1105,M_YT_LIVE_TIMESTAMP!AA:AA,M_YT_LIVE_TIMESTAMP!Z:Z,"★",0,-1))</f>
        <v>#VALUE!</v>
      </c>
    </row>
    <row r="1106" spans="3:30" x14ac:dyDescent="0.4">
      <c r="C1106" s="12" t="str">
        <f t="shared" si="56"/>
        <v/>
      </c>
      <c r="AA1106" s="14">
        <f t="shared" si="57"/>
        <v>0</v>
      </c>
      <c r="AB1106" s="14" t="str">
        <f>_xlfn.XLOOKUP(AA1106,M_ARTIST!A:A,M_ARTIST!B:B,"★★★",0,1)</f>
        <v>★★★</v>
      </c>
      <c r="AC1106" s="14">
        <f t="shared" si="58"/>
        <v>0</v>
      </c>
      <c r="AD1106" s="19" t="e">
        <f>HYPERLINK(_xlfn.XLOOKUP(C1106,M_YT_LIVE_TIMESTAMP!AA:AA,M_YT_LIVE_TIMESTAMP!Z:Z,"★",0,-1))</f>
        <v>#VALUE!</v>
      </c>
    </row>
    <row r="1107" spans="3:30" x14ac:dyDescent="0.4">
      <c r="C1107" s="12" t="str">
        <f t="shared" ref="C1107:C1170" si="59">TRIM(B1107)&amp;TRIM(A1107)</f>
        <v/>
      </c>
      <c r="AA1107" s="14">
        <f t="shared" ref="AA1107:AA1170" si="60">B1107</f>
        <v>0</v>
      </c>
      <c r="AB1107" s="14" t="str">
        <f>_xlfn.XLOOKUP(AA1107,M_ARTIST!A:A,M_ARTIST!B:B,"★★★",0,1)</f>
        <v>★★★</v>
      </c>
      <c r="AC1107" s="14">
        <f t="shared" ref="AC1107:AC1170" si="61">A1107</f>
        <v>0</v>
      </c>
      <c r="AD1107" s="19" t="e">
        <f>HYPERLINK(_xlfn.XLOOKUP(C1107,M_YT_LIVE_TIMESTAMP!AA:AA,M_YT_LIVE_TIMESTAMP!Z:Z,"★",0,-1))</f>
        <v>#VALUE!</v>
      </c>
    </row>
    <row r="1108" spans="3:30" x14ac:dyDescent="0.4">
      <c r="C1108" s="12" t="str">
        <f t="shared" si="59"/>
        <v/>
      </c>
      <c r="AA1108" s="14">
        <f t="shared" si="60"/>
        <v>0</v>
      </c>
      <c r="AB1108" s="14" t="str">
        <f>_xlfn.XLOOKUP(AA1108,M_ARTIST!A:A,M_ARTIST!B:B,"★★★",0,1)</f>
        <v>★★★</v>
      </c>
      <c r="AC1108" s="14">
        <f t="shared" si="61"/>
        <v>0</v>
      </c>
      <c r="AD1108" s="19" t="e">
        <f>HYPERLINK(_xlfn.XLOOKUP(C1108,M_YT_LIVE_TIMESTAMP!AA:AA,M_YT_LIVE_TIMESTAMP!Z:Z,"★",0,-1))</f>
        <v>#VALUE!</v>
      </c>
    </row>
    <row r="1109" spans="3:30" x14ac:dyDescent="0.4">
      <c r="C1109" s="12" t="str">
        <f t="shared" si="59"/>
        <v/>
      </c>
      <c r="AA1109" s="14">
        <f t="shared" si="60"/>
        <v>0</v>
      </c>
      <c r="AB1109" s="14" t="str">
        <f>_xlfn.XLOOKUP(AA1109,M_ARTIST!A:A,M_ARTIST!B:B,"★★★",0,1)</f>
        <v>★★★</v>
      </c>
      <c r="AC1109" s="14">
        <f t="shared" si="61"/>
        <v>0</v>
      </c>
      <c r="AD1109" s="19" t="e">
        <f>HYPERLINK(_xlfn.XLOOKUP(C1109,M_YT_LIVE_TIMESTAMP!AA:AA,M_YT_LIVE_TIMESTAMP!Z:Z,"★",0,-1))</f>
        <v>#VALUE!</v>
      </c>
    </row>
    <row r="1110" spans="3:30" x14ac:dyDescent="0.4">
      <c r="C1110" s="12" t="str">
        <f t="shared" si="59"/>
        <v/>
      </c>
      <c r="AA1110" s="14">
        <f t="shared" si="60"/>
        <v>0</v>
      </c>
      <c r="AB1110" s="14" t="str">
        <f>_xlfn.XLOOKUP(AA1110,M_ARTIST!A:A,M_ARTIST!B:B,"★★★",0,1)</f>
        <v>★★★</v>
      </c>
      <c r="AC1110" s="14">
        <f t="shared" si="61"/>
        <v>0</v>
      </c>
      <c r="AD1110" s="19" t="e">
        <f>HYPERLINK(_xlfn.XLOOKUP(C1110,M_YT_LIVE_TIMESTAMP!AA:AA,M_YT_LIVE_TIMESTAMP!Z:Z,"★",0,-1))</f>
        <v>#VALUE!</v>
      </c>
    </row>
    <row r="1111" spans="3:30" x14ac:dyDescent="0.4">
      <c r="C1111" s="12" t="str">
        <f t="shared" si="59"/>
        <v/>
      </c>
      <c r="AA1111" s="14">
        <f t="shared" si="60"/>
        <v>0</v>
      </c>
      <c r="AB1111" s="14" t="str">
        <f>_xlfn.XLOOKUP(AA1111,M_ARTIST!A:A,M_ARTIST!B:B,"★★★",0,1)</f>
        <v>★★★</v>
      </c>
      <c r="AC1111" s="14">
        <f t="shared" si="61"/>
        <v>0</v>
      </c>
      <c r="AD1111" s="19" t="e">
        <f>HYPERLINK(_xlfn.XLOOKUP(C1111,M_YT_LIVE_TIMESTAMP!AA:AA,M_YT_LIVE_TIMESTAMP!Z:Z,"★",0,-1))</f>
        <v>#VALUE!</v>
      </c>
    </row>
    <row r="1112" spans="3:30" x14ac:dyDescent="0.4">
      <c r="C1112" s="12" t="str">
        <f t="shared" si="59"/>
        <v/>
      </c>
      <c r="AA1112" s="14">
        <f t="shared" si="60"/>
        <v>0</v>
      </c>
      <c r="AB1112" s="14" t="str">
        <f>_xlfn.XLOOKUP(AA1112,M_ARTIST!A:A,M_ARTIST!B:B,"★★★",0,1)</f>
        <v>★★★</v>
      </c>
      <c r="AC1112" s="14">
        <f t="shared" si="61"/>
        <v>0</v>
      </c>
      <c r="AD1112" s="19" t="e">
        <f>HYPERLINK(_xlfn.XLOOKUP(C1112,M_YT_LIVE_TIMESTAMP!AA:AA,M_YT_LIVE_TIMESTAMP!Z:Z,"★",0,-1))</f>
        <v>#VALUE!</v>
      </c>
    </row>
    <row r="1113" spans="3:30" x14ac:dyDescent="0.4">
      <c r="C1113" s="12" t="str">
        <f t="shared" si="59"/>
        <v/>
      </c>
      <c r="AA1113" s="14">
        <f t="shared" si="60"/>
        <v>0</v>
      </c>
      <c r="AB1113" s="14" t="str">
        <f>_xlfn.XLOOKUP(AA1113,M_ARTIST!A:A,M_ARTIST!B:B,"★★★",0,1)</f>
        <v>★★★</v>
      </c>
      <c r="AC1113" s="14">
        <f t="shared" si="61"/>
        <v>0</v>
      </c>
      <c r="AD1113" s="19" t="e">
        <f>HYPERLINK(_xlfn.XLOOKUP(C1113,M_YT_LIVE_TIMESTAMP!AA:AA,M_YT_LIVE_TIMESTAMP!Z:Z,"★",0,-1))</f>
        <v>#VALUE!</v>
      </c>
    </row>
    <row r="1114" spans="3:30" x14ac:dyDescent="0.4">
      <c r="C1114" s="12" t="str">
        <f t="shared" si="59"/>
        <v/>
      </c>
      <c r="AA1114" s="14">
        <f t="shared" si="60"/>
        <v>0</v>
      </c>
      <c r="AB1114" s="14" t="str">
        <f>_xlfn.XLOOKUP(AA1114,M_ARTIST!A:A,M_ARTIST!B:B,"★★★",0,1)</f>
        <v>★★★</v>
      </c>
      <c r="AC1114" s="14">
        <f t="shared" si="61"/>
        <v>0</v>
      </c>
      <c r="AD1114" s="19" t="e">
        <f>HYPERLINK(_xlfn.XLOOKUP(C1114,M_YT_LIVE_TIMESTAMP!AA:AA,M_YT_LIVE_TIMESTAMP!Z:Z,"★",0,-1))</f>
        <v>#VALUE!</v>
      </c>
    </row>
    <row r="1115" spans="3:30" x14ac:dyDescent="0.4">
      <c r="C1115" s="12" t="str">
        <f t="shared" si="59"/>
        <v/>
      </c>
      <c r="AA1115" s="14">
        <f t="shared" si="60"/>
        <v>0</v>
      </c>
      <c r="AB1115" s="14" t="str">
        <f>_xlfn.XLOOKUP(AA1115,M_ARTIST!A:A,M_ARTIST!B:B,"★★★",0,1)</f>
        <v>★★★</v>
      </c>
      <c r="AC1115" s="14">
        <f t="shared" si="61"/>
        <v>0</v>
      </c>
      <c r="AD1115" s="19" t="e">
        <f>HYPERLINK(_xlfn.XLOOKUP(C1115,M_YT_LIVE_TIMESTAMP!AA:AA,M_YT_LIVE_TIMESTAMP!Z:Z,"★",0,-1))</f>
        <v>#VALUE!</v>
      </c>
    </row>
    <row r="1116" spans="3:30" x14ac:dyDescent="0.4">
      <c r="C1116" s="12" t="str">
        <f t="shared" si="59"/>
        <v/>
      </c>
      <c r="AA1116" s="14">
        <f t="shared" si="60"/>
        <v>0</v>
      </c>
      <c r="AB1116" s="14" t="str">
        <f>_xlfn.XLOOKUP(AA1116,M_ARTIST!A:A,M_ARTIST!B:B,"★★★",0,1)</f>
        <v>★★★</v>
      </c>
      <c r="AC1116" s="14">
        <f t="shared" si="61"/>
        <v>0</v>
      </c>
      <c r="AD1116" s="19" t="e">
        <f>HYPERLINK(_xlfn.XLOOKUP(C1116,M_YT_LIVE_TIMESTAMP!AA:AA,M_YT_LIVE_TIMESTAMP!Z:Z,"★",0,-1))</f>
        <v>#VALUE!</v>
      </c>
    </row>
    <row r="1117" spans="3:30" x14ac:dyDescent="0.4">
      <c r="C1117" s="12" t="str">
        <f t="shared" si="59"/>
        <v/>
      </c>
      <c r="AA1117" s="14">
        <f t="shared" si="60"/>
        <v>0</v>
      </c>
      <c r="AB1117" s="14" t="str">
        <f>_xlfn.XLOOKUP(AA1117,M_ARTIST!A:A,M_ARTIST!B:B,"★★★",0,1)</f>
        <v>★★★</v>
      </c>
      <c r="AC1117" s="14">
        <f t="shared" si="61"/>
        <v>0</v>
      </c>
      <c r="AD1117" s="19" t="e">
        <f>HYPERLINK(_xlfn.XLOOKUP(C1117,M_YT_LIVE_TIMESTAMP!AA:AA,M_YT_LIVE_TIMESTAMP!Z:Z,"★",0,-1))</f>
        <v>#VALUE!</v>
      </c>
    </row>
    <row r="1118" spans="3:30" x14ac:dyDescent="0.4">
      <c r="C1118" s="12" t="str">
        <f t="shared" si="59"/>
        <v/>
      </c>
      <c r="AA1118" s="14">
        <f t="shared" si="60"/>
        <v>0</v>
      </c>
      <c r="AB1118" s="14" t="str">
        <f>_xlfn.XLOOKUP(AA1118,M_ARTIST!A:A,M_ARTIST!B:B,"★★★",0,1)</f>
        <v>★★★</v>
      </c>
      <c r="AC1118" s="14">
        <f t="shared" si="61"/>
        <v>0</v>
      </c>
      <c r="AD1118" s="19" t="e">
        <f>HYPERLINK(_xlfn.XLOOKUP(C1118,M_YT_LIVE_TIMESTAMP!AA:AA,M_YT_LIVE_TIMESTAMP!Z:Z,"★",0,-1))</f>
        <v>#VALUE!</v>
      </c>
    </row>
    <row r="1119" spans="3:30" x14ac:dyDescent="0.4">
      <c r="C1119" s="12" t="str">
        <f t="shared" si="59"/>
        <v/>
      </c>
      <c r="AA1119" s="14">
        <f t="shared" si="60"/>
        <v>0</v>
      </c>
      <c r="AB1119" s="14" t="str">
        <f>_xlfn.XLOOKUP(AA1119,M_ARTIST!A:A,M_ARTIST!B:B,"★★★",0,1)</f>
        <v>★★★</v>
      </c>
      <c r="AC1119" s="14">
        <f t="shared" si="61"/>
        <v>0</v>
      </c>
      <c r="AD1119" s="19" t="e">
        <f>HYPERLINK(_xlfn.XLOOKUP(C1119,M_YT_LIVE_TIMESTAMP!AA:AA,M_YT_LIVE_TIMESTAMP!Z:Z,"★",0,-1))</f>
        <v>#VALUE!</v>
      </c>
    </row>
    <row r="1120" spans="3:30" x14ac:dyDescent="0.4">
      <c r="C1120" s="12" t="str">
        <f t="shared" si="59"/>
        <v/>
      </c>
      <c r="AA1120" s="14">
        <f t="shared" si="60"/>
        <v>0</v>
      </c>
      <c r="AB1120" s="14" t="str">
        <f>_xlfn.XLOOKUP(AA1120,M_ARTIST!A:A,M_ARTIST!B:B,"★★★",0,1)</f>
        <v>★★★</v>
      </c>
      <c r="AC1120" s="14">
        <f t="shared" si="61"/>
        <v>0</v>
      </c>
      <c r="AD1120" s="19" t="e">
        <f>HYPERLINK(_xlfn.XLOOKUP(C1120,M_YT_LIVE_TIMESTAMP!AA:AA,M_YT_LIVE_TIMESTAMP!Z:Z,"★",0,-1))</f>
        <v>#VALUE!</v>
      </c>
    </row>
    <row r="1121" spans="3:30" x14ac:dyDescent="0.4">
      <c r="C1121" s="12" t="str">
        <f t="shared" si="59"/>
        <v/>
      </c>
      <c r="AA1121" s="14">
        <f t="shared" si="60"/>
        <v>0</v>
      </c>
      <c r="AB1121" s="14" t="str">
        <f>_xlfn.XLOOKUP(AA1121,M_ARTIST!A:A,M_ARTIST!B:B,"★★★",0,1)</f>
        <v>★★★</v>
      </c>
      <c r="AC1121" s="14">
        <f t="shared" si="61"/>
        <v>0</v>
      </c>
      <c r="AD1121" s="19" t="e">
        <f>HYPERLINK(_xlfn.XLOOKUP(C1121,M_YT_LIVE_TIMESTAMP!AA:AA,M_YT_LIVE_TIMESTAMP!Z:Z,"★",0,-1))</f>
        <v>#VALUE!</v>
      </c>
    </row>
    <row r="1122" spans="3:30" x14ac:dyDescent="0.4">
      <c r="C1122" s="12" t="str">
        <f t="shared" si="59"/>
        <v/>
      </c>
      <c r="AA1122" s="14">
        <f t="shared" si="60"/>
        <v>0</v>
      </c>
      <c r="AB1122" s="14" t="str">
        <f>_xlfn.XLOOKUP(AA1122,M_ARTIST!A:A,M_ARTIST!B:B,"★★★",0,1)</f>
        <v>★★★</v>
      </c>
      <c r="AC1122" s="14">
        <f t="shared" si="61"/>
        <v>0</v>
      </c>
      <c r="AD1122" s="19" t="e">
        <f>HYPERLINK(_xlfn.XLOOKUP(C1122,M_YT_LIVE_TIMESTAMP!AA:AA,M_YT_LIVE_TIMESTAMP!Z:Z,"★",0,-1))</f>
        <v>#VALUE!</v>
      </c>
    </row>
    <row r="1123" spans="3:30" x14ac:dyDescent="0.4">
      <c r="C1123" s="12" t="str">
        <f t="shared" si="59"/>
        <v/>
      </c>
      <c r="AA1123" s="14">
        <f t="shared" si="60"/>
        <v>0</v>
      </c>
      <c r="AB1123" s="14" t="str">
        <f>_xlfn.XLOOKUP(AA1123,M_ARTIST!A:A,M_ARTIST!B:B,"★★★",0,1)</f>
        <v>★★★</v>
      </c>
      <c r="AC1123" s="14">
        <f t="shared" si="61"/>
        <v>0</v>
      </c>
      <c r="AD1123" s="19" t="e">
        <f>HYPERLINK(_xlfn.XLOOKUP(C1123,M_YT_LIVE_TIMESTAMP!AA:AA,M_YT_LIVE_TIMESTAMP!Z:Z,"★",0,-1))</f>
        <v>#VALUE!</v>
      </c>
    </row>
    <row r="1124" spans="3:30" x14ac:dyDescent="0.4">
      <c r="C1124" s="12" t="str">
        <f t="shared" si="59"/>
        <v/>
      </c>
      <c r="AA1124" s="14">
        <f t="shared" si="60"/>
        <v>0</v>
      </c>
      <c r="AB1124" s="14" t="str">
        <f>_xlfn.XLOOKUP(AA1124,M_ARTIST!A:A,M_ARTIST!B:B,"★★★",0,1)</f>
        <v>★★★</v>
      </c>
      <c r="AC1124" s="14">
        <f t="shared" si="61"/>
        <v>0</v>
      </c>
      <c r="AD1124" s="19" t="e">
        <f>HYPERLINK(_xlfn.XLOOKUP(C1124,M_YT_LIVE_TIMESTAMP!AA:AA,M_YT_LIVE_TIMESTAMP!Z:Z,"★",0,-1))</f>
        <v>#VALUE!</v>
      </c>
    </row>
    <row r="1125" spans="3:30" x14ac:dyDescent="0.4">
      <c r="C1125" s="12" t="str">
        <f t="shared" si="59"/>
        <v/>
      </c>
      <c r="AA1125" s="14">
        <f t="shared" si="60"/>
        <v>0</v>
      </c>
      <c r="AB1125" s="14" t="str">
        <f>_xlfn.XLOOKUP(AA1125,M_ARTIST!A:A,M_ARTIST!B:B,"★★★",0,1)</f>
        <v>★★★</v>
      </c>
      <c r="AC1125" s="14">
        <f t="shared" si="61"/>
        <v>0</v>
      </c>
      <c r="AD1125" s="19" t="e">
        <f>HYPERLINK(_xlfn.XLOOKUP(C1125,M_YT_LIVE_TIMESTAMP!AA:AA,M_YT_LIVE_TIMESTAMP!Z:Z,"★",0,-1))</f>
        <v>#VALUE!</v>
      </c>
    </row>
    <row r="1126" spans="3:30" x14ac:dyDescent="0.4">
      <c r="C1126" s="12" t="str">
        <f t="shared" si="59"/>
        <v/>
      </c>
      <c r="AA1126" s="14">
        <f t="shared" si="60"/>
        <v>0</v>
      </c>
      <c r="AB1126" s="14" t="str">
        <f>_xlfn.XLOOKUP(AA1126,M_ARTIST!A:A,M_ARTIST!B:B,"★★★",0,1)</f>
        <v>★★★</v>
      </c>
      <c r="AC1126" s="14">
        <f t="shared" si="61"/>
        <v>0</v>
      </c>
      <c r="AD1126" s="19" t="e">
        <f>HYPERLINK(_xlfn.XLOOKUP(C1126,M_YT_LIVE_TIMESTAMP!AA:AA,M_YT_LIVE_TIMESTAMP!Z:Z,"★",0,-1))</f>
        <v>#VALUE!</v>
      </c>
    </row>
    <row r="1127" spans="3:30" x14ac:dyDescent="0.4">
      <c r="C1127" s="12" t="str">
        <f t="shared" si="59"/>
        <v/>
      </c>
      <c r="AA1127" s="14">
        <f t="shared" si="60"/>
        <v>0</v>
      </c>
      <c r="AB1127" s="14" t="str">
        <f>_xlfn.XLOOKUP(AA1127,M_ARTIST!A:A,M_ARTIST!B:B,"★★★",0,1)</f>
        <v>★★★</v>
      </c>
      <c r="AC1127" s="14">
        <f t="shared" si="61"/>
        <v>0</v>
      </c>
      <c r="AD1127" s="19" t="e">
        <f>HYPERLINK(_xlfn.XLOOKUP(C1127,M_YT_LIVE_TIMESTAMP!AA:AA,M_YT_LIVE_TIMESTAMP!Z:Z,"★",0,-1))</f>
        <v>#VALUE!</v>
      </c>
    </row>
    <row r="1128" spans="3:30" x14ac:dyDescent="0.4">
      <c r="C1128" s="12" t="str">
        <f t="shared" si="59"/>
        <v/>
      </c>
      <c r="AA1128" s="14">
        <f t="shared" si="60"/>
        <v>0</v>
      </c>
      <c r="AB1128" s="14" t="str">
        <f>_xlfn.XLOOKUP(AA1128,M_ARTIST!A:A,M_ARTIST!B:B,"★★★",0,1)</f>
        <v>★★★</v>
      </c>
      <c r="AC1128" s="14">
        <f t="shared" si="61"/>
        <v>0</v>
      </c>
      <c r="AD1128" s="19" t="e">
        <f>HYPERLINK(_xlfn.XLOOKUP(C1128,M_YT_LIVE_TIMESTAMP!AA:AA,M_YT_LIVE_TIMESTAMP!Z:Z,"★",0,-1))</f>
        <v>#VALUE!</v>
      </c>
    </row>
    <row r="1129" spans="3:30" x14ac:dyDescent="0.4">
      <c r="C1129" s="12" t="str">
        <f t="shared" si="59"/>
        <v/>
      </c>
      <c r="AA1129" s="14">
        <f t="shared" si="60"/>
        <v>0</v>
      </c>
      <c r="AB1129" s="14" t="str">
        <f>_xlfn.XLOOKUP(AA1129,M_ARTIST!A:A,M_ARTIST!B:B,"★★★",0,1)</f>
        <v>★★★</v>
      </c>
      <c r="AC1129" s="14">
        <f t="shared" si="61"/>
        <v>0</v>
      </c>
      <c r="AD1129" s="19" t="e">
        <f>HYPERLINK(_xlfn.XLOOKUP(C1129,M_YT_LIVE_TIMESTAMP!AA:AA,M_YT_LIVE_TIMESTAMP!Z:Z,"★",0,-1))</f>
        <v>#VALUE!</v>
      </c>
    </row>
    <row r="1130" spans="3:30" x14ac:dyDescent="0.4">
      <c r="C1130" s="12" t="str">
        <f t="shared" si="59"/>
        <v/>
      </c>
      <c r="AA1130" s="14">
        <f t="shared" si="60"/>
        <v>0</v>
      </c>
      <c r="AB1130" s="14" t="str">
        <f>_xlfn.XLOOKUP(AA1130,M_ARTIST!A:A,M_ARTIST!B:B,"★★★",0,1)</f>
        <v>★★★</v>
      </c>
      <c r="AC1130" s="14">
        <f t="shared" si="61"/>
        <v>0</v>
      </c>
      <c r="AD1130" s="19" t="e">
        <f>HYPERLINK(_xlfn.XLOOKUP(C1130,M_YT_LIVE_TIMESTAMP!AA:AA,M_YT_LIVE_TIMESTAMP!Z:Z,"★",0,-1))</f>
        <v>#VALUE!</v>
      </c>
    </row>
    <row r="1131" spans="3:30" x14ac:dyDescent="0.4">
      <c r="C1131" s="12" t="str">
        <f t="shared" si="59"/>
        <v/>
      </c>
      <c r="AA1131" s="14">
        <f t="shared" si="60"/>
        <v>0</v>
      </c>
      <c r="AB1131" s="14" t="str">
        <f>_xlfn.XLOOKUP(AA1131,M_ARTIST!A:A,M_ARTIST!B:B,"★★★",0,1)</f>
        <v>★★★</v>
      </c>
      <c r="AC1131" s="14">
        <f t="shared" si="61"/>
        <v>0</v>
      </c>
      <c r="AD1131" s="19" t="e">
        <f>HYPERLINK(_xlfn.XLOOKUP(C1131,M_YT_LIVE_TIMESTAMP!AA:AA,M_YT_LIVE_TIMESTAMP!Z:Z,"★",0,-1))</f>
        <v>#VALUE!</v>
      </c>
    </row>
    <row r="1132" spans="3:30" x14ac:dyDescent="0.4">
      <c r="C1132" s="12" t="str">
        <f t="shared" si="59"/>
        <v/>
      </c>
      <c r="AA1132" s="14">
        <f t="shared" si="60"/>
        <v>0</v>
      </c>
      <c r="AB1132" s="14" t="str">
        <f>_xlfn.XLOOKUP(AA1132,M_ARTIST!A:A,M_ARTIST!B:B,"★★★",0,1)</f>
        <v>★★★</v>
      </c>
      <c r="AC1132" s="14">
        <f t="shared" si="61"/>
        <v>0</v>
      </c>
      <c r="AD1132" s="19" t="e">
        <f>HYPERLINK(_xlfn.XLOOKUP(C1132,M_YT_LIVE_TIMESTAMP!AA:AA,M_YT_LIVE_TIMESTAMP!Z:Z,"★",0,-1))</f>
        <v>#VALUE!</v>
      </c>
    </row>
    <row r="1133" spans="3:30" x14ac:dyDescent="0.4">
      <c r="C1133" s="12" t="str">
        <f t="shared" si="59"/>
        <v/>
      </c>
      <c r="AA1133" s="14">
        <f t="shared" si="60"/>
        <v>0</v>
      </c>
      <c r="AB1133" s="14" t="str">
        <f>_xlfn.XLOOKUP(AA1133,M_ARTIST!A:A,M_ARTIST!B:B,"★★★",0,1)</f>
        <v>★★★</v>
      </c>
      <c r="AC1133" s="14">
        <f t="shared" si="61"/>
        <v>0</v>
      </c>
      <c r="AD1133" s="19" t="e">
        <f>HYPERLINK(_xlfn.XLOOKUP(C1133,M_YT_LIVE_TIMESTAMP!AA:AA,M_YT_LIVE_TIMESTAMP!Z:Z,"★",0,-1))</f>
        <v>#VALUE!</v>
      </c>
    </row>
    <row r="1134" spans="3:30" x14ac:dyDescent="0.4">
      <c r="C1134" s="12" t="str">
        <f t="shared" si="59"/>
        <v/>
      </c>
      <c r="AA1134" s="14">
        <f t="shared" si="60"/>
        <v>0</v>
      </c>
      <c r="AB1134" s="14" t="str">
        <f>_xlfn.XLOOKUP(AA1134,M_ARTIST!A:A,M_ARTIST!B:B,"★★★",0,1)</f>
        <v>★★★</v>
      </c>
      <c r="AC1134" s="14">
        <f t="shared" si="61"/>
        <v>0</v>
      </c>
      <c r="AD1134" s="19" t="e">
        <f>HYPERLINK(_xlfn.XLOOKUP(C1134,M_YT_LIVE_TIMESTAMP!AA:AA,M_YT_LIVE_TIMESTAMP!Z:Z,"★",0,-1))</f>
        <v>#VALUE!</v>
      </c>
    </row>
    <row r="1135" spans="3:30" x14ac:dyDescent="0.4">
      <c r="C1135" s="12" t="str">
        <f t="shared" si="59"/>
        <v/>
      </c>
      <c r="AA1135" s="14">
        <f t="shared" si="60"/>
        <v>0</v>
      </c>
      <c r="AB1135" s="14" t="str">
        <f>_xlfn.XLOOKUP(AA1135,M_ARTIST!A:A,M_ARTIST!B:B,"★★★",0,1)</f>
        <v>★★★</v>
      </c>
      <c r="AC1135" s="14">
        <f t="shared" si="61"/>
        <v>0</v>
      </c>
      <c r="AD1135" s="19" t="e">
        <f>HYPERLINK(_xlfn.XLOOKUP(C1135,M_YT_LIVE_TIMESTAMP!AA:AA,M_YT_LIVE_TIMESTAMP!Z:Z,"★",0,-1))</f>
        <v>#VALUE!</v>
      </c>
    </row>
    <row r="1136" spans="3:30" x14ac:dyDescent="0.4">
      <c r="C1136" s="12" t="str">
        <f t="shared" si="59"/>
        <v/>
      </c>
      <c r="AA1136" s="14">
        <f t="shared" si="60"/>
        <v>0</v>
      </c>
      <c r="AB1136" s="14" t="str">
        <f>_xlfn.XLOOKUP(AA1136,M_ARTIST!A:A,M_ARTIST!B:B,"★★★",0,1)</f>
        <v>★★★</v>
      </c>
      <c r="AC1136" s="14">
        <f t="shared" si="61"/>
        <v>0</v>
      </c>
      <c r="AD1136" s="19" t="e">
        <f>HYPERLINK(_xlfn.XLOOKUP(C1136,M_YT_LIVE_TIMESTAMP!AA:AA,M_YT_LIVE_TIMESTAMP!Z:Z,"★",0,-1))</f>
        <v>#VALUE!</v>
      </c>
    </row>
    <row r="1137" spans="3:30" x14ac:dyDescent="0.4">
      <c r="C1137" s="12" t="str">
        <f t="shared" si="59"/>
        <v/>
      </c>
      <c r="AA1137" s="14">
        <f t="shared" si="60"/>
        <v>0</v>
      </c>
      <c r="AB1137" s="14" t="str">
        <f>_xlfn.XLOOKUP(AA1137,M_ARTIST!A:A,M_ARTIST!B:B,"★★★",0,1)</f>
        <v>★★★</v>
      </c>
      <c r="AC1137" s="14">
        <f t="shared" si="61"/>
        <v>0</v>
      </c>
      <c r="AD1137" s="19" t="e">
        <f>HYPERLINK(_xlfn.XLOOKUP(C1137,M_YT_LIVE_TIMESTAMP!AA:AA,M_YT_LIVE_TIMESTAMP!Z:Z,"★",0,-1))</f>
        <v>#VALUE!</v>
      </c>
    </row>
    <row r="1138" spans="3:30" x14ac:dyDescent="0.4">
      <c r="C1138" s="12" t="str">
        <f t="shared" si="59"/>
        <v/>
      </c>
      <c r="AA1138" s="14">
        <f t="shared" si="60"/>
        <v>0</v>
      </c>
      <c r="AB1138" s="14" t="str">
        <f>_xlfn.XLOOKUP(AA1138,M_ARTIST!A:A,M_ARTIST!B:B,"★★★",0,1)</f>
        <v>★★★</v>
      </c>
      <c r="AC1138" s="14">
        <f t="shared" si="61"/>
        <v>0</v>
      </c>
      <c r="AD1138" s="19" t="e">
        <f>HYPERLINK(_xlfn.XLOOKUP(C1138,M_YT_LIVE_TIMESTAMP!AA:AA,M_YT_LIVE_TIMESTAMP!Z:Z,"★",0,-1))</f>
        <v>#VALUE!</v>
      </c>
    </row>
    <row r="1139" spans="3:30" x14ac:dyDescent="0.4">
      <c r="C1139" s="12" t="str">
        <f t="shared" si="59"/>
        <v/>
      </c>
      <c r="AA1139" s="14">
        <f t="shared" si="60"/>
        <v>0</v>
      </c>
      <c r="AB1139" s="14" t="str">
        <f>_xlfn.XLOOKUP(AA1139,M_ARTIST!A:A,M_ARTIST!B:B,"★★★",0,1)</f>
        <v>★★★</v>
      </c>
      <c r="AC1139" s="14">
        <f t="shared" si="61"/>
        <v>0</v>
      </c>
      <c r="AD1139" s="19" t="e">
        <f>HYPERLINK(_xlfn.XLOOKUP(C1139,M_YT_LIVE_TIMESTAMP!AA:AA,M_YT_LIVE_TIMESTAMP!Z:Z,"★",0,-1))</f>
        <v>#VALUE!</v>
      </c>
    </row>
    <row r="1140" spans="3:30" x14ac:dyDescent="0.4">
      <c r="C1140" s="12" t="str">
        <f t="shared" si="59"/>
        <v/>
      </c>
      <c r="AA1140" s="14">
        <f t="shared" si="60"/>
        <v>0</v>
      </c>
      <c r="AB1140" s="14" t="str">
        <f>_xlfn.XLOOKUP(AA1140,M_ARTIST!A:A,M_ARTIST!B:B,"★★★",0,1)</f>
        <v>★★★</v>
      </c>
      <c r="AC1140" s="14">
        <f t="shared" si="61"/>
        <v>0</v>
      </c>
      <c r="AD1140" s="19" t="e">
        <f>HYPERLINK(_xlfn.XLOOKUP(C1140,M_YT_LIVE_TIMESTAMP!AA:AA,M_YT_LIVE_TIMESTAMP!Z:Z,"★",0,-1))</f>
        <v>#VALUE!</v>
      </c>
    </row>
    <row r="1141" spans="3:30" x14ac:dyDescent="0.4">
      <c r="C1141" s="12" t="str">
        <f t="shared" si="59"/>
        <v/>
      </c>
      <c r="AA1141" s="14">
        <f t="shared" si="60"/>
        <v>0</v>
      </c>
      <c r="AB1141" s="14" t="str">
        <f>_xlfn.XLOOKUP(AA1141,M_ARTIST!A:A,M_ARTIST!B:B,"★★★",0,1)</f>
        <v>★★★</v>
      </c>
      <c r="AC1141" s="14">
        <f t="shared" si="61"/>
        <v>0</v>
      </c>
      <c r="AD1141" s="19" t="e">
        <f>HYPERLINK(_xlfn.XLOOKUP(C1141,M_YT_LIVE_TIMESTAMP!AA:AA,M_YT_LIVE_TIMESTAMP!Z:Z,"★",0,-1))</f>
        <v>#VALUE!</v>
      </c>
    </row>
    <row r="1142" spans="3:30" x14ac:dyDescent="0.4">
      <c r="C1142" s="12" t="str">
        <f t="shared" si="59"/>
        <v/>
      </c>
      <c r="AA1142" s="14">
        <f t="shared" si="60"/>
        <v>0</v>
      </c>
      <c r="AB1142" s="14" t="str">
        <f>_xlfn.XLOOKUP(AA1142,M_ARTIST!A:A,M_ARTIST!B:B,"★★★",0,1)</f>
        <v>★★★</v>
      </c>
      <c r="AC1142" s="14">
        <f t="shared" si="61"/>
        <v>0</v>
      </c>
      <c r="AD1142" s="19" t="e">
        <f>HYPERLINK(_xlfn.XLOOKUP(C1142,M_YT_LIVE_TIMESTAMP!AA:AA,M_YT_LIVE_TIMESTAMP!Z:Z,"★",0,-1))</f>
        <v>#VALUE!</v>
      </c>
    </row>
    <row r="1143" spans="3:30" x14ac:dyDescent="0.4">
      <c r="C1143" s="12" t="str">
        <f t="shared" si="59"/>
        <v/>
      </c>
      <c r="AA1143" s="14">
        <f t="shared" si="60"/>
        <v>0</v>
      </c>
      <c r="AB1143" s="14" t="str">
        <f>_xlfn.XLOOKUP(AA1143,M_ARTIST!A:A,M_ARTIST!B:B,"★★★",0,1)</f>
        <v>★★★</v>
      </c>
      <c r="AC1143" s="14">
        <f t="shared" si="61"/>
        <v>0</v>
      </c>
      <c r="AD1143" s="19" t="e">
        <f>HYPERLINK(_xlfn.XLOOKUP(C1143,M_YT_LIVE_TIMESTAMP!AA:AA,M_YT_LIVE_TIMESTAMP!Z:Z,"★",0,-1))</f>
        <v>#VALUE!</v>
      </c>
    </row>
    <row r="1144" spans="3:30" x14ac:dyDescent="0.4">
      <c r="C1144" s="12" t="str">
        <f t="shared" si="59"/>
        <v/>
      </c>
      <c r="AA1144" s="14">
        <f t="shared" si="60"/>
        <v>0</v>
      </c>
      <c r="AB1144" s="14" t="str">
        <f>_xlfn.XLOOKUP(AA1144,M_ARTIST!A:A,M_ARTIST!B:B,"★★★",0,1)</f>
        <v>★★★</v>
      </c>
      <c r="AC1144" s="14">
        <f t="shared" si="61"/>
        <v>0</v>
      </c>
      <c r="AD1144" s="19" t="e">
        <f>HYPERLINK(_xlfn.XLOOKUP(C1144,M_YT_LIVE_TIMESTAMP!AA:AA,M_YT_LIVE_TIMESTAMP!Z:Z,"★",0,-1))</f>
        <v>#VALUE!</v>
      </c>
    </row>
    <row r="1145" spans="3:30" x14ac:dyDescent="0.4">
      <c r="C1145" s="12" t="str">
        <f t="shared" si="59"/>
        <v/>
      </c>
      <c r="AA1145" s="14">
        <f t="shared" si="60"/>
        <v>0</v>
      </c>
      <c r="AB1145" s="14" t="str">
        <f>_xlfn.XLOOKUP(AA1145,M_ARTIST!A:A,M_ARTIST!B:B,"★★★",0,1)</f>
        <v>★★★</v>
      </c>
      <c r="AC1145" s="14">
        <f t="shared" si="61"/>
        <v>0</v>
      </c>
      <c r="AD1145" s="19" t="e">
        <f>HYPERLINK(_xlfn.XLOOKUP(C1145,M_YT_LIVE_TIMESTAMP!AA:AA,M_YT_LIVE_TIMESTAMP!Z:Z,"★",0,-1))</f>
        <v>#VALUE!</v>
      </c>
    </row>
    <row r="1146" spans="3:30" x14ac:dyDescent="0.4">
      <c r="C1146" s="12" t="str">
        <f t="shared" si="59"/>
        <v/>
      </c>
      <c r="AA1146" s="14">
        <f t="shared" si="60"/>
        <v>0</v>
      </c>
      <c r="AB1146" s="14" t="str">
        <f>_xlfn.XLOOKUP(AA1146,M_ARTIST!A:A,M_ARTIST!B:B,"★★★",0,1)</f>
        <v>★★★</v>
      </c>
      <c r="AC1146" s="14">
        <f t="shared" si="61"/>
        <v>0</v>
      </c>
      <c r="AD1146" s="19" t="e">
        <f>HYPERLINK(_xlfn.XLOOKUP(C1146,M_YT_LIVE_TIMESTAMP!AA:AA,M_YT_LIVE_TIMESTAMP!Z:Z,"★",0,-1))</f>
        <v>#VALUE!</v>
      </c>
    </row>
    <row r="1147" spans="3:30" x14ac:dyDescent="0.4">
      <c r="C1147" s="12" t="str">
        <f t="shared" si="59"/>
        <v/>
      </c>
      <c r="AA1147" s="14">
        <f t="shared" si="60"/>
        <v>0</v>
      </c>
      <c r="AB1147" s="14" t="str">
        <f>_xlfn.XLOOKUP(AA1147,M_ARTIST!A:A,M_ARTIST!B:B,"★★★",0,1)</f>
        <v>★★★</v>
      </c>
      <c r="AC1147" s="14">
        <f t="shared" si="61"/>
        <v>0</v>
      </c>
      <c r="AD1147" s="19" t="e">
        <f>HYPERLINK(_xlfn.XLOOKUP(C1147,M_YT_LIVE_TIMESTAMP!AA:AA,M_YT_LIVE_TIMESTAMP!Z:Z,"★",0,-1))</f>
        <v>#VALUE!</v>
      </c>
    </row>
    <row r="1148" spans="3:30" x14ac:dyDescent="0.4">
      <c r="C1148" s="12" t="str">
        <f t="shared" si="59"/>
        <v/>
      </c>
      <c r="AA1148" s="14">
        <f t="shared" si="60"/>
        <v>0</v>
      </c>
      <c r="AB1148" s="14" t="str">
        <f>_xlfn.XLOOKUP(AA1148,M_ARTIST!A:A,M_ARTIST!B:B,"★★★",0,1)</f>
        <v>★★★</v>
      </c>
      <c r="AC1148" s="14">
        <f t="shared" si="61"/>
        <v>0</v>
      </c>
      <c r="AD1148" s="19" t="e">
        <f>HYPERLINK(_xlfn.XLOOKUP(C1148,M_YT_LIVE_TIMESTAMP!AA:AA,M_YT_LIVE_TIMESTAMP!Z:Z,"★",0,-1))</f>
        <v>#VALUE!</v>
      </c>
    </row>
    <row r="1149" spans="3:30" x14ac:dyDescent="0.4">
      <c r="C1149" s="12" t="str">
        <f t="shared" si="59"/>
        <v/>
      </c>
      <c r="AA1149" s="14">
        <f t="shared" si="60"/>
        <v>0</v>
      </c>
      <c r="AB1149" s="14" t="str">
        <f>_xlfn.XLOOKUP(AA1149,M_ARTIST!A:A,M_ARTIST!B:B,"★★★",0,1)</f>
        <v>★★★</v>
      </c>
      <c r="AC1149" s="14">
        <f t="shared" si="61"/>
        <v>0</v>
      </c>
      <c r="AD1149" s="19" t="e">
        <f>HYPERLINK(_xlfn.XLOOKUP(C1149,M_YT_LIVE_TIMESTAMP!AA:AA,M_YT_LIVE_TIMESTAMP!Z:Z,"★",0,-1))</f>
        <v>#VALUE!</v>
      </c>
    </row>
    <row r="1150" spans="3:30" x14ac:dyDescent="0.4">
      <c r="C1150" s="12" t="str">
        <f t="shared" si="59"/>
        <v/>
      </c>
      <c r="AA1150" s="14">
        <f t="shared" si="60"/>
        <v>0</v>
      </c>
      <c r="AB1150" s="14" t="str">
        <f>_xlfn.XLOOKUP(AA1150,M_ARTIST!A:A,M_ARTIST!B:B,"★★★",0,1)</f>
        <v>★★★</v>
      </c>
      <c r="AC1150" s="14">
        <f t="shared" si="61"/>
        <v>0</v>
      </c>
      <c r="AD1150" s="19" t="e">
        <f>HYPERLINK(_xlfn.XLOOKUP(C1150,M_YT_LIVE_TIMESTAMP!AA:AA,M_YT_LIVE_TIMESTAMP!Z:Z,"★",0,-1))</f>
        <v>#VALUE!</v>
      </c>
    </row>
    <row r="1151" spans="3:30" x14ac:dyDescent="0.4">
      <c r="C1151" s="12" t="str">
        <f t="shared" si="59"/>
        <v/>
      </c>
      <c r="AA1151" s="14">
        <f t="shared" si="60"/>
        <v>0</v>
      </c>
      <c r="AB1151" s="14" t="str">
        <f>_xlfn.XLOOKUP(AA1151,M_ARTIST!A:A,M_ARTIST!B:B,"★★★",0,1)</f>
        <v>★★★</v>
      </c>
      <c r="AC1151" s="14">
        <f t="shared" si="61"/>
        <v>0</v>
      </c>
      <c r="AD1151" s="19" t="e">
        <f>HYPERLINK(_xlfn.XLOOKUP(C1151,M_YT_LIVE_TIMESTAMP!AA:AA,M_YT_LIVE_TIMESTAMP!Z:Z,"★",0,-1))</f>
        <v>#VALUE!</v>
      </c>
    </row>
    <row r="1152" spans="3:30" x14ac:dyDescent="0.4">
      <c r="C1152" s="12" t="str">
        <f t="shared" si="59"/>
        <v/>
      </c>
      <c r="AA1152" s="14">
        <f t="shared" si="60"/>
        <v>0</v>
      </c>
      <c r="AB1152" s="14" t="str">
        <f>_xlfn.XLOOKUP(AA1152,M_ARTIST!A:A,M_ARTIST!B:B,"★★★",0,1)</f>
        <v>★★★</v>
      </c>
      <c r="AC1152" s="14">
        <f t="shared" si="61"/>
        <v>0</v>
      </c>
      <c r="AD1152" s="19" t="e">
        <f>HYPERLINK(_xlfn.XLOOKUP(C1152,M_YT_LIVE_TIMESTAMP!AA:AA,M_YT_LIVE_TIMESTAMP!Z:Z,"★",0,-1))</f>
        <v>#VALUE!</v>
      </c>
    </row>
    <row r="1153" spans="3:30" x14ac:dyDescent="0.4">
      <c r="C1153" s="12" t="str">
        <f t="shared" si="59"/>
        <v/>
      </c>
      <c r="AA1153" s="14">
        <f t="shared" si="60"/>
        <v>0</v>
      </c>
      <c r="AB1153" s="14" t="str">
        <f>_xlfn.XLOOKUP(AA1153,M_ARTIST!A:A,M_ARTIST!B:B,"★★★",0,1)</f>
        <v>★★★</v>
      </c>
      <c r="AC1153" s="14">
        <f t="shared" si="61"/>
        <v>0</v>
      </c>
      <c r="AD1153" s="19" t="e">
        <f>HYPERLINK(_xlfn.XLOOKUP(C1153,M_YT_LIVE_TIMESTAMP!AA:AA,M_YT_LIVE_TIMESTAMP!Z:Z,"★",0,-1))</f>
        <v>#VALUE!</v>
      </c>
    </row>
    <row r="1154" spans="3:30" x14ac:dyDescent="0.4">
      <c r="C1154" s="12" t="str">
        <f t="shared" si="59"/>
        <v/>
      </c>
      <c r="AA1154" s="14">
        <f t="shared" si="60"/>
        <v>0</v>
      </c>
      <c r="AB1154" s="14" t="str">
        <f>_xlfn.XLOOKUP(AA1154,M_ARTIST!A:A,M_ARTIST!B:B,"★★★",0,1)</f>
        <v>★★★</v>
      </c>
      <c r="AC1154" s="14">
        <f t="shared" si="61"/>
        <v>0</v>
      </c>
      <c r="AD1154" s="19" t="e">
        <f>HYPERLINK(_xlfn.XLOOKUP(C1154,M_YT_LIVE_TIMESTAMP!AA:AA,M_YT_LIVE_TIMESTAMP!Z:Z,"★",0,-1))</f>
        <v>#VALUE!</v>
      </c>
    </row>
    <row r="1155" spans="3:30" x14ac:dyDescent="0.4">
      <c r="C1155" s="12" t="str">
        <f t="shared" si="59"/>
        <v/>
      </c>
      <c r="AA1155" s="14">
        <f t="shared" si="60"/>
        <v>0</v>
      </c>
      <c r="AB1155" s="14" t="str">
        <f>_xlfn.XLOOKUP(AA1155,M_ARTIST!A:A,M_ARTIST!B:B,"★★★",0,1)</f>
        <v>★★★</v>
      </c>
      <c r="AC1155" s="14">
        <f t="shared" si="61"/>
        <v>0</v>
      </c>
      <c r="AD1155" s="19" t="e">
        <f>HYPERLINK(_xlfn.XLOOKUP(C1155,M_YT_LIVE_TIMESTAMP!AA:AA,M_YT_LIVE_TIMESTAMP!Z:Z,"★",0,-1))</f>
        <v>#VALUE!</v>
      </c>
    </row>
    <row r="1156" spans="3:30" x14ac:dyDescent="0.4">
      <c r="C1156" s="12" t="str">
        <f t="shared" si="59"/>
        <v/>
      </c>
      <c r="AA1156" s="14">
        <f t="shared" si="60"/>
        <v>0</v>
      </c>
      <c r="AB1156" s="14" t="str">
        <f>_xlfn.XLOOKUP(AA1156,M_ARTIST!A:A,M_ARTIST!B:B,"★★★",0,1)</f>
        <v>★★★</v>
      </c>
      <c r="AC1156" s="14">
        <f t="shared" si="61"/>
        <v>0</v>
      </c>
      <c r="AD1156" s="19" t="e">
        <f>HYPERLINK(_xlfn.XLOOKUP(C1156,M_YT_LIVE_TIMESTAMP!AA:AA,M_YT_LIVE_TIMESTAMP!Z:Z,"★",0,-1))</f>
        <v>#VALUE!</v>
      </c>
    </row>
    <row r="1157" spans="3:30" x14ac:dyDescent="0.4">
      <c r="C1157" s="12" t="str">
        <f t="shared" si="59"/>
        <v/>
      </c>
      <c r="AA1157" s="14">
        <f t="shared" si="60"/>
        <v>0</v>
      </c>
      <c r="AB1157" s="14" t="str">
        <f>_xlfn.XLOOKUP(AA1157,M_ARTIST!A:A,M_ARTIST!B:B,"★★★",0,1)</f>
        <v>★★★</v>
      </c>
      <c r="AC1157" s="14">
        <f t="shared" si="61"/>
        <v>0</v>
      </c>
      <c r="AD1157" s="19" t="e">
        <f>HYPERLINK(_xlfn.XLOOKUP(C1157,M_YT_LIVE_TIMESTAMP!AA:AA,M_YT_LIVE_TIMESTAMP!Z:Z,"★",0,-1))</f>
        <v>#VALUE!</v>
      </c>
    </row>
    <row r="1158" spans="3:30" x14ac:dyDescent="0.4">
      <c r="C1158" s="12" t="str">
        <f t="shared" si="59"/>
        <v/>
      </c>
      <c r="AA1158" s="14">
        <f t="shared" si="60"/>
        <v>0</v>
      </c>
      <c r="AB1158" s="14" t="str">
        <f>_xlfn.XLOOKUP(AA1158,M_ARTIST!A:A,M_ARTIST!B:B,"★★★",0,1)</f>
        <v>★★★</v>
      </c>
      <c r="AC1158" s="14">
        <f t="shared" si="61"/>
        <v>0</v>
      </c>
      <c r="AD1158" s="19" t="e">
        <f>HYPERLINK(_xlfn.XLOOKUP(C1158,M_YT_LIVE_TIMESTAMP!AA:AA,M_YT_LIVE_TIMESTAMP!Z:Z,"★",0,-1))</f>
        <v>#VALUE!</v>
      </c>
    </row>
    <row r="1159" spans="3:30" x14ac:dyDescent="0.4">
      <c r="C1159" s="12" t="str">
        <f t="shared" si="59"/>
        <v/>
      </c>
      <c r="AA1159" s="14">
        <f t="shared" si="60"/>
        <v>0</v>
      </c>
      <c r="AB1159" s="14" t="str">
        <f>_xlfn.XLOOKUP(AA1159,M_ARTIST!A:A,M_ARTIST!B:B,"★★★",0,1)</f>
        <v>★★★</v>
      </c>
      <c r="AC1159" s="14">
        <f t="shared" si="61"/>
        <v>0</v>
      </c>
      <c r="AD1159" s="19" t="e">
        <f>HYPERLINK(_xlfn.XLOOKUP(C1159,M_YT_LIVE_TIMESTAMP!AA:AA,M_YT_LIVE_TIMESTAMP!Z:Z,"★",0,-1))</f>
        <v>#VALUE!</v>
      </c>
    </row>
    <row r="1160" spans="3:30" x14ac:dyDescent="0.4">
      <c r="C1160" s="12" t="str">
        <f t="shared" si="59"/>
        <v/>
      </c>
      <c r="AA1160" s="14">
        <f t="shared" si="60"/>
        <v>0</v>
      </c>
      <c r="AB1160" s="14" t="str">
        <f>_xlfn.XLOOKUP(AA1160,M_ARTIST!A:A,M_ARTIST!B:B,"★★★",0,1)</f>
        <v>★★★</v>
      </c>
      <c r="AC1160" s="14">
        <f t="shared" si="61"/>
        <v>0</v>
      </c>
      <c r="AD1160" s="19" t="e">
        <f>HYPERLINK(_xlfn.XLOOKUP(C1160,M_YT_LIVE_TIMESTAMP!AA:AA,M_YT_LIVE_TIMESTAMP!Z:Z,"★",0,-1))</f>
        <v>#VALUE!</v>
      </c>
    </row>
    <row r="1161" spans="3:30" x14ac:dyDescent="0.4">
      <c r="C1161" s="12" t="str">
        <f t="shared" si="59"/>
        <v/>
      </c>
      <c r="AA1161" s="14">
        <f t="shared" si="60"/>
        <v>0</v>
      </c>
      <c r="AB1161" s="14" t="str">
        <f>_xlfn.XLOOKUP(AA1161,M_ARTIST!A:A,M_ARTIST!B:B,"★★★",0,1)</f>
        <v>★★★</v>
      </c>
      <c r="AC1161" s="14">
        <f t="shared" si="61"/>
        <v>0</v>
      </c>
      <c r="AD1161" s="19" t="e">
        <f>HYPERLINK(_xlfn.XLOOKUP(C1161,M_YT_LIVE_TIMESTAMP!AA:AA,M_YT_LIVE_TIMESTAMP!Z:Z,"★",0,-1))</f>
        <v>#VALUE!</v>
      </c>
    </row>
    <row r="1162" spans="3:30" x14ac:dyDescent="0.4">
      <c r="C1162" s="12" t="str">
        <f t="shared" si="59"/>
        <v/>
      </c>
      <c r="AA1162" s="14">
        <f t="shared" si="60"/>
        <v>0</v>
      </c>
      <c r="AB1162" s="14" t="str">
        <f>_xlfn.XLOOKUP(AA1162,M_ARTIST!A:A,M_ARTIST!B:B,"★★★",0,1)</f>
        <v>★★★</v>
      </c>
      <c r="AC1162" s="14">
        <f t="shared" si="61"/>
        <v>0</v>
      </c>
      <c r="AD1162" s="19" t="e">
        <f>HYPERLINK(_xlfn.XLOOKUP(C1162,M_YT_LIVE_TIMESTAMP!AA:AA,M_YT_LIVE_TIMESTAMP!Z:Z,"★",0,-1))</f>
        <v>#VALUE!</v>
      </c>
    </row>
    <row r="1163" spans="3:30" x14ac:dyDescent="0.4">
      <c r="C1163" s="12" t="str">
        <f t="shared" si="59"/>
        <v/>
      </c>
      <c r="AA1163" s="14">
        <f t="shared" si="60"/>
        <v>0</v>
      </c>
      <c r="AB1163" s="14" t="str">
        <f>_xlfn.XLOOKUP(AA1163,M_ARTIST!A:A,M_ARTIST!B:B,"★★★",0,1)</f>
        <v>★★★</v>
      </c>
      <c r="AC1163" s="14">
        <f t="shared" si="61"/>
        <v>0</v>
      </c>
      <c r="AD1163" s="19" t="e">
        <f>HYPERLINK(_xlfn.XLOOKUP(C1163,M_YT_LIVE_TIMESTAMP!AA:AA,M_YT_LIVE_TIMESTAMP!Z:Z,"★",0,-1))</f>
        <v>#VALUE!</v>
      </c>
    </row>
    <row r="1164" spans="3:30" x14ac:dyDescent="0.4">
      <c r="C1164" s="12" t="str">
        <f t="shared" si="59"/>
        <v/>
      </c>
      <c r="AA1164" s="14">
        <f t="shared" si="60"/>
        <v>0</v>
      </c>
      <c r="AB1164" s="14" t="str">
        <f>_xlfn.XLOOKUP(AA1164,M_ARTIST!A:A,M_ARTIST!B:B,"★★★",0,1)</f>
        <v>★★★</v>
      </c>
      <c r="AC1164" s="14">
        <f t="shared" si="61"/>
        <v>0</v>
      </c>
      <c r="AD1164" s="19" t="e">
        <f>HYPERLINK(_xlfn.XLOOKUP(C1164,M_YT_LIVE_TIMESTAMP!AA:AA,M_YT_LIVE_TIMESTAMP!Z:Z,"★",0,-1))</f>
        <v>#VALUE!</v>
      </c>
    </row>
    <row r="1165" spans="3:30" x14ac:dyDescent="0.4">
      <c r="C1165" s="12" t="str">
        <f t="shared" si="59"/>
        <v/>
      </c>
      <c r="AA1165" s="14">
        <f t="shared" si="60"/>
        <v>0</v>
      </c>
      <c r="AB1165" s="14" t="str">
        <f>_xlfn.XLOOKUP(AA1165,M_ARTIST!A:A,M_ARTIST!B:B,"★★★",0,1)</f>
        <v>★★★</v>
      </c>
      <c r="AC1165" s="14">
        <f t="shared" si="61"/>
        <v>0</v>
      </c>
      <c r="AD1165" s="19" t="e">
        <f>HYPERLINK(_xlfn.XLOOKUP(C1165,M_YT_LIVE_TIMESTAMP!AA:AA,M_YT_LIVE_TIMESTAMP!Z:Z,"★",0,-1))</f>
        <v>#VALUE!</v>
      </c>
    </row>
    <row r="1166" spans="3:30" x14ac:dyDescent="0.4">
      <c r="C1166" s="12" t="str">
        <f t="shared" si="59"/>
        <v/>
      </c>
      <c r="AA1166" s="14">
        <f t="shared" si="60"/>
        <v>0</v>
      </c>
      <c r="AB1166" s="14" t="str">
        <f>_xlfn.XLOOKUP(AA1166,M_ARTIST!A:A,M_ARTIST!B:B,"★★★",0,1)</f>
        <v>★★★</v>
      </c>
      <c r="AC1166" s="14">
        <f t="shared" si="61"/>
        <v>0</v>
      </c>
      <c r="AD1166" s="19" t="e">
        <f>HYPERLINK(_xlfn.XLOOKUP(C1166,M_YT_LIVE_TIMESTAMP!AA:AA,M_YT_LIVE_TIMESTAMP!Z:Z,"★",0,-1))</f>
        <v>#VALUE!</v>
      </c>
    </row>
    <row r="1167" spans="3:30" x14ac:dyDescent="0.4">
      <c r="C1167" s="12" t="str">
        <f t="shared" si="59"/>
        <v/>
      </c>
      <c r="AA1167" s="14">
        <f t="shared" si="60"/>
        <v>0</v>
      </c>
      <c r="AB1167" s="14" t="str">
        <f>_xlfn.XLOOKUP(AA1167,M_ARTIST!A:A,M_ARTIST!B:B,"★★★",0,1)</f>
        <v>★★★</v>
      </c>
      <c r="AC1167" s="14">
        <f t="shared" si="61"/>
        <v>0</v>
      </c>
      <c r="AD1167" s="19" t="e">
        <f>HYPERLINK(_xlfn.XLOOKUP(C1167,M_YT_LIVE_TIMESTAMP!AA:AA,M_YT_LIVE_TIMESTAMP!Z:Z,"★",0,-1))</f>
        <v>#VALUE!</v>
      </c>
    </row>
    <row r="1168" spans="3:30" x14ac:dyDescent="0.4">
      <c r="C1168" s="12" t="str">
        <f t="shared" si="59"/>
        <v/>
      </c>
      <c r="AA1168" s="14">
        <f t="shared" si="60"/>
        <v>0</v>
      </c>
      <c r="AB1168" s="14" t="str">
        <f>_xlfn.XLOOKUP(AA1168,M_ARTIST!A:A,M_ARTIST!B:B,"★★★",0,1)</f>
        <v>★★★</v>
      </c>
      <c r="AC1168" s="14">
        <f t="shared" si="61"/>
        <v>0</v>
      </c>
      <c r="AD1168" s="19" t="e">
        <f>HYPERLINK(_xlfn.XLOOKUP(C1168,M_YT_LIVE_TIMESTAMP!AA:AA,M_YT_LIVE_TIMESTAMP!Z:Z,"★",0,-1))</f>
        <v>#VALUE!</v>
      </c>
    </row>
    <row r="1169" spans="3:30" x14ac:dyDescent="0.4">
      <c r="C1169" s="12" t="str">
        <f t="shared" si="59"/>
        <v/>
      </c>
      <c r="AA1169" s="14">
        <f t="shared" si="60"/>
        <v>0</v>
      </c>
      <c r="AB1169" s="14" t="str">
        <f>_xlfn.XLOOKUP(AA1169,M_ARTIST!A:A,M_ARTIST!B:B,"★★★",0,1)</f>
        <v>★★★</v>
      </c>
      <c r="AC1169" s="14">
        <f t="shared" si="61"/>
        <v>0</v>
      </c>
      <c r="AD1169" s="19" t="e">
        <f>HYPERLINK(_xlfn.XLOOKUP(C1169,M_YT_LIVE_TIMESTAMP!AA:AA,M_YT_LIVE_TIMESTAMP!Z:Z,"★",0,-1))</f>
        <v>#VALUE!</v>
      </c>
    </row>
    <row r="1170" spans="3:30" x14ac:dyDescent="0.4">
      <c r="C1170" s="12" t="str">
        <f t="shared" si="59"/>
        <v/>
      </c>
      <c r="AA1170" s="14">
        <f t="shared" si="60"/>
        <v>0</v>
      </c>
      <c r="AB1170" s="14" t="str">
        <f>_xlfn.XLOOKUP(AA1170,M_ARTIST!A:A,M_ARTIST!B:B,"★★★",0,1)</f>
        <v>★★★</v>
      </c>
      <c r="AC1170" s="14">
        <f t="shared" si="61"/>
        <v>0</v>
      </c>
      <c r="AD1170" s="19" t="e">
        <f>HYPERLINK(_xlfn.XLOOKUP(C1170,M_YT_LIVE_TIMESTAMP!AA:AA,M_YT_LIVE_TIMESTAMP!Z:Z,"★",0,-1))</f>
        <v>#VALUE!</v>
      </c>
    </row>
    <row r="1171" spans="3:30" x14ac:dyDescent="0.4">
      <c r="C1171" s="12" t="str">
        <f t="shared" ref="C1171:C1234" si="62">TRIM(B1171)&amp;TRIM(A1171)</f>
        <v/>
      </c>
      <c r="AA1171" s="14">
        <f t="shared" ref="AA1171:AA1234" si="63">B1171</f>
        <v>0</v>
      </c>
      <c r="AB1171" s="14" t="str">
        <f>_xlfn.XLOOKUP(AA1171,M_ARTIST!A:A,M_ARTIST!B:B,"★★★",0,1)</f>
        <v>★★★</v>
      </c>
      <c r="AC1171" s="14">
        <f t="shared" ref="AC1171:AC1234" si="64">A1171</f>
        <v>0</v>
      </c>
      <c r="AD1171" s="19" t="e">
        <f>HYPERLINK(_xlfn.XLOOKUP(C1171,M_YT_LIVE_TIMESTAMP!AA:AA,M_YT_LIVE_TIMESTAMP!Z:Z,"★",0,-1))</f>
        <v>#VALUE!</v>
      </c>
    </row>
    <row r="1172" spans="3:30" x14ac:dyDescent="0.4">
      <c r="C1172" s="12" t="str">
        <f t="shared" si="62"/>
        <v/>
      </c>
      <c r="AA1172" s="14">
        <f t="shared" si="63"/>
        <v>0</v>
      </c>
      <c r="AB1172" s="14" t="str">
        <f>_xlfn.XLOOKUP(AA1172,M_ARTIST!A:A,M_ARTIST!B:B,"★★★",0,1)</f>
        <v>★★★</v>
      </c>
      <c r="AC1172" s="14">
        <f t="shared" si="64"/>
        <v>0</v>
      </c>
      <c r="AD1172" s="19" t="e">
        <f>HYPERLINK(_xlfn.XLOOKUP(C1172,M_YT_LIVE_TIMESTAMP!AA:AA,M_YT_LIVE_TIMESTAMP!Z:Z,"★",0,-1))</f>
        <v>#VALUE!</v>
      </c>
    </row>
    <row r="1173" spans="3:30" x14ac:dyDescent="0.4">
      <c r="C1173" s="12" t="str">
        <f t="shared" si="62"/>
        <v/>
      </c>
      <c r="AA1173" s="14">
        <f t="shared" si="63"/>
        <v>0</v>
      </c>
      <c r="AB1173" s="14" t="str">
        <f>_xlfn.XLOOKUP(AA1173,M_ARTIST!A:A,M_ARTIST!B:B,"★★★",0,1)</f>
        <v>★★★</v>
      </c>
      <c r="AC1173" s="14">
        <f t="shared" si="64"/>
        <v>0</v>
      </c>
      <c r="AD1173" s="19" t="e">
        <f>HYPERLINK(_xlfn.XLOOKUP(C1173,M_YT_LIVE_TIMESTAMP!AA:AA,M_YT_LIVE_TIMESTAMP!Z:Z,"★",0,-1))</f>
        <v>#VALUE!</v>
      </c>
    </row>
    <row r="1174" spans="3:30" x14ac:dyDescent="0.4">
      <c r="C1174" s="12" t="str">
        <f t="shared" si="62"/>
        <v/>
      </c>
      <c r="AA1174" s="14">
        <f t="shared" si="63"/>
        <v>0</v>
      </c>
      <c r="AB1174" s="14" t="str">
        <f>_xlfn.XLOOKUP(AA1174,M_ARTIST!A:A,M_ARTIST!B:B,"★★★",0,1)</f>
        <v>★★★</v>
      </c>
      <c r="AC1174" s="14">
        <f t="shared" si="64"/>
        <v>0</v>
      </c>
      <c r="AD1174" s="19" t="e">
        <f>HYPERLINK(_xlfn.XLOOKUP(C1174,M_YT_LIVE_TIMESTAMP!AA:AA,M_YT_LIVE_TIMESTAMP!Z:Z,"★",0,-1))</f>
        <v>#VALUE!</v>
      </c>
    </row>
    <row r="1175" spans="3:30" x14ac:dyDescent="0.4">
      <c r="C1175" s="12" t="str">
        <f t="shared" si="62"/>
        <v/>
      </c>
      <c r="AA1175" s="14">
        <f t="shared" si="63"/>
        <v>0</v>
      </c>
      <c r="AB1175" s="14" t="str">
        <f>_xlfn.XLOOKUP(AA1175,M_ARTIST!A:A,M_ARTIST!B:B,"★★★",0,1)</f>
        <v>★★★</v>
      </c>
      <c r="AC1175" s="14">
        <f t="shared" si="64"/>
        <v>0</v>
      </c>
      <c r="AD1175" s="19" t="e">
        <f>HYPERLINK(_xlfn.XLOOKUP(C1175,M_YT_LIVE_TIMESTAMP!AA:AA,M_YT_LIVE_TIMESTAMP!Z:Z,"★",0,-1))</f>
        <v>#VALUE!</v>
      </c>
    </row>
    <row r="1176" spans="3:30" x14ac:dyDescent="0.4">
      <c r="C1176" s="12" t="str">
        <f t="shared" si="62"/>
        <v/>
      </c>
      <c r="AA1176" s="14">
        <f t="shared" si="63"/>
        <v>0</v>
      </c>
      <c r="AB1176" s="14" t="str">
        <f>_xlfn.XLOOKUP(AA1176,M_ARTIST!A:A,M_ARTIST!B:B,"★★★",0,1)</f>
        <v>★★★</v>
      </c>
      <c r="AC1176" s="14">
        <f t="shared" si="64"/>
        <v>0</v>
      </c>
      <c r="AD1176" s="19" t="e">
        <f>HYPERLINK(_xlfn.XLOOKUP(C1176,M_YT_LIVE_TIMESTAMP!AA:AA,M_YT_LIVE_TIMESTAMP!Z:Z,"★",0,-1))</f>
        <v>#VALUE!</v>
      </c>
    </row>
    <row r="1177" spans="3:30" x14ac:dyDescent="0.4">
      <c r="C1177" s="12" t="str">
        <f t="shared" si="62"/>
        <v/>
      </c>
      <c r="AA1177" s="14">
        <f t="shared" si="63"/>
        <v>0</v>
      </c>
      <c r="AB1177" s="14" t="str">
        <f>_xlfn.XLOOKUP(AA1177,M_ARTIST!A:A,M_ARTIST!B:B,"★★★",0,1)</f>
        <v>★★★</v>
      </c>
      <c r="AC1177" s="14">
        <f t="shared" si="64"/>
        <v>0</v>
      </c>
      <c r="AD1177" s="19" t="e">
        <f>HYPERLINK(_xlfn.XLOOKUP(C1177,M_YT_LIVE_TIMESTAMP!AA:AA,M_YT_LIVE_TIMESTAMP!Z:Z,"★",0,-1))</f>
        <v>#VALUE!</v>
      </c>
    </row>
    <row r="1178" spans="3:30" x14ac:dyDescent="0.4">
      <c r="C1178" s="12" t="str">
        <f t="shared" si="62"/>
        <v/>
      </c>
      <c r="AA1178" s="14">
        <f t="shared" si="63"/>
        <v>0</v>
      </c>
      <c r="AB1178" s="14" t="str">
        <f>_xlfn.XLOOKUP(AA1178,M_ARTIST!A:A,M_ARTIST!B:B,"★★★",0,1)</f>
        <v>★★★</v>
      </c>
      <c r="AC1178" s="14">
        <f t="shared" si="64"/>
        <v>0</v>
      </c>
      <c r="AD1178" s="19" t="e">
        <f>HYPERLINK(_xlfn.XLOOKUP(C1178,M_YT_LIVE_TIMESTAMP!AA:AA,M_YT_LIVE_TIMESTAMP!Z:Z,"★",0,-1))</f>
        <v>#VALUE!</v>
      </c>
    </row>
    <row r="1179" spans="3:30" x14ac:dyDescent="0.4">
      <c r="C1179" s="12" t="str">
        <f t="shared" si="62"/>
        <v/>
      </c>
      <c r="AA1179" s="14">
        <f t="shared" si="63"/>
        <v>0</v>
      </c>
      <c r="AB1179" s="14" t="str">
        <f>_xlfn.XLOOKUP(AA1179,M_ARTIST!A:A,M_ARTIST!B:B,"★★★",0,1)</f>
        <v>★★★</v>
      </c>
      <c r="AC1179" s="14">
        <f t="shared" si="64"/>
        <v>0</v>
      </c>
      <c r="AD1179" s="19" t="e">
        <f>HYPERLINK(_xlfn.XLOOKUP(C1179,M_YT_LIVE_TIMESTAMP!AA:AA,M_YT_LIVE_TIMESTAMP!Z:Z,"★",0,-1))</f>
        <v>#VALUE!</v>
      </c>
    </row>
    <row r="1180" spans="3:30" x14ac:dyDescent="0.4">
      <c r="C1180" s="12" t="str">
        <f t="shared" si="62"/>
        <v/>
      </c>
      <c r="AA1180" s="14">
        <f t="shared" si="63"/>
        <v>0</v>
      </c>
      <c r="AB1180" s="14" t="str">
        <f>_xlfn.XLOOKUP(AA1180,M_ARTIST!A:A,M_ARTIST!B:B,"★★★",0,1)</f>
        <v>★★★</v>
      </c>
      <c r="AC1180" s="14">
        <f t="shared" si="64"/>
        <v>0</v>
      </c>
      <c r="AD1180" s="19" t="e">
        <f>HYPERLINK(_xlfn.XLOOKUP(C1180,M_YT_LIVE_TIMESTAMP!AA:AA,M_YT_LIVE_TIMESTAMP!Z:Z,"★",0,-1))</f>
        <v>#VALUE!</v>
      </c>
    </row>
    <row r="1181" spans="3:30" x14ac:dyDescent="0.4">
      <c r="C1181" s="12" t="str">
        <f t="shared" si="62"/>
        <v/>
      </c>
      <c r="AA1181" s="14">
        <f t="shared" si="63"/>
        <v>0</v>
      </c>
      <c r="AB1181" s="14" t="str">
        <f>_xlfn.XLOOKUP(AA1181,M_ARTIST!A:A,M_ARTIST!B:B,"★★★",0,1)</f>
        <v>★★★</v>
      </c>
      <c r="AC1181" s="14">
        <f t="shared" si="64"/>
        <v>0</v>
      </c>
      <c r="AD1181" s="19" t="e">
        <f>HYPERLINK(_xlfn.XLOOKUP(C1181,M_YT_LIVE_TIMESTAMP!AA:AA,M_YT_LIVE_TIMESTAMP!Z:Z,"★",0,-1))</f>
        <v>#VALUE!</v>
      </c>
    </row>
    <row r="1182" spans="3:30" x14ac:dyDescent="0.4">
      <c r="C1182" s="12" t="str">
        <f t="shared" si="62"/>
        <v/>
      </c>
      <c r="AA1182" s="14">
        <f t="shared" si="63"/>
        <v>0</v>
      </c>
      <c r="AB1182" s="14" t="str">
        <f>_xlfn.XLOOKUP(AA1182,M_ARTIST!A:A,M_ARTIST!B:B,"★★★",0,1)</f>
        <v>★★★</v>
      </c>
      <c r="AC1182" s="14">
        <f t="shared" si="64"/>
        <v>0</v>
      </c>
      <c r="AD1182" s="19" t="e">
        <f>HYPERLINK(_xlfn.XLOOKUP(C1182,M_YT_LIVE_TIMESTAMP!AA:AA,M_YT_LIVE_TIMESTAMP!Z:Z,"★",0,-1))</f>
        <v>#VALUE!</v>
      </c>
    </row>
    <row r="1183" spans="3:30" x14ac:dyDescent="0.4">
      <c r="C1183" s="12" t="str">
        <f t="shared" si="62"/>
        <v/>
      </c>
      <c r="AA1183" s="14">
        <f t="shared" si="63"/>
        <v>0</v>
      </c>
      <c r="AB1183" s="14" t="str">
        <f>_xlfn.XLOOKUP(AA1183,M_ARTIST!A:A,M_ARTIST!B:B,"★★★",0,1)</f>
        <v>★★★</v>
      </c>
      <c r="AC1183" s="14">
        <f t="shared" si="64"/>
        <v>0</v>
      </c>
      <c r="AD1183" s="19" t="e">
        <f>HYPERLINK(_xlfn.XLOOKUP(C1183,M_YT_LIVE_TIMESTAMP!AA:AA,M_YT_LIVE_TIMESTAMP!Z:Z,"★",0,-1))</f>
        <v>#VALUE!</v>
      </c>
    </row>
    <row r="1184" spans="3:30" x14ac:dyDescent="0.4">
      <c r="C1184" s="12" t="str">
        <f t="shared" si="62"/>
        <v/>
      </c>
      <c r="AA1184" s="14">
        <f t="shared" si="63"/>
        <v>0</v>
      </c>
      <c r="AB1184" s="14" t="str">
        <f>_xlfn.XLOOKUP(AA1184,M_ARTIST!A:A,M_ARTIST!B:B,"★★★",0,1)</f>
        <v>★★★</v>
      </c>
      <c r="AC1184" s="14">
        <f t="shared" si="64"/>
        <v>0</v>
      </c>
      <c r="AD1184" s="19" t="e">
        <f>HYPERLINK(_xlfn.XLOOKUP(C1184,M_YT_LIVE_TIMESTAMP!AA:AA,M_YT_LIVE_TIMESTAMP!Z:Z,"★",0,-1))</f>
        <v>#VALUE!</v>
      </c>
    </row>
    <row r="1185" spans="3:30" x14ac:dyDescent="0.4">
      <c r="C1185" s="12" t="str">
        <f t="shared" si="62"/>
        <v/>
      </c>
      <c r="AA1185" s="14">
        <f t="shared" si="63"/>
        <v>0</v>
      </c>
      <c r="AB1185" s="14" t="str">
        <f>_xlfn.XLOOKUP(AA1185,M_ARTIST!A:A,M_ARTIST!B:B,"★★★",0,1)</f>
        <v>★★★</v>
      </c>
      <c r="AC1185" s="14">
        <f t="shared" si="64"/>
        <v>0</v>
      </c>
      <c r="AD1185" s="19" t="e">
        <f>HYPERLINK(_xlfn.XLOOKUP(C1185,M_YT_LIVE_TIMESTAMP!AA:AA,M_YT_LIVE_TIMESTAMP!Z:Z,"★",0,-1))</f>
        <v>#VALUE!</v>
      </c>
    </row>
    <row r="1186" spans="3:30" x14ac:dyDescent="0.4">
      <c r="C1186" s="12" t="str">
        <f t="shared" si="62"/>
        <v/>
      </c>
      <c r="AA1186" s="14">
        <f t="shared" si="63"/>
        <v>0</v>
      </c>
      <c r="AB1186" s="14" t="str">
        <f>_xlfn.XLOOKUP(AA1186,M_ARTIST!A:A,M_ARTIST!B:B,"★★★",0,1)</f>
        <v>★★★</v>
      </c>
      <c r="AC1186" s="14">
        <f t="shared" si="64"/>
        <v>0</v>
      </c>
      <c r="AD1186" s="19" t="e">
        <f>HYPERLINK(_xlfn.XLOOKUP(C1186,M_YT_LIVE_TIMESTAMP!AA:AA,M_YT_LIVE_TIMESTAMP!Z:Z,"★",0,-1))</f>
        <v>#VALUE!</v>
      </c>
    </row>
    <row r="1187" spans="3:30" x14ac:dyDescent="0.4">
      <c r="C1187" s="12" t="str">
        <f t="shared" si="62"/>
        <v/>
      </c>
      <c r="AA1187" s="14">
        <f t="shared" si="63"/>
        <v>0</v>
      </c>
      <c r="AB1187" s="14" t="str">
        <f>_xlfn.XLOOKUP(AA1187,M_ARTIST!A:A,M_ARTIST!B:B,"★★★",0,1)</f>
        <v>★★★</v>
      </c>
      <c r="AC1187" s="14">
        <f t="shared" si="64"/>
        <v>0</v>
      </c>
      <c r="AD1187" s="19" t="e">
        <f>HYPERLINK(_xlfn.XLOOKUP(C1187,M_YT_LIVE_TIMESTAMP!AA:AA,M_YT_LIVE_TIMESTAMP!Z:Z,"★",0,-1))</f>
        <v>#VALUE!</v>
      </c>
    </row>
    <row r="1188" spans="3:30" x14ac:dyDescent="0.4">
      <c r="C1188" s="12" t="str">
        <f t="shared" si="62"/>
        <v/>
      </c>
      <c r="AA1188" s="14">
        <f t="shared" si="63"/>
        <v>0</v>
      </c>
      <c r="AB1188" s="14" t="str">
        <f>_xlfn.XLOOKUP(AA1188,M_ARTIST!A:A,M_ARTIST!B:B,"★★★",0,1)</f>
        <v>★★★</v>
      </c>
      <c r="AC1188" s="14">
        <f t="shared" si="64"/>
        <v>0</v>
      </c>
      <c r="AD1188" s="19" t="e">
        <f>HYPERLINK(_xlfn.XLOOKUP(C1188,M_YT_LIVE_TIMESTAMP!AA:AA,M_YT_LIVE_TIMESTAMP!Z:Z,"★",0,-1))</f>
        <v>#VALUE!</v>
      </c>
    </row>
    <row r="1189" spans="3:30" x14ac:dyDescent="0.4">
      <c r="C1189" s="12" t="str">
        <f t="shared" si="62"/>
        <v/>
      </c>
      <c r="AA1189" s="14">
        <f t="shared" si="63"/>
        <v>0</v>
      </c>
      <c r="AB1189" s="14" t="str">
        <f>_xlfn.XLOOKUP(AA1189,M_ARTIST!A:A,M_ARTIST!B:B,"★★★",0,1)</f>
        <v>★★★</v>
      </c>
      <c r="AC1189" s="14">
        <f t="shared" si="64"/>
        <v>0</v>
      </c>
      <c r="AD1189" s="19" t="e">
        <f>HYPERLINK(_xlfn.XLOOKUP(C1189,M_YT_LIVE_TIMESTAMP!AA:AA,M_YT_LIVE_TIMESTAMP!Z:Z,"★",0,-1))</f>
        <v>#VALUE!</v>
      </c>
    </row>
    <row r="1190" spans="3:30" x14ac:dyDescent="0.4">
      <c r="C1190" s="12" t="str">
        <f t="shared" si="62"/>
        <v/>
      </c>
      <c r="AA1190" s="14">
        <f t="shared" si="63"/>
        <v>0</v>
      </c>
      <c r="AB1190" s="14" t="str">
        <f>_xlfn.XLOOKUP(AA1190,M_ARTIST!A:A,M_ARTIST!B:B,"★★★",0,1)</f>
        <v>★★★</v>
      </c>
      <c r="AC1190" s="14">
        <f t="shared" si="64"/>
        <v>0</v>
      </c>
      <c r="AD1190" s="19" t="e">
        <f>HYPERLINK(_xlfn.XLOOKUP(C1190,M_YT_LIVE_TIMESTAMP!AA:AA,M_YT_LIVE_TIMESTAMP!Z:Z,"★",0,-1))</f>
        <v>#VALUE!</v>
      </c>
    </row>
    <row r="1191" spans="3:30" x14ac:dyDescent="0.4">
      <c r="C1191" s="12" t="str">
        <f t="shared" si="62"/>
        <v/>
      </c>
      <c r="AA1191" s="14">
        <f t="shared" si="63"/>
        <v>0</v>
      </c>
      <c r="AB1191" s="14" t="str">
        <f>_xlfn.XLOOKUP(AA1191,M_ARTIST!A:A,M_ARTIST!B:B,"★★★",0,1)</f>
        <v>★★★</v>
      </c>
      <c r="AC1191" s="14">
        <f t="shared" si="64"/>
        <v>0</v>
      </c>
      <c r="AD1191" s="19" t="e">
        <f>HYPERLINK(_xlfn.XLOOKUP(C1191,M_YT_LIVE_TIMESTAMP!AA:AA,M_YT_LIVE_TIMESTAMP!Z:Z,"★",0,-1))</f>
        <v>#VALUE!</v>
      </c>
    </row>
    <row r="1192" spans="3:30" x14ac:dyDescent="0.4">
      <c r="C1192" s="12" t="str">
        <f t="shared" si="62"/>
        <v/>
      </c>
      <c r="AA1192" s="14">
        <f t="shared" si="63"/>
        <v>0</v>
      </c>
      <c r="AB1192" s="14" t="str">
        <f>_xlfn.XLOOKUP(AA1192,M_ARTIST!A:A,M_ARTIST!B:B,"★★★",0,1)</f>
        <v>★★★</v>
      </c>
      <c r="AC1192" s="14">
        <f t="shared" si="64"/>
        <v>0</v>
      </c>
      <c r="AD1192" s="19" t="e">
        <f>HYPERLINK(_xlfn.XLOOKUP(C1192,M_YT_LIVE_TIMESTAMP!AA:AA,M_YT_LIVE_TIMESTAMP!Z:Z,"★",0,-1))</f>
        <v>#VALUE!</v>
      </c>
    </row>
    <row r="1193" spans="3:30" x14ac:dyDescent="0.4">
      <c r="C1193" s="12" t="str">
        <f t="shared" si="62"/>
        <v/>
      </c>
      <c r="AA1193" s="14">
        <f t="shared" si="63"/>
        <v>0</v>
      </c>
      <c r="AB1193" s="14" t="str">
        <f>_xlfn.XLOOKUP(AA1193,M_ARTIST!A:A,M_ARTIST!B:B,"★★★",0,1)</f>
        <v>★★★</v>
      </c>
      <c r="AC1193" s="14">
        <f t="shared" si="64"/>
        <v>0</v>
      </c>
      <c r="AD1193" s="19" t="e">
        <f>HYPERLINK(_xlfn.XLOOKUP(C1193,M_YT_LIVE_TIMESTAMP!AA:AA,M_YT_LIVE_TIMESTAMP!Z:Z,"★",0,-1))</f>
        <v>#VALUE!</v>
      </c>
    </row>
    <row r="1194" spans="3:30" x14ac:dyDescent="0.4">
      <c r="C1194" s="12" t="str">
        <f t="shared" si="62"/>
        <v/>
      </c>
      <c r="AA1194" s="14">
        <f t="shared" si="63"/>
        <v>0</v>
      </c>
      <c r="AB1194" s="14" t="str">
        <f>_xlfn.XLOOKUP(AA1194,M_ARTIST!A:A,M_ARTIST!B:B,"★★★",0,1)</f>
        <v>★★★</v>
      </c>
      <c r="AC1194" s="14">
        <f t="shared" si="64"/>
        <v>0</v>
      </c>
      <c r="AD1194" s="19" t="e">
        <f>HYPERLINK(_xlfn.XLOOKUP(C1194,M_YT_LIVE_TIMESTAMP!AA:AA,M_YT_LIVE_TIMESTAMP!Z:Z,"★",0,-1))</f>
        <v>#VALUE!</v>
      </c>
    </row>
    <row r="1195" spans="3:30" x14ac:dyDescent="0.4">
      <c r="C1195" s="12" t="str">
        <f t="shared" si="62"/>
        <v/>
      </c>
      <c r="AA1195" s="14">
        <f t="shared" si="63"/>
        <v>0</v>
      </c>
      <c r="AB1195" s="14" t="str">
        <f>_xlfn.XLOOKUP(AA1195,M_ARTIST!A:A,M_ARTIST!B:B,"★★★",0,1)</f>
        <v>★★★</v>
      </c>
      <c r="AC1195" s="14">
        <f t="shared" si="64"/>
        <v>0</v>
      </c>
      <c r="AD1195" s="19" t="e">
        <f>HYPERLINK(_xlfn.XLOOKUP(C1195,M_YT_LIVE_TIMESTAMP!AA:AA,M_YT_LIVE_TIMESTAMP!Z:Z,"★",0,-1))</f>
        <v>#VALUE!</v>
      </c>
    </row>
    <row r="1196" spans="3:30" x14ac:dyDescent="0.4">
      <c r="C1196" s="12" t="str">
        <f t="shared" si="62"/>
        <v/>
      </c>
      <c r="AA1196" s="14">
        <f t="shared" si="63"/>
        <v>0</v>
      </c>
      <c r="AB1196" s="14" t="str">
        <f>_xlfn.XLOOKUP(AA1196,M_ARTIST!A:A,M_ARTIST!B:B,"★★★",0,1)</f>
        <v>★★★</v>
      </c>
      <c r="AC1196" s="14">
        <f t="shared" si="64"/>
        <v>0</v>
      </c>
      <c r="AD1196" s="19" t="e">
        <f>HYPERLINK(_xlfn.XLOOKUP(C1196,M_YT_LIVE_TIMESTAMP!AA:AA,M_YT_LIVE_TIMESTAMP!Z:Z,"★",0,-1))</f>
        <v>#VALUE!</v>
      </c>
    </row>
    <row r="1197" spans="3:30" x14ac:dyDescent="0.4">
      <c r="C1197" s="12" t="str">
        <f t="shared" si="62"/>
        <v/>
      </c>
      <c r="AA1197" s="14">
        <f t="shared" si="63"/>
        <v>0</v>
      </c>
      <c r="AB1197" s="14" t="str">
        <f>_xlfn.XLOOKUP(AA1197,M_ARTIST!A:A,M_ARTIST!B:B,"★★★",0,1)</f>
        <v>★★★</v>
      </c>
      <c r="AC1197" s="14">
        <f t="shared" si="64"/>
        <v>0</v>
      </c>
      <c r="AD1197" s="19" t="e">
        <f>HYPERLINK(_xlfn.XLOOKUP(C1197,M_YT_LIVE_TIMESTAMP!AA:AA,M_YT_LIVE_TIMESTAMP!Z:Z,"★",0,-1))</f>
        <v>#VALUE!</v>
      </c>
    </row>
    <row r="1198" spans="3:30" x14ac:dyDescent="0.4">
      <c r="C1198" s="12" t="str">
        <f t="shared" si="62"/>
        <v/>
      </c>
      <c r="AA1198" s="14">
        <f t="shared" si="63"/>
        <v>0</v>
      </c>
      <c r="AB1198" s="14" t="str">
        <f>_xlfn.XLOOKUP(AA1198,M_ARTIST!A:A,M_ARTIST!B:B,"★★★",0,1)</f>
        <v>★★★</v>
      </c>
      <c r="AC1198" s="14">
        <f t="shared" si="64"/>
        <v>0</v>
      </c>
      <c r="AD1198" s="19" t="e">
        <f>HYPERLINK(_xlfn.XLOOKUP(C1198,M_YT_LIVE_TIMESTAMP!AA:AA,M_YT_LIVE_TIMESTAMP!Z:Z,"★",0,-1))</f>
        <v>#VALUE!</v>
      </c>
    </row>
    <row r="1199" spans="3:30" x14ac:dyDescent="0.4">
      <c r="C1199" s="12" t="str">
        <f t="shared" si="62"/>
        <v/>
      </c>
      <c r="AA1199" s="14">
        <f t="shared" si="63"/>
        <v>0</v>
      </c>
      <c r="AB1199" s="14" t="str">
        <f>_xlfn.XLOOKUP(AA1199,M_ARTIST!A:A,M_ARTIST!B:B,"★★★",0,1)</f>
        <v>★★★</v>
      </c>
      <c r="AC1199" s="14">
        <f t="shared" si="64"/>
        <v>0</v>
      </c>
      <c r="AD1199" s="19" t="e">
        <f>HYPERLINK(_xlfn.XLOOKUP(C1199,M_YT_LIVE_TIMESTAMP!AA:AA,M_YT_LIVE_TIMESTAMP!Z:Z,"★",0,-1))</f>
        <v>#VALUE!</v>
      </c>
    </row>
    <row r="1200" spans="3:30" x14ac:dyDescent="0.4">
      <c r="C1200" s="12" t="str">
        <f t="shared" si="62"/>
        <v/>
      </c>
      <c r="AA1200" s="14">
        <f t="shared" si="63"/>
        <v>0</v>
      </c>
      <c r="AB1200" s="14" t="str">
        <f>_xlfn.XLOOKUP(AA1200,M_ARTIST!A:A,M_ARTIST!B:B,"★★★",0,1)</f>
        <v>★★★</v>
      </c>
      <c r="AC1200" s="14">
        <f t="shared" si="64"/>
        <v>0</v>
      </c>
      <c r="AD1200" s="19" t="e">
        <f>HYPERLINK(_xlfn.XLOOKUP(C1200,M_YT_LIVE_TIMESTAMP!AA:AA,M_YT_LIVE_TIMESTAMP!Z:Z,"★",0,-1))</f>
        <v>#VALUE!</v>
      </c>
    </row>
    <row r="1201" spans="3:30" x14ac:dyDescent="0.4">
      <c r="C1201" s="12" t="str">
        <f t="shared" si="62"/>
        <v/>
      </c>
      <c r="AA1201" s="14">
        <f t="shared" si="63"/>
        <v>0</v>
      </c>
      <c r="AB1201" s="14" t="str">
        <f>_xlfn.XLOOKUP(AA1201,M_ARTIST!A:A,M_ARTIST!B:B,"★★★",0,1)</f>
        <v>★★★</v>
      </c>
      <c r="AC1201" s="14">
        <f t="shared" si="64"/>
        <v>0</v>
      </c>
      <c r="AD1201" s="19" t="e">
        <f>HYPERLINK(_xlfn.XLOOKUP(C1201,M_YT_LIVE_TIMESTAMP!AA:AA,M_YT_LIVE_TIMESTAMP!Z:Z,"★",0,-1))</f>
        <v>#VALUE!</v>
      </c>
    </row>
    <row r="1202" spans="3:30" x14ac:dyDescent="0.4">
      <c r="C1202" s="12" t="str">
        <f t="shared" si="62"/>
        <v/>
      </c>
      <c r="AA1202" s="14">
        <f t="shared" si="63"/>
        <v>0</v>
      </c>
      <c r="AB1202" s="14" t="str">
        <f>_xlfn.XLOOKUP(AA1202,M_ARTIST!A:A,M_ARTIST!B:B,"★★★",0,1)</f>
        <v>★★★</v>
      </c>
      <c r="AC1202" s="14">
        <f t="shared" si="64"/>
        <v>0</v>
      </c>
      <c r="AD1202" s="19" t="e">
        <f>HYPERLINK(_xlfn.XLOOKUP(C1202,M_YT_LIVE_TIMESTAMP!AA:AA,M_YT_LIVE_TIMESTAMP!Z:Z,"★",0,-1))</f>
        <v>#VALUE!</v>
      </c>
    </row>
    <row r="1203" spans="3:30" x14ac:dyDescent="0.4">
      <c r="C1203" s="12" t="str">
        <f t="shared" si="62"/>
        <v/>
      </c>
      <c r="AA1203" s="14">
        <f t="shared" si="63"/>
        <v>0</v>
      </c>
      <c r="AB1203" s="14" t="str">
        <f>_xlfn.XLOOKUP(AA1203,M_ARTIST!A:A,M_ARTIST!B:B,"★★★",0,1)</f>
        <v>★★★</v>
      </c>
      <c r="AC1203" s="14">
        <f t="shared" si="64"/>
        <v>0</v>
      </c>
      <c r="AD1203" s="19" t="e">
        <f>HYPERLINK(_xlfn.XLOOKUP(C1203,M_YT_LIVE_TIMESTAMP!AA:AA,M_YT_LIVE_TIMESTAMP!Z:Z,"★",0,-1))</f>
        <v>#VALUE!</v>
      </c>
    </row>
    <row r="1204" spans="3:30" x14ac:dyDescent="0.4">
      <c r="C1204" s="12" t="str">
        <f t="shared" si="62"/>
        <v/>
      </c>
      <c r="AA1204" s="14">
        <f t="shared" si="63"/>
        <v>0</v>
      </c>
      <c r="AB1204" s="14" t="str">
        <f>_xlfn.XLOOKUP(AA1204,M_ARTIST!A:A,M_ARTIST!B:B,"★★★",0,1)</f>
        <v>★★★</v>
      </c>
      <c r="AC1204" s="14">
        <f t="shared" si="64"/>
        <v>0</v>
      </c>
      <c r="AD1204" s="19" t="e">
        <f>HYPERLINK(_xlfn.XLOOKUP(C1204,M_YT_LIVE_TIMESTAMP!AA:AA,M_YT_LIVE_TIMESTAMP!Z:Z,"★",0,-1))</f>
        <v>#VALUE!</v>
      </c>
    </row>
    <row r="1205" spans="3:30" x14ac:dyDescent="0.4">
      <c r="C1205" s="12" t="str">
        <f t="shared" si="62"/>
        <v/>
      </c>
      <c r="AA1205" s="14">
        <f t="shared" si="63"/>
        <v>0</v>
      </c>
      <c r="AB1205" s="14" t="str">
        <f>_xlfn.XLOOKUP(AA1205,M_ARTIST!A:A,M_ARTIST!B:B,"★★★",0,1)</f>
        <v>★★★</v>
      </c>
      <c r="AC1205" s="14">
        <f t="shared" si="64"/>
        <v>0</v>
      </c>
      <c r="AD1205" s="19" t="e">
        <f>HYPERLINK(_xlfn.XLOOKUP(C1205,M_YT_LIVE_TIMESTAMP!AA:AA,M_YT_LIVE_TIMESTAMP!Z:Z,"★",0,-1))</f>
        <v>#VALUE!</v>
      </c>
    </row>
    <row r="1206" spans="3:30" x14ac:dyDescent="0.4">
      <c r="C1206" s="12" t="str">
        <f t="shared" si="62"/>
        <v/>
      </c>
      <c r="AA1206" s="14">
        <f t="shared" si="63"/>
        <v>0</v>
      </c>
      <c r="AB1206" s="14" t="str">
        <f>_xlfn.XLOOKUP(AA1206,M_ARTIST!A:A,M_ARTIST!B:B,"★★★",0,1)</f>
        <v>★★★</v>
      </c>
      <c r="AC1206" s="14">
        <f t="shared" si="64"/>
        <v>0</v>
      </c>
      <c r="AD1206" s="19" t="e">
        <f>HYPERLINK(_xlfn.XLOOKUP(C1206,M_YT_LIVE_TIMESTAMP!AA:AA,M_YT_LIVE_TIMESTAMP!Z:Z,"★",0,-1))</f>
        <v>#VALUE!</v>
      </c>
    </row>
    <row r="1207" spans="3:30" x14ac:dyDescent="0.4">
      <c r="C1207" s="12" t="str">
        <f t="shared" si="62"/>
        <v/>
      </c>
      <c r="AA1207" s="14">
        <f t="shared" si="63"/>
        <v>0</v>
      </c>
      <c r="AB1207" s="14" t="str">
        <f>_xlfn.XLOOKUP(AA1207,M_ARTIST!A:A,M_ARTIST!B:B,"★★★",0,1)</f>
        <v>★★★</v>
      </c>
      <c r="AC1207" s="14">
        <f t="shared" si="64"/>
        <v>0</v>
      </c>
      <c r="AD1207" s="19" t="e">
        <f>HYPERLINK(_xlfn.XLOOKUP(C1207,M_YT_LIVE_TIMESTAMP!AA:AA,M_YT_LIVE_TIMESTAMP!Z:Z,"★",0,-1))</f>
        <v>#VALUE!</v>
      </c>
    </row>
    <row r="1208" spans="3:30" x14ac:dyDescent="0.4">
      <c r="C1208" s="12" t="str">
        <f t="shared" si="62"/>
        <v/>
      </c>
      <c r="AA1208" s="14">
        <f t="shared" si="63"/>
        <v>0</v>
      </c>
      <c r="AB1208" s="14" t="str">
        <f>_xlfn.XLOOKUP(AA1208,M_ARTIST!A:A,M_ARTIST!B:B,"★★★",0,1)</f>
        <v>★★★</v>
      </c>
      <c r="AC1208" s="14">
        <f t="shared" si="64"/>
        <v>0</v>
      </c>
      <c r="AD1208" s="19" t="e">
        <f>HYPERLINK(_xlfn.XLOOKUP(C1208,M_YT_LIVE_TIMESTAMP!AA:AA,M_YT_LIVE_TIMESTAMP!Z:Z,"★",0,-1))</f>
        <v>#VALUE!</v>
      </c>
    </row>
    <row r="1209" spans="3:30" x14ac:dyDescent="0.4">
      <c r="C1209" s="12" t="str">
        <f t="shared" si="62"/>
        <v/>
      </c>
      <c r="AA1209" s="14">
        <f t="shared" si="63"/>
        <v>0</v>
      </c>
      <c r="AB1209" s="14" t="str">
        <f>_xlfn.XLOOKUP(AA1209,M_ARTIST!A:A,M_ARTIST!B:B,"★★★",0,1)</f>
        <v>★★★</v>
      </c>
      <c r="AC1209" s="14">
        <f t="shared" si="64"/>
        <v>0</v>
      </c>
      <c r="AD1209" s="19" t="e">
        <f>HYPERLINK(_xlfn.XLOOKUP(C1209,M_YT_LIVE_TIMESTAMP!AA:AA,M_YT_LIVE_TIMESTAMP!Z:Z,"★",0,-1))</f>
        <v>#VALUE!</v>
      </c>
    </row>
    <row r="1210" spans="3:30" x14ac:dyDescent="0.4">
      <c r="C1210" s="12" t="str">
        <f t="shared" si="62"/>
        <v/>
      </c>
      <c r="AA1210" s="14">
        <f t="shared" si="63"/>
        <v>0</v>
      </c>
      <c r="AB1210" s="14" t="str">
        <f>_xlfn.XLOOKUP(AA1210,M_ARTIST!A:A,M_ARTIST!B:B,"★★★",0,1)</f>
        <v>★★★</v>
      </c>
      <c r="AC1210" s="14">
        <f t="shared" si="64"/>
        <v>0</v>
      </c>
      <c r="AD1210" s="19" t="e">
        <f>HYPERLINK(_xlfn.XLOOKUP(C1210,M_YT_LIVE_TIMESTAMP!AA:AA,M_YT_LIVE_TIMESTAMP!Z:Z,"★",0,-1))</f>
        <v>#VALUE!</v>
      </c>
    </row>
    <row r="1211" spans="3:30" x14ac:dyDescent="0.4">
      <c r="C1211" s="12" t="str">
        <f t="shared" si="62"/>
        <v/>
      </c>
      <c r="AA1211" s="14">
        <f t="shared" si="63"/>
        <v>0</v>
      </c>
      <c r="AB1211" s="14" t="str">
        <f>_xlfn.XLOOKUP(AA1211,M_ARTIST!A:A,M_ARTIST!B:B,"★★★",0,1)</f>
        <v>★★★</v>
      </c>
      <c r="AC1211" s="14">
        <f t="shared" si="64"/>
        <v>0</v>
      </c>
      <c r="AD1211" s="19" t="e">
        <f>HYPERLINK(_xlfn.XLOOKUP(C1211,M_YT_LIVE_TIMESTAMP!AA:AA,M_YT_LIVE_TIMESTAMP!Z:Z,"★",0,-1))</f>
        <v>#VALUE!</v>
      </c>
    </row>
    <row r="1212" spans="3:30" x14ac:dyDescent="0.4">
      <c r="C1212" s="12" t="str">
        <f t="shared" si="62"/>
        <v/>
      </c>
      <c r="AA1212" s="14">
        <f t="shared" si="63"/>
        <v>0</v>
      </c>
      <c r="AB1212" s="14" t="str">
        <f>_xlfn.XLOOKUP(AA1212,M_ARTIST!A:A,M_ARTIST!B:B,"★★★",0,1)</f>
        <v>★★★</v>
      </c>
      <c r="AC1212" s="14">
        <f t="shared" si="64"/>
        <v>0</v>
      </c>
      <c r="AD1212" s="19" t="e">
        <f>HYPERLINK(_xlfn.XLOOKUP(C1212,M_YT_LIVE_TIMESTAMP!AA:AA,M_YT_LIVE_TIMESTAMP!Z:Z,"★",0,-1))</f>
        <v>#VALUE!</v>
      </c>
    </row>
    <row r="1213" spans="3:30" x14ac:dyDescent="0.4">
      <c r="C1213" s="12" t="str">
        <f t="shared" si="62"/>
        <v/>
      </c>
      <c r="AA1213" s="14">
        <f t="shared" si="63"/>
        <v>0</v>
      </c>
      <c r="AB1213" s="14" t="str">
        <f>_xlfn.XLOOKUP(AA1213,M_ARTIST!A:A,M_ARTIST!B:B,"★★★",0,1)</f>
        <v>★★★</v>
      </c>
      <c r="AC1213" s="14">
        <f t="shared" si="64"/>
        <v>0</v>
      </c>
      <c r="AD1213" s="19" t="e">
        <f>HYPERLINK(_xlfn.XLOOKUP(C1213,M_YT_LIVE_TIMESTAMP!AA:AA,M_YT_LIVE_TIMESTAMP!Z:Z,"★",0,-1))</f>
        <v>#VALUE!</v>
      </c>
    </row>
    <row r="1214" spans="3:30" x14ac:dyDescent="0.4">
      <c r="C1214" s="12" t="str">
        <f t="shared" si="62"/>
        <v/>
      </c>
      <c r="AA1214" s="14">
        <f t="shared" si="63"/>
        <v>0</v>
      </c>
      <c r="AB1214" s="14" t="str">
        <f>_xlfn.XLOOKUP(AA1214,M_ARTIST!A:A,M_ARTIST!B:B,"★★★",0,1)</f>
        <v>★★★</v>
      </c>
      <c r="AC1214" s="14">
        <f t="shared" si="64"/>
        <v>0</v>
      </c>
      <c r="AD1214" s="19" t="e">
        <f>HYPERLINK(_xlfn.XLOOKUP(C1214,M_YT_LIVE_TIMESTAMP!AA:AA,M_YT_LIVE_TIMESTAMP!Z:Z,"★",0,-1))</f>
        <v>#VALUE!</v>
      </c>
    </row>
    <row r="1215" spans="3:30" x14ac:dyDescent="0.4">
      <c r="C1215" s="12" t="str">
        <f t="shared" si="62"/>
        <v/>
      </c>
      <c r="AA1215" s="14">
        <f t="shared" si="63"/>
        <v>0</v>
      </c>
      <c r="AB1215" s="14" t="str">
        <f>_xlfn.XLOOKUP(AA1215,M_ARTIST!A:A,M_ARTIST!B:B,"★★★",0,1)</f>
        <v>★★★</v>
      </c>
      <c r="AC1215" s="14">
        <f t="shared" si="64"/>
        <v>0</v>
      </c>
      <c r="AD1215" s="19" t="e">
        <f>HYPERLINK(_xlfn.XLOOKUP(C1215,M_YT_LIVE_TIMESTAMP!AA:AA,M_YT_LIVE_TIMESTAMP!Z:Z,"★",0,-1))</f>
        <v>#VALUE!</v>
      </c>
    </row>
    <row r="1216" spans="3:30" x14ac:dyDescent="0.4">
      <c r="C1216" s="12" t="str">
        <f t="shared" si="62"/>
        <v/>
      </c>
      <c r="AA1216" s="14">
        <f t="shared" si="63"/>
        <v>0</v>
      </c>
      <c r="AB1216" s="14" t="str">
        <f>_xlfn.XLOOKUP(AA1216,M_ARTIST!A:A,M_ARTIST!B:B,"★★★",0,1)</f>
        <v>★★★</v>
      </c>
      <c r="AC1216" s="14">
        <f t="shared" si="64"/>
        <v>0</v>
      </c>
      <c r="AD1216" s="19" t="e">
        <f>HYPERLINK(_xlfn.XLOOKUP(C1216,M_YT_LIVE_TIMESTAMP!AA:AA,M_YT_LIVE_TIMESTAMP!Z:Z,"★",0,-1))</f>
        <v>#VALUE!</v>
      </c>
    </row>
    <row r="1217" spans="3:30" x14ac:dyDescent="0.4">
      <c r="C1217" s="12" t="str">
        <f t="shared" si="62"/>
        <v/>
      </c>
      <c r="AA1217" s="14">
        <f t="shared" si="63"/>
        <v>0</v>
      </c>
      <c r="AB1217" s="14" t="str">
        <f>_xlfn.XLOOKUP(AA1217,M_ARTIST!A:A,M_ARTIST!B:B,"★★★",0,1)</f>
        <v>★★★</v>
      </c>
      <c r="AC1217" s="14">
        <f t="shared" si="64"/>
        <v>0</v>
      </c>
      <c r="AD1217" s="19" t="e">
        <f>HYPERLINK(_xlfn.XLOOKUP(C1217,M_YT_LIVE_TIMESTAMP!AA:AA,M_YT_LIVE_TIMESTAMP!Z:Z,"★",0,-1))</f>
        <v>#VALUE!</v>
      </c>
    </row>
    <row r="1218" spans="3:30" x14ac:dyDescent="0.4">
      <c r="C1218" s="12" t="str">
        <f t="shared" si="62"/>
        <v/>
      </c>
      <c r="AA1218" s="14">
        <f t="shared" si="63"/>
        <v>0</v>
      </c>
      <c r="AB1218" s="14" t="str">
        <f>_xlfn.XLOOKUP(AA1218,M_ARTIST!A:A,M_ARTIST!B:B,"★★★",0,1)</f>
        <v>★★★</v>
      </c>
      <c r="AC1218" s="14">
        <f t="shared" si="64"/>
        <v>0</v>
      </c>
      <c r="AD1218" s="19" t="e">
        <f>HYPERLINK(_xlfn.XLOOKUP(C1218,M_YT_LIVE_TIMESTAMP!AA:AA,M_YT_LIVE_TIMESTAMP!Z:Z,"★",0,-1))</f>
        <v>#VALUE!</v>
      </c>
    </row>
    <row r="1219" spans="3:30" x14ac:dyDescent="0.4">
      <c r="C1219" s="12" t="str">
        <f t="shared" si="62"/>
        <v/>
      </c>
      <c r="AA1219" s="14">
        <f t="shared" si="63"/>
        <v>0</v>
      </c>
      <c r="AB1219" s="14" t="str">
        <f>_xlfn.XLOOKUP(AA1219,M_ARTIST!A:A,M_ARTIST!B:B,"★★★",0,1)</f>
        <v>★★★</v>
      </c>
      <c r="AC1219" s="14">
        <f t="shared" si="64"/>
        <v>0</v>
      </c>
      <c r="AD1219" s="19" t="e">
        <f>HYPERLINK(_xlfn.XLOOKUP(C1219,M_YT_LIVE_TIMESTAMP!AA:AA,M_YT_LIVE_TIMESTAMP!Z:Z,"★",0,-1))</f>
        <v>#VALUE!</v>
      </c>
    </row>
    <row r="1220" spans="3:30" x14ac:dyDescent="0.4">
      <c r="C1220" s="12" t="str">
        <f t="shared" si="62"/>
        <v/>
      </c>
      <c r="AA1220" s="14">
        <f t="shared" si="63"/>
        <v>0</v>
      </c>
      <c r="AB1220" s="14" t="str">
        <f>_xlfn.XLOOKUP(AA1220,M_ARTIST!A:A,M_ARTIST!B:B,"★★★",0,1)</f>
        <v>★★★</v>
      </c>
      <c r="AC1220" s="14">
        <f t="shared" si="64"/>
        <v>0</v>
      </c>
      <c r="AD1220" s="19" t="e">
        <f>HYPERLINK(_xlfn.XLOOKUP(C1220,M_YT_LIVE_TIMESTAMP!AA:AA,M_YT_LIVE_TIMESTAMP!Z:Z,"★",0,-1))</f>
        <v>#VALUE!</v>
      </c>
    </row>
    <row r="1221" spans="3:30" x14ac:dyDescent="0.4">
      <c r="C1221" s="12" t="str">
        <f t="shared" si="62"/>
        <v/>
      </c>
      <c r="AA1221" s="14">
        <f t="shared" si="63"/>
        <v>0</v>
      </c>
      <c r="AB1221" s="14" t="str">
        <f>_xlfn.XLOOKUP(AA1221,M_ARTIST!A:A,M_ARTIST!B:B,"★★★",0,1)</f>
        <v>★★★</v>
      </c>
      <c r="AC1221" s="14">
        <f t="shared" si="64"/>
        <v>0</v>
      </c>
      <c r="AD1221" s="19" t="e">
        <f>HYPERLINK(_xlfn.XLOOKUP(C1221,M_YT_LIVE_TIMESTAMP!AA:AA,M_YT_LIVE_TIMESTAMP!Z:Z,"★",0,-1))</f>
        <v>#VALUE!</v>
      </c>
    </row>
    <row r="1222" spans="3:30" x14ac:dyDescent="0.4">
      <c r="C1222" s="12" t="str">
        <f t="shared" si="62"/>
        <v/>
      </c>
      <c r="AA1222" s="14">
        <f t="shared" si="63"/>
        <v>0</v>
      </c>
      <c r="AB1222" s="14" t="str">
        <f>_xlfn.XLOOKUP(AA1222,M_ARTIST!A:A,M_ARTIST!B:B,"★★★",0,1)</f>
        <v>★★★</v>
      </c>
      <c r="AC1222" s="14">
        <f t="shared" si="64"/>
        <v>0</v>
      </c>
      <c r="AD1222" s="19" t="e">
        <f>HYPERLINK(_xlfn.XLOOKUP(C1222,M_YT_LIVE_TIMESTAMP!AA:AA,M_YT_LIVE_TIMESTAMP!Z:Z,"★",0,-1))</f>
        <v>#VALUE!</v>
      </c>
    </row>
    <row r="1223" spans="3:30" x14ac:dyDescent="0.4">
      <c r="C1223" s="12" t="str">
        <f t="shared" si="62"/>
        <v/>
      </c>
      <c r="AA1223" s="14">
        <f t="shared" si="63"/>
        <v>0</v>
      </c>
      <c r="AB1223" s="14" t="str">
        <f>_xlfn.XLOOKUP(AA1223,M_ARTIST!A:A,M_ARTIST!B:B,"★★★",0,1)</f>
        <v>★★★</v>
      </c>
      <c r="AC1223" s="14">
        <f t="shared" si="64"/>
        <v>0</v>
      </c>
      <c r="AD1223" s="19" t="e">
        <f>HYPERLINK(_xlfn.XLOOKUP(C1223,M_YT_LIVE_TIMESTAMP!AA:AA,M_YT_LIVE_TIMESTAMP!Z:Z,"★",0,-1))</f>
        <v>#VALUE!</v>
      </c>
    </row>
    <row r="1224" spans="3:30" x14ac:dyDescent="0.4">
      <c r="C1224" s="12" t="str">
        <f t="shared" si="62"/>
        <v/>
      </c>
      <c r="AA1224" s="14">
        <f t="shared" si="63"/>
        <v>0</v>
      </c>
      <c r="AB1224" s="14" t="str">
        <f>_xlfn.XLOOKUP(AA1224,M_ARTIST!A:A,M_ARTIST!B:B,"★★★",0,1)</f>
        <v>★★★</v>
      </c>
      <c r="AC1224" s="14">
        <f t="shared" si="64"/>
        <v>0</v>
      </c>
      <c r="AD1224" s="19" t="e">
        <f>HYPERLINK(_xlfn.XLOOKUP(C1224,M_YT_LIVE_TIMESTAMP!AA:AA,M_YT_LIVE_TIMESTAMP!Z:Z,"★",0,-1))</f>
        <v>#VALUE!</v>
      </c>
    </row>
    <row r="1225" spans="3:30" x14ac:dyDescent="0.4">
      <c r="C1225" s="12" t="str">
        <f t="shared" si="62"/>
        <v/>
      </c>
      <c r="AA1225" s="14">
        <f t="shared" si="63"/>
        <v>0</v>
      </c>
      <c r="AB1225" s="14" t="str">
        <f>_xlfn.XLOOKUP(AA1225,M_ARTIST!A:A,M_ARTIST!B:B,"★★★",0,1)</f>
        <v>★★★</v>
      </c>
      <c r="AC1225" s="14">
        <f t="shared" si="64"/>
        <v>0</v>
      </c>
      <c r="AD1225" s="19" t="e">
        <f>HYPERLINK(_xlfn.XLOOKUP(C1225,M_YT_LIVE_TIMESTAMP!AA:AA,M_YT_LIVE_TIMESTAMP!Z:Z,"★",0,-1))</f>
        <v>#VALUE!</v>
      </c>
    </row>
    <row r="1226" spans="3:30" x14ac:dyDescent="0.4">
      <c r="C1226" s="12" t="str">
        <f t="shared" si="62"/>
        <v/>
      </c>
      <c r="AA1226" s="14">
        <f t="shared" si="63"/>
        <v>0</v>
      </c>
      <c r="AB1226" s="14" t="str">
        <f>_xlfn.XLOOKUP(AA1226,M_ARTIST!A:A,M_ARTIST!B:B,"★★★",0,1)</f>
        <v>★★★</v>
      </c>
      <c r="AC1226" s="14">
        <f t="shared" si="64"/>
        <v>0</v>
      </c>
      <c r="AD1226" s="19" t="e">
        <f>HYPERLINK(_xlfn.XLOOKUP(C1226,M_YT_LIVE_TIMESTAMP!AA:AA,M_YT_LIVE_TIMESTAMP!Z:Z,"★",0,-1))</f>
        <v>#VALUE!</v>
      </c>
    </row>
    <row r="1227" spans="3:30" x14ac:dyDescent="0.4">
      <c r="C1227" s="12" t="str">
        <f t="shared" si="62"/>
        <v/>
      </c>
      <c r="AA1227" s="14">
        <f t="shared" si="63"/>
        <v>0</v>
      </c>
      <c r="AB1227" s="14" t="str">
        <f>_xlfn.XLOOKUP(AA1227,M_ARTIST!A:A,M_ARTIST!B:B,"★★★",0,1)</f>
        <v>★★★</v>
      </c>
      <c r="AC1227" s="14">
        <f t="shared" si="64"/>
        <v>0</v>
      </c>
      <c r="AD1227" s="19" t="e">
        <f>HYPERLINK(_xlfn.XLOOKUP(C1227,M_YT_LIVE_TIMESTAMP!AA:AA,M_YT_LIVE_TIMESTAMP!Z:Z,"★",0,-1))</f>
        <v>#VALUE!</v>
      </c>
    </row>
    <row r="1228" spans="3:30" x14ac:dyDescent="0.4">
      <c r="C1228" s="12" t="str">
        <f t="shared" si="62"/>
        <v/>
      </c>
      <c r="AA1228" s="14">
        <f t="shared" si="63"/>
        <v>0</v>
      </c>
      <c r="AB1228" s="14" t="str">
        <f>_xlfn.XLOOKUP(AA1228,M_ARTIST!A:A,M_ARTIST!B:B,"★★★",0,1)</f>
        <v>★★★</v>
      </c>
      <c r="AC1228" s="14">
        <f t="shared" si="64"/>
        <v>0</v>
      </c>
      <c r="AD1228" s="19" t="e">
        <f>HYPERLINK(_xlfn.XLOOKUP(C1228,M_YT_LIVE_TIMESTAMP!AA:AA,M_YT_LIVE_TIMESTAMP!Z:Z,"★",0,-1))</f>
        <v>#VALUE!</v>
      </c>
    </row>
    <row r="1229" spans="3:30" x14ac:dyDescent="0.4">
      <c r="C1229" s="12" t="str">
        <f t="shared" si="62"/>
        <v/>
      </c>
      <c r="AA1229" s="14">
        <f t="shared" si="63"/>
        <v>0</v>
      </c>
      <c r="AB1229" s="14" t="str">
        <f>_xlfn.XLOOKUP(AA1229,M_ARTIST!A:A,M_ARTIST!B:B,"★★★",0,1)</f>
        <v>★★★</v>
      </c>
      <c r="AC1229" s="14">
        <f t="shared" si="64"/>
        <v>0</v>
      </c>
      <c r="AD1229" s="19" t="e">
        <f>HYPERLINK(_xlfn.XLOOKUP(C1229,M_YT_LIVE_TIMESTAMP!AA:AA,M_YT_LIVE_TIMESTAMP!Z:Z,"★",0,-1))</f>
        <v>#VALUE!</v>
      </c>
    </row>
    <row r="1230" spans="3:30" x14ac:dyDescent="0.4">
      <c r="C1230" s="12" t="str">
        <f t="shared" si="62"/>
        <v/>
      </c>
      <c r="AA1230" s="14">
        <f t="shared" si="63"/>
        <v>0</v>
      </c>
      <c r="AB1230" s="14" t="str">
        <f>_xlfn.XLOOKUP(AA1230,M_ARTIST!A:A,M_ARTIST!B:B,"★★★",0,1)</f>
        <v>★★★</v>
      </c>
      <c r="AC1230" s="14">
        <f t="shared" si="64"/>
        <v>0</v>
      </c>
      <c r="AD1230" s="19" t="e">
        <f>HYPERLINK(_xlfn.XLOOKUP(C1230,M_YT_LIVE_TIMESTAMP!AA:AA,M_YT_LIVE_TIMESTAMP!Z:Z,"★",0,-1))</f>
        <v>#VALUE!</v>
      </c>
    </row>
    <row r="1231" spans="3:30" x14ac:dyDescent="0.4">
      <c r="C1231" s="12" t="str">
        <f t="shared" si="62"/>
        <v/>
      </c>
      <c r="AA1231" s="14">
        <f t="shared" si="63"/>
        <v>0</v>
      </c>
      <c r="AB1231" s="14" t="str">
        <f>_xlfn.XLOOKUP(AA1231,M_ARTIST!A:A,M_ARTIST!B:B,"★★★",0,1)</f>
        <v>★★★</v>
      </c>
      <c r="AC1231" s="14">
        <f t="shared" si="64"/>
        <v>0</v>
      </c>
      <c r="AD1231" s="19" t="e">
        <f>HYPERLINK(_xlfn.XLOOKUP(C1231,M_YT_LIVE_TIMESTAMP!AA:AA,M_YT_LIVE_TIMESTAMP!Z:Z,"★",0,-1))</f>
        <v>#VALUE!</v>
      </c>
    </row>
    <row r="1232" spans="3:30" x14ac:dyDescent="0.4">
      <c r="C1232" s="12" t="str">
        <f t="shared" si="62"/>
        <v/>
      </c>
      <c r="AA1232" s="14">
        <f t="shared" si="63"/>
        <v>0</v>
      </c>
      <c r="AB1232" s="14" t="str">
        <f>_xlfn.XLOOKUP(AA1232,M_ARTIST!A:A,M_ARTIST!B:B,"★★★",0,1)</f>
        <v>★★★</v>
      </c>
      <c r="AC1232" s="14">
        <f t="shared" si="64"/>
        <v>0</v>
      </c>
      <c r="AD1232" s="19" t="e">
        <f>HYPERLINK(_xlfn.XLOOKUP(C1232,M_YT_LIVE_TIMESTAMP!AA:AA,M_YT_LIVE_TIMESTAMP!Z:Z,"★",0,-1))</f>
        <v>#VALUE!</v>
      </c>
    </row>
    <row r="1233" spans="3:30" x14ac:dyDescent="0.4">
      <c r="C1233" s="12" t="str">
        <f t="shared" si="62"/>
        <v/>
      </c>
      <c r="AA1233" s="14">
        <f t="shared" si="63"/>
        <v>0</v>
      </c>
      <c r="AB1233" s="14" t="str">
        <f>_xlfn.XLOOKUP(AA1233,M_ARTIST!A:A,M_ARTIST!B:B,"★★★",0,1)</f>
        <v>★★★</v>
      </c>
      <c r="AC1233" s="14">
        <f t="shared" si="64"/>
        <v>0</v>
      </c>
      <c r="AD1233" s="19" t="e">
        <f>HYPERLINK(_xlfn.XLOOKUP(C1233,M_YT_LIVE_TIMESTAMP!AA:AA,M_YT_LIVE_TIMESTAMP!Z:Z,"★",0,-1))</f>
        <v>#VALUE!</v>
      </c>
    </row>
    <row r="1234" spans="3:30" x14ac:dyDescent="0.4">
      <c r="C1234" s="12" t="str">
        <f t="shared" si="62"/>
        <v/>
      </c>
      <c r="AA1234" s="14">
        <f t="shared" si="63"/>
        <v>0</v>
      </c>
      <c r="AB1234" s="14" t="str">
        <f>_xlfn.XLOOKUP(AA1234,M_ARTIST!A:A,M_ARTIST!B:B,"★★★",0,1)</f>
        <v>★★★</v>
      </c>
      <c r="AC1234" s="14">
        <f t="shared" si="64"/>
        <v>0</v>
      </c>
      <c r="AD1234" s="19" t="e">
        <f>HYPERLINK(_xlfn.XLOOKUP(C1234,M_YT_LIVE_TIMESTAMP!AA:AA,M_YT_LIVE_TIMESTAMP!Z:Z,"★",0,-1))</f>
        <v>#VALUE!</v>
      </c>
    </row>
    <row r="1235" spans="3:30" x14ac:dyDescent="0.4">
      <c r="C1235" s="12" t="str">
        <f t="shared" ref="C1235:C1298" si="65">TRIM(B1235)&amp;TRIM(A1235)</f>
        <v/>
      </c>
      <c r="AA1235" s="14">
        <f t="shared" ref="AA1235:AA1298" si="66">B1235</f>
        <v>0</v>
      </c>
      <c r="AB1235" s="14" t="str">
        <f>_xlfn.XLOOKUP(AA1235,M_ARTIST!A:A,M_ARTIST!B:B,"★★★",0,1)</f>
        <v>★★★</v>
      </c>
      <c r="AC1235" s="14">
        <f t="shared" ref="AC1235:AC1298" si="67">A1235</f>
        <v>0</v>
      </c>
      <c r="AD1235" s="19" t="e">
        <f>HYPERLINK(_xlfn.XLOOKUP(C1235,M_YT_LIVE_TIMESTAMP!AA:AA,M_YT_LIVE_TIMESTAMP!Z:Z,"★",0,-1))</f>
        <v>#VALUE!</v>
      </c>
    </row>
    <row r="1236" spans="3:30" x14ac:dyDescent="0.4">
      <c r="C1236" s="12" t="str">
        <f t="shared" si="65"/>
        <v/>
      </c>
      <c r="AA1236" s="14">
        <f t="shared" si="66"/>
        <v>0</v>
      </c>
      <c r="AB1236" s="14" t="str">
        <f>_xlfn.XLOOKUP(AA1236,M_ARTIST!A:A,M_ARTIST!B:B,"★★★",0,1)</f>
        <v>★★★</v>
      </c>
      <c r="AC1236" s="14">
        <f t="shared" si="67"/>
        <v>0</v>
      </c>
      <c r="AD1236" s="19" t="e">
        <f>HYPERLINK(_xlfn.XLOOKUP(C1236,M_YT_LIVE_TIMESTAMP!AA:AA,M_YT_LIVE_TIMESTAMP!Z:Z,"★",0,-1))</f>
        <v>#VALUE!</v>
      </c>
    </row>
    <row r="1237" spans="3:30" x14ac:dyDescent="0.4">
      <c r="C1237" s="12" t="str">
        <f t="shared" si="65"/>
        <v/>
      </c>
      <c r="AA1237" s="14">
        <f t="shared" si="66"/>
        <v>0</v>
      </c>
      <c r="AB1237" s="14" t="str">
        <f>_xlfn.XLOOKUP(AA1237,M_ARTIST!A:A,M_ARTIST!B:B,"★★★",0,1)</f>
        <v>★★★</v>
      </c>
      <c r="AC1237" s="14">
        <f t="shared" si="67"/>
        <v>0</v>
      </c>
      <c r="AD1237" s="19" t="e">
        <f>HYPERLINK(_xlfn.XLOOKUP(C1237,M_YT_LIVE_TIMESTAMP!AA:AA,M_YT_LIVE_TIMESTAMP!Z:Z,"★",0,-1))</f>
        <v>#VALUE!</v>
      </c>
    </row>
    <row r="1238" spans="3:30" x14ac:dyDescent="0.4">
      <c r="C1238" s="12" t="str">
        <f t="shared" si="65"/>
        <v/>
      </c>
      <c r="AA1238" s="14">
        <f t="shared" si="66"/>
        <v>0</v>
      </c>
      <c r="AB1238" s="14" t="str">
        <f>_xlfn.XLOOKUP(AA1238,M_ARTIST!A:A,M_ARTIST!B:B,"★★★",0,1)</f>
        <v>★★★</v>
      </c>
      <c r="AC1238" s="14">
        <f t="shared" si="67"/>
        <v>0</v>
      </c>
      <c r="AD1238" s="19" t="e">
        <f>HYPERLINK(_xlfn.XLOOKUP(C1238,M_YT_LIVE_TIMESTAMP!AA:AA,M_YT_LIVE_TIMESTAMP!Z:Z,"★",0,-1))</f>
        <v>#VALUE!</v>
      </c>
    </row>
    <row r="1239" spans="3:30" x14ac:dyDescent="0.4">
      <c r="C1239" s="12" t="str">
        <f t="shared" si="65"/>
        <v/>
      </c>
      <c r="AA1239" s="14">
        <f t="shared" si="66"/>
        <v>0</v>
      </c>
      <c r="AB1239" s="14" t="str">
        <f>_xlfn.XLOOKUP(AA1239,M_ARTIST!A:A,M_ARTIST!B:B,"★★★",0,1)</f>
        <v>★★★</v>
      </c>
      <c r="AC1239" s="14">
        <f t="shared" si="67"/>
        <v>0</v>
      </c>
      <c r="AD1239" s="19" t="e">
        <f>HYPERLINK(_xlfn.XLOOKUP(C1239,M_YT_LIVE_TIMESTAMP!AA:AA,M_YT_LIVE_TIMESTAMP!Z:Z,"★",0,-1))</f>
        <v>#VALUE!</v>
      </c>
    </row>
    <row r="1240" spans="3:30" x14ac:dyDescent="0.4">
      <c r="C1240" s="12" t="str">
        <f t="shared" si="65"/>
        <v/>
      </c>
      <c r="AA1240" s="14">
        <f t="shared" si="66"/>
        <v>0</v>
      </c>
      <c r="AB1240" s="14" t="str">
        <f>_xlfn.XLOOKUP(AA1240,M_ARTIST!A:A,M_ARTIST!B:B,"★★★",0,1)</f>
        <v>★★★</v>
      </c>
      <c r="AC1240" s="14">
        <f t="shared" si="67"/>
        <v>0</v>
      </c>
      <c r="AD1240" s="19" t="e">
        <f>HYPERLINK(_xlfn.XLOOKUP(C1240,M_YT_LIVE_TIMESTAMP!AA:AA,M_YT_LIVE_TIMESTAMP!Z:Z,"★",0,-1))</f>
        <v>#VALUE!</v>
      </c>
    </row>
    <row r="1241" spans="3:30" x14ac:dyDescent="0.4">
      <c r="C1241" s="12" t="str">
        <f t="shared" si="65"/>
        <v/>
      </c>
      <c r="AA1241" s="14">
        <f t="shared" si="66"/>
        <v>0</v>
      </c>
      <c r="AB1241" s="14" t="str">
        <f>_xlfn.XLOOKUP(AA1241,M_ARTIST!A:A,M_ARTIST!B:B,"★★★",0,1)</f>
        <v>★★★</v>
      </c>
      <c r="AC1241" s="14">
        <f t="shared" si="67"/>
        <v>0</v>
      </c>
      <c r="AD1241" s="19" t="e">
        <f>HYPERLINK(_xlfn.XLOOKUP(C1241,M_YT_LIVE_TIMESTAMP!AA:AA,M_YT_LIVE_TIMESTAMP!Z:Z,"★",0,-1))</f>
        <v>#VALUE!</v>
      </c>
    </row>
    <row r="1242" spans="3:30" x14ac:dyDescent="0.4">
      <c r="C1242" s="12" t="str">
        <f t="shared" si="65"/>
        <v/>
      </c>
      <c r="AA1242" s="14">
        <f t="shared" si="66"/>
        <v>0</v>
      </c>
      <c r="AB1242" s="14" t="str">
        <f>_xlfn.XLOOKUP(AA1242,M_ARTIST!A:A,M_ARTIST!B:B,"★★★",0,1)</f>
        <v>★★★</v>
      </c>
      <c r="AC1242" s="14">
        <f t="shared" si="67"/>
        <v>0</v>
      </c>
      <c r="AD1242" s="19" t="e">
        <f>HYPERLINK(_xlfn.XLOOKUP(C1242,M_YT_LIVE_TIMESTAMP!AA:AA,M_YT_LIVE_TIMESTAMP!Z:Z,"★",0,-1))</f>
        <v>#VALUE!</v>
      </c>
    </row>
    <row r="1243" spans="3:30" x14ac:dyDescent="0.4">
      <c r="C1243" s="12" t="str">
        <f t="shared" si="65"/>
        <v/>
      </c>
      <c r="AA1243" s="14">
        <f t="shared" si="66"/>
        <v>0</v>
      </c>
      <c r="AB1243" s="14" t="str">
        <f>_xlfn.XLOOKUP(AA1243,M_ARTIST!A:A,M_ARTIST!B:B,"★★★",0,1)</f>
        <v>★★★</v>
      </c>
      <c r="AC1243" s="14">
        <f t="shared" si="67"/>
        <v>0</v>
      </c>
      <c r="AD1243" s="19" t="e">
        <f>HYPERLINK(_xlfn.XLOOKUP(C1243,M_YT_LIVE_TIMESTAMP!AA:AA,M_YT_LIVE_TIMESTAMP!Z:Z,"★",0,-1))</f>
        <v>#VALUE!</v>
      </c>
    </row>
    <row r="1244" spans="3:30" x14ac:dyDescent="0.4">
      <c r="C1244" s="12" t="str">
        <f t="shared" si="65"/>
        <v/>
      </c>
      <c r="AA1244" s="14">
        <f t="shared" si="66"/>
        <v>0</v>
      </c>
      <c r="AB1244" s="14" t="str">
        <f>_xlfn.XLOOKUP(AA1244,M_ARTIST!A:A,M_ARTIST!B:B,"★★★",0,1)</f>
        <v>★★★</v>
      </c>
      <c r="AC1244" s="14">
        <f t="shared" si="67"/>
        <v>0</v>
      </c>
      <c r="AD1244" s="19" t="e">
        <f>HYPERLINK(_xlfn.XLOOKUP(C1244,M_YT_LIVE_TIMESTAMP!AA:AA,M_YT_LIVE_TIMESTAMP!Z:Z,"★",0,-1))</f>
        <v>#VALUE!</v>
      </c>
    </row>
    <row r="1245" spans="3:30" x14ac:dyDescent="0.4">
      <c r="C1245" s="12" t="str">
        <f t="shared" si="65"/>
        <v/>
      </c>
      <c r="AA1245" s="14">
        <f t="shared" si="66"/>
        <v>0</v>
      </c>
      <c r="AB1245" s="14" t="str">
        <f>_xlfn.XLOOKUP(AA1245,M_ARTIST!A:A,M_ARTIST!B:B,"★★★",0,1)</f>
        <v>★★★</v>
      </c>
      <c r="AC1245" s="14">
        <f t="shared" si="67"/>
        <v>0</v>
      </c>
      <c r="AD1245" s="19" t="e">
        <f>HYPERLINK(_xlfn.XLOOKUP(C1245,M_YT_LIVE_TIMESTAMP!AA:AA,M_YT_LIVE_TIMESTAMP!Z:Z,"★",0,-1))</f>
        <v>#VALUE!</v>
      </c>
    </row>
    <row r="1246" spans="3:30" x14ac:dyDescent="0.4">
      <c r="C1246" s="12" t="str">
        <f t="shared" si="65"/>
        <v/>
      </c>
      <c r="AA1246" s="14">
        <f t="shared" si="66"/>
        <v>0</v>
      </c>
      <c r="AB1246" s="14" t="str">
        <f>_xlfn.XLOOKUP(AA1246,M_ARTIST!A:A,M_ARTIST!B:B,"★★★",0,1)</f>
        <v>★★★</v>
      </c>
      <c r="AC1246" s="14">
        <f t="shared" si="67"/>
        <v>0</v>
      </c>
      <c r="AD1246" s="19" t="e">
        <f>HYPERLINK(_xlfn.XLOOKUP(C1246,M_YT_LIVE_TIMESTAMP!AA:AA,M_YT_LIVE_TIMESTAMP!Z:Z,"★",0,-1))</f>
        <v>#VALUE!</v>
      </c>
    </row>
    <row r="1247" spans="3:30" x14ac:dyDescent="0.4">
      <c r="C1247" s="12" t="str">
        <f t="shared" si="65"/>
        <v/>
      </c>
      <c r="AA1247" s="14">
        <f t="shared" si="66"/>
        <v>0</v>
      </c>
      <c r="AB1247" s="14" t="str">
        <f>_xlfn.XLOOKUP(AA1247,M_ARTIST!A:A,M_ARTIST!B:B,"★★★",0,1)</f>
        <v>★★★</v>
      </c>
      <c r="AC1247" s="14">
        <f t="shared" si="67"/>
        <v>0</v>
      </c>
      <c r="AD1247" s="19" t="e">
        <f>HYPERLINK(_xlfn.XLOOKUP(C1247,M_YT_LIVE_TIMESTAMP!AA:AA,M_YT_LIVE_TIMESTAMP!Z:Z,"★",0,-1))</f>
        <v>#VALUE!</v>
      </c>
    </row>
    <row r="1248" spans="3:30" x14ac:dyDescent="0.4">
      <c r="C1248" s="12" t="str">
        <f t="shared" si="65"/>
        <v/>
      </c>
      <c r="AA1248" s="14">
        <f t="shared" si="66"/>
        <v>0</v>
      </c>
      <c r="AB1248" s="14" t="str">
        <f>_xlfn.XLOOKUP(AA1248,M_ARTIST!A:A,M_ARTIST!B:B,"★★★",0,1)</f>
        <v>★★★</v>
      </c>
      <c r="AC1248" s="14">
        <f t="shared" si="67"/>
        <v>0</v>
      </c>
      <c r="AD1248" s="19" t="e">
        <f>HYPERLINK(_xlfn.XLOOKUP(C1248,M_YT_LIVE_TIMESTAMP!AA:AA,M_YT_LIVE_TIMESTAMP!Z:Z,"★",0,-1))</f>
        <v>#VALUE!</v>
      </c>
    </row>
    <row r="1249" spans="3:30" x14ac:dyDescent="0.4">
      <c r="C1249" s="12" t="str">
        <f t="shared" si="65"/>
        <v/>
      </c>
      <c r="AA1249" s="14">
        <f t="shared" si="66"/>
        <v>0</v>
      </c>
      <c r="AB1249" s="14" t="str">
        <f>_xlfn.XLOOKUP(AA1249,M_ARTIST!A:A,M_ARTIST!B:B,"★★★",0,1)</f>
        <v>★★★</v>
      </c>
      <c r="AC1249" s="14">
        <f t="shared" si="67"/>
        <v>0</v>
      </c>
      <c r="AD1249" s="19" t="e">
        <f>HYPERLINK(_xlfn.XLOOKUP(C1249,M_YT_LIVE_TIMESTAMP!AA:AA,M_YT_LIVE_TIMESTAMP!Z:Z,"★",0,-1))</f>
        <v>#VALUE!</v>
      </c>
    </row>
    <row r="1250" spans="3:30" x14ac:dyDescent="0.4">
      <c r="C1250" s="12" t="str">
        <f t="shared" si="65"/>
        <v/>
      </c>
      <c r="AA1250" s="14">
        <f t="shared" si="66"/>
        <v>0</v>
      </c>
      <c r="AB1250" s="14" t="str">
        <f>_xlfn.XLOOKUP(AA1250,M_ARTIST!A:A,M_ARTIST!B:B,"★★★",0,1)</f>
        <v>★★★</v>
      </c>
      <c r="AC1250" s="14">
        <f t="shared" si="67"/>
        <v>0</v>
      </c>
      <c r="AD1250" s="19" t="e">
        <f>HYPERLINK(_xlfn.XLOOKUP(C1250,M_YT_LIVE_TIMESTAMP!AA:AA,M_YT_LIVE_TIMESTAMP!Z:Z,"★",0,-1))</f>
        <v>#VALUE!</v>
      </c>
    </row>
    <row r="1251" spans="3:30" x14ac:dyDescent="0.4">
      <c r="C1251" s="12" t="str">
        <f t="shared" si="65"/>
        <v/>
      </c>
      <c r="AA1251" s="14">
        <f t="shared" si="66"/>
        <v>0</v>
      </c>
      <c r="AB1251" s="14" t="str">
        <f>_xlfn.XLOOKUP(AA1251,M_ARTIST!A:A,M_ARTIST!B:B,"★★★",0,1)</f>
        <v>★★★</v>
      </c>
      <c r="AC1251" s="14">
        <f t="shared" si="67"/>
        <v>0</v>
      </c>
      <c r="AD1251" s="19" t="e">
        <f>HYPERLINK(_xlfn.XLOOKUP(C1251,M_YT_LIVE_TIMESTAMP!AA:AA,M_YT_LIVE_TIMESTAMP!Z:Z,"★",0,-1))</f>
        <v>#VALUE!</v>
      </c>
    </row>
    <row r="1252" spans="3:30" x14ac:dyDescent="0.4">
      <c r="C1252" s="12" t="str">
        <f t="shared" si="65"/>
        <v/>
      </c>
      <c r="AA1252" s="14">
        <f t="shared" si="66"/>
        <v>0</v>
      </c>
      <c r="AB1252" s="14" t="str">
        <f>_xlfn.XLOOKUP(AA1252,M_ARTIST!A:A,M_ARTIST!B:B,"★★★",0,1)</f>
        <v>★★★</v>
      </c>
      <c r="AC1252" s="14">
        <f t="shared" si="67"/>
        <v>0</v>
      </c>
      <c r="AD1252" s="19" t="e">
        <f>HYPERLINK(_xlfn.XLOOKUP(C1252,M_YT_LIVE_TIMESTAMP!AA:AA,M_YT_LIVE_TIMESTAMP!Z:Z,"★",0,-1))</f>
        <v>#VALUE!</v>
      </c>
    </row>
    <row r="1253" spans="3:30" x14ac:dyDescent="0.4">
      <c r="C1253" s="12" t="str">
        <f t="shared" si="65"/>
        <v/>
      </c>
      <c r="AA1253" s="14">
        <f t="shared" si="66"/>
        <v>0</v>
      </c>
      <c r="AB1253" s="14" t="str">
        <f>_xlfn.XLOOKUP(AA1253,M_ARTIST!A:A,M_ARTIST!B:B,"★★★",0,1)</f>
        <v>★★★</v>
      </c>
      <c r="AC1253" s="14">
        <f t="shared" si="67"/>
        <v>0</v>
      </c>
      <c r="AD1253" s="19" t="e">
        <f>HYPERLINK(_xlfn.XLOOKUP(C1253,M_YT_LIVE_TIMESTAMP!AA:AA,M_YT_LIVE_TIMESTAMP!Z:Z,"★",0,-1))</f>
        <v>#VALUE!</v>
      </c>
    </row>
    <row r="1254" spans="3:30" x14ac:dyDescent="0.4">
      <c r="C1254" s="12" t="str">
        <f t="shared" si="65"/>
        <v/>
      </c>
      <c r="AA1254" s="14">
        <f t="shared" si="66"/>
        <v>0</v>
      </c>
      <c r="AB1254" s="14" t="str">
        <f>_xlfn.XLOOKUP(AA1254,M_ARTIST!A:A,M_ARTIST!B:B,"★★★",0,1)</f>
        <v>★★★</v>
      </c>
      <c r="AC1254" s="14">
        <f t="shared" si="67"/>
        <v>0</v>
      </c>
      <c r="AD1254" s="19" t="e">
        <f>HYPERLINK(_xlfn.XLOOKUP(C1254,M_YT_LIVE_TIMESTAMP!AA:AA,M_YT_LIVE_TIMESTAMP!Z:Z,"★",0,-1))</f>
        <v>#VALUE!</v>
      </c>
    </row>
    <row r="1255" spans="3:30" x14ac:dyDescent="0.4">
      <c r="C1255" s="12" t="str">
        <f t="shared" si="65"/>
        <v/>
      </c>
      <c r="AA1255" s="14">
        <f t="shared" si="66"/>
        <v>0</v>
      </c>
      <c r="AB1255" s="14" t="str">
        <f>_xlfn.XLOOKUP(AA1255,M_ARTIST!A:A,M_ARTIST!B:B,"★★★",0,1)</f>
        <v>★★★</v>
      </c>
      <c r="AC1255" s="14">
        <f t="shared" si="67"/>
        <v>0</v>
      </c>
      <c r="AD1255" s="19" t="e">
        <f>HYPERLINK(_xlfn.XLOOKUP(C1255,M_YT_LIVE_TIMESTAMP!AA:AA,M_YT_LIVE_TIMESTAMP!Z:Z,"★",0,-1))</f>
        <v>#VALUE!</v>
      </c>
    </row>
    <row r="1256" spans="3:30" x14ac:dyDescent="0.4">
      <c r="C1256" s="12" t="str">
        <f t="shared" si="65"/>
        <v/>
      </c>
      <c r="AA1256" s="14">
        <f t="shared" si="66"/>
        <v>0</v>
      </c>
      <c r="AB1256" s="14" t="str">
        <f>_xlfn.XLOOKUP(AA1256,M_ARTIST!A:A,M_ARTIST!B:B,"★★★",0,1)</f>
        <v>★★★</v>
      </c>
      <c r="AC1256" s="14">
        <f t="shared" si="67"/>
        <v>0</v>
      </c>
      <c r="AD1256" s="19" t="e">
        <f>HYPERLINK(_xlfn.XLOOKUP(C1256,M_YT_LIVE_TIMESTAMP!AA:AA,M_YT_LIVE_TIMESTAMP!Z:Z,"★",0,-1))</f>
        <v>#VALUE!</v>
      </c>
    </row>
    <row r="1257" spans="3:30" x14ac:dyDescent="0.4">
      <c r="C1257" s="12" t="str">
        <f t="shared" si="65"/>
        <v/>
      </c>
      <c r="AA1257" s="14">
        <f t="shared" si="66"/>
        <v>0</v>
      </c>
      <c r="AB1257" s="14" t="str">
        <f>_xlfn.XLOOKUP(AA1257,M_ARTIST!A:A,M_ARTIST!B:B,"★★★",0,1)</f>
        <v>★★★</v>
      </c>
      <c r="AC1257" s="14">
        <f t="shared" si="67"/>
        <v>0</v>
      </c>
      <c r="AD1257" s="19" t="e">
        <f>HYPERLINK(_xlfn.XLOOKUP(C1257,M_YT_LIVE_TIMESTAMP!AA:AA,M_YT_LIVE_TIMESTAMP!Z:Z,"★",0,-1))</f>
        <v>#VALUE!</v>
      </c>
    </row>
    <row r="1258" spans="3:30" x14ac:dyDescent="0.4">
      <c r="C1258" s="12" t="str">
        <f t="shared" si="65"/>
        <v/>
      </c>
      <c r="AA1258" s="14">
        <f t="shared" si="66"/>
        <v>0</v>
      </c>
      <c r="AB1258" s="14" t="str">
        <f>_xlfn.XLOOKUP(AA1258,M_ARTIST!A:A,M_ARTIST!B:B,"★★★",0,1)</f>
        <v>★★★</v>
      </c>
      <c r="AC1258" s="14">
        <f t="shared" si="67"/>
        <v>0</v>
      </c>
      <c r="AD1258" s="19" t="e">
        <f>HYPERLINK(_xlfn.XLOOKUP(C1258,M_YT_LIVE_TIMESTAMP!AA:AA,M_YT_LIVE_TIMESTAMP!Z:Z,"★",0,-1))</f>
        <v>#VALUE!</v>
      </c>
    </row>
    <row r="1259" spans="3:30" x14ac:dyDescent="0.4">
      <c r="C1259" s="12" t="str">
        <f t="shared" si="65"/>
        <v/>
      </c>
      <c r="AA1259" s="14">
        <f t="shared" si="66"/>
        <v>0</v>
      </c>
      <c r="AB1259" s="14" t="str">
        <f>_xlfn.XLOOKUP(AA1259,M_ARTIST!A:A,M_ARTIST!B:B,"★★★",0,1)</f>
        <v>★★★</v>
      </c>
      <c r="AC1259" s="14">
        <f t="shared" si="67"/>
        <v>0</v>
      </c>
      <c r="AD1259" s="19" t="e">
        <f>HYPERLINK(_xlfn.XLOOKUP(C1259,M_YT_LIVE_TIMESTAMP!AA:AA,M_YT_LIVE_TIMESTAMP!Z:Z,"★",0,-1))</f>
        <v>#VALUE!</v>
      </c>
    </row>
    <row r="1260" spans="3:30" x14ac:dyDescent="0.4">
      <c r="C1260" s="12" t="str">
        <f t="shared" si="65"/>
        <v/>
      </c>
      <c r="AA1260" s="14">
        <f t="shared" si="66"/>
        <v>0</v>
      </c>
      <c r="AB1260" s="14" t="str">
        <f>_xlfn.XLOOKUP(AA1260,M_ARTIST!A:A,M_ARTIST!B:B,"★★★",0,1)</f>
        <v>★★★</v>
      </c>
      <c r="AC1260" s="14">
        <f t="shared" si="67"/>
        <v>0</v>
      </c>
      <c r="AD1260" s="19" t="e">
        <f>HYPERLINK(_xlfn.XLOOKUP(C1260,M_YT_LIVE_TIMESTAMP!AA:AA,M_YT_LIVE_TIMESTAMP!Z:Z,"★",0,-1))</f>
        <v>#VALUE!</v>
      </c>
    </row>
    <row r="1261" spans="3:30" x14ac:dyDescent="0.4">
      <c r="C1261" s="12" t="str">
        <f t="shared" si="65"/>
        <v/>
      </c>
      <c r="AA1261" s="14">
        <f t="shared" si="66"/>
        <v>0</v>
      </c>
      <c r="AB1261" s="14" t="str">
        <f>_xlfn.XLOOKUP(AA1261,M_ARTIST!A:A,M_ARTIST!B:B,"★★★",0,1)</f>
        <v>★★★</v>
      </c>
      <c r="AC1261" s="14">
        <f t="shared" si="67"/>
        <v>0</v>
      </c>
      <c r="AD1261" s="19" t="e">
        <f>HYPERLINK(_xlfn.XLOOKUP(C1261,M_YT_LIVE_TIMESTAMP!AA:AA,M_YT_LIVE_TIMESTAMP!Z:Z,"★",0,-1))</f>
        <v>#VALUE!</v>
      </c>
    </row>
    <row r="1262" spans="3:30" x14ac:dyDescent="0.4">
      <c r="C1262" s="12" t="str">
        <f t="shared" si="65"/>
        <v/>
      </c>
      <c r="AA1262" s="14">
        <f t="shared" si="66"/>
        <v>0</v>
      </c>
      <c r="AB1262" s="14" t="str">
        <f>_xlfn.XLOOKUP(AA1262,M_ARTIST!A:A,M_ARTIST!B:B,"★★★",0,1)</f>
        <v>★★★</v>
      </c>
      <c r="AC1262" s="14">
        <f t="shared" si="67"/>
        <v>0</v>
      </c>
      <c r="AD1262" s="19" t="e">
        <f>HYPERLINK(_xlfn.XLOOKUP(C1262,M_YT_LIVE_TIMESTAMP!AA:AA,M_YT_LIVE_TIMESTAMP!Z:Z,"★",0,-1))</f>
        <v>#VALUE!</v>
      </c>
    </row>
    <row r="1263" spans="3:30" x14ac:dyDescent="0.4">
      <c r="C1263" s="12" t="str">
        <f t="shared" si="65"/>
        <v/>
      </c>
      <c r="AA1263" s="14">
        <f t="shared" si="66"/>
        <v>0</v>
      </c>
      <c r="AB1263" s="14" t="str">
        <f>_xlfn.XLOOKUP(AA1263,M_ARTIST!A:A,M_ARTIST!B:B,"★★★",0,1)</f>
        <v>★★★</v>
      </c>
      <c r="AC1263" s="14">
        <f t="shared" si="67"/>
        <v>0</v>
      </c>
      <c r="AD1263" s="19" t="e">
        <f>HYPERLINK(_xlfn.XLOOKUP(C1263,M_YT_LIVE_TIMESTAMP!AA:AA,M_YT_LIVE_TIMESTAMP!Z:Z,"★",0,-1))</f>
        <v>#VALUE!</v>
      </c>
    </row>
    <row r="1264" spans="3:30" x14ac:dyDescent="0.4">
      <c r="C1264" s="12" t="str">
        <f t="shared" si="65"/>
        <v/>
      </c>
      <c r="AA1264" s="14">
        <f t="shared" si="66"/>
        <v>0</v>
      </c>
      <c r="AB1264" s="14" t="str">
        <f>_xlfn.XLOOKUP(AA1264,M_ARTIST!A:A,M_ARTIST!B:B,"★★★",0,1)</f>
        <v>★★★</v>
      </c>
      <c r="AC1264" s="14">
        <f t="shared" si="67"/>
        <v>0</v>
      </c>
      <c r="AD1264" s="19" t="e">
        <f>HYPERLINK(_xlfn.XLOOKUP(C1264,M_YT_LIVE_TIMESTAMP!AA:AA,M_YT_LIVE_TIMESTAMP!Z:Z,"★",0,-1))</f>
        <v>#VALUE!</v>
      </c>
    </row>
    <row r="1265" spans="3:30" x14ac:dyDescent="0.4">
      <c r="C1265" s="12" t="str">
        <f t="shared" si="65"/>
        <v/>
      </c>
      <c r="AA1265" s="14">
        <f t="shared" si="66"/>
        <v>0</v>
      </c>
      <c r="AB1265" s="14" t="str">
        <f>_xlfn.XLOOKUP(AA1265,M_ARTIST!A:A,M_ARTIST!B:B,"★★★",0,1)</f>
        <v>★★★</v>
      </c>
      <c r="AC1265" s="14">
        <f t="shared" si="67"/>
        <v>0</v>
      </c>
      <c r="AD1265" s="19" t="e">
        <f>HYPERLINK(_xlfn.XLOOKUP(C1265,M_YT_LIVE_TIMESTAMP!AA:AA,M_YT_LIVE_TIMESTAMP!Z:Z,"★",0,-1))</f>
        <v>#VALUE!</v>
      </c>
    </row>
    <row r="1266" spans="3:30" x14ac:dyDescent="0.4">
      <c r="C1266" s="12" t="str">
        <f t="shared" si="65"/>
        <v/>
      </c>
      <c r="AA1266" s="14">
        <f t="shared" si="66"/>
        <v>0</v>
      </c>
      <c r="AB1266" s="14" t="str">
        <f>_xlfn.XLOOKUP(AA1266,M_ARTIST!A:A,M_ARTIST!B:B,"★★★",0,1)</f>
        <v>★★★</v>
      </c>
      <c r="AC1266" s="14">
        <f t="shared" si="67"/>
        <v>0</v>
      </c>
      <c r="AD1266" s="19" t="e">
        <f>HYPERLINK(_xlfn.XLOOKUP(C1266,M_YT_LIVE_TIMESTAMP!AA:AA,M_YT_LIVE_TIMESTAMP!Z:Z,"★",0,-1))</f>
        <v>#VALUE!</v>
      </c>
    </row>
    <row r="1267" spans="3:30" x14ac:dyDescent="0.4">
      <c r="C1267" s="12" t="str">
        <f t="shared" si="65"/>
        <v/>
      </c>
      <c r="AA1267" s="14">
        <f t="shared" si="66"/>
        <v>0</v>
      </c>
      <c r="AB1267" s="14" t="str">
        <f>_xlfn.XLOOKUP(AA1267,M_ARTIST!A:A,M_ARTIST!B:B,"★★★",0,1)</f>
        <v>★★★</v>
      </c>
      <c r="AC1267" s="14">
        <f t="shared" si="67"/>
        <v>0</v>
      </c>
      <c r="AD1267" s="19" t="e">
        <f>HYPERLINK(_xlfn.XLOOKUP(C1267,M_YT_LIVE_TIMESTAMP!AA:AA,M_YT_LIVE_TIMESTAMP!Z:Z,"★",0,-1))</f>
        <v>#VALUE!</v>
      </c>
    </row>
    <row r="1268" spans="3:30" x14ac:dyDescent="0.4">
      <c r="C1268" s="12" t="str">
        <f t="shared" si="65"/>
        <v/>
      </c>
      <c r="AA1268" s="14">
        <f t="shared" si="66"/>
        <v>0</v>
      </c>
      <c r="AB1268" s="14" t="str">
        <f>_xlfn.XLOOKUP(AA1268,M_ARTIST!A:A,M_ARTIST!B:B,"★★★",0,1)</f>
        <v>★★★</v>
      </c>
      <c r="AC1268" s="14">
        <f t="shared" si="67"/>
        <v>0</v>
      </c>
      <c r="AD1268" s="19" t="e">
        <f>HYPERLINK(_xlfn.XLOOKUP(C1268,M_YT_LIVE_TIMESTAMP!AA:AA,M_YT_LIVE_TIMESTAMP!Z:Z,"★",0,-1))</f>
        <v>#VALUE!</v>
      </c>
    </row>
    <row r="1269" spans="3:30" x14ac:dyDescent="0.4">
      <c r="C1269" s="12" t="str">
        <f t="shared" si="65"/>
        <v/>
      </c>
      <c r="AA1269" s="14">
        <f t="shared" si="66"/>
        <v>0</v>
      </c>
      <c r="AB1269" s="14" t="str">
        <f>_xlfn.XLOOKUP(AA1269,M_ARTIST!A:A,M_ARTIST!B:B,"★★★",0,1)</f>
        <v>★★★</v>
      </c>
      <c r="AC1269" s="14">
        <f t="shared" si="67"/>
        <v>0</v>
      </c>
      <c r="AD1269" s="19" t="e">
        <f>HYPERLINK(_xlfn.XLOOKUP(C1269,M_YT_LIVE_TIMESTAMP!AA:AA,M_YT_LIVE_TIMESTAMP!Z:Z,"★",0,-1))</f>
        <v>#VALUE!</v>
      </c>
    </row>
    <row r="1270" spans="3:30" x14ac:dyDescent="0.4">
      <c r="C1270" s="12" t="str">
        <f t="shared" si="65"/>
        <v/>
      </c>
      <c r="AA1270" s="14">
        <f t="shared" si="66"/>
        <v>0</v>
      </c>
      <c r="AB1270" s="14" t="str">
        <f>_xlfn.XLOOKUP(AA1270,M_ARTIST!A:A,M_ARTIST!B:B,"★★★",0,1)</f>
        <v>★★★</v>
      </c>
      <c r="AC1270" s="14">
        <f t="shared" si="67"/>
        <v>0</v>
      </c>
      <c r="AD1270" s="19" t="e">
        <f>HYPERLINK(_xlfn.XLOOKUP(C1270,M_YT_LIVE_TIMESTAMP!AA:AA,M_YT_LIVE_TIMESTAMP!Z:Z,"★",0,-1))</f>
        <v>#VALUE!</v>
      </c>
    </row>
    <row r="1271" spans="3:30" x14ac:dyDescent="0.4">
      <c r="C1271" s="12" t="str">
        <f t="shared" si="65"/>
        <v/>
      </c>
      <c r="AA1271" s="14">
        <f t="shared" si="66"/>
        <v>0</v>
      </c>
      <c r="AB1271" s="14" t="str">
        <f>_xlfn.XLOOKUP(AA1271,M_ARTIST!A:A,M_ARTIST!B:B,"★★★",0,1)</f>
        <v>★★★</v>
      </c>
      <c r="AC1271" s="14">
        <f t="shared" si="67"/>
        <v>0</v>
      </c>
      <c r="AD1271" s="19" t="e">
        <f>HYPERLINK(_xlfn.XLOOKUP(C1271,M_YT_LIVE_TIMESTAMP!AA:AA,M_YT_LIVE_TIMESTAMP!Z:Z,"★",0,-1))</f>
        <v>#VALUE!</v>
      </c>
    </row>
    <row r="1272" spans="3:30" x14ac:dyDescent="0.4">
      <c r="C1272" s="12" t="str">
        <f t="shared" si="65"/>
        <v/>
      </c>
      <c r="AA1272" s="14">
        <f t="shared" si="66"/>
        <v>0</v>
      </c>
      <c r="AB1272" s="14" t="str">
        <f>_xlfn.XLOOKUP(AA1272,M_ARTIST!A:A,M_ARTIST!B:B,"★★★",0,1)</f>
        <v>★★★</v>
      </c>
      <c r="AC1272" s="14">
        <f t="shared" si="67"/>
        <v>0</v>
      </c>
      <c r="AD1272" s="19" t="e">
        <f>HYPERLINK(_xlfn.XLOOKUP(C1272,M_YT_LIVE_TIMESTAMP!AA:AA,M_YT_LIVE_TIMESTAMP!Z:Z,"★",0,-1))</f>
        <v>#VALUE!</v>
      </c>
    </row>
    <row r="1273" spans="3:30" x14ac:dyDescent="0.4">
      <c r="C1273" s="12" t="str">
        <f t="shared" si="65"/>
        <v/>
      </c>
      <c r="AA1273" s="14">
        <f t="shared" si="66"/>
        <v>0</v>
      </c>
      <c r="AB1273" s="14" t="str">
        <f>_xlfn.XLOOKUP(AA1273,M_ARTIST!A:A,M_ARTIST!B:B,"★★★",0,1)</f>
        <v>★★★</v>
      </c>
      <c r="AC1273" s="14">
        <f t="shared" si="67"/>
        <v>0</v>
      </c>
      <c r="AD1273" s="19" t="e">
        <f>HYPERLINK(_xlfn.XLOOKUP(C1273,M_YT_LIVE_TIMESTAMP!AA:AA,M_YT_LIVE_TIMESTAMP!Z:Z,"★",0,-1))</f>
        <v>#VALUE!</v>
      </c>
    </row>
    <row r="1274" spans="3:30" x14ac:dyDescent="0.4">
      <c r="C1274" s="12" t="str">
        <f t="shared" si="65"/>
        <v/>
      </c>
      <c r="AA1274" s="14">
        <f t="shared" si="66"/>
        <v>0</v>
      </c>
      <c r="AB1274" s="14" t="str">
        <f>_xlfn.XLOOKUP(AA1274,M_ARTIST!A:A,M_ARTIST!B:B,"★★★",0,1)</f>
        <v>★★★</v>
      </c>
      <c r="AC1274" s="14">
        <f t="shared" si="67"/>
        <v>0</v>
      </c>
      <c r="AD1274" s="19" t="e">
        <f>HYPERLINK(_xlfn.XLOOKUP(C1274,M_YT_LIVE_TIMESTAMP!AA:AA,M_YT_LIVE_TIMESTAMP!Z:Z,"★",0,-1))</f>
        <v>#VALUE!</v>
      </c>
    </row>
    <row r="1275" spans="3:30" x14ac:dyDescent="0.4">
      <c r="C1275" s="12" t="str">
        <f t="shared" si="65"/>
        <v/>
      </c>
      <c r="AA1275" s="14">
        <f t="shared" si="66"/>
        <v>0</v>
      </c>
      <c r="AB1275" s="14" t="str">
        <f>_xlfn.XLOOKUP(AA1275,M_ARTIST!A:A,M_ARTIST!B:B,"★★★",0,1)</f>
        <v>★★★</v>
      </c>
      <c r="AC1275" s="14">
        <f t="shared" si="67"/>
        <v>0</v>
      </c>
      <c r="AD1275" s="19" t="e">
        <f>HYPERLINK(_xlfn.XLOOKUP(C1275,M_YT_LIVE_TIMESTAMP!AA:AA,M_YT_LIVE_TIMESTAMP!Z:Z,"★",0,-1))</f>
        <v>#VALUE!</v>
      </c>
    </row>
    <row r="1276" spans="3:30" x14ac:dyDescent="0.4">
      <c r="C1276" s="12" t="str">
        <f t="shared" si="65"/>
        <v/>
      </c>
      <c r="AA1276" s="14">
        <f t="shared" si="66"/>
        <v>0</v>
      </c>
      <c r="AB1276" s="14" t="str">
        <f>_xlfn.XLOOKUP(AA1276,M_ARTIST!A:A,M_ARTIST!B:B,"★★★",0,1)</f>
        <v>★★★</v>
      </c>
      <c r="AC1276" s="14">
        <f t="shared" si="67"/>
        <v>0</v>
      </c>
      <c r="AD1276" s="19" t="e">
        <f>HYPERLINK(_xlfn.XLOOKUP(C1276,M_YT_LIVE_TIMESTAMP!AA:AA,M_YT_LIVE_TIMESTAMP!Z:Z,"★",0,-1))</f>
        <v>#VALUE!</v>
      </c>
    </row>
    <row r="1277" spans="3:30" x14ac:dyDescent="0.4">
      <c r="C1277" s="12" t="str">
        <f t="shared" si="65"/>
        <v/>
      </c>
      <c r="AA1277" s="14">
        <f t="shared" si="66"/>
        <v>0</v>
      </c>
      <c r="AB1277" s="14" t="str">
        <f>_xlfn.XLOOKUP(AA1277,M_ARTIST!A:A,M_ARTIST!B:B,"★★★",0,1)</f>
        <v>★★★</v>
      </c>
      <c r="AC1277" s="14">
        <f t="shared" si="67"/>
        <v>0</v>
      </c>
      <c r="AD1277" s="19" t="e">
        <f>HYPERLINK(_xlfn.XLOOKUP(C1277,M_YT_LIVE_TIMESTAMP!AA:AA,M_YT_LIVE_TIMESTAMP!Z:Z,"★",0,-1))</f>
        <v>#VALUE!</v>
      </c>
    </row>
    <row r="1278" spans="3:30" x14ac:dyDescent="0.4">
      <c r="C1278" s="12" t="str">
        <f t="shared" si="65"/>
        <v/>
      </c>
      <c r="AA1278" s="14">
        <f t="shared" si="66"/>
        <v>0</v>
      </c>
      <c r="AB1278" s="14" t="str">
        <f>_xlfn.XLOOKUP(AA1278,M_ARTIST!A:A,M_ARTIST!B:B,"★★★",0,1)</f>
        <v>★★★</v>
      </c>
      <c r="AC1278" s="14">
        <f t="shared" si="67"/>
        <v>0</v>
      </c>
      <c r="AD1278" s="19" t="e">
        <f>HYPERLINK(_xlfn.XLOOKUP(C1278,M_YT_LIVE_TIMESTAMP!AA:AA,M_YT_LIVE_TIMESTAMP!Z:Z,"★",0,-1))</f>
        <v>#VALUE!</v>
      </c>
    </row>
    <row r="1279" spans="3:30" x14ac:dyDescent="0.4">
      <c r="C1279" s="12" t="str">
        <f t="shared" si="65"/>
        <v/>
      </c>
      <c r="AA1279" s="14">
        <f t="shared" si="66"/>
        <v>0</v>
      </c>
      <c r="AB1279" s="14" t="str">
        <f>_xlfn.XLOOKUP(AA1279,M_ARTIST!A:A,M_ARTIST!B:B,"★★★",0,1)</f>
        <v>★★★</v>
      </c>
      <c r="AC1279" s="14">
        <f t="shared" si="67"/>
        <v>0</v>
      </c>
      <c r="AD1279" s="19" t="e">
        <f>HYPERLINK(_xlfn.XLOOKUP(C1279,M_YT_LIVE_TIMESTAMP!AA:AA,M_YT_LIVE_TIMESTAMP!Z:Z,"★",0,-1))</f>
        <v>#VALUE!</v>
      </c>
    </row>
    <row r="1280" spans="3:30" x14ac:dyDescent="0.4">
      <c r="C1280" s="12" t="str">
        <f t="shared" si="65"/>
        <v/>
      </c>
      <c r="AA1280" s="14">
        <f t="shared" si="66"/>
        <v>0</v>
      </c>
      <c r="AB1280" s="14" t="str">
        <f>_xlfn.XLOOKUP(AA1280,M_ARTIST!A:A,M_ARTIST!B:B,"★★★",0,1)</f>
        <v>★★★</v>
      </c>
      <c r="AC1280" s="14">
        <f t="shared" si="67"/>
        <v>0</v>
      </c>
      <c r="AD1280" s="19" t="e">
        <f>HYPERLINK(_xlfn.XLOOKUP(C1280,M_YT_LIVE_TIMESTAMP!AA:AA,M_YT_LIVE_TIMESTAMP!Z:Z,"★",0,-1))</f>
        <v>#VALUE!</v>
      </c>
    </row>
    <row r="1281" spans="3:30" x14ac:dyDescent="0.4">
      <c r="C1281" s="12" t="str">
        <f t="shared" si="65"/>
        <v/>
      </c>
      <c r="AA1281" s="14">
        <f t="shared" si="66"/>
        <v>0</v>
      </c>
      <c r="AB1281" s="14" t="str">
        <f>_xlfn.XLOOKUP(AA1281,M_ARTIST!A:A,M_ARTIST!B:B,"★★★",0,1)</f>
        <v>★★★</v>
      </c>
      <c r="AC1281" s="14">
        <f t="shared" si="67"/>
        <v>0</v>
      </c>
      <c r="AD1281" s="19" t="e">
        <f>HYPERLINK(_xlfn.XLOOKUP(C1281,M_YT_LIVE_TIMESTAMP!AA:AA,M_YT_LIVE_TIMESTAMP!Z:Z,"★",0,-1))</f>
        <v>#VALUE!</v>
      </c>
    </row>
    <row r="1282" spans="3:30" x14ac:dyDescent="0.4">
      <c r="C1282" s="12" t="str">
        <f t="shared" si="65"/>
        <v/>
      </c>
      <c r="AA1282" s="14">
        <f t="shared" si="66"/>
        <v>0</v>
      </c>
      <c r="AB1282" s="14" t="str">
        <f>_xlfn.XLOOKUP(AA1282,M_ARTIST!A:A,M_ARTIST!B:B,"★★★",0,1)</f>
        <v>★★★</v>
      </c>
      <c r="AC1282" s="14">
        <f t="shared" si="67"/>
        <v>0</v>
      </c>
      <c r="AD1282" s="19" t="e">
        <f>HYPERLINK(_xlfn.XLOOKUP(C1282,M_YT_LIVE_TIMESTAMP!AA:AA,M_YT_LIVE_TIMESTAMP!Z:Z,"★",0,-1))</f>
        <v>#VALUE!</v>
      </c>
    </row>
    <row r="1283" spans="3:30" x14ac:dyDescent="0.4">
      <c r="C1283" s="12" t="str">
        <f t="shared" si="65"/>
        <v/>
      </c>
      <c r="AA1283" s="14">
        <f t="shared" si="66"/>
        <v>0</v>
      </c>
      <c r="AB1283" s="14" t="str">
        <f>_xlfn.XLOOKUP(AA1283,M_ARTIST!A:A,M_ARTIST!B:B,"★★★",0,1)</f>
        <v>★★★</v>
      </c>
      <c r="AC1283" s="14">
        <f t="shared" si="67"/>
        <v>0</v>
      </c>
      <c r="AD1283" s="19" t="e">
        <f>HYPERLINK(_xlfn.XLOOKUP(C1283,M_YT_LIVE_TIMESTAMP!AA:AA,M_YT_LIVE_TIMESTAMP!Z:Z,"★",0,-1))</f>
        <v>#VALUE!</v>
      </c>
    </row>
    <row r="1284" spans="3:30" x14ac:dyDescent="0.4">
      <c r="C1284" s="12" t="str">
        <f t="shared" si="65"/>
        <v/>
      </c>
      <c r="AA1284" s="14">
        <f t="shared" si="66"/>
        <v>0</v>
      </c>
      <c r="AB1284" s="14" t="str">
        <f>_xlfn.XLOOKUP(AA1284,M_ARTIST!A:A,M_ARTIST!B:B,"★★★",0,1)</f>
        <v>★★★</v>
      </c>
      <c r="AC1284" s="14">
        <f t="shared" si="67"/>
        <v>0</v>
      </c>
      <c r="AD1284" s="19" t="e">
        <f>HYPERLINK(_xlfn.XLOOKUP(C1284,M_YT_LIVE_TIMESTAMP!AA:AA,M_YT_LIVE_TIMESTAMP!Z:Z,"★",0,-1))</f>
        <v>#VALUE!</v>
      </c>
    </row>
    <row r="1285" spans="3:30" x14ac:dyDescent="0.4">
      <c r="C1285" s="12" t="str">
        <f t="shared" si="65"/>
        <v/>
      </c>
      <c r="AA1285" s="14">
        <f t="shared" si="66"/>
        <v>0</v>
      </c>
      <c r="AB1285" s="14" t="str">
        <f>_xlfn.XLOOKUP(AA1285,M_ARTIST!A:A,M_ARTIST!B:B,"★★★",0,1)</f>
        <v>★★★</v>
      </c>
      <c r="AC1285" s="14">
        <f t="shared" si="67"/>
        <v>0</v>
      </c>
      <c r="AD1285" s="19" t="e">
        <f>HYPERLINK(_xlfn.XLOOKUP(C1285,M_YT_LIVE_TIMESTAMP!AA:AA,M_YT_LIVE_TIMESTAMP!Z:Z,"★",0,-1))</f>
        <v>#VALUE!</v>
      </c>
    </row>
    <row r="1286" spans="3:30" x14ac:dyDescent="0.4">
      <c r="C1286" s="12" t="str">
        <f t="shared" si="65"/>
        <v/>
      </c>
      <c r="AA1286" s="14">
        <f t="shared" si="66"/>
        <v>0</v>
      </c>
      <c r="AB1286" s="14" t="str">
        <f>_xlfn.XLOOKUP(AA1286,M_ARTIST!A:A,M_ARTIST!B:B,"★★★",0,1)</f>
        <v>★★★</v>
      </c>
      <c r="AC1286" s="14">
        <f t="shared" si="67"/>
        <v>0</v>
      </c>
      <c r="AD1286" s="19" t="e">
        <f>HYPERLINK(_xlfn.XLOOKUP(C1286,M_YT_LIVE_TIMESTAMP!AA:AA,M_YT_LIVE_TIMESTAMP!Z:Z,"★",0,-1))</f>
        <v>#VALUE!</v>
      </c>
    </row>
    <row r="1287" spans="3:30" x14ac:dyDescent="0.4">
      <c r="C1287" s="12" t="str">
        <f t="shared" si="65"/>
        <v/>
      </c>
      <c r="AA1287" s="14">
        <f t="shared" si="66"/>
        <v>0</v>
      </c>
      <c r="AB1287" s="14" t="str">
        <f>_xlfn.XLOOKUP(AA1287,M_ARTIST!A:A,M_ARTIST!B:B,"★★★",0,1)</f>
        <v>★★★</v>
      </c>
      <c r="AC1287" s="14">
        <f t="shared" si="67"/>
        <v>0</v>
      </c>
      <c r="AD1287" s="19" t="e">
        <f>HYPERLINK(_xlfn.XLOOKUP(C1287,M_YT_LIVE_TIMESTAMP!AA:AA,M_YT_LIVE_TIMESTAMP!Z:Z,"★",0,-1))</f>
        <v>#VALUE!</v>
      </c>
    </row>
    <row r="1288" spans="3:30" x14ac:dyDescent="0.4">
      <c r="C1288" s="12" t="str">
        <f t="shared" si="65"/>
        <v/>
      </c>
      <c r="AA1288" s="14">
        <f t="shared" si="66"/>
        <v>0</v>
      </c>
      <c r="AB1288" s="14" t="str">
        <f>_xlfn.XLOOKUP(AA1288,M_ARTIST!A:A,M_ARTIST!B:B,"★★★",0,1)</f>
        <v>★★★</v>
      </c>
      <c r="AC1288" s="14">
        <f t="shared" si="67"/>
        <v>0</v>
      </c>
      <c r="AD1288" s="19" t="e">
        <f>HYPERLINK(_xlfn.XLOOKUP(C1288,M_YT_LIVE_TIMESTAMP!AA:AA,M_YT_LIVE_TIMESTAMP!Z:Z,"★",0,-1))</f>
        <v>#VALUE!</v>
      </c>
    </row>
    <row r="1289" spans="3:30" x14ac:dyDescent="0.4">
      <c r="C1289" s="12" t="str">
        <f t="shared" si="65"/>
        <v/>
      </c>
      <c r="AA1289" s="14">
        <f t="shared" si="66"/>
        <v>0</v>
      </c>
      <c r="AB1289" s="14" t="str">
        <f>_xlfn.XLOOKUP(AA1289,M_ARTIST!A:A,M_ARTIST!B:B,"★★★",0,1)</f>
        <v>★★★</v>
      </c>
      <c r="AC1289" s="14">
        <f t="shared" si="67"/>
        <v>0</v>
      </c>
      <c r="AD1289" s="19" t="e">
        <f>HYPERLINK(_xlfn.XLOOKUP(C1289,M_YT_LIVE_TIMESTAMP!AA:AA,M_YT_LIVE_TIMESTAMP!Z:Z,"★",0,-1))</f>
        <v>#VALUE!</v>
      </c>
    </row>
    <row r="1290" spans="3:30" x14ac:dyDescent="0.4">
      <c r="C1290" s="12" t="str">
        <f t="shared" si="65"/>
        <v/>
      </c>
      <c r="AA1290" s="14">
        <f t="shared" si="66"/>
        <v>0</v>
      </c>
      <c r="AB1290" s="14" t="str">
        <f>_xlfn.XLOOKUP(AA1290,M_ARTIST!A:A,M_ARTIST!B:B,"★★★",0,1)</f>
        <v>★★★</v>
      </c>
      <c r="AC1290" s="14">
        <f t="shared" si="67"/>
        <v>0</v>
      </c>
      <c r="AD1290" s="19" t="e">
        <f>HYPERLINK(_xlfn.XLOOKUP(C1290,M_YT_LIVE_TIMESTAMP!AA:AA,M_YT_LIVE_TIMESTAMP!Z:Z,"★",0,-1))</f>
        <v>#VALUE!</v>
      </c>
    </row>
    <row r="1291" spans="3:30" x14ac:dyDescent="0.4">
      <c r="C1291" s="12" t="str">
        <f t="shared" si="65"/>
        <v/>
      </c>
      <c r="AA1291" s="14">
        <f t="shared" si="66"/>
        <v>0</v>
      </c>
      <c r="AB1291" s="14" t="str">
        <f>_xlfn.XLOOKUP(AA1291,M_ARTIST!A:A,M_ARTIST!B:B,"★★★",0,1)</f>
        <v>★★★</v>
      </c>
      <c r="AC1291" s="14">
        <f t="shared" si="67"/>
        <v>0</v>
      </c>
      <c r="AD1291" s="19" t="e">
        <f>HYPERLINK(_xlfn.XLOOKUP(C1291,M_YT_LIVE_TIMESTAMP!AA:AA,M_YT_LIVE_TIMESTAMP!Z:Z,"★",0,-1))</f>
        <v>#VALUE!</v>
      </c>
    </row>
    <row r="1292" spans="3:30" x14ac:dyDescent="0.4">
      <c r="C1292" s="12" t="str">
        <f t="shared" si="65"/>
        <v/>
      </c>
      <c r="AA1292" s="14">
        <f t="shared" si="66"/>
        <v>0</v>
      </c>
      <c r="AB1292" s="14" t="str">
        <f>_xlfn.XLOOKUP(AA1292,M_ARTIST!A:A,M_ARTIST!B:B,"★★★",0,1)</f>
        <v>★★★</v>
      </c>
      <c r="AC1292" s="14">
        <f t="shared" si="67"/>
        <v>0</v>
      </c>
      <c r="AD1292" s="19" t="e">
        <f>HYPERLINK(_xlfn.XLOOKUP(C1292,M_YT_LIVE_TIMESTAMP!AA:AA,M_YT_LIVE_TIMESTAMP!Z:Z,"★",0,-1))</f>
        <v>#VALUE!</v>
      </c>
    </row>
    <row r="1293" spans="3:30" x14ac:dyDescent="0.4">
      <c r="C1293" s="12" t="str">
        <f t="shared" si="65"/>
        <v/>
      </c>
      <c r="AA1293" s="14">
        <f t="shared" si="66"/>
        <v>0</v>
      </c>
      <c r="AB1293" s="14" t="str">
        <f>_xlfn.XLOOKUP(AA1293,M_ARTIST!A:A,M_ARTIST!B:B,"★★★",0,1)</f>
        <v>★★★</v>
      </c>
      <c r="AC1293" s="14">
        <f t="shared" si="67"/>
        <v>0</v>
      </c>
      <c r="AD1293" s="19" t="e">
        <f>HYPERLINK(_xlfn.XLOOKUP(C1293,M_YT_LIVE_TIMESTAMP!AA:AA,M_YT_LIVE_TIMESTAMP!Z:Z,"★",0,-1))</f>
        <v>#VALUE!</v>
      </c>
    </row>
    <row r="1294" spans="3:30" x14ac:dyDescent="0.4">
      <c r="C1294" s="12" t="str">
        <f t="shared" si="65"/>
        <v/>
      </c>
      <c r="AA1294" s="14">
        <f t="shared" si="66"/>
        <v>0</v>
      </c>
      <c r="AB1294" s="14" t="str">
        <f>_xlfn.XLOOKUP(AA1294,M_ARTIST!A:A,M_ARTIST!B:B,"★★★",0,1)</f>
        <v>★★★</v>
      </c>
      <c r="AC1294" s="14">
        <f t="shared" si="67"/>
        <v>0</v>
      </c>
      <c r="AD1294" s="19" t="e">
        <f>HYPERLINK(_xlfn.XLOOKUP(C1294,M_YT_LIVE_TIMESTAMP!AA:AA,M_YT_LIVE_TIMESTAMP!Z:Z,"★",0,-1))</f>
        <v>#VALUE!</v>
      </c>
    </row>
    <row r="1295" spans="3:30" x14ac:dyDescent="0.4">
      <c r="C1295" s="12" t="str">
        <f t="shared" si="65"/>
        <v/>
      </c>
      <c r="AA1295" s="14">
        <f t="shared" si="66"/>
        <v>0</v>
      </c>
      <c r="AB1295" s="14" t="str">
        <f>_xlfn.XLOOKUP(AA1295,M_ARTIST!A:A,M_ARTIST!B:B,"★★★",0,1)</f>
        <v>★★★</v>
      </c>
      <c r="AC1295" s="14">
        <f t="shared" si="67"/>
        <v>0</v>
      </c>
      <c r="AD1295" s="19" t="e">
        <f>HYPERLINK(_xlfn.XLOOKUP(C1295,M_YT_LIVE_TIMESTAMP!AA:AA,M_YT_LIVE_TIMESTAMP!Z:Z,"★",0,-1))</f>
        <v>#VALUE!</v>
      </c>
    </row>
    <row r="1296" spans="3:30" x14ac:dyDescent="0.4">
      <c r="C1296" s="12" t="str">
        <f t="shared" si="65"/>
        <v/>
      </c>
      <c r="AA1296" s="14">
        <f t="shared" si="66"/>
        <v>0</v>
      </c>
      <c r="AB1296" s="14" t="str">
        <f>_xlfn.XLOOKUP(AA1296,M_ARTIST!A:A,M_ARTIST!B:B,"★★★",0,1)</f>
        <v>★★★</v>
      </c>
      <c r="AC1296" s="14">
        <f t="shared" si="67"/>
        <v>0</v>
      </c>
      <c r="AD1296" s="19" t="e">
        <f>HYPERLINK(_xlfn.XLOOKUP(C1296,M_YT_LIVE_TIMESTAMP!AA:AA,M_YT_LIVE_TIMESTAMP!Z:Z,"★",0,-1))</f>
        <v>#VALUE!</v>
      </c>
    </row>
    <row r="1297" spans="3:30" x14ac:dyDescent="0.4">
      <c r="C1297" s="12" t="str">
        <f t="shared" si="65"/>
        <v/>
      </c>
      <c r="AA1297" s="14">
        <f t="shared" si="66"/>
        <v>0</v>
      </c>
      <c r="AB1297" s="14" t="str">
        <f>_xlfn.XLOOKUP(AA1297,M_ARTIST!A:A,M_ARTIST!B:B,"★★★",0,1)</f>
        <v>★★★</v>
      </c>
      <c r="AC1297" s="14">
        <f t="shared" si="67"/>
        <v>0</v>
      </c>
      <c r="AD1297" s="19" t="e">
        <f>HYPERLINK(_xlfn.XLOOKUP(C1297,M_YT_LIVE_TIMESTAMP!AA:AA,M_YT_LIVE_TIMESTAMP!Z:Z,"★",0,-1))</f>
        <v>#VALUE!</v>
      </c>
    </row>
    <row r="1298" spans="3:30" x14ac:dyDescent="0.4">
      <c r="C1298" s="12" t="str">
        <f t="shared" si="65"/>
        <v/>
      </c>
      <c r="AA1298" s="14">
        <f t="shared" si="66"/>
        <v>0</v>
      </c>
      <c r="AB1298" s="14" t="str">
        <f>_xlfn.XLOOKUP(AA1298,M_ARTIST!A:A,M_ARTIST!B:B,"★★★",0,1)</f>
        <v>★★★</v>
      </c>
      <c r="AC1298" s="14">
        <f t="shared" si="67"/>
        <v>0</v>
      </c>
      <c r="AD1298" s="19" t="e">
        <f>HYPERLINK(_xlfn.XLOOKUP(C1298,M_YT_LIVE_TIMESTAMP!AA:AA,M_YT_LIVE_TIMESTAMP!Z:Z,"★",0,-1))</f>
        <v>#VALUE!</v>
      </c>
    </row>
    <row r="1299" spans="3:30" x14ac:dyDescent="0.4">
      <c r="C1299" s="12" t="str">
        <f t="shared" ref="C1299:C1300" si="68">TRIM(B1299)&amp;TRIM(A1299)</f>
        <v/>
      </c>
      <c r="AA1299" s="14">
        <f t="shared" ref="AA1299:AA1300" si="69">B1299</f>
        <v>0</v>
      </c>
      <c r="AB1299" s="14" t="str">
        <f>_xlfn.XLOOKUP(AA1299,M_ARTIST!A:A,M_ARTIST!B:B,"★★★",0,1)</f>
        <v>★★★</v>
      </c>
      <c r="AC1299" s="14">
        <f t="shared" ref="AC1299:AC1300" si="70">A1299</f>
        <v>0</v>
      </c>
      <c r="AD1299" s="19" t="e">
        <f>HYPERLINK(_xlfn.XLOOKUP(C1299,M_YT_LIVE_TIMESTAMP!AA:AA,M_YT_LIVE_TIMESTAMP!Z:Z,"★",0,-1))</f>
        <v>#VALUE!</v>
      </c>
    </row>
    <row r="1300" spans="3:30" x14ac:dyDescent="0.4">
      <c r="C1300" s="12" t="str">
        <f t="shared" si="68"/>
        <v/>
      </c>
      <c r="AA1300" s="14">
        <f t="shared" si="69"/>
        <v>0</v>
      </c>
      <c r="AB1300" s="14" t="str">
        <f>_xlfn.XLOOKUP(AA1300,M_ARTIST!A:A,M_ARTIST!B:B,"★★★",0,1)</f>
        <v>★★★</v>
      </c>
      <c r="AC1300" s="14">
        <f t="shared" si="70"/>
        <v>0</v>
      </c>
      <c r="AD1300" s="19" t="e">
        <f>HYPERLINK(_xlfn.XLOOKUP(C1300,M_YT_LIVE_TIMESTAMP!AA:AA,M_YT_LIVE_TIMESTAMP!Z:Z,"★",0,-1))</f>
        <v>#VALUE!</v>
      </c>
    </row>
  </sheetData>
  <autoFilter ref="AA1:AD1300" xr:uid="{62228E08-453A-41A8-AA38-767164AE2961}"/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2CB15-B6CF-4A28-AF02-7838A3D87ED2}">
  <dimension ref="A1"/>
  <sheetViews>
    <sheetView zoomScaleNormal="100" workbookViewId="0"/>
  </sheetViews>
  <sheetFormatPr defaultColWidth="2.5" defaultRowHeight="15.75" x14ac:dyDescent="0.4"/>
  <cols>
    <col min="1" max="16384" width="2.5" style="1"/>
  </cols>
  <sheetData/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D957-4076-4C07-99C8-DB9B97920459}">
  <dimension ref="A1:B242"/>
  <sheetViews>
    <sheetView topLeftCell="A217" zoomScaleNormal="100" workbookViewId="0">
      <selection activeCell="A230" sqref="A230:B242"/>
    </sheetView>
  </sheetViews>
  <sheetFormatPr defaultColWidth="2.5" defaultRowHeight="15.75" x14ac:dyDescent="0.4"/>
  <cols>
    <col min="1" max="1" width="70" style="1" bestFit="1" customWidth="1"/>
    <col min="2" max="2" width="77" style="1" bestFit="1" customWidth="1"/>
    <col min="3" max="16384" width="2.5" style="1"/>
  </cols>
  <sheetData>
    <row r="1" spans="1:2" x14ac:dyDescent="0.4">
      <c r="A1" s="1" t="s">
        <v>11</v>
      </c>
      <c r="B1" s="1" t="s">
        <v>1233</v>
      </c>
    </row>
    <row r="2" spans="1:2" x14ac:dyDescent="0.4">
      <c r="A2" s="1" t="s">
        <v>771</v>
      </c>
      <c r="B2" s="1" t="s">
        <v>1371</v>
      </c>
    </row>
    <row r="3" spans="1:2" x14ac:dyDescent="0.4">
      <c r="A3" s="1" t="s">
        <v>205</v>
      </c>
      <c r="B3" s="1" t="s">
        <v>205</v>
      </c>
    </row>
    <row r="4" spans="1:2" x14ac:dyDescent="0.4">
      <c r="A4" s="1" t="s">
        <v>1775</v>
      </c>
      <c r="B4" s="1" t="s">
        <v>1236</v>
      </c>
    </row>
    <row r="5" spans="1:2" x14ac:dyDescent="0.4">
      <c r="A5" s="1" t="s">
        <v>180</v>
      </c>
      <c r="B5" s="1" t="s">
        <v>1237</v>
      </c>
    </row>
    <row r="6" spans="1:2" x14ac:dyDescent="0.4">
      <c r="A6" s="1" t="s">
        <v>1231</v>
      </c>
      <c r="B6" s="1" t="s">
        <v>1238</v>
      </c>
    </row>
    <row r="7" spans="1:2" x14ac:dyDescent="0.4">
      <c r="A7" s="1" t="s">
        <v>273</v>
      </c>
      <c r="B7" s="1" t="s">
        <v>273</v>
      </c>
    </row>
    <row r="8" spans="1:2" x14ac:dyDescent="0.4">
      <c r="A8" s="1" t="s">
        <v>703</v>
      </c>
      <c r="B8" s="1" t="s">
        <v>703</v>
      </c>
    </row>
    <row r="9" spans="1:2" x14ac:dyDescent="0.4">
      <c r="A9" s="1" t="s">
        <v>168</v>
      </c>
      <c r="B9" s="1" t="s">
        <v>168</v>
      </c>
    </row>
    <row r="10" spans="1:2" x14ac:dyDescent="0.4">
      <c r="A10" s="1" t="s">
        <v>1189</v>
      </c>
      <c r="B10" s="1" t="s">
        <v>1189</v>
      </c>
    </row>
    <row r="11" spans="1:2" x14ac:dyDescent="0.4">
      <c r="A11" s="1" t="s">
        <v>1185</v>
      </c>
      <c r="B11" s="1" t="s">
        <v>1185</v>
      </c>
    </row>
    <row r="12" spans="1:2" x14ac:dyDescent="0.4">
      <c r="A12" s="1" t="s">
        <v>1144</v>
      </c>
      <c r="B12" s="1" t="s">
        <v>1144</v>
      </c>
    </row>
    <row r="13" spans="1:2" x14ac:dyDescent="0.4">
      <c r="A13" s="1" t="s">
        <v>1037</v>
      </c>
      <c r="B13" s="1" t="s">
        <v>1239</v>
      </c>
    </row>
    <row r="14" spans="1:2" x14ac:dyDescent="0.4">
      <c r="A14" s="1" t="s">
        <v>1083</v>
      </c>
      <c r="B14" s="1" t="s">
        <v>1240</v>
      </c>
    </row>
    <row r="15" spans="1:2" x14ac:dyDescent="0.4">
      <c r="A15" s="1" t="s">
        <v>1191</v>
      </c>
      <c r="B15" s="1" t="s">
        <v>1191</v>
      </c>
    </row>
    <row r="16" spans="1:2" x14ac:dyDescent="0.4">
      <c r="A16" s="1" t="s">
        <v>1027</v>
      </c>
      <c r="B16" s="1" t="s">
        <v>1027</v>
      </c>
    </row>
    <row r="17" spans="1:2" x14ac:dyDescent="0.4">
      <c r="A17" s="1" t="s">
        <v>790</v>
      </c>
      <c r="B17" s="1" t="s">
        <v>790</v>
      </c>
    </row>
    <row r="18" spans="1:2" x14ac:dyDescent="0.4">
      <c r="A18" s="1" t="s">
        <v>1127</v>
      </c>
      <c r="B18" s="1" t="s">
        <v>1127</v>
      </c>
    </row>
    <row r="19" spans="1:2" x14ac:dyDescent="0.4">
      <c r="A19" s="1" t="s">
        <v>653</v>
      </c>
      <c r="B19" s="1" t="s">
        <v>653</v>
      </c>
    </row>
    <row r="20" spans="1:2" x14ac:dyDescent="0.4">
      <c r="A20" s="1" t="s">
        <v>427</v>
      </c>
      <c r="B20" s="1" t="s">
        <v>1241</v>
      </c>
    </row>
    <row r="21" spans="1:2" x14ac:dyDescent="0.4">
      <c r="A21" s="1" t="s">
        <v>431</v>
      </c>
      <c r="B21" s="1" t="s">
        <v>431</v>
      </c>
    </row>
    <row r="22" spans="1:2" x14ac:dyDescent="0.4">
      <c r="A22" s="1" t="s">
        <v>917</v>
      </c>
      <c r="B22" s="1" t="s">
        <v>1242</v>
      </c>
    </row>
    <row r="23" spans="1:2" x14ac:dyDescent="0.4">
      <c r="A23" s="1" t="s">
        <v>156</v>
      </c>
      <c r="B23" s="1" t="s">
        <v>1243</v>
      </c>
    </row>
    <row r="24" spans="1:2" x14ac:dyDescent="0.4">
      <c r="A24" s="1" t="s">
        <v>112</v>
      </c>
      <c r="B24" s="1" t="s">
        <v>1244</v>
      </c>
    </row>
    <row r="25" spans="1:2" x14ac:dyDescent="0.4">
      <c r="A25" s="1" t="s">
        <v>98</v>
      </c>
      <c r="B25" s="1" t="s">
        <v>1245</v>
      </c>
    </row>
    <row r="26" spans="1:2" x14ac:dyDescent="0.4">
      <c r="A26" s="1" t="s">
        <v>887</v>
      </c>
      <c r="B26" s="1" t="s">
        <v>887</v>
      </c>
    </row>
    <row r="27" spans="1:2" x14ac:dyDescent="0.4">
      <c r="A27" s="1" t="s">
        <v>135</v>
      </c>
      <c r="B27" s="1" t="s">
        <v>135</v>
      </c>
    </row>
    <row r="28" spans="1:2" x14ac:dyDescent="0.4">
      <c r="A28" s="1" t="s">
        <v>466</v>
      </c>
      <c r="B28" s="1" t="s">
        <v>1246</v>
      </c>
    </row>
    <row r="29" spans="1:2" x14ac:dyDescent="0.4">
      <c r="A29" s="1" t="s">
        <v>658</v>
      </c>
      <c r="B29" s="1" t="s">
        <v>658</v>
      </c>
    </row>
    <row r="30" spans="1:2" x14ac:dyDescent="0.4">
      <c r="A30" s="1" t="s">
        <v>1104</v>
      </c>
      <c r="B30" s="1" t="s">
        <v>1104</v>
      </c>
    </row>
    <row r="31" spans="1:2" x14ac:dyDescent="0.4">
      <c r="A31" s="1" t="s">
        <v>284</v>
      </c>
      <c r="B31" s="1" t="s">
        <v>284</v>
      </c>
    </row>
    <row r="32" spans="1:2" x14ac:dyDescent="0.4">
      <c r="A32" s="1" t="s">
        <v>582</v>
      </c>
      <c r="B32" s="1" t="s">
        <v>582</v>
      </c>
    </row>
    <row r="33" spans="1:2" x14ac:dyDescent="0.4">
      <c r="A33" s="1" t="s">
        <v>463</v>
      </c>
      <c r="B33" s="1" t="s">
        <v>463</v>
      </c>
    </row>
    <row r="34" spans="1:2" x14ac:dyDescent="0.4">
      <c r="A34" s="1" t="s">
        <v>599</v>
      </c>
      <c r="B34" s="1" t="s">
        <v>1247</v>
      </c>
    </row>
    <row r="35" spans="1:2" x14ac:dyDescent="0.4">
      <c r="A35" s="1" t="s">
        <v>708</v>
      </c>
      <c r="B35" s="1" t="s">
        <v>1248</v>
      </c>
    </row>
    <row r="36" spans="1:2" x14ac:dyDescent="0.4">
      <c r="A36" s="1" t="s">
        <v>817</v>
      </c>
      <c r="B36" s="1" t="s">
        <v>1249</v>
      </c>
    </row>
    <row r="37" spans="1:2" x14ac:dyDescent="0.4">
      <c r="A37" s="1" t="s">
        <v>785</v>
      </c>
      <c r="B37" s="1" t="s">
        <v>785</v>
      </c>
    </row>
    <row r="38" spans="1:2" x14ac:dyDescent="0.4">
      <c r="A38" s="1" t="s">
        <v>263</v>
      </c>
      <c r="B38" s="1" t="s">
        <v>263</v>
      </c>
    </row>
    <row r="39" spans="1:2" x14ac:dyDescent="0.4">
      <c r="A39" s="1" t="s">
        <v>1021</v>
      </c>
      <c r="B39" s="1" t="s">
        <v>1021</v>
      </c>
    </row>
    <row r="40" spans="1:2" x14ac:dyDescent="0.4">
      <c r="A40" s="1" t="s">
        <v>981</v>
      </c>
      <c r="B40" s="1" t="s">
        <v>1250</v>
      </c>
    </row>
    <row r="41" spans="1:2" x14ac:dyDescent="0.4">
      <c r="A41" s="1" t="s">
        <v>303</v>
      </c>
      <c r="B41" s="1" t="s">
        <v>303</v>
      </c>
    </row>
    <row r="42" spans="1:2" x14ac:dyDescent="0.4">
      <c r="A42" s="1" t="s">
        <v>418</v>
      </c>
      <c r="B42" s="1" t="s">
        <v>1251</v>
      </c>
    </row>
    <row r="43" spans="1:2" x14ac:dyDescent="0.4">
      <c r="A43" s="1" t="s">
        <v>421</v>
      </c>
      <c r="B43" s="1" t="s">
        <v>421</v>
      </c>
    </row>
    <row r="44" spans="1:2" x14ac:dyDescent="0.4">
      <c r="A44" s="1" t="s">
        <v>452</v>
      </c>
      <c r="B44" s="1" t="s">
        <v>1252</v>
      </c>
    </row>
    <row r="45" spans="1:2" x14ac:dyDescent="0.4">
      <c r="A45" s="1" t="s">
        <v>992</v>
      </c>
      <c r="B45" s="1" t="s">
        <v>992</v>
      </c>
    </row>
    <row r="46" spans="1:2" x14ac:dyDescent="0.4">
      <c r="A46" s="1" t="s">
        <v>287</v>
      </c>
      <c r="B46" s="1" t="s">
        <v>287</v>
      </c>
    </row>
    <row r="47" spans="1:2" x14ac:dyDescent="0.4">
      <c r="A47" s="1" t="s">
        <v>390</v>
      </c>
      <c r="B47" s="1" t="s">
        <v>390</v>
      </c>
    </row>
    <row r="48" spans="1:2" x14ac:dyDescent="0.4">
      <c r="A48" s="1" t="s">
        <v>733</v>
      </c>
      <c r="B48" s="1" t="s">
        <v>1234</v>
      </c>
    </row>
    <row r="49" spans="1:2" x14ac:dyDescent="0.4">
      <c r="A49" s="1" t="s">
        <v>245</v>
      </c>
      <c r="B49" s="1" t="s">
        <v>245</v>
      </c>
    </row>
    <row r="50" spans="1:2" x14ac:dyDescent="0.4">
      <c r="A50" s="1" t="s">
        <v>529</v>
      </c>
      <c r="B50" s="1" t="s">
        <v>1253</v>
      </c>
    </row>
    <row r="51" spans="1:2" x14ac:dyDescent="0.4">
      <c r="A51" s="1" t="s">
        <v>54</v>
      </c>
      <c r="B51" s="1" t="s">
        <v>54</v>
      </c>
    </row>
    <row r="52" spans="1:2" x14ac:dyDescent="0.4">
      <c r="A52" s="1" t="s">
        <v>730</v>
      </c>
      <c r="B52" s="1" t="s">
        <v>730</v>
      </c>
    </row>
    <row r="53" spans="1:2" x14ac:dyDescent="0.4">
      <c r="A53" s="1" t="s">
        <v>251</v>
      </c>
      <c r="B53" s="1" t="s">
        <v>1254</v>
      </c>
    </row>
    <row r="54" spans="1:2" x14ac:dyDescent="0.4">
      <c r="A54" s="1" t="s">
        <v>449</v>
      </c>
      <c r="B54" s="1" t="s">
        <v>1255</v>
      </c>
    </row>
    <row r="55" spans="1:2" x14ac:dyDescent="0.4">
      <c r="A55" s="1" t="s">
        <v>260</v>
      </c>
      <c r="B55" s="1" t="s">
        <v>1256</v>
      </c>
    </row>
    <row r="56" spans="1:2" x14ac:dyDescent="0.4">
      <c r="A56" s="1" t="s">
        <v>393</v>
      </c>
      <c r="B56" s="1" t="s">
        <v>393</v>
      </c>
    </row>
    <row r="57" spans="1:2" x14ac:dyDescent="0.4">
      <c r="A57" s="1" t="s">
        <v>125</v>
      </c>
      <c r="B57" s="1" t="s">
        <v>125</v>
      </c>
    </row>
    <row r="58" spans="1:2" x14ac:dyDescent="0.4">
      <c r="A58" s="1" t="s">
        <v>609</v>
      </c>
      <c r="B58" s="1" t="s">
        <v>1257</v>
      </c>
    </row>
    <row r="59" spans="1:2" x14ac:dyDescent="0.4">
      <c r="A59" s="1" t="s">
        <v>118</v>
      </c>
      <c r="B59" s="1" t="s">
        <v>1258</v>
      </c>
    </row>
    <row r="60" spans="1:2" x14ac:dyDescent="0.4">
      <c r="A60" s="1" t="s">
        <v>530</v>
      </c>
      <c r="B60" s="1" t="s">
        <v>1259</v>
      </c>
    </row>
    <row r="61" spans="1:2" x14ac:dyDescent="0.4">
      <c r="A61" s="1" t="s">
        <v>132</v>
      </c>
      <c r="B61" s="1" t="s">
        <v>132</v>
      </c>
    </row>
    <row r="62" spans="1:2" x14ac:dyDescent="0.4">
      <c r="A62" s="1" t="s">
        <v>1161</v>
      </c>
      <c r="B62" s="1" t="s">
        <v>1260</v>
      </c>
    </row>
    <row r="63" spans="1:2" x14ac:dyDescent="0.4">
      <c r="A63" s="1" t="s">
        <v>65</v>
      </c>
      <c r="B63" s="1" t="s">
        <v>1261</v>
      </c>
    </row>
    <row r="64" spans="1:2" x14ac:dyDescent="0.4">
      <c r="A64" s="1" t="s">
        <v>716</v>
      </c>
      <c r="B64" s="1" t="s">
        <v>716</v>
      </c>
    </row>
    <row r="65" spans="1:2" x14ac:dyDescent="0.4">
      <c r="A65" s="1" t="s">
        <v>625</v>
      </c>
      <c r="B65" s="1" t="s">
        <v>625</v>
      </c>
    </row>
    <row r="66" spans="1:2" x14ac:dyDescent="0.4">
      <c r="A66" s="1" t="s">
        <v>832</v>
      </c>
      <c r="B66" s="1" t="s">
        <v>832</v>
      </c>
    </row>
    <row r="67" spans="1:2" x14ac:dyDescent="0.4">
      <c r="A67" s="1" t="s">
        <v>446</v>
      </c>
      <c r="B67" s="1" t="s">
        <v>1262</v>
      </c>
    </row>
    <row r="68" spans="1:2" x14ac:dyDescent="0.4">
      <c r="A68" s="1" t="s">
        <v>225</v>
      </c>
      <c r="B68" s="1" t="s">
        <v>1263</v>
      </c>
    </row>
    <row r="69" spans="1:2" x14ac:dyDescent="0.4">
      <c r="A69" s="1" t="s">
        <v>177</v>
      </c>
      <c r="B69" s="1" t="s">
        <v>177</v>
      </c>
    </row>
    <row r="70" spans="1:2" x14ac:dyDescent="0.4">
      <c r="A70" s="1" t="s">
        <v>884</v>
      </c>
      <c r="B70" s="1" t="s">
        <v>884</v>
      </c>
    </row>
    <row r="71" spans="1:2" x14ac:dyDescent="0.4">
      <c r="A71" s="1" t="s">
        <v>739</v>
      </c>
      <c r="B71" s="1" t="s">
        <v>739</v>
      </c>
    </row>
    <row r="72" spans="1:2" x14ac:dyDescent="0.4">
      <c r="A72" s="1" t="s">
        <v>208</v>
      </c>
      <c r="B72" s="1" t="s">
        <v>208</v>
      </c>
    </row>
    <row r="73" spans="1:2" x14ac:dyDescent="0.4">
      <c r="A73" s="1" t="s">
        <v>889</v>
      </c>
      <c r="B73" s="1" t="s">
        <v>889</v>
      </c>
    </row>
    <row r="74" spans="1:2" x14ac:dyDescent="0.4">
      <c r="A74" s="1" t="s">
        <v>682</v>
      </c>
      <c r="B74" s="1" t="s">
        <v>682</v>
      </c>
    </row>
    <row r="75" spans="1:2" x14ac:dyDescent="0.4">
      <c r="A75" s="1" t="s">
        <v>967</v>
      </c>
      <c r="B75" s="1" t="s">
        <v>967</v>
      </c>
    </row>
    <row r="76" spans="1:2" x14ac:dyDescent="0.4">
      <c r="A76" s="1" t="s">
        <v>341</v>
      </c>
      <c r="B76" s="1" t="s">
        <v>1264</v>
      </c>
    </row>
    <row r="77" spans="1:2" x14ac:dyDescent="0.4">
      <c r="A77" s="1" t="s">
        <v>1132</v>
      </c>
      <c r="B77" s="1" t="s">
        <v>1132</v>
      </c>
    </row>
    <row r="78" spans="1:2" x14ac:dyDescent="0.4">
      <c r="A78" s="1" t="s">
        <v>537</v>
      </c>
      <c r="B78" s="1" t="s">
        <v>537</v>
      </c>
    </row>
    <row r="79" spans="1:2" x14ac:dyDescent="0.4">
      <c r="A79" s="1" t="s">
        <v>667</v>
      </c>
      <c r="B79" s="1" t="s">
        <v>667</v>
      </c>
    </row>
    <row r="80" spans="1:2" x14ac:dyDescent="0.4">
      <c r="A80" s="1" t="s">
        <v>20</v>
      </c>
      <c r="B80" s="1" t="s">
        <v>20</v>
      </c>
    </row>
    <row r="81" spans="1:2" x14ac:dyDescent="0.4">
      <c r="A81" s="1" t="s">
        <v>507</v>
      </c>
      <c r="B81" s="1" t="s">
        <v>507</v>
      </c>
    </row>
    <row r="82" spans="1:2" x14ac:dyDescent="0.4">
      <c r="A82" s="1" t="s">
        <v>276</v>
      </c>
      <c r="B82" s="1" t="s">
        <v>276</v>
      </c>
    </row>
    <row r="83" spans="1:2" x14ac:dyDescent="0.4">
      <c r="A83" s="1" t="s">
        <v>186</v>
      </c>
      <c r="B83" s="1" t="s">
        <v>1265</v>
      </c>
    </row>
    <row r="84" spans="1:2" x14ac:dyDescent="0.4">
      <c r="A84" s="1" t="s">
        <v>1135</v>
      </c>
      <c r="B84" s="1" t="s">
        <v>1135</v>
      </c>
    </row>
    <row r="85" spans="1:2" x14ac:dyDescent="0.4">
      <c r="A85" s="1" t="s">
        <v>670</v>
      </c>
      <c r="B85" s="1" t="s">
        <v>1266</v>
      </c>
    </row>
    <row r="86" spans="1:2" x14ac:dyDescent="0.4">
      <c r="A86" s="1" t="s">
        <v>298</v>
      </c>
      <c r="B86" s="1" t="s">
        <v>298</v>
      </c>
    </row>
    <row r="87" spans="1:2" x14ac:dyDescent="0.4">
      <c r="A87" s="1" t="s">
        <v>407</v>
      </c>
      <c r="B87" s="1" t="s">
        <v>407</v>
      </c>
    </row>
    <row r="88" spans="1:2" x14ac:dyDescent="0.4">
      <c r="A88" s="1" t="s">
        <v>854</v>
      </c>
      <c r="B88" s="1" t="s">
        <v>854</v>
      </c>
    </row>
    <row r="89" spans="1:2" x14ac:dyDescent="0.4">
      <c r="A89" s="1" t="s">
        <v>777</v>
      </c>
      <c r="B89" s="1" t="s">
        <v>1267</v>
      </c>
    </row>
    <row r="90" spans="1:2" x14ac:dyDescent="0.4">
      <c r="A90" s="1" t="s">
        <v>807</v>
      </c>
      <c r="B90" s="1" t="s">
        <v>1268</v>
      </c>
    </row>
    <row r="91" spans="1:2" x14ac:dyDescent="0.4">
      <c r="A91" s="1" t="s">
        <v>1101</v>
      </c>
      <c r="B91" s="1" t="s">
        <v>1269</v>
      </c>
    </row>
    <row r="92" spans="1:2" x14ac:dyDescent="0.4">
      <c r="A92" s="1" t="s">
        <v>183</v>
      </c>
      <c r="B92" s="1" t="s">
        <v>1270</v>
      </c>
    </row>
    <row r="93" spans="1:2" x14ac:dyDescent="0.4">
      <c r="A93" s="1" t="s">
        <v>881</v>
      </c>
      <c r="B93" s="1" t="s">
        <v>1271</v>
      </c>
    </row>
    <row r="94" spans="1:2" x14ac:dyDescent="0.4">
      <c r="A94" s="1" t="s">
        <v>153</v>
      </c>
      <c r="B94" s="1" t="s">
        <v>1272</v>
      </c>
    </row>
    <row r="95" spans="1:2" x14ac:dyDescent="0.4">
      <c r="A95" s="1" t="s">
        <v>1194</v>
      </c>
      <c r="B95" s="1" t="s">
        <v>1273</v>
      </c>
    </row>
    <row r="96" spans="1:2" x14ac:dyDescent="0.4">
      <c r="A96" s="1" t="s">
        <v>455</v>
      </c>
      <c r="B96" s="1" t="s">
        <v>1274</v>
      </c>
    </row>
    <row r="97" spans="1:2" x14ac:dyDescent="0.4">
      <c r="A97" s="1" t="s">
        <v>338</v>
      </c>
      <c r="B97" s="1" t="s">
        <v>1275</v>
      </c>
    </row>
    <row r="98" spans="1:2" x14ac:dyDescent="0.4">
      <c r="A98" s="1" t="s">
        <v>975</v>
      </c>
      <c r="B98" s="1" t="s">
        <v>1276</v>
      </c>
    </row>
    <row r="99" spans="1:2" x14ac:dyDescent="0.4">
      <c r="A99" s="1" t="s">
        <v>1232</v>
      </c>
      <c r="B99" s="1" t="s">
        <v>1277</v>
      </c>
    </row>
    <row r="100" spans="1:2" x14ac:dyDescent="0.4">
      <c r="A100" s="1" t="s">
        <v>650</v>
      </c>
      <c r="B100" s="1" t="s">
        <v>1278</v>
      </c>
    </row>
    <row r="101" spans="1:2" x14ac:dyDescent="0.4">
      <c r="A101" s="1" t="s">
        <v>747</v>
      </c>
      <c r="B101" s="1" t="s">
        <v>1279</v>
      </c>
    </row>
    <row r="102" spans="1:2" x14ac:dyDescent="0.4">
      <c r="A102" s="1" t="s">
        <v>978</v>
      </c>
      <c r="B102" s="1" t="s">
        <v>1280</v>
      </c>
    </row>
    <row r="103" spans="1:2" x14ac:dyDescent="0.4">
      <c r="A103" s="1" t="s">
        <v>115</v>
      </c>
      <c r="B103" s="1" t="s">
        <v>1281</v>
      </c>
    </row>
    <row r="104" spans="1:2" x14ac:dyDescent="0.4">
      <c r="A104" s="1" t="s">
        <v>147</v>
      </c>
      <c r="B104" s="1" t="s">
        <v>1282</v>
      </c>
    </row>
    <row r="105" spans="1:2" x14ac:dyDescent="0.4">
      <c r="A105" s="1" t="s">
        <v>960</v>
      </c>
      <c r="B105" s="1" t="s">
        <v>1283</v>
      </c>
    </row>
    <row r="106" spans="1:2" x14ac:dyDescent="0.4">
      <c r="A106" s="1" t="s">
        <v>81</v>
      </c>
      <c r="B106" s="1" t="s">
        <v>1284</v>
      </c>
    </row>
    <row r="107" spans="1:2" x14ac:dyDescent="0.4">
      <c r="A107" s="1" t="s">
        <v>662</v>
      </c>
      <c r="B107" s="1" t="s">
        <v>1285</v>
      </c>
    </row>
    <row r="108" spans="1:2" x14ac:dyDescent="0.4">
      <c r="A108" s="1" t="s">
        <v>321</v>
      </c>
      <c r="B108" s="1" t="s">
        <v>1286</v>
      </c>
    </row>
    <row r="109" spans="1:2" x14ac:dyDescent="0.4">
      <c r="A109" s="1" t="s">
        <v>847</v>
      </c>
      <c r="B109" s="1" t="s">
        <v>1287</v>
      </c>
    </row>
    <row r="110" spans="1:2" x14ac:dyDescent="0.4">
      <c r="A110" s="1" t="s">
        <v>366</v>
      </c>
      <c r="B110" s="1" t="s">
        <v>1288</v>
      </c>
    </row>
    <row r="111" spans="1:2" x14ac:dyDescent="0.4">
      <c r="A111" s="1" t="s">
        <v>986</v>
      </c>
      <c r="B111" s="1" t="s">
        <v>1289</v>
      </c>
    </row>
    <row r="112" spans="1:2" x14ac:dyDescent="0.4">
      <c r="A112" s="1" t="s">
        <v>75</v>
      </c>
      <c r="B112" s="1" t="s">
        <v>1290</v>
      </c>
    </row>
    <row r="113" spans="1:2" x14ac:dyDescent="0.4">
      <c r="A113" s="1" t="s">
        <v>228</v>
      </c>
      <c r="B113" s="1" t="s">
        <v>1290</v>
      </c>
    </row>
    <row r="114" spans="1:2" x14ac:dyDescent="0.4">
      <c r="A114" s="1" t="s">
        <v>867</v>
      </c>
      <c r="B114" s="1" t="s">
        <v>1291</v>
      </c>
    </row>
    <row r="115" spans="1:2" x14ac:dyDescent="0.4">
      <c r="A115" s="1" t="s">
        <v>673</v>
      </c>
      <c r="B115" s="1" t="s">
        <v>1292</v>
      </c>
    </row>
    <row r="116" spans="1:2" x14ac:dyDescent="0.4">
      <c r="A116" s="1" t="s">
        <v>768</v>
      </c>
      <c r="B116" s="1" t="s">
        <v>1293</v>
      </c>
    </row>
    <row r="117" spans="1:2" x14ac:dyDescent="0.4">
      <c r="A117" s="1" t="s">
        <v>78</v>
      </c>
      <c r="B117" s="1" t="s">
        <v>1294</v>
      </c>
    </row>
    <row r="118" spans="1:2" x14ac:dyDescent="0.4">
      <c r="A118" s="1" t="s">
        <v>1180</v>
      </c>
      <c r="B118" s="1" t="s">
        <v>1295</v>
      </c>
    </row>
    <row r="119" spans="1:2" x14ac:dyDescent="0.4">
      <c r="A119" s="1" t="s">
        <v>424</v>
      </c>
      <c r="B119" s="1" t="s">
        <v>1296</v>
      </c>
    </row>
    <row r="120" spans="1:2" x14ac:dyDescent="0.4">
      <c r="A120" s="1" t="s">
        <v>573</v>
      </c>
      <c r="B120" s="1" t="s">
        <v>1297</v>
      </c>
    </row>
    <row r="121" spans="1:2" x14ac:dyDescent="0.4">
      <c r="A121" s="1" t="s">
        <v>942</v>
      </c>
      <c r="B121" s="1" t="s">
        <v>942</v>
      </c>
    </row>
    <row r="122" spans="1:2" x14ac:dyDescent="0.4">
      <c r="A122" s="1" t="s">
        <v>385</v>
      </c>
      <c r="B122" s="1" t="s">
        <v>1298</v>
      </c>
    </row>
    <row r="123" spans="1:2" x14ac:dyDescent="0.4">
      <c r="A123" s="1" t="s">
        <v>257</v>
      </c>
      <c r="B123" s="1" t="s">
        <v>1299</v>
      </c>
    </row>
    <row r="124" spans="1:2" x14ac:dyDescent="0.4">
      <c r="A124" s="1" t="s">
        <v>1176</v>
      </c>
      <c r="B124" s="1" t="s">
        <v>1300</v>
      </c>
    </row>
    <row r="125" spans="1:2" x14ac:dyDescent="0.4">
      <c r="A125" s="1" t="s">
        <v>904</v>
      </c>
      <c r="B125" s="1" t="s">
        <v>904</v>
      </c>
    </row>
    <row r="126" spans="1:2" x14ac:dyDescent="0.4">
      <c r="A126" s="1" t="s">
        <v>436</v>
      </c>
      <c r="B126" s="1" t="s">
        <v>1301</v>
      </c>
    </row>
    <row r="127" spans="1:2" x14ac:dyDescent="0.4">
      <c r="A127" s="1" t="s">
        <v>971</v>
      </c>
      <c r="B127" s="1" t="s">
        <v>1302</v>
      </c>
    </row>
    <row r="128" spans="1:2" x14ac:dyDescent="0.4">
      <c r="A128" s="1" t="s">
        <v>1141</v>
      </c>
      <c r="B128" s="1" t="s">
        <v>1303</v>
      </c>
    </row>
    <row r="129" spans="1:2" x14ac:dyDescent="0.4">
      <c r="A129" s="1" t="s">
        <v>107</v>
      </c>
      <c r="B129" s="1" t="s">
        <v>1304</v>
      </c>
    </row>
    <row r="130" spans="1:2" x14ac:dyDescent="0.4">
      <c r="A130" s="1" t="s">
        <v>527</v>
      </c>
      <c r="B130" s="1" t="s">
        <v>1305</v>
      </c>
    </row>
    <row r="131" spans="1:2" x14ac:dyDescent="0.4">
      <c r="A131" s="1" t="s">
        <v>460</v>
      </c>
      <c r="B131" s="1" t="s">
        <v>1306</v>
      </c>
    </row>
    <row r="132" spans="1:2" x14ac:dyDescent="0.4">
      <c r="A132" s="1" t="s">
        <v>267</v>
      </c>
      <c r="B132" s="1" t="s">
        <v>1307</v>
      </c>
    </row>
    <row r="133" spans="1:2" x14ac:dyDescent="0.4">
      <c r="A133" s="1" t="s">
        <v>934</v>
      </c>
      <c r="B133" s="1" t="s">
        <v>1308</v>
      </c>
    </row>
    <row r="134" spans="1:2" x14ac:dyDescent="0.4">
      <c r="A134" s="1" t="s">
        <v>1182</v>
      </c>
      <c r="B134" s="1" t="s">
        <v>1309</v>
      </c>
    </row>
    <row r="135" spans="1:2" x14ac:dyDescent="0.4">
      <c r="A135" s="1" t="s">
        <v>1178</v>
      </c>
      <c r="B135" s="1" t="s">
        <v>1310</v>
      </c>
    </row>
    <row r="136" spans="1:2" x14ac:dyDescent="0.4">
      <c r="A136" s="1" t="s">
        <v>138</v>
      </c>
      <c r="B136" s="1" t="s">
        <v>1311</v>
      </c>
    </row>
    <row r="137" spans="1:2" x14ac:dyDescent="0.4">
      <c r="A137" s="1" t="s">
        <v>892</v>
      </c>
      <c r="B137" s="1" t="s">
        <v>1312</v>
      </c>
    </row>
    <row r="138" spans="1:2" x14ac:dyDescent="0.4">
      <c r="A138" s="1" t="s">
        <v>144</v>
      </c>
      <c r="B138" s="1" t="s">
        <v>1313</v>
      </c>
    </row>
    <row r="139" spans="1:2" x14ac:dyDescent="0.4">
      <c r="A139" s="1" t="s">
        <v>528</v>
      </c>
      <c r="B139" s="1" t="s">
        <v>528</v>
      </c>
    </row>
    <row r="140" spans="1:2" x14ac:dyDescent="0.4">
      <c r="A140" s="1" t="s">
        <v>619</v>
      </c>
      <c r="B140" s="1" t="s">
        <v>1314</v>
      </c>
    </row>
    <row r="141" spans="1:2" x14ac:dyDescent="0.4">
      <c r="A141" s="1" t="s">
        <v>150</v>
      </c>
      <c r="B141" s="1" t="s">
        <v>1315</v>
      </c>
    </row>
    <row r="142" spans="1:2" x14ac:dyDescent="0.4">
      <c r="A142" s="1" t="s">
        <v>1047</v>
      </c>
      <c r="B142" s="1" t="s">
        <v>1316</v>
      </c>
    </row>
    <row r="143" spans="1:2" x14ac:dyDescent="0.4">
      <c r="A143" s="1" t="s">
        <v>44</v>
      </c>
      <c r="B143" s="1" t="s">
        <v>1317</v>
      </c>
    </row>
    <row r="144" spans="1:2" x14ac:dyDescent="0.4">
      <c r="A144" s="1" t="s">
        <v>195</v>
      </c>
      <c r="B144" s="1" t="s">
        <v>195</v>
      </c>
    </row>
    <row r="145" spans="1:2" x14ac:dyDescent="0.4">
      <c r="A145" s="1" t="s">
        <v>159</v>
      </c>
      <c r="B145" s="1" t="s">
        <v>1318</v>
      </c>
    </row>
    <row r="146" spans="1:2" x14ac:dyDescent="0.4">
      <c r="A146" s="1" t="s">
        <v>736</v>
      </c>
      <c r="B146" s="1" t="s">
        <v>1319</v>
      </c>
    </row>
    <row r="147" spans="1:2" x14ac:dyDescent="0.4">
      <c r="A147" s="1" t="s">
        <v>864</v>
      </c>
      <c r="B147" s="1" t="s">
        <v>864</v>
      </c>
    </row>
    <row r="148" spans="1:2" x14ac:dyDescent="0.4">
      <c r="A148" s="1" t="s">
        <v>141</v>
      </c>
      <c r="B148" s="1" t="s">
        <v>1320</v>
      </c>
    </row>
    <row r="149" spans="1:2" x14ac:dyDescent="0.4">
      <c r="A149" s="1" t="s">
        <v>1117</v>
      </c>
      <c r="B149" s="1" t="s">
        <v>1321</v>
      </c>
    </row>
    <row r="150" spans="1:2" x14ac:dyDescent="0.4">
      <c r="A150" s="1" t="s">
        <v>327</v>
      </c>
      <c r="B150" s="1" t="s">
        <v>1322</v>
      </c>
    </row>
    <row r="151" spans="1:2" x14ac:dyDescent="0.4">
      <c r="A151" s="1" t="s">
        <v>414</v>
      </c>
      <c r="B151" s="1" t="s">
        <v>1323</v>
      </c>
    </row>
    <row r="152" spans="1:2" x14ac:dyDescent="0.4">
      <c r="A152" s="1" t="s">
        <v>270</v>
      </c>
      <c r="B152" s="1" t="s">
        <v>1324</v>
      </c>
    </row>
    <row r="153" spans="1:2" x14ac:dyDescent="0.4">
      <c r="A153" s="1" t="s">
        <v>713</v>
      </c>
      <c r="B153" s="1" t="s">
        <v>1325</v>
      </c>
    </row>
    <row r="154" spans="1:2" x14ac:dyDescent="0.4">
      <c r="A154" s="1" t="s">
        <v>577</v>
      </c>
      <c r="B154" s="1" t="s">
        <v>1326</v>
      </c>
    </row>
    <row r="155" spans="1:2" x14ac:dyDescent="0.4">
      <c r="A155" s="1" t="s">
        <v>870</v>
      </c>
      <c r="B155" s="1" t="s">
        <v>1327</v>
      </c>
    </row>
    <row r="156" spans="1:2" x14ac:dyDescent="0.4">
      <c r="A156" s="1" t="s">
        <v>295</v>
      </c>
      <c r="B156" s="1" t="s">
        <v>1328</v>
      </c>
    </row>
    <row r="157" spans="1:2" x14ac:dyDescent="0.4">
      <c r="A157" s="1" t="s">
        <v>292</v>
      </c>
      <c r="B157" s="1" t="s">
        <v>1329</v>
      </c>
    </row>
    <row r="158" spans="1:2" x14ac:dyDescent="0.4">
      <c r="A158" s="1" t="s">
        <v>1018</v>
      </c>
      <c r="B158" s="1" t="s">
        <v>1330</v>
      </c>
    </row>
    <row r="159" spans="1:2" x14ac:dyDescent="0.4">
      <c r="A159" s="1" t="s">
        <v>782</v>
      </c>
      <c r="B159" s="1" t="s">
        <v>1331</v>
      </c>
    </row>
    <row r="160" spans="1:2" x14ac:dyDescent="0.4">
      <c r="A160" s="1" t="s">
        <v>603</v>
      </c>
      <c r="B160" s="1" t="s">
        <v>1332</v>
      </c>
    </row>
    <row r="161" spans="1:2" x14ac:dyDescent="0.4">
      <c r="A161" s="1" t="s">
        <v>192</v>
      </c>
      <c r="B161" s="1" t="s">
        <v>1333</v>
      </c>
    </row>
    <row r="162" spans="1:2" x14ac:dyDescent="0.4">
      <c r="A162" s="1" t="s">
        <v>475</v>
      </c>
      <c r="B162" s="1" t="s">
        <v>1334</v>
      </c>
    </row>
    <row r="163" spans="1:2" x14ac:dyDescent="0.4">
      <c r="A163" s="1" t="s">
        <v>614</v>
      </c>
      <c r="B163" s="1" t="s">
        <v>1335</v>
      </c>
    </row>
    <row r="164" spans="1:2" x14ac:dyDescent="0.4">
      <c r="A164" s="1" t="s">
        <v>531</v>
      </c>
      <c r="B164" s="1" t="s">
        <v>1336</v>
      </c>
    </row>
    <row r="165" spans="1:2" x14ac:dyDescent="0.4">
      <c r="A165" s="1" t="s">
        <v>104</v>
      </c>
      <c r="B165" s="1" t="s">
        <v>1337</v>
      </c>
    </row>
    <row r="166" spans="1:2" x14ac:dyDescent="0.4">
      <c r="A166" s="1" t="s">
        <v>936</v>
      </c>
      <c r="B166" s="1" t="s">
        <v>1338</v>
      </c>
    </row>
    <row r="167" spans="1:2" x14ac:dyDescent="0.4">
      <c r="A167" s="1" t="s">
        <v>478</v>
      </c>
      <c r="B167" s="1" t="s">
        <v>1339</v>
      </c>
    </row>
    <row r="168" spans="1:2" x14ac:dyDescent="0.4">
      <c r="A168" s="1" t="s">
        <v>698</v>
      </c>
      <c r="B168" s="1" t="s">
        <v>1340</v>
      </c>
    </row>
    <row r="169" spans="1:2" x14ac:dyDescent="0.4">
      <c r="A169" s="1" t="s">
        <v>939</v>
      </c>
      <c r="B169" s="1" t="s">
        <v>1341</v>
      </c>
    </row>
    <row r="170" spans="1:2" x14ac:dyDescent="0.4">
      <c r="A170" s="1" t="s">
        <v>873</v>
      </c>
      <c r="B170" s="1" t="s">
        <v>1342</v>
      </c>
    </row>
    <row r="171" spans="1:2" x14ac:dyDescent="0.4">
      <c r="A171" s="1" t="s">
        <v>404</v>
      </c>
      <c r="B171" s="1" t="s">
        <v>1343</v>
      </c>
    </row>
    <row r="172" spans="1:2" x14ac:dyDescent="0.4">
      <c r="A172" s="1" t="s">
        <v>254</v>
      </c>
      <c r="B172" s="1" t="s">
        <v>1344</v>
      </c>
    </row>
    <row r="173" spans="1:2" x14ac:dyDescent="0.4">
      <c r="A173" s="1" t="s">
        <v>861</v>
      </c>
      <c r="B173" s="1" t="s">
        <v>1345</v>
      </c>
    </row>
    <row r="174" spans="1:2" x14ac:dyDescent="0.4">
      <c r="A174" s="1" t="s">
        <v>914</v>
      </c>
      <c r="B174" s="1" t="s">
        <v>1346</v>
      </c>
    </row>
    <row r="175" spans="1:2" x14ac:dyDescent="0.4">
      <c r="A175" s="1" t="s">
        <v>692</v>
      </c>
      <c r="B175" s="1" t="s">
        <v>1347</v>
      </c>
    </row>
    <row r="176" spans="1:2" x14ac:dyDescent="0.4">
      <c r="A176" s="1" t="s">
        <v>606</v>
      </c>
      <c r="B176" s="1" t="s">
        <v>1348</v>
      </c>
    </row>
    <row r="177" spans="1:2" x14ac:dyDescent="0.4">
      <c r="A177" s="1" t="s">
        <v>544</v>
      </c>
      <c r="B177" s="1" t="s">
        <v>1349</v>
      </c>
    </row>
    <row r="178" spans="1:2" x14ac:dyDescent="0.4">
      <c r="A178" s="1" t="s">
        <v>441</v>
      </c>
      <c r="B178" s="1" t="s">
        <v>1350</v>
      </c>
    </row>
    <row r="179" spans="1:2" x14ac:dyDescent="0.4">
      <c r="A179" s="1" t="s">
        <v>88</v>
      </c>
      <c r="B179" s="1" t="s">
        <v>1351</v>
      </c>
    </row>
    <row r="180" spans="1:2" x14ac:dyDescent="0.4">
      <c r="A180" s="1" t="s">
        <v>248</v>
      </c>
      <c r="B180" s="1" t="s">
        <v>1352</v>
      </c>
    </row>
    <row r="181" spans="1:2" x14ac:dyDescent="0.4">
      <c r="A181" s="1" t="s">
        <v>876</v>
      </c>
      <c r="B181" s="1" t="s">
        <v>1353</v>
      </c>
    </row>
    <row r="182" spans="1:2" x14ac:dyDescent="0.4">
      <c r="A182" s="1" t="s">
        <v>547</v>
      </c>
      <c r="B182" s="1" t="s">
        <v>1354</v>
      </c>
    </row>
    <row r="183" spans="1:2" x14ac:dyDescent="0.4">
      <c r="A183" s="1" t="s">
        <v>721</v>
      </c>
      <c r="B183" s="1" t="s">
        <v>1355</v>
      </c>
    </row>
    <row r="184" spans="1:2" x14ac:dyDescent="0.4">
      <c r="A184" s="1" t="s">
        <v>84</v>
      </c>
      <c r="B184" s="1" t="s">
        <v>1356</v>
      </c>
    </row>
    <row r="185" spans="1:2" x14ac:dyDescent="0.4">
      <c r="A185" s="1" t="s">
        <v>72</v>
      </c>
      <c r="B185" s="1" t="s">
        <v>1357</v>
      </c>
    </row>
    <row r="186" spans="1:2" x14ac:dyDescent="0.4">
      <c r="A186" s="1" t="s">
        <v>924</v>
      </c>
      <c r="B186" s="1" t="s">
        <v>1358</v>
      </c>
    </row>
    <row r="187" spans="1:2" x14ac:dyDescent="0.4">
      <c r="A187" s="1" t="s">
        <v>279</v>
      </c>
      <c r="B187" s="1" t="s">
        <v>1359</v>
      </c>
    </row>
    <row r="188" spans="1:2" x14ac:dyDescent="0.4">
      <c r="A188" s="1" t="s">
        <v>596</v>
      </c>
      <c r="B188" s="1" t="s">
        <v>1360</v>
      </c>
    </row>
    <row r="189" spans="1:2" x14ac:dyDescent="0.4">
      <c r="A189" s="1" t="s">
        <v>57</v>
      </c>
      <c r="B189" s="1" t="s">
        <v>1361</v>
      </c>
    </row>
    <row r="190" spans="1:2" x14ac:dyDescent="0.4">
      <c r="A190" s="1" t="s">
        <v>1138</v>
      </c>
      <c r="B190" s="1" t="s">
        <v>1362</v>
      </c>
    </row>
    <row r="191" spans="1:2" x14ac:dyDescent="0.4">
      <c r="A191" s="1" t="s">
        <v>989</v>
      </c>
      <c r="B191" s="1" t="s">
        <v>1363</v>
      </c>
    </row>
    <row r="192" spans="1:2" x14ac:dyDescent="0.4">
      <c r="A192" s="1" t="s">
        <v>931</v>
      </c>
      <c r="B192" s="1" t="s">
        <v>1364</v>
      </c>
    </row>
    <row r="193" spans="1:2" x14ac:dyDescent="0.4">
      <c r="A193" s="1" t="s">
        <v>1124</v>
      </c>
      <c r="B193" s="1" t="s">
        <v>1365</v>
      </c>
    </row>
    <row r="194" spans="1:2" x14ac:dyDescent="0.4">
      <c r="A194" s="1" t="s">
        <v>336</v>
      </c>
      <c r="B194" s="1" t="s">
        <v>1366</v>
      </c>
    </row>
    <row r="195" spans="1:2" x14ac:dyDescent="0.4">
      <c r="A195" s="1" t="s">
        <v>333</v>
      </c>
      <c r="B195" s="1" t="s">
        <v>1367</v>
      </c>
    </row>
    <row r="196" spans="1:2" x14ac:dyDescent="0.4">
      <c r="A196" s="1" t="s">
        <v>200</v>
      </c>
      <c r="B196" s="1" t="s">
        <v>1368</v>
      </c>
    </row>
    <row r="197" spans="1:2" x14ac:dyDescent="0.4">
      <c r="A197" s="1" t="s">
        <v>774</v>
      </c>
      <c r="B197" s="1" t="s">
        <v>1369</v>
      </c>
    </row>
    <row r="198" spans="1:2" x14ac:dyDescent="0.4">
      <c r="A198" s="1" t="s">
        <v>330</v>
      </c>
      <c r="B198" s="1" t="s">
        <v>1370</v>
      </c>
    </row>
    <row r="199" spans="1:2" x14ac:dyDescent="0.4">
      <c r="A199" s="1" t="s">
        <v>1419</v>
      </c>
      <c r="B199" s="1" t="s">
        <v>1420</v>
      </c>
    </row>
    <row r="200" spans="1:2" x14ac:dyDescent="0.4">
      <c r="A200" s="1" t="s">
        <v>1421</v>
      </c>
      <c r="B200" s="1" t="s">
        <v>1421</v>
      </c>
    </row>
    <row r="201" spans="1:2" x14ac:dyDescent="0.4">
      <c r="A201" s="1" t="s">
        <v>1401</v>
      </c>
      <c r="B201" s="1" t="s">
        <v>1422</v>
      </c>
    </row>
    <row r="202" spans="1:2" x14ac:dyDescent="0.4">
      <c r="A202" s="1" t="s">
        <v>1477</v>
      </c>
      <c r="B202" s="1" t="s">
        <v>1495</v>
      </c>
    </row>
    <row r="203" spans="1:2" x14ac:dyDescent="0.4">
      <c r="A203" s="1" t="s">
        <v>1482</v>
      </c>
      <c r="B203" s="1" t="s">
        <v>1491</v>
      </c>
    </row>
    <row r="204" spans="1:2" x14ac:dyDescent="0.4">
      <c r="A204" s="1" t="s">
        <v>1474</v>
      </c>
      <c r="B204" s="1" t="s">
        <v>1474</v>
      </c>
    </row>
    <row r="205" spans="1:2" x14ac:dyDescent="0.4">
      <c r="A205" s="1" t="s">
        <v>1455</v>
      </c>
      <c r="B205" s="1" t="s">
        <v>1492</v>
      </c>
    </row>
    <row r="206" spans="1:2" x14ac:dyDescent="0.4">
      <c r="A206" s="1" t="s">
        <v>1485</v>
      </c>
      <c r="B206" s="1" t="s">
        <v>1493</v>
      </c>
    </row>
    <row r="207" spans="1:2" x14ac:dyDescent="0.4">
      <c r="A207" s="1" t="s">
        <v>1451</v>
      </c>
      <c r="B207" s="1" t="s">
        <v>1494</v>
      </c>
    </row>
    <row r="208" spans="1:2" x14ac:dyDescent="0.4">
      <c r="A208" s="1" t="s">
        <v>1436</v>
      </c>
      <c r="B208" s="1" t="s">
        <v>1538</v>
      </c>
    </row>
    <row r="209" spans="1:2" x14ac:dyDescent="0.4">
      <c r="A209" s="1" t="s">
        <v>1524</v>
      </c>
      <c r="B209" s="1" t="s">
        <v>1524</v>
      </c>
    </row>
    <row r="210" spans="1:2" x14ac:dyDescent="0.4">
      <c r="A210" s="1" t="s">
        <v>1521</v>
      </c>
      <c r="B210" s="1" t="s">
        <v>1537</v>
      </c>
    </row>
    <row r="211" spans="1:2" x14ac:dyDescent="0.4">
      <c r="A211" s="1" t="s">
        <v>1517</v>
      </c>
      <c r="B211" s="1" t="s">
        <v>1517</v>
      </c>
    </row>
    <row r="212" spans="1:2" x14ac:dyDescent="0.4">
      <c r="A212" s="1" t="s">
        <v>1527</v>
      </c>
      <c r="B212" s="1" t="s">
        <v>1539</v>
      </c>
    </row>
    <row r="213" spans="1:2" x14ac:dyDescent="0.4">
      <c r="A213" s="1" t="s">
        <v>1703</v>
      </c>
      <c r="B213" s="1" t="s">
        <v>1703</v>
      </c>
    </row>
    <row r="214" spans="1:2" x14ac:dyDescent="0.4">
      <c r="A214" s="1" t="s">
        <v>1609</v>
      </c>
      <c r="B214" s="1" t="s">
        <v>1609</v>
      </c>
    </row>
    <row r="215" spans="1:2" x14ac:dyDescent="0.4">
      <c r="A215" s="1" t="s">
        <v>1718</v>
      </c>
      <c r="B215" s="1" t="s">
        <v>1718</v>
      </c>
    </row>
    <row r="216" spans="1:2" x14ac:dyDescent="0.4">
      <c r="A216" s="1" t="s">
        <v>1621</v>
      </c>
      <c r="B216" s="1" t="s">
        <v>1621</v>
      </c>
    </row>
    <row r="217" spans="1:2" x14ac:dyDescent="0.4">
      <c r="A217" s="1" t="s">
        <v>1651</v>
      </c>
      <c r="B217" s="1" t="s">
        <v>1651</v>
      </c>
    </row>
    <row r="218" spans="1:2" x14ac:dyDescent="0.4">
      <c r="A218" s="1" t="s">
        <v>1735</v>
      </c>
      <c r="B218" s="1" t="s">
        <v>1735</v>
      </c>
    </row>
    <row r="219" spans="1:2" x14ac:dyDescent="0.4">
      <c r="A219" s="1" t="s">
        <v>1715</v>
      </c>
      <c r="B219" s="1" t="s">
        <v>1715</v>
      </c>
    </row>
    <row r="220" spans="1:2" x14ac:dyDescent="0.4">
      <c r="A220" s="1" t="s">
        <v>1572</v>
      </c>
      <c r="B220" s="1" t="s">
        <v>1572</v>
      </c>
    </row>
    <row r="221" spans="1:2" x14ac:dyDescent="0.4">
      <c r="A221" s="1" t="s">
        <v>1686</v>
      </c>
      <c r="B221" s="1" t="s">
        <v>1686</v>
      </c>
    </row>
    <row r="222" spans="1:2" x14ac:dyDescent="0.4">
      <c r="A222" s="1" t="s">
        <v>1738</v>
      </c>
      <c r="B222" s="1" t="s">
        <v>1738</v>
      </c>
    </row>
    <row r="223" spans="1:2" x14ac:dyDescent="0.4">
      <c r="A223" s="1" t="s">
        <v>1746</v>
      </c>
      <c r="B223" s="1" t="s">
        <v>1746</v>
      </c>
    </row>
    <row r="224" spans="1:2" x14ac:dyDescent="0.4">
      <c r="A224" s="1" t="s">
        <v>1690</v>
      </c>
      <c r="B224" s="1" t="s">
        <v>1690</v>
      </c>
    </row>
    <row r="225" spans="1:2" x14ac:dyDescent="0.4">
      <c r="A225" s="1" t="s">
        <v>1693</v>
      </c>
      <c r="B225" s="1" t="s">
        <v>1693</v>
      </c>
    </row>
    <row r="226" spans="1:2" x14ac:dyDescent="0.4">
      <c r="A226" s="1" t="s">
        <v>1659</v>
      </c>
      <c r="B226" s="1" t="s">
        <v>1659</v>
      </c>
    </row>
    <row r="227" spans="1:2" x14ac:dyDescent="0.4">
      <c r="A227" s="1" t="s">
        <v>1675</v>
      </c>
      <c r="B227" s="1" t="s">
        <v>1675</v>
      </c>
    </row>
    <row r="228" spans="1:2" x14ac:dyDescent="0.4">
      <c r="A228" s="1" t="s">
        <v>1669</v>
      </c>
      <c r="B228" s="1" t="s">
        <v>1669</v>
      </c>
    </row>
    <row r="229" spans="1:2" x14ac:dyDescent="0.4">
      <c r="A229" s="1" t="b">
        <v>1</v>
      </c>
      <c r="B229" s="1" t="b">
        <v>1</v>
      </c>
    </row>
    <row r="230" spans="1:2" x14ac:dyDescent="0.4">
      <c r="A230" s="1" t="s">
        <v>1615</v>
      </c>
      <c r="B230" s="1" t="s">
        <v>1777</v>
      </c>
    </row>
    <row r="231" spans="1:2" x14ac:dyDescent="0.4">
      <c r="A231" s="1" t="s">
        <v>1569</v>
      </c>
      <c r="B231" s="1" t="s">
        <v>1778</v>
      </c>
    </row>
    <row r="232" spans="1:2" x14ac:dyDescent="0.4">
      <c r="A232" s="1" t="s">
        <v>1664</v>
      </c>
      <c r="B232" s="1" t="s">
        <v>1779</v>
      </c>
    </row>
    <row r="233" spans="1:2" x14ac:dyDescent="0.4">
      <c r="A233" s="1" t="s">
        <v>1774</v>
      </c>
      <c r="B233" s="1" t="s">
        <v>1780</v>
      </c>
    </row>
    <row r="234" spans="1:2" x14ac:dyDescent="0.4">
      <c r="A234" s="1" t="s">
        <v>1764</v>
      </c>
      <c r="B234" s="1" t="s">
        <v>1764</v>
      </c>
    </row>
    <row r="235" spans="1:2" x14ac:dyDescent="0.4">
      <c r="A235" s="1" t="s">
        <v>1625</v>
      </c>
      <c r="B235" s="1" t="s">
        <v>1781</v>
      </c>
    </row>
    <row r="236" spans="1:2" x14ac:dyDescent="0.4">
      <c r="A236" s="1" t="s">
        <v>1575</v>
      </c>
      <c r="B236" s="1" t="s">
        <v>1782</v>
      </c>
    </row>
    <row r="237" spans="1:2" x14ac:dyDescent="0.4">
      <c r="A237" s="1" t="s">
        <v>1753</v>
      </c>
      <c r="B237" s="1" t="s">
        <v>1753</v>
      </c>
    </row>
    <row r="238" spans="1:2" x14ac:dyDescent="0.4">
      <c r="A238" s="1" t="s">
        <v>1741</v>
      </c>
      <c r="B238" s="1" t="s">
        <v>1783</v>
      </c>
    </row>
    <row r="239" spans="1:2" x14ac:dyDescent="0.4">
      <c r="A239" s="1" t="s">
        <v>1696</v>
      </c>
      <c r="B239" s="1" t="s">
        <v>1784</v>
      </c>
    </row>
    <row r="240" spans="1:2" x14ac:dyDescent="0.4">
      <c r="A240" s="1" t="s">
        <v>1756</v>
      </c>
      <c r="B240" s="1" t="s">
        <v>1785</v>
      </c>
    </row>
    <row r="241" spans="1:2" x14ac:dyDescent="0.4">
      <c r="A241" s="1" t="s">
        <v>1596</v>
      </c>
      <c r="B241" s="1" t="s">
        <v>1786</v>
      </c>
    </row>
    <row r="242" spans="1:2" x14ac:dyDescent="0.4">
      <c r="A242" s="1" t="s">
        <v>1726</v>
      </c>
      <c r="B242" s="1" t="s">
        <v>1787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0E387-E58C-4BDC-921B-E2AE721A2F40}">
  <dimension ref="A1:C6"/>
  <sheetViews>
    <sheetView zoomScaleNormal="100" workbookViewId="0"/>
  </sheetViews>
  <sheetFormatPr defaultColWidth="2.5" defaultRowHeight="15.75" x14ac:dyDescent="0.4"/>
  <cols>
    <col min="1" max="1" width="3.25" style="1" bestFit="1" customWidth="1"/>
    <col min="2" max="2" width="10.25" style="1" bestFit="1" customWidth="1"/>
    <col min="3" max="3" width="11.5" style="1" bestFit="1" customWidth="1"/>
    <col min="4" max="16384" width="2.5" style="1"/>
  </cols>
  <sheetData>
    <row r="1" spans="1:3" x14ac:dyDescent="0.4">
      <c r="A1" s="6" t="s">
        <v>1</v>
      </c>
      <c r="B1" s="6" t="s">
        <v>13</v>
      </c>
      <c r="C1" s="7" t="s">
        <v>14</v>
      </c>
    </row>
    <row r="2" spans="1:3" x14ac:dyDescent="0.4">
      <c r="A2" s="8">
        <f>ROW()-1</f>
        <v>1</v>
      </c>
      <c r="B2" s="8" t="s">
        <v>12</v>
      </c>
      <c r="C2" s="9">
        <v>86400</v>
      </c>
    </row>
    <row r="3" spans="1:3" x14ac:dyDescent="0.4">
      <c r="A3" s="8">
        <f t="shared" ref="A3:A5" si="0">ROW()-1</f>
        <v>2</v>
      </c>
      <c r="B3" s="2" t="s">
        <v>5</v>
      </c>
      <c r="C3" s="3" t="s">
        <v>17</v>
      </c>
    </row>
    <row r="4" spans="1:3" x14ac:dyDescent="0.4">
      <c r="A4" s="8">
        <f t="shared" si="0"/>
        <v>3</v>
      </c>
      <c r="B4" s="2"/>
      <c r="C4" s="3"/>
    </row>
    <row r="5" spans="1:3" x14ac:dyDescent="0.4">
      <c r="A5" s="8">
        <f t="shared" si="0"/>
        <v>4</v>
      </c>
      <c r="B5" s="2"/>
      <c r="C5" s="3"/>
    </row>
    <row r="6" spans="1:3" x14ac:dyDescent="0.4">
      <c r="A6" s="4"/>
      <c r="B6" s="4"/>
      <c r="C6" s="5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M_YT_LIVE</vt:lpstr>
      <vt:lpstr>M_YT_LIVE_TIMESTAMP</vt:lpstr>
      <vt:lpstr>V_SONG_LIST</vt:lpstr>
      <vt:lpstr>###</vt:lpstr>
      <vt:lpstr>M_ARTIST</vt:lpstr>
      <vt:lpstr>マスタ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Takuro Koike</dc:creator>
  <cp:lastModifiedBy>Takuro Koike</cp:lastModifiedBy>
  <dcterms:created xsi:type="dcterms:W3CDTF">2025-05-27T15:07:06Z</dcterms:created>
  <dcterms:modified xsi:type="dcterms:W3CDTF">2025-11-13T12:46:54Z</dcterms:modified>
</cp:coreProperties>
</file>