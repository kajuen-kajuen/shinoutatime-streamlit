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8E03EF91-BD04-433C-B7B9-1D2A56351BF9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M_YT_LIVE!$A$1:$F$161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02" i="3" l="1"/>
  <c r="G1202" i="3"/>
  <c r="W1202" i="3"/>
  <c r="X1202" i="3"/>
  <c r="AA1202" i="3"/>
  <c r="A1203" i="3"/>
  <c r="G1203" i="3"/>
  <c r="W1203" i="3"/>
  <c r="X1203" i="3"/>
  <c r="Z1203" i="3" s="1"/>
  <c r="AA1203" i="3"/>
  <c r="A1204" i="3"/>
  <c r="G1204" i="3"/>
  <c r="W1204" i="3"/>
  <c r="X1204" i="3"/>
  <c r="AA1204" i="3"/>
  <c r="A1205" i="3"/>
  <c r="G1205" i="3"/>
  <c r="W1205" i="3"/>
  <c r="X1205" i="3"/>
  <c r="AA1205" i="3"/>
  <c r="A1206" i="3"/>
  <c r="G1206" i="3"/>
  <c r="W1206" i="3"/>
  <c r="X1206" i="3"/>
  <c r="Z1206" i="3" s="1"/>
  <c r="AA1206" i="3"/>
  <c r="A1207" i="3"/>
  <c r="G1207" i="3"/>
  <c r="W1207" i="3"/>
  <c r="X1207" i="3"/>
  <c r="AA1207" i="3"/>
  <c r="A1208" i="3"/>
  <c r="G1208" i="3"/>
  <c r="W1208" i="3"/>
  <c r="X1208" i="3"/>
  <c r="AA1208" i="3"/>
  <c r="A1209" i="3"/>
  <c r="G1209" i="3"/>
  <c r="W1209" i="3"/>
  <c r="X1209" i="3"/>
  <c r="AA1209" i="3"/>
  <c r="A1210" i="3"/>
  <c r="G1210" i="3"/>
  <c r="W1210" i="3"/>
  <c r="X1210" i="3"/>
  <c r="AA1210" i="3"/>
  <c r="A1211" i="3"/>
  <c r="G1211" i="3"/>
  <c r="W1211" i="3"/>
  <c r="X1211" i="3"/>
  <c r="Z1211" i="3"/>
  <c r="AA1211" i="3"/>
  <c r="A1212" i="3"/>
  <c r="G1212" i="3"/>
  <c r="W1212" i="3"/>
  <c r="X1212" i="3"/>
  <c r="AA1212" i="3"/>
  <c r="A1213" i="3"/>
  <c r="G1213" i="3"/>
  <c r="W1213" i="3"/>
  <c r="X1213" i="3"/>
  <c r="Z1213" i="3"/>
  <c r="AA1213" i="3"/>
  <c r="A1214" i="3"/>
  <c r="G1214" i="3"/>
  <c r="W1214" i="3"/>
  <c r="X1214" i="3"/>
  <c r="Z1214" i="3" s="1"/>
  <c r="AA1214" i="3"/>
  <c r="A1215" i="3"/>
  <c r="G1215" i="3"/>
  <c r="W1215" i="3"/>
  <c r="X1215" i="3"/>
  <c r="Z1215" i="3" s="1"/>
  <c r="AA1215" i="3"/>
  <c r="A1216" i="3"/>
  <c r="G1216" i="3"/>
  <c r="W1216" i="3"/>
  <c r="X1216" i="3"/>
  <c r="AA1216" i="3"/>
  <c r="A1217" i="3"/>
  <c r="G1217" i="3"/>
  <c r="W1217" i="3"/>
  <c r="X1217" i="3"/>
  <c r="Z1217" i="3" s="1"/>
  <c r="AA1217" i="3"/>
  <c r="A1218" i="3"/>
  <c r="G1218" i="3"/>
  <c r="W1218" i="3"/>
  <c r="X1218" i="3"/>
  <c r="Z1218" i="3" s="1"/>
  <c r="AA1218" i="3"/>
  <c r="A1219" i="3"/>
  <c r="G1219" i="3"/>
  <c r="W1219" i="3"/>
  <c r="X1219" i="3"/>
  <c r="Z1219" i="3" s="1"/>
  <c r="AA1219" i="3"/>
  <c r="A1220" i="3"/>
  <c r="G1220" i="3"/>
  <c r="W1220" i="3"/>
  <c r="Z1220" i="3" s="1"/>
  <c r="X1220" i="3"/>
  <c r="AA1220" i="3"/>
  <c r="A1221" i="3"/>
  <c r="G1221" i="3"/>
  <c r="W1221" i="3"/>
  <c r="X1221" i="3"/>
  <c r="Z1221" i="3" s="1"/>
  <c r="AA1221" i="3"/>
  <c r="A1222" i="3"/>
  <c r="G1222" i="3"/>
  <c r="W1222" i="3"/>
  <c r="X1222" i="3"/>
  <c r="Z1222" i="3" s="1"/>
  <c r="AA1222" i="3"/>
  <c r="A1223" i="3"/>
  <c r="G1223" i="3"/>
  <c r="W1223" i="3"/>
  <c r="X1223" i="3"/>
  <c r="Z1223" i="3"/>
  <c r="AA1223" i="3"/>
  <c r="A1224" i="3"/>
  <c r="G1224" i="3"/>
  <c r="W1224" i="3"/>
  <c r="X1224" i="3"/>
  <c r="AA1224" i="3"/>
  <c r="A1225" i="3"/>
  <c r="G1225" i="3"/>
  <c r="W1225" i="3"/>
  <c r="X1225" i="3"/>
  <c r="Z1225" i="3" s="1"/>
  <c r="AA1225" i="3"/>
  <c r="A1226" i="3"/>
  <c r="G1226" i="3"/>
  <c r="W1226" i="3"/>
  <c r="X1226" i="3"/>
  <c r="AA1226" i="3"/>
  <c r="A1227" i="3"/>
  <c r="G1227" i="3"/>
  <c r="W1227" i="3"/>
  <c r="X1227" i="3"/>
  <c r="Z1227" i="3" s="1"/>
  <c r="AA1227" i="3"/>
  <c r="A1228" i="3"/>
  <c r="G1228" i="3"/>
  <c r="W1228" i="3"/>
  <c r="X1228" i="3"/>
  <c r="AA1228" i="3"/>
  <c r="A1229" i="3"/>
  <c r="G1229" i="3"/>
  <c r="W1229" i="3"/>
  <c r="X1229" i="3"/>
  <c r="Z1229" i="3" s="1"/>
  <c r="AA1229" i="3"/>
  <c r="A1230" i="3"/>
  <c r="G1230" i="3"/>
  <c r="W1230" i="3"/>
  <c r="X1230" i="3"/>
  <c r="Z1230" i="3" s="1"/>
  <c r="AA1230" i="3"/>
  <c r="A1231" i="3"/>
  <c r="G1231" i="3"/>
  <c r="W1231" i="3"/>
  <c r="X1231" i="3"/>
  <c r="Z1231" i="3" s="1"/>
  <c r="AA1231" i="3"/>
  <c r="A1232" i="3"/>
  <c r="G1232" i="3"/>
  <c r="W1232" i="3"/>
  <c r="X1232" i="3"/>
  <c r="AA1232" i="3"/>
  <c r="A1233" i="3"/>
  <c r="G1233" i="3"/>
  <c r="W1233" i="3"/>
  <c r="X1233" i="3"/>
  <c r="Z1233" i="3" s="1"/>
  <c r="AA1233" i="3"/>
  <c r="A1234" i="3"/>
  <c r="G1234" i="3"/>
  <c r="W1234" i="3"/>
  <c r="X1234" i="3"/>
  <c r="Z1234" i="3" s="1"/>
  <c r="AA1234" i="3"/>
  <c r="A1235" i="3"/>
  <c r="G1235" i="3"/>
  <c r="W1235" i="3"/>
  <c r="X1235" i="3"/>
  <c r="Z1235" i="3"/>
  <c r="AA1235" i="3"/>
  <c r="A1236" i="3"/>
  <c r="G1236" i="3"/>
  <c r="W1236" i="3"/>
  <c r="X1236" i="3"/>
  <c r="Z1236" i="3" s="1"/>
  <c r="AA1236" i="3"/>
  <c r="A1237" i="3"/>
  <c r="G1237" i="3"/>
  <c r="W1237" i="3"/>
  <c r="X1237" i="3"/>
  <c r="Z1237" i="3"/>
  <c r="AA1237" i="3"/>
  <c r="A1238" i="3"/>
  <c r="G1238" i="3"/>
  <c r="W1238" i="3"/>
  <c r="X1238" i="3"/>
  <c r="AA1238" i="3"/>
  <c r="A1239" i="3"/>
  <c r="G1239" i="3"/>
  <c r="W1239" i="3"/>
  <c r="X1239" i="3"/>
  <c r="Z1239" i="3"/>
  <c r="AA1239" i="3"/>
  <c r="A1240" i="3"/>
  <c r="G1240" i="3"/>
  <c r="W1240" i="3"/>
  <c r="X1240" i="3"/>
  <c r="Z1240" i="3" s="1"/>
  <c r="AA1240" i="3"/>
  <c r="A1241" i="3"/>
  <c r="G1241" i="3"/>
  <c r="W1241" i="3"/>
  <c r="X1241" i="3"/>
  <c r="Z1241" i="3" s="1"/>
  <c r="AA1241" i="3"/>
  <c r="A1242" i="3"/>
  <c r="G1242" i="3"/>
  <c r="W1242" i="3"/>
  <c r="X1242" i="3"/>
  <c r="AA1242" i="3"/>
  <c r="A1243" i="3"/>
  <c r="G1243" i="3"/>
  <c r="W1243" i="3"/>
  <c r="X1243" i="3"/>
  <c r="Z1243" i="3"/>
  <c r="AA1243" i="3"/>
  <c r="A1244" i="3"/>
  <c r="G1244" i="3"/>
  <c r="W1244" i="3"/>
  <c r="X1244" i="3"/>
  <c r="AA1244" i="3"/>
  <c r="A1245" i="3"/>
  <c r="G1245" i="3"/>
  <c r="W1245" i="3"/>
  <c r="X1245" i="3"/>
  <c r="Z1245" i="3" s="1"/>
  <c r="AA1245" i="3"/>
  <c r="A1246" i="3"/>
  <c r="G1246" i="3"/>
  <c r="W1246" i="3"/>
  <c r="X1246" i="3"/>
  <c r="Z1246" i="3" s="1"/>
  <c r="AA1246" i="3"/>
  <c r="A1247" i="3"/>
  <c r="G1247" i="3"/>
  <c r="W1247" i="3"/>
  <c r="X1247" i="3"/>
  <c r="Z1247" i="3"/>
  <c r="AA1247" i="3"/>
  <c r="A1248" i="3"/>
  <c r="G1248" i="3"/>
  <c r="W1248" i="3"/>
  <c r="X1248" i="3"/>
  <c r="AA1248" i="3"/>
  <c r="A1249" i="3"/>
  <c r="G1249" i="3"/>
  <c r="W1249" i="3"/>
  <c r="X1249" i="3"/>
  <c r="Z1249" i="3"/>
  <c r="AA1249" i="3"/>
  <c r="A1250" i="3"/>
  <c r="G1250" i="3"/>
  <c r="W1250" i="3"/>
  <c r="X1250" i="3"/>
  <c r="Z1250" i="3" s="1"/>
  <c r="AA1250" i="3"/>
  <c r="A1251" i="3"/>
  <c r="G1251" i="3"/>
  <c r="W1251" i="3"/>
  <c r="X1251" i="3"/>
  <c r="Z1251" i="3" s="1"/>
  <c r="AA1251" i="3"/>
  <c r="A1252" i="3"/>
  <c r="G1252" i="3"/>
  <c r="W1252" i="3"/>
  <c r="X1252" i="3"/>
  <c r="Z1252" i="3" s="1"/>
  <c r="AA1252" i="3"/>
  <c r="A1253" i="3"/>
  <c r="G1253" i="3"/>
  <c r="W1253" i="3"/>
  <c r="X1253" i="3"/>
  <c r="Z1253" i="3"/>
  <c r="AA1253" i="3"/>
  <c r="A1254" i="3"/>
  <c r="G1254" i="3"/>
  <c r="W1254" i="3"/>
  <c r="X1254" i="3"/>
  <c r="AA1254" i="3"/>
  <c r="A1255" i="3"/>
  <c r="G1255" i="3"/>
  <c r="W1255" i="3"/>
  <c r="X1255" i="3"/>
  <c r="Z1255" i="3" s="1"/>
  <c r="AA1255" i="3"/>
  <c r="A1256" i="3"/>
  <c r="G1256" i="3"/>
  <c r="W1256" i="3"/>
  <c r="X1256" i="3"/>
  <c r="Z1256" i="3" s="1"/>
  <c r="AA1256" i="3"/>
  <c r="A1257" i="3"/>
  <c r="G1257" i="3"/>
  <c r="W1257" i="3"/>
  <c r="X1257" i="3"/>
  <c r="Z1257" i="3" s="1"/>
  <c r="AA1257" i="3"/>
  <c r="A1258" i="3"/>
  <c r="G1258" i="3"/>
  <c r="W1258" i="3"/>
  <c r="X1258" i="3"/>
  <c r="AA1258" i="3"/>
  <c r="A1259" i="3"/>
  <c r="G1259" i="3"/>
  <c r="W1259" i="3"/>
  <c r="X1259" i="3"/>
  <c r="Z1259" i="3"/>
  <c r="AA1259" i="3"/>
  <c r="A1260" i="3"/>
  <c r="G1260" i="3"/>
  <c r="W1260" i="3"/>
  <c r="X1260" i="3"/>
  <c r="AA1260" i="3"/>
  <c r="A1261" i="3"/>
  <c r="G1261" i="3"/>
  <c r="W1261" i="3"/>
  <c r="X1261" i="3"/>
  <c r="Z1261" i="3" s="1"/>
  <c r="AA1261" i="3"/>
  <c r="A1262" i="3"/>
  <c r="G1262" i="3"/>
  <c r="W1262" i="3"/>
  <c r="X1262" i="3"/>
  <c r="Z1262" i="3" s="1"/>
  <c r="AA1262" i="3"/>
  <c r="A1263" i="3"/>
  <c r="G1263" i="3"/>
  <c r="W1263" i="3"/>
  <c r="X1263" i="3"/>
  <c r="Z1263" i="3"/>
  <c r="AA1263" i="3"/>
  <c r="A1264" i="3"/>
  <c r="G1264" i="3"/>
  <c r="W1264" i="3"/>
  <c r="X1264" i="3"/>
  <c r="AA1264" i="3"/>
  <c r="A1265" i="3"/>
  <c r="G1265" i="3"/>
  <c r="W1265" i="3"/>
  <c r="X1265" i="3"/>
  <c r="Z1265" i="3" s="1"/>
  <c r="AA1265" i="3"/>
  <c r="A1266" i="3"/>
  <c r="G1266" i="3"/>
  <c r="W1266" i="3"/>
  <c r="X1266" i="3"/>
  <c r="Z1266" i="3" s="1"/>
  <c r="AA1266" i="3"/>
  <c r="A1267" i="3"/>
  <c r="G1267" i="3"/>
  <c r="W1267" i="3"/>
  <c r="X1267" i="3"/>
  <c r="Z1267" i="3" s="1"/>
  <c r="AA1267" i="3"/>
  <c r="A1268" i="3"/>
  <c r="G1268" i="3"/>
  <c r="W1268" i="3"/>
  <c r="X1268" i="3"/>
  <c r="Z1268" i="3" s="1"/>
  <c r="AA1268" i="3"/>
  <c r="A1269" i="3"/>
  <c r="G1269" i="3"/>
  <c r="W1269" i="3"/>
  <c r="X1269" i="3"/>
  <c r="Z1269" i="3"/>
  <c r="AA1269" i="3"/>
  <c r="A1270" i="3"/>
  <c r="G1270" i="3"/>
  <c r="W1270" i="3"/>
  <c r="X1270" i="3"/>
  <c r="AA1270" i="3"/>
  <c r="A1271" i="3"/>
  <c r="G1271" i="3"/>
  <c r="W1271" i="3"/>
  <c r="X1271" i="3"/>
  <c r="Z1271" i="3" s="1"/>
  <c r="AA1271" i="3"/>
  <c r="A1272" i="3"/>
  <c r="G1272" i="3"/>
  <c r="W1272" i="3"/>
  <c r="X1272" i="3"/>
  <c r="Z1272" i="3" s="1"/>
  <c r="AA1272" i="3"/>
  <c r="A1273" i="3"/>
  <c r="G1273" i="3"/>
  <c r="W1273" i="3"/>
  <c r="X1273" i="3"/>
  <c r="Z1273" i="3" s="1"/>
  <c r="AA1273" i="3"/>
  <c r="A1274" i="3"/>
  <c r="G1274" i="3"/>
  <c r="W1274" i="3"/>
  <c r="X1274" i="3"/>
  <c r="AA1274" i="3"/>
  <c r="A1275" i="3"/>
  <c r="G1275" i="3"/>
  <c r="W1275" i="3"/>
  <c r="X1275" i="3"/>
  <c r="Z1275" i="3"/>
  <c r="AA1275" i="3"/>
  <c r="A1276" i="3"/>
  <c r="G1276" i="3"/>
  <c r="W1276" i="3"/>
  <c r="X1276" i="3"/>
  <c r="AA1276" i="3"/>
  <c r="A1277" i="3"/>
  <c r="G1277" i="3"/>
  <c r="W1277" i="3"/>
  <c r="X1277" i="3"/>
  <c r="Z1277" i="3"/>
  <c r="AA1277" i="3"/>
  <c r="A1278" i="3"/>
  <c r="G1278" i="3"/>
  <c r="W1278" i="3"/>
  <c r="X1278" i="3"/>
  <c r="Z1278" i="3" s="1"/>
  <c r="AA1278" i="3"/>
  <c r="A1279" i="3"/>
  <c r="G1279" i="3"/>
  <c r="W1279" i="3"/>
  <c r="X1279" i="3"/>
  <c r="Z1279" i="3"/>
  <c r="AA1279" i="3"/>
  <c r="A1280" i="3"/>
  <c r="G1280" i="3"/>
  <c r="W1280" i="3"/>
  <c r="X1280" i="3"/>
  <c r="Z1280" i="3" s="1"/>
  <c r="AA1280" i="3"/>
  <c r="A1281" i="3"/>
  <c r="G1281" i="3"/>
  <c r="W1281" i="3"/>
  <c r="X1281" i="3"/>
  <c r="Z1281" i="3" s="1"/>
  <c r="AA1281" i="3"/>
  <c r="A1282" i="3"/>
  <c r="G1282" i="3"/>
  <c r="W1282" i="3"/>
  <c r="X1282" i="3"/>
  <c r="Z1282" i="3" s="1"/>
  <c r="AA1282" i="3"/>
  <c r="A1283" i="3"/>
  <c r="G1283" i="3"/>
  <c r="W1283" i="3"/>
  <c r="X1283" i="3"/>
  <c r="Z1283" i="3" s="1"/>
  <c r="AA1283" i="3"/>
  <c r="A1284" i="3"/>
  <c r="G1284" i="3"/>
  <c r="W1284" i="3"/>
  <c r="X1284" i="3"/>
  <c r="Z1284" i="3" s="1"/>
  <c r="AA1284" i="3"/>
  <c r="A1285" i="3"/>
  <c r="G1285" i="3"/>
  <c r="W1285" i="3"/>
  <c r="X1285" i="3"/>
  <c r="Z1285" i="3"/>
  <c r="AA1285" i="3"/>
  <c r="A1286" i="3"/>
  <c r="G1286" i="3"/>
  <c r="W1286" i="3"/>
  <c r="X1286" i="3"/>
  <c r="AA1286" i="3"/>
  <c r="A1287" i="3"/>
  <c r="G1287" i="3"/>
  <c r="W1287" i="3"/>
  <c r="X1287" i="3"/>
  <c r="Z1287" i="3" s="1"/>
  <c r="AA1287" i="3"/>
  <c r="A1288" i="3"/>
  <c r="G1288" i="3"/>
  <c r="W1288" i="3"/>
  <c r="X1288" i="3"/>
  <c r="Z1288" i="3" s="1"/>
  <c r="AA1288" i="3"/>
  <c r="A1289" i="3"/>
  <c r="G1289" i="3"/>
  <c r="W1289" i="3"/>
  <c r="X1289" i="3"/>
  <c r="Z1289" i="3" s="1"/>
  <c r="AA1289" i="3"/>
  <c r="A1290" i="3"/>
  <c r="G1290" i="3"/>
  <c r="W1290" i="3"/>
  <c r="X1290" i="3"/>
  <c r="AA1290" i="3"/>
  <c r="A1291" i="3"/>
  <c r="G1291" i="3"/>
  <c r="W1291" i="3"/>
  <c r="X1291" i="3"/>
  <c r="Z1291" i="3"/>
  <c r="AA1291" i="3"/>
  <c r="A1292" i="3"/>
  <c r="G1292" i="3"/>
  <c r="W1292" i="3"/>
  <c r="X1292" i="3"/>
  <c r="AA1292" i="3"/>
  <c r="A1293" i="3"/>
  <c r="G1293" i="3"/>
  <c r="W1293" i="3"/>
  <c r="X1293" i="3"/>
  <c r="Z1293" i="3"/>
  <c r="AA1293" i="3"/>
  <c r="A1294" i="3"/>
  <c r="G1294" i="3"/>
  <c r="W1294" i="3"/>
  <c r="X1294" i="3"/>
  <c r="Z1294" i="3" s="1"/>
  <c r="AA1294" i="3"/>
  <c r="A1295" i="3"/>
  <c r="G1295" i="3"/>
  <c r="W1295" i="3"/>
  <c r="X1295" i="3"/>
  <c r="Z1295" i="3"/>
  <c r="AA1295" i="3"/>
  <c r="A1296" i="3"/>
  <c r="G1296" i="3"/>
  <c r="W1296" i="3"/>
  <c r="X1296" i="3"/>
  <c r="Z1296" i="3" s="1"/>
  <c r="AA1296" i="3"/>
  <c r="A1297" i="3"/>
  <c r="G1297" i="3"/>
  <c r="W1297" i="3"/>
  <c r="X1297" i="3"/>
  <c r="Z1297" i="3"/>
  <c r="AA1297" i="3"/>
  <c r="A1298" i="3"/>
  <c r="G1298" i="3"/>
  <c r="W1298" i="3"/>
  <c r="X1298" i="3"/>
  <c r="Z1298" i="3" s="1"/>
  <c r="AA1298" i="3"/>
  <c r="A1299" i="3"/>
  <c r="G1299" i="3"/>
  <c r="W1299" i="3"/>
  <c r="X1299" i="3"/>
  <c r="Z1299" i="3" s="1"/>
  <c r="AA1299" i="3"/>
  <c r="A1300" i="3"/>
  <c r="G1300" i="3"/>
  <c r="W1300" i="3"/>
  <c r="X1300" i="3"/>
  <c r="Z1300" i="3" s="1"/>
  <c r="AA1300" i="3"/>
  <c r="A1301" i="3"/>
  <c r="G1301" i="3"/>
  <c r="W1301" i="3"/>
  <c r="X1301" i="3"/>
  <c r="Z1301" i="3"/>
  <c r="AA1301" i="3"/>
  <c r="A1302" i="3"/>
  <c r="G1302" i="3"/>
  <c r="W1302" i="3"/>
  <c r="X1302" i="3"/>
  <c r="AA1302" i="3"/>
  <c r="A1303" i="3"/>
  <c r="G1303" i="3"/>
  <c r="W1303" i="3"/>
  <c r="X1303" i="3"/>
  <c r="Z1303" i="3" s="1"/>
  <c r="AA1303" i="3"/>
  <c r="A1304" i="3"/>
  <c r="G1304" i="3"/>
  <c r="W1304" i="3"/>
  <c r="X1304" i="3"/>
  <c r="Z1304" i="3" s="1"/>
  <c r="AA1304" i="3"/>
  <c r="A1305" i="3"/>
  <c r="G1305" i="3"/>
  <c r="W1305" i="3"/>
  <c r="X1305" i="3"/>
  <c r="Z1305" i="3" s="1"/>
  <c r="AA1305" i="3"/>
  <c r="A1306" i="3"/>
  <c r="G1306" i="3"/>
  <c r="W1306" i="3"/>
  <c r="X1306" i="3"/>
  <c r="AA1306" i="3"/>
  <c r="A1307" i="3"/>
  <c r="G1307" i="3"/>
  <c r="W1307" i="3"/>
  <c r="X1307" i="3"/>
  <c r="Z1307" i="3"/>
  <c r="AA1307" i="3"/>
  <c r="A1308" i="3"/>
  <c r="G1308" i="3"/>
  <c r="W1308" i="3"/>
  <c r="X1308" i="3"/>
  <c r="AA1308" i="3"/>
  <c r="A1309" i="3"/>
  <c r="G1309" i="3"/>
  <c r="W1309" i="3"/>
  <c r="X1309" i="3"/>
  <c r="Z1309" i="3"/>
  <c r="AA1309" i="3"/>
  <c r="A1310" i="3"/>
  <c r="G1310" i="3"/>
  <c r="W1310" i="3"/>
  <c r="X1310" i="3"/>
  <c r="Z1310" i="3" s="1"/>
  <c r="AA1310" i="3"/>
  <c r="A1311" i="3"/>
  <c r="G1311" i="3"/>
  <c r="W1311" i="3"/>
  <c r="X1311" i="3"/>
  <c r="Z1311" i="3"/>
  <c r="AA1311" i="3"/>
  <c r="A1312" i="3"/>
  <c r="G1312" i="3"/>
  <c r="W1312" i="3"/>
  <c r="X1312" i="3"/>
  <c r="Z1312" i="3" s="1"/>
  <c r="AA1312" i="3"/>
  <c r="A1313" i="3"/>
  <c r="G1313" i="3"/>
  <c r="W1313" i="3"/>
  <c r="X1313" i="3"/>
  <c r="Z1313" i="3" s="1"/>
  <c r="AA1313" i="3"/>
  <c r="A1314" i="3"/>
  <c r="G1314" i="3"/>
  <c r="W1314" i="3"/>
  <c r="X1314" i="3"/>
  <c r="Z1314" i="3" s="1"/>
  <c r="AA1314" i="3"/>
  <c r="A1315" i="3"/>
  <c r="G1315" i="3"/>
  <c r="W1315" i="3"/>
  <c r="X1315" i="3"/>
  <c r="Z1315" i="3" s="1"/>
  <c r="AA1315" i="3"/>
  <c r="A1316" i="3"/>
  <c r="G1316" i="3"/>
  <c r="W1316" i="3"/>
  <c r="X1316" i="3"/>
  <c r="Z1316" i="3" s="1"/>
  <c r="AA1316" i="3"/>
  <c r="A1317" i="3"/>
  <c r="G1317" i="3"/>
  <c r="W1317" i="3"/>
  <c r="X1317" i="3"/>
  <c r="Z1317" i="3"/>
  <c r="AA1317" i="3"/>
  <c r="A1318" i="3"/>
  <c r="G1318" i="3"/>
  <c r="W1318" i="3"/>
  <c r="X1318" i="3"/>
  <c r="AA1318" i="3"/>
  <c r="A1319" i="3"/>
  <c r="G1319" i="3"/>
  <c r="W1319" i="3"/>
  <c r="X1319" i="3"/>
  <c r="Z1319" i="3" s="1"/>
  <c r="AA1319" i="3"/>
  <c r="A1320" i="3"/>
  <c r="G1320" i="3"/>
  <c r="W1320" i="3"/>
  <c r="X1320" i="3"/>
  <c r="Z1320" i="3" s="1"/>
  <c r="AA1320" i="3"/>
  <c r="A1321" i="3"/>
  <c r="G1321" i="3"/>
  <c r="W1321" i="3"/>
  <c r="X1321" i="3"/>
  <c r="Z1321" i="3" s="1"/>
  <c r="AA1321" i="3"/>
  <c r="A1322" i="3"/>
  <c r="G1322" i="3"/>
  <c r="W1322" i="3"/>
  <c r="X1322" i="3"/>
  <c r="AA1322" i="3"/>
  <c r="A1323" i="3"/>
  <c r="G1323" i="3"/>
  <c r="W1323" i="3"/>
  <c r="X1323" i="3"/>
  <c r="Z1323" i="3" s="1"/>
  <c r="AA1323" i="3"/>
  <c r="A1324" i="3"/>
  <c r="G1324" i="3"/>
  <c r="W1324" i="3"/>
  <c r="X1324" i="3"/>
  <c r="AA1324" i="3"/>
  <c r="A1325" i="3"/>
  <c r="G1325" i="3"/>
  <c r="W1325" i="3"/>
  <c r="X1325" i="3"/>
  <c r="Z1325" i="3"/>
  <c r="AA1325" i="3"/>
  <c r="A1326" i="3"/>
  <c r="G1326" i="3"/>
  <c r="W1326" i="3"/>
  <c r="X1326" i="3"/>
  <c r="Z1326" i="3" s="1"/>
  <c r="AA1326" i="3"/>
  <c r="A1327" i="3"/>
  <c r="G1327" i="3"/>
  <c r="W1327" i="3"/>
  <c r="X1327" i="3"/>
  <c r="Z1327" i="3"/>
  <c r="AA1327" i="3"/>
  <c r="A1328" i="3"/>
  <c r="G1328" i="3"/>
  <c r="W1328" i="3"/>
  <c r="X1328" i="3"/>
  <c r="Z1328" i="3" s="1"/>
  <c r="AA1328" i="3"/>
  <c r="A1329" i="3"/>
  <c r="G1329" i="3"/>
  <c r="W1329" i="3"/>
  <c r="X1329" i="3"/>
  <c r="Z1329" i="3"/>
  <c r="AA1329" i="3"/>
  <c r="A1330" i="3"/>
  <c r="G1330" i="3"/>
  <c r="W1330" i="3"/>
  <c r="X1330" i="3"/>
  <c r="Z1330" i="3" s="1"/>
  <c r="AA1330" i="3"/>
  <c r="A1331" i="3"/>
  <c r="G1331" i="3"/>
  <c r="W1331" i="3"/>
  <c r="X1331" i="3"/>
  <c r="Z1331" i="3" s="1"/>
  <c r="AA1331" i="3"/>
  <c r="A1332" i="3"/>
  <c r="G1332" i="3"/>
  <c r="W1332" i="3"/>
  <c r="X1332" i="3"/>
  <c r="Z1332" i="3" s="1"/>
  <c r="AA1332" i="3"/>
  <c r="A1333" i="3"/>
  <c r="G1333" i="3"/>
  <c r="W1333" i="3"/>
  <c r="X1333" i="3"/>
  <c r="Z1333" i="3"/>
  <c r="AA1333" i="3"/>
  <c r="A1334" i="3"/>
  <c r="G1334" i="3"/>
  <c r="W1334" i="3"/>
  <c r="X1334" i="3"/>
  <c r="AA1334" i="3"/>
  <c r="A1335" i="3"/>
  <c r="G1335" i="3"/>
  <c r="W1335" i="3"/>
  <c r="X1335" i="3"/>
  <c r="Z1335" i="3" s="1"/>
  <c r="AA1335" i="3"/>
  <c r="A1336" i="3"/>
  <c r="G1336" i="3"/>
  <c r="W1336" i="3"/>
  <c r="X1336" i="3"/>
  <c r="Z1336" i="3" s="1"/>
  <c r="AA1336" i="3"/>
  <c r="A1337" i="3"/>
  <c r="G1337" i="3"/>
  <c r="W1337" i="3"/>
  <c r="X1337" i="3"/>
  <c r="Z1337" i="3" s="1"/>
  <c r="AA1337" i="3"/>
  <c r="A1338" i="3"/>
  <c r="G1338" i="3"/>
  <c r="W1338" i="3"/>
  <c r="X1338" i="3"/>
  <c r="AA1338" i="3"/>
  <c r="A1339" i="3"/>
  <c r="G1339" i="3"/>
  <c r="W1339" i="3"/>
  <c r="X1339" i="3"/>
  <c r="Z1339" i="3"/>
  <c r="AA1339" i="3"/>
  <c r="A1340" i="3"/>
  <c r="G1340" i="3"/>
  <c r="W1340" i="3"/>
  <c r="X1340" i="3"/>
  <c r="AA1340" i="3"/>
  <c r="A1341" i="3"/>
  <c r="G1341" i="3"/>
  <c r="W1341" i="3"/>
  <c r="X1341" i="3"/>
  <c r="Z1341" i="3" s="1"/>
  <c r="AA1341" i="3"/>
  <c r="A1342" i="3"/>
  <c r="G1342" i="3"/>
  <c r="W1342" i="3"/>
  <c r="X1342" i="3"/>
  <c r="Z1342" i="3" s="1"/>
  <c r="AA1342" i="3"/>
  <c r="A1343" i="3"/>
  <c r="G1343" i="3"/>
  <c r="W1343" i="3"/>
  <c r="X1343" i="3"/>
  <c r="Z1343" i="3"/>
  <c r="AA1343" i="3"/>
  <c r="A1344" i="3"/>
  <c r="G1344" i="3"/>
  <c r="W1344" i="3"/>
  <c r="X1344" i="3"/>
  <c r="Z1344" i="3" s="1"/>
  <c r="AA1344" i="3"/>
  <c r="A1345" i="3"/>
  <c r="G1345" i="3"/>
  <c r="W1345" i="3"/>
  <c r="X1345" i="3"/>
  <c r="Z1345" i="3"/>
  <c r="AA1345" i="3"/>
  <c r="A1346" i="3"/>
  <c r="G1346" i="3"/>
  <c r="W1346" i="3"/>
  <c r="X1346" i="3"/>
  <c r="Z1346" i="3" s="1"/>
  <c r="AA1346" i="3"/>
  <c r="A1347" i="3"/>
  <c r="G1347" i="3"/>
  <c r="W1347" i="3"/>
  <c r="X1347" i="3"/>
  <c r="Z1347" i="3" s="1"/>
  <c r="AA1347" i="3"/>
  <c r="A1348" i="3"/>
  <c r="G1348" i="3"/>
  <c r="W1348" i="3"/>
  <c r="X1348" i="3"/>
  <c r="Z1348" i="3" s="1"/>
  <c r="AA1348" i="3"/>
  <c r="A1349" i="3"/>
  <c r="G1349" i="3"/>
  <c r="W1349" i="3"/>
  <c r="X1349" i="3"/>
  <c r="Z1349" i="3"/>
  <c r="AA1349" i="3"/>
  <c r="A1350" i="3"/>
  <c r="G1350" i="3"/>
  <c r="W1350" i="3"/>
  <c r="X1350" i="3"/>
  <c r="AA1350" i="3"/>
  <c r="A1351" i="3"/>
  <c r="G1351" i="3"/>
  <c r="W1351" i="3"/>
  <c r="X1351" i="3"/>
  <c r="Z1351" i="3" s="1"/>
  <c r="AA1351" i="3"/>
  <c r="A1352" i="3"/>
  <c r="G1352" i="3"/>
  <c r="W1352" i="3"/>
  <c r="X1352" i="3"/>
  <c r="Z1352" i="3" s="1"/>
  <c r="AA1352" i="3"/>
  <c r="A1353" i="3"/>
  <c r="G1353" i="3"/>
  <c r="W1353" i="3"/>
  <c r="X1353" i="3"/>
  <c r="Z1353" i="3" s="1"/>
  <c r="AA1353" i="3"/>
  <c r="A1354" i="3"/>
  <c r="G1354" i="3"/>
  <c r="W1354" i="3"/>
  <c r="X1354" i="3"/>
  <c r="AA1354" i="3"/>
  <c r="A1355" i="3"/>
  <c r="G1355" i="3"/>
  <c r="W1355" i="3"/>
  <c r="X1355" i="3"/>
  <c r="Z1355" i="3" s="1"/>
  <c r="AA1355" i="3"/>
  <c r="A1356" i="3"/>
  <c r="G1356" i="3"/>
  <c r="W1356" i="3"/>
  <c r="X1356" i="3"/>
  <c r="AA1356" i="3"/>
  <c r="A1357" i="3"/>
  <c r="G1357" i="3"/>
  <c r="W1357" i="3"/>
  <c r="X1357" i="3"/>
  <c r="Z1357" i="3"/>
  <c r="AA1357" i="3"/>
  <c r="A1358" i="3"/>
  <c r="G1358" i="3"/>
  <c r="W1358" i="3"/>
  <c r="X1358" i="3"/>
  <c r="Z1358" i="3" s="1"/>
  <c r="AA1358" i="3"/>
  <c r="A1359" i="3"/>
  <c r="G1359" i="3"/>
  <c r="W1359" i="3"/>
  <c r="X1359" i="3"/>
  <c r="Z1359" i="3" s="1"/>
  <c r="AA1359" i="3"/>
  <c r="A1360" i="3"/>
  <c r="G1360" i="3"/>
  <c r="W1360" i="3"/>
  <c r="X1360" i="3"/>
  <c r="Z1360" i="3" s="1"/>
  <c r="AA1360" i="3"/>
  <c r="A1361" i="3"/>
  <c r="G1361" i="3"/>
  <c r="W1361" i="3"/>
  <c r="X1361" i="3"/>
  <c r="Z1361" i="3"/>
  <c r="AA1361" i="3"/>
  <c r="A1362" i="3"/>
  <c r="G1362" i="3"/>
  <c r="W1362" i="3"/>
  <c r="X1362" i="3"/>
  <c r="Z1362" i="3" s="1"/>
  <c r="AA1362" i="3"/>
  <c r="A1363" i="3"/>
  <c r="G1363" i="3"/>
  <c r="W1363" i="3"/>
  <c r="X1363" i="3"/>
  <c r="Z1363" i="3" s="1"/>
  <c r="AA1363" i="3"/>
  <c r="A1364" i="3"/>
  <c r="G1364" i="3"/>
  <c r="W1364" i="3"/>
  <c r="X1364" i="3"/>
  <c r="Z1364" i="3" s="1"/>
  <c r="AA1364" i="3"/>
  <c r="A1365" i="3"/>
  <c r="G1365" i="3"/>
  <c r="W1365" i="3"/>
  <c r="X1365" i="3"/>
  <c r="Z1365" i="3" s="1"/>
  <c r="AA1365" i="3"/>
  <c r="A1366" i="3"/>
  <c r="G1366" i="3"/>
  <c r="W1366" i="3"/>
  <c r="X1366" i="3"/>
  <c r="AA1366" i="3"/>
  <c r="A1367" i="3"/>
  <c r="G1367" i="3"/>
  <c r="W1367" i="3"/>
  <c r="X1367" i="3"/>
  <c r="Z1367" i="3" s="1"/>
  <c r="AA1367" i="3"/>
  <c r="A1368" i="3"/>
  <c r="G1368" i="3"/>
  <c r="W1368" i="3"/>
  <c r="X1368" i="3"/>
  <c r="Z1368" i="3" s="1"/>
  <c r="AA1368" i="3"/>
  <c r="A1369" i="3"/>
  <c r="G1369" i="3"/>
  <c r="W1369" i="3"/>
  <c r="X1369" i="3"/>
  <c r="Z1369" i="3" s="1"/>
  <c r="AA1369" i="3"/>
  <c r="A1370" i="3"/>
  <c r="G1370" i="3"/>
  <c r="W1370" i="3"/>
  <c r="X1370" i="3"/>
  <c r="AA1370" i="3"/>
  <c r="A1371" i="3"/>
  <c r="G1371" i="3"/>
  <c r="W1371" i="3"/>
  <c r="X1371" i="3"/>
  <c r="Z1371" i="3"/>
  <c r="AA1371" i="3"/>
  <c r="A1372" i="3"/>
  <c r="G1372" i="3"/>
  <c r="W1372" i="3"/>
  <c r="X1372" i="3"/>
  <c r="AA1372" i="3"/>
  <c r="A1373" i="3"/>
  <c r="G1373" i="3"/>
  <c r="W1373" i="3"/>
  <c r="X1373" i="3"/>
  <c r="Z1373" i="3" s="1"/>
  <c r="AA1373" i="3"/>
  <c r="A1374" i="3"/>
  <c r="G1374" i="3"/>
  <c r="W1374" i="3"/>
  <c r="X1374" i="3"/>
  <c r="Z1374" i="3" s="1"/>
  <c r="AA1374" i="3"/>
  <c r="A1375" i="3"/>
  <c r="G1375" i="3"/>
  <c r="W1375" i="3"/>
  <c r="X1375" i="3"/>
  <c r="Z1375" i="3"/>
  <c r="AA1375" i="3"/>
  <c r="A1376" i="3"/>
  <c r="G1376" i="3"/>
  <c r="W1376" i="3"/>
  <c r="X1376" i="3"/>
  <c r="Z1376" i="3" s="1"/>
  <c r="AA1376" i="3"/>
  <c r="A1377" i="3"/>
  <c r="G1377" i="3"/>
  <c r="W1377" i="3"/>
  <c r="X1377" i="3"/>
  <c r="Z1377" i="3" s="1"/>
  <c r="AA1377" i="3"/>
  <c r="A1378" i="3"/>
  <c r="G1378" i="3"/>
  <c r="W1378" i="3"/>
  <c r="X1378" i="3"/>
  <c r="Z1378" i="3" s="1"/>
  <c r="AA1378" i="3"/>
  <c r="A1379" i="3"/>
  <c r="G1379" i="3"/>
  <c r="W1379" i="3"/>
  <c r="X1379" i="3"/>
  <c r="Z1379" i="3" s="1"/>
  <c r="AA1379" i="3"/>
  <c r="A1380" i="3"/>
  <c r="G1380" i="3"/>
  <c r="W1380" i="3"/>
  <c r="X1380" i="3"/>
  <c r="Z1380" i="3" s="1"/>
  <c r="AA1380" i="3"/>
  <c r="A1381" i="3"/>
  <c r="G1381" i="3"/>
  <c r="W1381" i="3"/>
  <c r="X1381" i="3"/>
  <c r="Z1381" i="3"/>
  <c r="AA1381" i="3"/>
  <c r="A1382" i="3"/>
  <c r="G1382" i="3"/>
  <c r="W1382" i="3"/>
  <c r="X1382" i="3"/>
  <c r="AA1382" i="3"/>
  <c r="A1383" i="3"/>
  <c r="G1383" i="3"/>
  <c r="W1383" i="3"/>
  <c r="X1383" i="3"/>
  <c r="Z1383" i="3" s="1"/>
  <c r="AA1383" i="3"/>
  <c r="A1384" i="3"/>
  <c r="G1384" i="3"/>
  <c r="W1384" i="3"/>
  <c r="X1384" i="3"/>
  <c r="Z1384" i="3" s="1"/>
  <c r="AA1384" i="3"/>
  <c r="A1385" i="3"/>
  <c r="G1385" i="3"/>
  <c r="W1385" i="3"/>
  <c r="X1385" i="3"/>
  <c r="Z1385" i="3" s="1"/>
  <c r="AA1385" i="3"/>
  <c r="A1386" i="3"/>
  <c r="G1386" i="3"/>
  <c r="W1386" i="3"/>
  <c r="X1386" i="3"/>
  <c r="AA1386" i="3"/>
  <c r="A1387" i="3"/>
  <c r="G1387" i="3"/>
  <c r="W1387" i="3"/>
  <c r="X1387" i="3"/>
  <c r="Z1387" i="3" s="1"/>
  <c r="AA1387" i="3"/>
  <c r="A1388" i="3"/>
  <c r="G1388" i="3"/>
  <c r="W1388" i="3"/>
  <c r="X1388" i="3"/>
  <c r="AA1388" i="3"/>
  <c r="A1389" i="3"/>
  <c r="G1389" i="3"/>
  <c r="W1389" i="3"/>
  <c r="X1389" i="3"/>
  <c r="Z1389" i="3"/>
  <c r="AA1389" i="3"/>
  <c r="A1390" i="3"/>
  <c r="G1390" i="3"/>
  <c r="W1390" i="3"/>
  <c r="X1390" i="3"/>
  <c r="Z1390" i="3" s="1"/>
  <c r="AA1390" i="3"/>
  <c r="A1391" i="3"/>
  <c r="G1391" i="3"/>
  <c r="W1391" i="3"/>
  <c r="X1391" i="3"/>
  <c r="Z1391" i="3" s="1"/>
  <c r="AA1391" i="3"/>
  <c r="A1392" i="3"/>
  <c r="G1392" i="3"/>
  <c r="W1392" i="3"/>
  <c r="X1392" i="3"/>
  <c r="Z1392" i="3" s="1"/>
  <c r="AA1392" i="3"/>
  <c r="A1393" i="3"/>
  <c r="G1393" i="3"/>
  <c r="W1393" i="3"/>
  <c r="X1393" i="3"/>
  <c r="Z1393" i="3"/>
  <c r="AA1393" i="3"/>
  <c r="A1394" i="3"/>
  <c r="G1394" i="3"/>
  <c r="W1394" i="3"/>
  <c r="X1394" i="3"/>
  <c r="Z1394" i="3" s="1"/>
  <c r="AA1394" i="3"/>
  <c r="A1395" i="3"/>
  <c r="G1395" i="3"/>
  <c r="W1395" i="3"/>
  <c r="X1395" i="3"/>
  <c r="Z1395" i="3" s="1"/>
  <c r="AA1395" i="3"/>
  <c r="A1396" i="3"/>
  <c r="G1396" i="3"/>
  <c r="W1396" i="3"/>
  <c r="X1396" i="3"/>
  <c r="Z1396" i="3" s="1"/>
  <c r="AA1396" i="3"/>
  <c r="A1397" i="3"/>
  <c r="G1397" i="3"/>
  <c r="W1397" i="3"/>
  <c r="X1397" i="3"/>
  <c r="Z1397" i="3" s="1"/>
  <c r="AA1397" i="3"/>
  <c r="A1398" i="3"/>
  <c r="G1398" i="3"/>
  <c r="W1398" i="3"/>
  <c r="X1398" i="3"/>
  <c r="AA1398" i="3"/>
  <c r="A1399" i="3"/>
  <c r="G1399" i="3"/>
  <c r="W1399" i="3"/>
  <c r="X1399" i="3"/>
  <c r="Z1399" i="3" s="1"/>
  <c r="AA1399" i="3"/>
  <c r="A1400" i="3"/>
  <c r="G1400" i="3"/>
  <c r="W1400" i="3"/>
  <c r="X1400" i="3"/>
  <c r="Z1400" i="3" s="1"/>
  <c r="AA1400" i="3"/>
  <c r="A1401" i="3"/>
  <c r="G1401" i="3"/>
  <c r="W1401" i="3"/>
  <c r="X1401" i="3"/>
  <c r="Z1401" i="3" s="1"/>
  <c r="AA1401" i="3"/>
  <c r="A1402" i="3"/>
  <c r="G1402" i="3"/>
  <c r="W1402" i="3"/>
  <c r="X1402" i="3"/>
  <c r="AA1402" i="3"/>
  <c r="A1403" i="3"/>
  <c r="G1403" i="3"/>
  <c r="W1403" i="3"/>
  <c r="X1403" i="3"/>
  <c r="Z1403" i="3"/>
  <c r="AA1403" i="3"/>
  <c r="A1404" i="3"/>
  <c r="G1404" i="3"/>
  <c r="W1404" i="3"/>
  <c r="X1404" i="3"/>
  <c r="AA1404" i="3"/>
  <c r="A1405" i="3"/>
  <c r="G1405" i="3"/>
  <c r="W1405" i="3"/>
  <c r="X1405" i="3"/>
  <c r="Z1405" i="3"/>
  <c r="AA1405" i="3"/>
  <c r="A1406" i="3"/>
  <c r="G1406" i="3"/>
  <c r="W1406" i="3"/>
  <c r="X1406" i="3"/>
  <c r="Z1406" i="3" s="1"/>
  <c r="AA1406" i="3"/>
  <c r="A1407" i="3"/>
  <c r="G1407" i="3"/>
  <c r="W1407" i="3"/>
  <c r="X1407" i="3"/>
  <c r="Z1407" i="3"/>
  <c r="AA1407" i="3"/>
  <c r="A1408" i="3"/>
  <c r="G1408" i="3"/>
  <c r="W1408" i="3"/>
  <c r="X1408" i="3"/>
  <c r="Z1408" i="3" s="1"/>
  <c r="AA1408" i="3"/>
  <c r="A1409" i="3"/>
  <c r="G1409" i="3"/>
  <c r="W1409" i="3"/>
  <c r="X1409" i="3"/>
  <c r="Z1409" i="3" s="1"/>
  <c r="AA1409" i="3"/>
  <c r="A1410" i="3"/>
  <c r="G1410" i="3"/>
  <c r="W1410" i="3"/>
  <c r="X1410" i="3"/>
  <c r="Z1410" i="3" s="1"/>
  <c r="AA1410" i="3"/>
  <c r="A1411" i="3"/>
  <c r="G1411" i="3"/>
  <c r="W1411" i="3"/>
  <c r="X1411" i="3"/>
  <c r="Z1411" i="3" s="1"/>
  <c r="AA1411" i="3"/>
  <c r="A1412" i="3"/>
  <c r="G1412" i="3"/>
  <c r="W1412" i="3"/>
  <c r="X1412" i="3"/>
  <c r="Z1412" i="3" s="1"/>
  <c r="AA1412" i="3"/>
  <c r="A1413" i="3"/>
  <c r="G1413" i="3"/>
  <c r="W1413" i="3"/>
  <c r="X1413" i="3"/>
  <c r="Z1413" i="3"/>
  <c r="AA1413" i="3"/>
  <c r="A1414" i="3"/>
  <c r="G1414" i="3"/>
  <c r="W1414" i="3"/>
  <c r="X1414" i="3"/>
  <c r="AA1414" i="3"/>
  <c r="A1415" i="3"/>
  <c r="G1415" i="3"/>
  <c r="W1415" i="3"/>
  <c r="X1415" i="3"/>
  <c r="Z1415" i="3" s="1"/>
  <c r="AA1415" i="3"/>
  <c r="A1416" i="3"/>
  <c r="G1416" i="3"/>
  <c r="W1416" i="3"/>
  <c r="X1416" i="3"/>
  <c r="Z1416" i="3" s="1"/>
  <c r="AA1416" i="3"/>
  <c r="A1417" i="3"/>
  <c r="G1417" i="3"/>
  <c r="W1417" i="3"/>
  <c r="X1417" i="3"/>
  <c r="Z1417" i="3" s="1"/>
  <c r="AA1417" i="3"/>
  <c r="A1418" i="3"/>
  <c r="G1418" i="3"/>
  <c r="W1418" i="3"/>
  <c r="X1418" i="3"/>
  <c r="AA1418" i="3"/>
  <c r="A1419" i="3"/>
  <c r="G1419" i="3"/>
  <c r="W1419" i="3"/>
  <c r="X1419" i="3"/>
  <c r="Z1419" i="3"/>
  <c r="AA1419" i="3"/>
  <c r="A1420" i="3"/>
  <c r="G1420" i="3"/>
  <c r="W1420" i="3"/>
  <c r="X1420" i="3"/>
  <c r="AA1420" i="3"/>
  <c r="A1421" i="3"/>
  <c r="G1421" i="3"/>
  <c r="W1421" i="3"/>
  <c r="X1421" i="3"/>
  <c r="Z1421" i="3"/>
  <c r="AA1421" i="3"/>
  <c r="A1422" i="3"/>
  <c r="G1422" i="3"/>
  <c r="W1422" i="3"/>
  <c r="X1422" i="3"/>
  <c r="Z1422" i="3" s="1"/>
  <c r="AA1422" i="3"/>
  <c r="A1423" i="3"/>
  <c r="G1423" i="3"/>
  <c r="W1423" i="3"/>
  <c r="X1423" i="3"/>
  <c r="Z1423" i="3"/>
  <c r="AA1423" i="3"/>
  <c r="A1424" i="3"/>
  <c r="G1424" i="3"/>
  <c r="W1424" i="3"/>
  <c r="X1424" i="3"/>
  <c r="Z1424" i="3" s="1"/>
  <c r="AA1424" i="3"/>
  <c r="A1425" i="3"/>
  <c r="G1425" i="3"/>
  <c r="W1425" i="3"/>
  <c r="X1425" i="3"/>
  <c r="Z1425" i="3"/>
  <c r="AA1425" i="3"/>
  <c r="A1426" i="3"/>
  <c r="G1426" i="3"/>
  <c r="W1426" i="3"/>
  <c r="X1426" i="3"/>
  <c r="Z1426" i="3" s="1"/>
  <c r="AA1426" i="3"/>
  <c r="A1427" i="3"/>
  <c r="G1427" i="3"/>
  <c r="W1427" i="3"/>
  <c r="X1427" i="3"/>
  <c r="Z1427" i="3" s="1"/>
  <c r="AA1427" i="3"/>
  <c r="A1428" i="3"/>
  <c r="G1428" i="3"/>
  <c r="W1428" i="3"/>
  <c r="X1428" i="3"/>
  <c r="Z1428" i="3" s="1"/>
  <c r="AA1428" i="3"/>
  <c r="A1429" i="3"/>
  <c r="G1429" i="3"/>
  <c r="W1429" i="3"/>
  <c r="X1429" i="3"/>
  <c r="Z1429" i="3"/>
  <c r="AA1429" i="3"/>
  <c r="A1430" i="3"/>
  <c r="G1430" i="3"/>
  <c r="W1430" i="3"/>
  <c r="X1430" i="3"/>
  <c r="AA1430" i="3"/>
  <c r="A1431" i="3"/>
  <c r="G1431" i="3"/>
  <c r="W1431" i="3"/>
  <c r="X1431" i="3"/>
  <c r="Z1431" i="3" s="1"/>
  <c r="AA1431" i="3"/>
  <c r="A1432" i="3"/>
  <c r="G1432" i="3"/>
  <c r="W1432" i="3"/>
  <c r="X1432" i="3"/>
  <c r="Z1432" i="3" s="1"/>
  <c r="AA1432" i="3"/>
  <c r="A1433" i="3"/>
  <c r="G1433" i="3"/>
  <c r="W1433" i="3"/>
  <c r="X1433" i="3"/>
  <c r="Z1433" i="3" s="1"/>
  <c r="AA1433" i="3"/>
  <c r="A1434" i="3"/>
  <c r="G1434" i="3"/>
  <c r="W1434" i="3"/>
  <c r="X1434" i="3"/>
  <c r="AA1434" i="3"/>
  <c r="A1435" i="3"/>
  <c r="G1435" i="3"/>
  <c r="W1435" i="3"/>
  <c r="X1435" i="3"/>
  <c r="Z1435" i="3"/>
  <c r="AA1435" i="3"/>
  <c r="A1436" i="3"/>
  <c r="G1436" i="3"/>
  <c r="W1436" i="3"/>
  <c r="X1436" i="3"/>
  <c r="AA1436" i="3"/>
  <c r="A1437" i="3"/>
  <c r="G1437" i="3"/>
  <c r="W1437" i="3"/>
  <c r="X1437" i="3"/>
  <c r="Z1437" i="3"/>
  <c r="AA1437" i="3"/>
  <c r="A1438" i="3"/>
  <c r="G1438" i="3"/>
  <c r="W1438" i="3"/>
  <c r="X1438" i="3"/>
  <c r="Z1438" i="3" s="1"/>
  <c r="AA1438" i="3"/>
  <c r="A1439" i="3"/>
  <c r="G1439" i="3"/>
  <c r="W1439" i="3"/>
  <c r="X1439" i="3"/>
  <c r="Z1439" i="3"/>
  <c r="AA1439" i="3"/>
  <c r="A1440" i="3"/>
  <c r="G1440" i="3"/>
  <c r="W1440" i="3"/>
  <c r="X1440" i="3"/>
  <c r="Z1440" i="3" s="1"/>
  <c r="AA1440" i="3"/>
  <c r="A1441" i="3"/>
  <c r="G1441" i="3"/>
  <c r="W1441" i="3"/>
  <c r="X1441" i="3"/>
  <c r="Z1441" i="3" s="1"/>
  <c r="AA1441" i="3"/>
  <c r="A1442" i="3"/>
  <c r="G1442" i="3"/>
  <c r="W1442" i="3"/>
  <c r="X1442" i="3"/>
  <c r="Z1442" i="3" s="1"/>
  <c r="AA1442" i="3"/>
  <c r="A1443" i="3"/>
  <c r="G1443" i="3"/>
  <c r="W1443" i="3"/>
  <c r="X1443" i="3"/>
  <c r="Z1443" i="3" s="1"/>
  <c r="AA1443" i="3"/>
  <c r="A1444" i="3"/>
  <c r="G1444" i="3"/>
  <c r="W1444" i="3"/>
  <c r="X1444" i="3"/>
  <c r="Z1444" i="3" s="1"/>
  <c r="AA1444" i="3"/>
  <c r="A1445" i="3"/>
  <c r="G1445" i="3"/>
  <c r="W1445" i="3"/>
  <c r="X1445" i="3"/>
  <c r="Z1445" i="3"/>
  <c r="AA1445" i="3"/>
  <c r="A1446" i="3"/>
  <c r="G1446" i="3"/>
  <c r="W1446" i="3"/>
  <c r="X1446" i="3"/>
  <c r="AA1446" i="3"/>
  <c r="A1447" i="3"/>
  <c r="G1447" i="3"/>
  <c r="W1447" i="3"/>
  <c r="X1447" i="3"/>
  <c r="Z1447" i="3" s="1"/>
  <c r="AA1447" i="3"/>
  <c r="A1448" i="3"/>
  <c r="G1448" i="3"/>
  <c r="W1448" i="3"/>
  <c r="X1448" i="3"/>
  <c r="Z1448" i="3" s="1"/>
  <c r="AA1448" i="3"/>
  <c r="A1449" i="3"/>
  <c r="G1449" i="3"/>
  <c r="W1449" i="3"/>
  <c r="X1449" i="3"/>
  <c r="Z1449" i="3" s="1"/>
  <c r="AA1449" i="3"/>
  <c r="A1450" i="3"/>
  <c r="G1450" i="3"/>
  <c r="W1450" i="3"/>
  <c r="X1450" i="3"/>
  <c r="AA1450" i="3"/>
  <c r="A1451" i="3"/>
  <c r="G1451" i="3"/>
  <c r="W1451" i="3"/>
  <c r="X1451" i="3"/>
  <c r="Z1451" i="3" s="1"/>
  <c r="AA1451" i="3"/>
  <c r="A1452" i="3"/>
  <c r="G1452" i="3"/>
  <c r="W1452" i="3"/>
  <c r="X1452" i="3"/>
  <c r="AA1452" i="3"/>
  <c r="A1453" i="3"/>
  <c r="G1453" i="3"/>
  <c r="W1453" i="3"/>
  <c r="X1453" i="3"/>
  <c r="Z1453" i="3"/>
  <c r="AA1453" i="3"/>
  <c r="A1454" i="3"/>
  <c r="G1454" i="3"/>
  <c r="W1454" i="3"/>
  <c r="X1454" i="3"/>
  <c r="Z1454" i="3" s="1"/>
  <c r="AA1454" i="3"/>
  <c r="A1455" i="3"/>
  <c r="G1455" i="3"/>
  <c r="W1455" i="3"/>
  <c r="X1455" i="3"/>
  <c r="Z1455" i="3"/>
  <c r="AA1455" i="3"/>
  <c r="A1456" i="3"/>
  <c r="G1456" i="3"/>
  <c r="W1456" i="3"/>
  <c r="X1456" i="3"/>
  <c r="Z1456" i="3" s="1"/>
  <c r="AA1456" i="3"/>
  <c r="A1457" i="3"/>
  <c r="G1457" i="3"/>
  <c r="W1457" i="3"/>
  <c r="X1457" i="3"/>
  <c r="Z1457" i="3"/>
  <c r="AA1457" i="3"/>
  <c r="A1458" i="3"/>
  <c r="G1458" i="3"/>
  <c r="W1458" i="3"/>
  <c r="X1458" i="3"/>
  <c r="Z1458" i="3" s="1"/>
  <c r="AA1458" i="3"/>
  <c r="A1459" i="3"/>
  <c r="G1459" i="3"/>
  <c r="W1459" i="3"/>
  <c r="X1459" i="3"/>
  <c r="Z1459" i="3" s="1"/>
  <c r="AA1459" i="3"/>
  <c r="A1460" i="3"/>
  <c r="G1460" i="3"/>
  <c r="W1460" i="3"/>
  <c r="X1460" i="3"/>
  <c r="Z1460" i="3" s="1"/>
  <c r="AA1460" i="3"/>
  <c r="A1461" i="3"/>
  <c r="G1461" i="3"/>
  <c r="W1461" i="3"/>
  <c r="X1461" i="3"/>
  <c r="Z1461" i="3"/>
  <c r="AA1461" i="3"/>
  <c r="A1462" i="3"/>
  <c r="G1462" i="3"/>
  <c r="W1462" i="3"/>
  <c r="X1462" i="3"/>
  <c r="AA1462" i="3"/>
  <c r="A1463" i="3"/>
  <c r="G1463" i="3"/>
  <c r="W1463" i="3"/>
  <c r="X1463" i="3"/>
  <c r="Z1463" i="3" s="1"/>
  <c r="AA1463" i="3"/>
  <c r="A1464" i="3"/>
  <c r="G1464" i="3"/>
  <c r="W1464" i="3"/>
  <c r="X1464" i="3"/>
  <c r="Z1464" i="3" s="1"/>
  <c r="AA1464" i="3"/>
  <c r="A1465" i="3"/>
  <c r="G1465" i="3"/>
  <c r="W1465" i="3"/>
  <c r="X1465" i="3"/>
  <c r="Z1465" i="3" s="1"/>
  <c r="AA1465" i="3"/>
  <c r="A1466" i="3"/>
  <c r="G1466" i="3"/>
  <c r="W1466" i="3"/>
  <c r="X1466" i="3"/>
  <c r="AA1466" i="3"/>
  <c r="A1467" i="3"/>
  <c r="G1467" i="3"/>
  <c r="W1467" i="3"/>
  <c r="X1467" i="3"/>
  <c r="Z1467" i="3"/>
  <c r="AA1467" i="3"/>
  <c r="A1468" i="3"/>
  <c r="G1468" i="3"/>
  <c r="W1468" i="3"/>
  <c r="X1468" i="3"/>
  <c r="AA1468" i="3"/>
  <c r="A1469" i="3"/>
  <c r="G1469" i="3"/>
  <c r="W1469" i="3"/>
  <c r="X1469" i="3"/>
  <c r="Z1469" i="3" s="1"/>
  <c r="AA1469" i="3"/>
  <c r="A1470" i="3"/>
  <c r="G1470" i="3"/>
  <c r="W1470" i="3"/>
  <c r="X1470" i="3"/>
  <c r="Z1470" i="3" s="1"/>
  <c r="AA1470" i="3"/>
  <c r="A1471" i="3"/>
  <c r="G1471" i="3"/>
  <c r="W1471" i="3"/>
  <c r="X1471" i="3"/>
  <c r="Z1471" i="3"/>
  <c r="AA1471" i="3"/>
  <c r="A1472" i="3"/>
  <c r="G1472" i="3"/>
  <c r="W1472" i="3"/>
  <c r="X1472" i="3"/>
  <c r="Z1472" i="3" s="1"/>
  <c r="AA1472" i="3"/>
  <c r="A1473" i="3"/>
  <c r="G1473" i="3"/>
  <c r="W1473" i="3"/>
  <c r="X1473" i="3"/>
  <c r="Z1473" i="3"/>
  <c r="AA1473" i="3"/>
  <c r="A1474" i="3"/>
  <c r="G1474" i="3"/>
  <c r="W1474" i="3"/>
  <c r="X1474" i="3"/>
  <c r="Z1474" i="3" s="1"/>
  <c r="AA1474" i="3"/>
  <c r="A1475" i="3"/>
  <c r="G1475" i="3"/>
  <c r="W1475" i="3"/>
  <c r="X1475" i="3"/>
  <c r="Z1475" i="3" s="1"/>
  <c r="AA1475" i="3"/>
  <c r="A1476" i="3"/>
  <c r="G1476" i="3"/>
  <c r="W1476" i="3"/>
  <c r="X1476" i="3"/>
  <c r="Z1476" i="3" s="1"/>
  <c r="AA1476" i="3"/>
  <c r="A1477" i="3"/>
  <c r="G1477" i="3"/>
  <c r="W1477" i="3"/>
  <c r="X1477" i="3"/>
  <c r="Z1477" i="3"/>
  <c r="AA1477" i="3"/>
  <c r="A1478" i="3"/>
  <c r="G1478" i="3"/>
  <c r="W1478" i="3"/>
  <c r="X1478" i="3"/>
  <c r="AA1478" i="3"/>
  <c r="A1479" i="3"/>
  <c r="G1479" i="3"/>
  <c r="W1479" i="3"/>
  <c r="X1479" i="3"/>
  <c r="Z1479" i="3" s="1"/>
  <c r="AA1479" i="3"/>
  <c r="A1480" i="3"/>
  <c r="G1480" i="3"/>
  <c r="W1480" i="3"/>
  <c r="X1480" i="3"/>
  <c r="Z1480" i="3" s="1"/>
  <c r="AA1480" i="3"/>
  <c r="A1481" i="3"/>
  <c r="G1481" i="3"/>
  <c r="W1481" i="3"/>
  <c r="X1481" i="3"/>
  <c r="Z1481" i="3" s="1"/>
  <c r="AA1481" i="3"/>
  <c r="A1482" i="3"/>
  <c r="G1482" i="3"/>
  <c r="W1482" i="3"/>
  <c r="X1482" i="3"/>
  <c r="AA1482" i="3"/>
  <c r="A1483" i="3"/>
  <c r="G1483" i="3"/>
  <c r="W1483" i="3"/>
  <c r="X1483" i="3"/>
  <c r="Z1483" i="3" s="1"/>
  <c r="AA1483" i="3"/>
  <c r="A1484" i="3"/>
  <c r="G1484" i="3"/>
  <c r="W1484" i="3"/>
  <c r="X1484" i="3"/>
  <c r="AA1484" i="3"/>
  <c r="A1485" i="3"/>
  <c r="G1485" i="3"/>
  <c r="W1485" i="3"/>
  <c r="X1485" i="3"/>
  <c r="Z1485" i="3"/>
  <c r="AA1485" i="3"/>
  <c r="A1486" i="3"/>
  <c r="G1486" i="3"/>
  <c r="W1486" i="3"/>
  <c r="X1486" i="3"/>
  <c r="Z1486" i="3" s="1"/>
  <c r="AA1486" i="3"/>
  <c r="A1487" i="3"/>
  <c r="G1487" i="3"/>
  <c r="W1487" i="3"/>
  <c r="X1487" i="3"/>
  <c r="Z1487" i="3" s="1"/>
  <c r="AA1487" i="3"/>
  <c r="A1488" i="3"/>
  <c r="G1488" i="3"/>
  <c r="W1488" i="3"/>
  <c r="X1488" i="3"/>
  <c r="Z1488" i="3" s="1"/>
  <c r="AA1488" i="3"/>
  <c r="A1489" i="3"/>
  <c r="G1489" i="3"/>
  <c r="W1489" i="3"/>
  <c r="X1489" i="3"/>
  <c r="Z1489" i="3"/>
  <c r="AA1489" i="3"/>
  <c r="A1490" i="3"/>
  <c r="G1490" i="3"/>
  <c r="W1490" i="3"/>
  <c r="X1490" i="3"/>
  <c r="Z1490" i="3" s="1"/>
  <c r="AA1490" i="3"/>
  <c r="A1491" i="3"/>
  <c r="G1491" i="3"/>
  <c r="W1491" i="3"/>
  <c r="X1491" i="3"/>
  <c r="Z1491" i="3" s="1"/>
  <c r="AA1491" i="3"/>
  <c r="A1492" i="3"/>
  <c r="G1492" i="3"/>
  <c r="W1492" i="3"/>
  <c r="X1492" i="3"/>
  <c r="Z1492" i="3" s="1"/>
  <c r="AA1492" i="3"/>
  <c r="A1493" i="3"/>
  <c r="G1493" i="3"/>
  <c r="W1493" i="3"/>
  <c r="X1493" i="3"/>
  <c r="Z1493" i="3" s="1"/>
  <c r="AA1493" i="3"/>
  <c r="A1494" i="3"/>
  <c r="G1494" i="3"/>
  <c r="W1494" i="3"/>
  <c r="X1494" i="3"/>
  <c r="AA1494" i="3"/>
  <c r="A1495" i="3"/>
  <c r="G1495" i="3"/>
  <c r="W1495" i="3"/>
  <c r="X1495" i="3"/>
  <c r="Z1495" i="3" s="1"/>
  <c r="AA1495" i="3"/>
  <c r="A1496" i="3"/>
  <c r="G1496" i="3"/>
  <c r="W1496" i="3"/>
  <c r="X1496" i="3"/>
  <c r="Z1496" i="3" s="1"/>
  <c r="AA1496" i="3"/>
  <c r="A1497" i="3"/>
  <c r="G1497" i="3"/>
  <c r="W1497" i="3"/>
  <c r="X1497" i="3"/>
  <c r="Z1497" i="3" s="1"/>
  <c r="AA1497" i="3"/>
  <c r="A1498" i="3"/>
  <c r="G1498" i="3"/>
  <c r="W1498" i="3"/>
  <c r="X1498" i="3"/>
  <c r="AA1498" i="3"/>
  <c r="A1499" i="3"/>
  <c r="G1499" i="3"/>
  <c r="W1499" i="3"/>
  <c r="X1499" i="3"/>
  <c r="Z1499" i="3"/>
  <c r="AA1499" i="3"/>
  <c r="A1500" i="3"/>
  <c r="G1500" i="3"/>
  <c r="W1500" i="3"/>
  <c r="X1500" i="3"/>
  <c r="AA1500" i="3"/>
  <c r="A1501" i="3"/>
  <c r="G1501" i="3"/>
  <c r="W1501" i="3"/>
  <c r="X1501" i="3"/>
  <c r="Z1501" i="3" s="1"/>
  <c r="AA1501" i="3"/>
  <c r="A1502" i="3"/>
  <c r="G1502" i="3"/>
  <c r="W1502" i="3"/>
  <c r="X1502" i="3"/>
  <c r="Z1502" i="3" s="1"/>
  <c r="AA1502" i="3"/>
  <c r="A1503" i="3"/>
  <c r="G1503" i="3"/>
  <c r="W1503" i="3"/>
  <c r="X1503" i="3"/>
  <c r="Z1503" i="3"/>
  <c r="AA1503" i="3"/>
  <c r="A1504" i="3"/>
  <c r="G1504" i="3"/>
  <c r="W1504" i="3"/>
  <c r="X1504" i="3"/>
  <c r="Z1504" i="3" s="1"/>
  <c r="AA1504" i="3"/>
  <c r="A1505" i="3"/>
  <c r="G1505" i="3"/>
  <c r="W1505" i="3"/>
  <c r="X1505" i="3"/>
  <c r="Z1505" i="3" s="1"/>
  <c r="AA1505" i="3"/>
  <c r="A1506" i="3"/>
  <c r="G1506" i="3"/>
  <c r="W1506" i="3"/>
  <c r="X1506" i="3"/>
  <c r="Z1506" i="3" s="1"/>
  <c r="AA1506" i="3"/>
  <c r="A1507" i="3"/>
  <c r="G1507" i="3"/>
  <c r="W1507" i="3"/>
  <c r="X1507" i="3"/>
  <c r="Z1507" i="3" s="1"/>
  <c r="AA1507" i="3"/>
  <c r="A1508" i="3"/>
  <c r="G1508" i="3"/>
  <c r="W1508" i="3"/>
  <c r="X1508" i="3"/>
  <c r="Z1508" i="3" s="1"/>
  <c r="AA1508" i="3"/>
  <c r="A1509" i="3"/>
  <c r="G1509" i="3"/>
  <c r="W1509" i="3"/>
  <c r="X1509" i="3"/>
  <c r="Z1509" i="3"/>
  <c r="AA1509" i="3"/>
  <c r="A1510" i="3"/>
  <c r="G1510" i="3"/>
  <c r="W1510" i="3"/>
  <c r="X1510" i="3"/>
  <c r="AA1510" i="3"/>
  <c r="A1511" i="3"/>
  <c r="G1511" i="3"/>
  <c r="W1511" i="3"/>
  <c r="X1511" i="3"/>
  <c r="Z1511" i="3" s="1"/>
  <c r="AA1511" i="3"/>
  <c r="A1512" i="3"/>
  <c r="G1512" i="3"/>
  <c r="W1512" i="3"/>
  <c r="X1512" i="3"/>
  <c r="Z1512" i="3" s="1"/>
  <c r="AA1512" i="3"/>
  <c r="A1513" i="3"/>
  <c r="G1513" i="3"/>
  <c r="W1513" i="3"/>
  <c r="X1513" i="3"/>
  <c r="Z1513" i="3" s="1"/>
  <c r="AA1513" i="3"/>
  <c r="A1514" i="3"/>
  <c r="G1514" i="3"/>
  <c r="W1514" i="3"/>
  <c r="X1514" i="3"/>
  <c r="AA1514" i="3"/>
  <c r="A1515" i="3"/>
  <c r="G1515" i="3"/>
  <c r="W1515" i="3"/>
  <c r="X1515" i="3"/>
  <c r="Z1515" i="3" s="1"/>
  <c r="AA1515" i="3"/>
  <c r="A1516" i="3"/>
  <c r="G1516" i="3"/>
  <c r="W1516" i="3"/>
  <c r="X1516" i="3"/>
  <c r="AA1516" i="3"/>
  <c r="A1517" i="3"/>
  <c r="G1517" i="3"/>
  <c r="W1517" i="3"/>
  <c r="X1517" i="3"/>
  <c r="Z1517" i="3"/>
  <c r="AA1517" i="3"/>
  <c r="A1518" i="3"/>
  <c r="G1518" i="3"/>
  <c r="W1518" i="3"/>
  <c r="X1518" i="3"/>
  <c r="Z1518" i="3" s="1"/>
  <c r="AA1518" i="3"/>
  <c r="A1519" i="3"/>
  <c r="G1519" i="3"/>
  <c r="W1519" i="3"/>
  <c r="X1519" i="3"/>
  <c r="Z1519" i="3" s="1"/>
  <c r="AA1519" i="3"/>
  <c r="A1520" i="3"/>
  <c r="G1520" i="3"/>
  <c r="W1520" i="3"/>
  <c r="X1520" i="3"/>
  <c r="Z1520" i="3" s="1"/>
  <c r="AA1520" i="3"/>
  <c r="A1521" i="3"/>
  <c r="G1521" i="3"/>
  <c r="W1521" i="3"/>
  <c r="X1521" i="3"/>
  <c r="Z1521" i="3"/>
  <c r="AA1521" i="3"/>
  <c r="A1522" i="3"/>
  <c r="G1522" i="3"/>
  <c r="W1522" i="3"/>
  <c r="X1522" i="3"/>
  <c r="Z1522" i="3" s="1"/>
  <c r="AA1522" i="3"/>
  <c r="A1523" i="3"/>
  <c r="G1523" i="3"/>
  <c r="W1523" i="3"/>
  <c r="X1523" i="3"/>
  <c r="Z1523" i="3" s="1"/>
  <c r="AA1523" i="3"/>
  <c r="A1524" i="3"/>
  <c r="G1524" i="3"/>
  <c r="W1524" i="3"/>
  <c r="X1524" i="3"/>
  <c r="Z1524" i="3" s="1"/>
  <c r="AA1524" i="3"/>
  <c r="A1525" i="3"/>
  <c r="G1525" i="3"/>
  <c r="W1525" i="3"/>
  <c r="X1525" i="3"/>
  <c r="Z1525" i="3" s="1"/>
  <c r="AA1525" i="3"/>
  <c r="A1526" i="3"/>
  <c r="G1526" i="3"/>
  <c r="W1526" i="3"/>
  <c r="X1526" i="3"/>
  <c r="AA1526" i="3"/>
  <c r="A1527" i="3"/>
  <c r="G1527" i="3"/>
  <c r="W1527" i="3"/>
  <c r="X1527" i="3"/>
  <c r="Z1527" i="3" s="1"/>
  <c r="AA1527" i="3"/>
  <c r="A1528" i="3"/>
  <c r="G1528" i="3"/>
  <c r="W1528" i="3"/>
  <c r="X1528" i="3"/>
  <c r="Z1528" i="3" s="1"/>
  <c r="AA1528" i="3"/>
  <c r="A1529" i="3"/>
  <c r="G1529" i="3"/>
  <c r="W1529" i="3"/>
  <c r="X1529" i="3"/>
  <c r="Z1529" i="3" s="1"/>
  <c r="AA1529" i="3"/>
  <c r="A1530" i="3"/>
  <c r="G1530" i="3"/>
  <c r="W1530" i="3"/>
  <c r="X1530" i="3"/>
  <c r="AA1530" i="3"/>
  <c r="A1531" i="3"/>
  <c r="G1531" i="3"/>
  <c r="W1531" i="3"/>
  <c r="X1531" i="3"/>
  <c r="Z1531" i="3"/>
  <c r="AA1531" i="3"/>
  <c r="A1532" i="3"/>
  <c r="G1532" i="3"/>
  <c r="W1532" i="3"/>
  <c r="X1532" i="3"/>
  <c r="AA1532" i="3"/>
  <c r="A1533" i="3"/>
  <c r="G1533" i="3"/>
  <c r="W1533" i="3"/>
  <c r="X1533" i="3"/>
  <c r="Z1533" i="3"/>
  <c r="AA1533" i="3"/>
  <c r="A1534" i="3"/>
  <c r="G1534" i="3"/>
  <c r="W1534" i="3"/>
  <c r="X1534" i="3"/>
  <c r="Z1534" i="3" s="1"/>
  <c r="AA1534" i="3"/>
  <c r="A1535" i="3"/>
  <c r="G1535" i="3"/>
  <c r="W1535" i="3"/>
  <c r="X1535" i="3"/>
  <c r="Z1535" i="3"/>
  <c r="AA1535" i="3"/>
  <c r="A1536" i="3"/>
  <c r="G1536" i="3"/>
  <c r="W1536" i="3"/>
  <c r="X1536" i="3"/>
  <c r="Z1536" i="3" s="1"/>
  <c r="AA1536" i="3"/>
  <c r="A1537" i="3"/>
  <c r="G1537" i="3"/>
  <c r="W1537" i="3"/>
  <c r="X1537" i="3"/>
  <c r="Z1537" i="3" s="1"/>
  <c r="AA1537" i="3"/>
  <c r="A1538" i="3"/>
  <c r="G1538" i="3"/>
  <c r="W1538" i="3"/>
  <c r="X1538" i="3"/>
  <c r="Z1538" i="3" s="1"/>
  <c r="AA1538" i="3"/>
  <c r="A1539" i="3"/>
  <c r="G1539" i="3"/>
  <c r="W1539" i="3"/>
  <c r="X1539" i="3"/>
  <c r="Z1539" i="3" s="1"/>
  <c r="AA1539" i="3"/>
  <c r="A1540" i="3"/>
  <c r="G1540" i="3"/>
  <c r="W1540" i="3"/>
  <c r="X1540" i="3"/>
  <c r="Z1540" i="3" s="1"/>
  <c r="AA1540" i="3"/>
  <c r="A1541" i="3"/>
  <c r="G1541" i="3"/>
  <c r="W1541" i="3"/>
  <c r="X1541" i="3"/>
  <c r="Z1541" i="3"/>
  <c r="AA1541" i="3"/>
  <c r="A1542" i="3"/>
  <c r="G1542" i="3"/>
  <c r="W1542" i="3"/>
  <c r="X1542" i="3"/>
  <c r="Z1542" i="3" s="1"/>
  <c r="AA1542" i="3"/>
  <c r="A1543" i="3"/>
  <c r="G1543" i="3"/>
  <c r="W1543" i="3"/>
  <c r="X1543" i="3"/>
  <c r="AA1543" i="3"/>
  <c r="A1544" i="3"/>
  <c r="G1544" i="3"/>
  <c r="W1544" i="3"/>
  <c r="X1544" i="3"/>
  <c r="Z1544" i="3"/>
  <c r="AA1544" i="3"/>
  <c r="A1545" i="3"/>
  <c r="G1545" i="3"/>
  <c r="W1545" i="3"/>
  <c r="X1545" i="3"/>
  <c r="Z1545" i="3" s="1"/>
  <c r="AA1545" i="3"/>
  <c r="A1546" i="3"/>
  <c r="G1546" i="3"/>
  <c r="W1546" i="3"/>
  <c r="X1546" i="3"/>
  <c r="Z1546" i="3" s="1"/>
  <c r="AA1546" i="3"/>
  <c r="A1547" i="3"/>
  <c r="G1547" i="3"/>
  <c r="W1547" i="3"/>
  <c r="X1547" i="3"/>
  <c r="AA1547" i="3"/>
  <c r="A1548" i="3"/>
  <c r="G1548" i="3"/>
  <c r="W1548" i="3"/>
  <c r="X1548" i="3"/>
  <c r="Z1548" i="3" s="1"/>
  <c r="AA1548" i="3"/>
  <c r="A1549" i="3"/>
  <c r="G1549" i="3"/>
  <c r="W1549" i="3"/>
  <c r="X1549" i="3"/>
  <c r="Z1549" i="3"/>
  <c r="AA1549" i="3"/>
  <c r="A1550" i="3"/>
  <c r="G1550" i="3"/>
  <c r="W1550" i="3"/>
  <c r="X1550" i="3"/>
  <c r="Z1550" i="3" s="1"/>
  <c r="AA1550" i="3"/>
  <c r="A1551" i="3"/>
  <c r="G1551" i="3"/>
  <c r="W1551" i="3"/>
  <c r="Z1551" i="3" s="1"/>
  <c r="X1551" i="3"/>
  <c r="AA1551" i="3"/>
  <c r="A1552" i="3"/>
  <c r="G1552" i="3"/>
  <c r="W1552" i="3"/>
  <c r="X1552" i="3"/>
  <c r="Z1552" i="3"/>
  <c r="AA1552" i="3"/>
  <c r="A1553" i="3"/>
  <c r="G1553" i="3"/>
  <c r="W1553" i="3"/>
  <c r="X1553" i="3"/>
  <c r="Z1553" i="3" s="1"/>
  <c r="AA1553" i="3"/>
  <c r="A1554" i="3"/>
  <c r="G1554" i="3"/>
  <c r="W1554" i="3"/>
  <c r="X1554" i="3"/>
  <c r="Z1554" i="3" s="1"/>
  <c r="AA1554" i="3"/>
  <c r="A1555" i="3"/>
  <c r="G1555" i="3"/>
  <c r="W1555" i="3"/>
  <c r="X1555" i="3"/>
  <c r="Z1555" i="3" s="1"/>
  <c r="AA1555" i="3"/>
  <c r="A1556" i="3"/>
  <c r="G1556" i="3"/>
  <c r="W1556" i="3"/>
  <c r="X1556" i="3"/>
  <c r="Z1556" i="3" s="1"/>
  <c r="AA1556" i="3"/>
  <c r="A1557" i="3"/>
  <c r="G1557" i="3"/>
  <c r="W1557" i="3"/>
  <c r="X1557" i="3"/>
  <c r="Z1557" i="3" s="1"/>
  <c r="AA1557" i="3"/>
  <c r="A1558" i="3"/>
  <c r="G1558" i="3"/>
  <c r="W1558" i="3"/>
  <c r="X1558" i="3"/>
  <c r="Z1558" i="3" s="1"/>
  <c r="AA1558" i="3"/>
  <c r="A1559" i="3"/>
  <c r="G1559" i="3"/>
  <c r="W1559" i="3"/>
  <c r="X1559" i="3"/>
  <c r="Z1559" i="3" s="1"/>
  <c r="AA1559" i="3"/>
  <c r="A1560" i="3"/>
  <c r="G1560" i="3"/>
  <c r="W1560" i="3"/>
  <c r="X1560" i="3"/>
  <c r="Z1560" i="3" s="1"/>
  <c r="AA1560" i="3"/>
  <c r="A1561" i="3"/>
  <c r="G1561" i="3"/>
  <c r="W1561" i="3"/>
  <c r="X1561" i="3"/>
  <c r="Z1561" i="3" s="1"/>
  <c r="AA1561" i="3"/>
  <c r="A1562" i="3"/>
  <c r="G1562" i="3"/>
  <c r="W1562" i="3"/>
  <c r="X1562" i="3"/>
  <c r="Z1562" i="3" s="1"/>
  <c r="AA1562" i="3"/>
  <c r="A1563" i="3"/>
  <c r="G1563" i="3"/>
  <c r="W1563" i="3"/>
  <c r="X1563" i="3"/>
  <c r="Z1563" i="3" s="1"/>
  <c r="AA1563" i="3"/>
  <c r="A1564" i="3"/>
  <c r="G1564" i="3"/>
  <c r="W1564" i="3"/>
  <c r="X1564" i="3"/>
  <c r="Z1564" i="3" s="1"/>
  <c r="AA1564" i="3"/>
  <c r="A1565" i="3"/>
  <c r="G1565" i="3"/>
  <c r="W1565" i="3"/>
  <c r="X1565" i="3"/>
  <c r="Z1565" i="3" s="1"/>
  <c r="AA1565" i="3"/>
  <c r="A1566" i="3"/>
  <c r="G1566" i="3"/>
  <c r="W1566" i="3"/>
  <c r="X1566" i="3"/>
  <c r="Z1566" i="3" s="1"/>
  <c r="AA1566" i="3"/>
  <c r="A1567" i="3"/>
  <c r="G1567" i="3"/>
  <c r="W1567" i="3"/>
  <c r="X1567" i="3"/>
  <c r="Z1567" i="3" s="1"/>
  <c r="AA1567" i="3"/>
  <c r="A1568" i="3"/>
  <c r="G1568" i="3"/>
  <c r="W1568" i="3"/>
  <c r="X1568" i="3"/>
  <c r="Z1568" i="3"/>
  <c r="AA1568" i="3"/>
  <c r="A1569" i="3"/>
  <c r="G1569" i="3"/>
  <c r="W1569" i="3"/>
  <c r="X1569" i="3"/>
  <c r="Z1569" i="3" s="1"/>
  <c r="AA1569" i="3"/>
  <c r="A1570" i="3"/>
  <c r="G1570" i="3"/>
  <c r="W1570" i="3"/>
  <c r="X1570" i="3"/>
  <c r="Z1570" i="3" s="1"/>
  <c r="AA1570" i="3"/>
  <c r="A1571" i="3"/>
  <c r="G1571" i="3"/>
  <c r="W1571" i="3"/>
  <c r="X1571" i="3"/>
  <c r="Z1571" i="3" s="1"/>
  <c r="AA1571" i="3"/>
  <c r="A1572" i="3"/>
  <c r="G1572" i="3"/>
  <c r="W1572" i="3"/>
  <c r="X1572" i="3"/>
  <c r="Z1572" i="3"/>
  <c r="AA1572" i="3"/>
  <c r="A1573" i="3"/>
  <c r="G1573" i="3"/>
  <c r="W1573" i="3"/>
  <c r="X1573" i="3"/>
  <c r="Z1573" i="3" s="1"/>
  <c r="AA1573" i="3"/>
  <c r="A1574" i="3"/>
  <c r="G1574" i="3"/>
  <c r="W1574" i="3"/>
  <c r="X1574" i="3"/>
  <c r="Z1574" i="3" s="1"/>
  <c r="AA1574" i="3"/>
  <c r="A1575" i="3"/>
  <c r="G1575" i="3"/>
  <c r="W1575" i="3"/>
  <c r="X1575" i="3"/>
  <c r="Z1575" i="3" s="1"/>
  <c r="AA1575" i="3"/>
  <c r="A1576" i="3"/>
  <c r="G1576" i="3"/>
  <c r="W1576" i="3"/>
  <c r="X1576" i="3"/>
  <c r="Z1576" i="3"/>
  <c r="AA1576" i="3"/>
  <c r="A1577" i="3"/>
  <c r="G1577" i="3"/>
  <c r="W1577" i="3"/>
  <c r="X1577" i="3"/>
  <c r="Z1577" i="3" s="1"/>
  <c r="AA1577" i="3"/>
  <c r="A1578" i="3"/>
  <c r="G1578" i="3"/>
  <c r="W1578" i="3"/>
  <c r="X1578" i="3"/>
  <c r="Z1578" i="3" s="1"/>
  <c r="AA1578" i="3"/>
  <c r="A1579" i="3"/>
  <c r="G1579" i="3"/>
  <c r="W1579" i="3"/>
  <c r="X1579" i="3"/>
  <c r="Z1579" i="3" s="1"/>
  <c r="AA1579" i="3"/>
  <c r="A1580" i="3"/>
  <c r="G1580" i="3"/>
  <c r="W1580" i="3"/>
  <c r="X1580" i="3"/>
  <c r="Z1580" i="3"/>
  <c r="AA1580" i="3"/>
  <c r="A1581" i="3"/>
  <c r="G1581" i="3"/>
  <c r="W1581" i="3"/>
  <c r="X1581" i="3"/>
  <c r="Z1581" i="3" s="1"/>
  <c r="AA1581" i="3"/>
  <c r="A1582" i="3"/>
  <c r="G1582" i="3"/>
  <c r="W1582" i="3"/>
  <c r="X1582" i="3"/>
  <c r="Z1582" i="3" s="1"/>
  <c r="AA1582" i="3"/>
  <c r="A1583" i="3"/>
  <c r="G1583" i="3"/>
  <c r="W1583" i="3"/>
  <c r="X1583" i="3"/>
  <c r="Z1583" i="3" s="1"/>
  <c r="AA1583" i="3"/>
  <c r="A1584" i="3"/>
  <c r="G1584" i="3"/>
  <c r="W1584" i="3"/>
  <c r="X1584" i="3"/>
  <c r="Z1584" i="3"/>
  <c r="AA1584" i="3"/>
  <c r="A1585" i="3"/>
  <c r="G1585" i="3"/>
  <c r="W1585" i="3"/>
  <c r="X1585" i="3"/>
  <c r="Z1585" i="3" s="1"/>
  <c r="AA1585" i="3"/>
  <c r="A1586" i="3"/>
  <c r="G1586" i="3"/>
  <c r="W1586" i="3"/>
  <c r="X1586" i="3"/>
  <c r="Z1586" i="3" s="1"/>
  <c r="AA1586" i="3"/>
  <c r="A1587" i="3"/>
  <c r="G1587" i="3"/>
  <c r="W1587" i="3"/>
  <c r="X1587" i="3"/>
  <c r="Z1587" i="3" s="1"/>
  <c r="AA1587" i="3"/>
  <c r="A1588" i="3"/>
  <c r="G1588" i="3"/>
  <c r="W1588" i="3"/>
  <c r="X1588" i="3"/>
  <c r="Z1588" i="3" s="1"/>
  <c r="AA1588" i="3"/>
  <c r="A1589" i="3"/>
  <c r="G1589" i="3"/>
  <c r="W1589" i="3"/>
  <c r="X1589" i="3"/>
  <c r="Z1589" i="3" s="1"/>
  <c r="AA1589" i="3"/>
  <c r="A1590" i="3"/>
  <c r="G1590" i="3"/>
  <c r="W1590" i="3"/>
  <c r="X1590" i="3"/>
  <c r="Z1590" i="3" s="1"/>
  <c r="AA1590" i="3"/>
  <c r="A1591" i="3"/>
  <c r="G1591" i="3"/>
  <c r="W1591" i="3"/>
  <c r="X1591" i="3"/>
  <c r="Z1591" i="3" s="1"/>
  <c r="AA1591" i="3"/>
  <c r="A1592" i="3"/>
  <c r="G1592" i="3"/>
  <c r="W1592" i="3"/>
  <c r="X1592" i="3"/>
  <c r="Z1592" i="3" s="1"/>
  <c r="AA1592" i="3"/>
  <c r="A1593" i="3"/>
  <c r="G1593" i="3"/>
  <c r="W1593" i="3"/>
  <c r="X1593" i="3"/>
  <c r="Z1593" i="3" s="1"/>
  <c r="AA1593" i="3"/>
  <c r="A1594" i="3"/>
  <c r="G1594" i="3"/>
  <c r="W1594" i="3"/>
  <c r="X1594" i="3"/>
  <c r="Z1594" i="3" s="1"/>
  <c r="AA1594" i="3"/>
  <c r="A1595" i="3"/>
  <c r="G1595" i="3"/>
  <c r="W1595" i="3"/>
  <c r="X1595" i="3"/>
  <c r="Z1595" i="3" s="1"/>
  <c r="AA1595" i="3"/>
  <c r="A1596" i="3"/>
  <c r="G1596" i="3"/>
  <c r="W1596" i="3"/>
  <c r="X1596" i="3"/>
  <c r="Z1596" i="3" s="1"/>
  <c r="AA1596" i="3"/>
  <c r="A1597" i="3"/>
  <c r="G1597" i="3"/>
  <c r="W1597" i="3"/>
  <c r="X1597" i="3"/>
  <c r="Z1597" i="3" s="1"/>
  <c r="AA1597" i="3"/>
  <c r="A1598" i="3"/>
  <c r="G1598" i="3"/>
  <c r="W1598" i="3"/>
  <c r="X1598" i="3"/>
  <c r="Z1598" i="3" s="1"/>
  <c r="AA1598" i="3"/>
  <c r="A1599" i="3"/>
  <c r="G1599" i="3"/>
  <c r="W1599" i="3"/>
  <c r="X1599" i="3"/>
  <c r="Z1599" i="3" s="1"/>
  <c r="AA1599" i="3"/>
  <c r="A1600" i="3"/>
  <c r="G1600" i="3"/>
  <c r="W1600" i="3"/>
  <c r="X1600" i="3"/>
  <c r="Z1600" i="3"/>
  <c r="AA1600" i="3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159" i="1"/>
  <c r="A160" i="1"/>
  <c r="A161" i="1"/>
  <c r="A152" i="1"/>
  <c r="A153" i="1"/>
  <c r="A154" i="1"/>
  <c r="A155" i="1"/>
  <c r="A156" i="1"/>
  <c r="A157" i="1"/>
  <c r="A158" i="1"/>
  <c r="A1192" i="3"/>
  <c r="W1192" i="3"/>
  <c r="AA1192" i="3"/>
  <c r="A1193" i="3"/>
  <c r="W1193" i="3"/>
  <c r="AA1193" i="3"/>
  <c r="A1194" i="3"/>
  <c r="W1194" i="3"/>
  <c r="AA1194" i="3"/>
  <c r="A1195" i="3"/>
  <c r="W1195" i="3"/>
  <c r="AA1195" i="3"/>
  <c r="A1196" i="3"/>
  <c r="W1196" i="3"/>
  <c r="AA1196" i="3"/>
  <c r="A1197" i="3"/>
  <c r="W1197" i="3"/>
  <c r="AA1197" i="3"/>
  <c r="A1198" i="3"/>
  <c r="W1198" i="3"/>
  <c r="AA1198" i="3"/>
  <c r="A1199" i="3"/>
  <c r="W1199" i="3"/>
  <c r="AA1199" i="3"/>
  <c r="A1200" i="3"/>
  <c r="W1200" i="3"/>
  <c r="AA1200" i="3"/>
  <c r="A1201" i="3"/>
  <c r="W1201" i="3"/>
  <c r="AA1201" i="3"/>
  <c r="A1173" i="3"/>
  <c r="W1173" i="3"/>
  <c r="AA1173" i="3"/>
  <c r="A1174" i="3"/>
  <c r="W1174" i="3"/>
  <c r="AA1174" i="3"/>
  <c r="A1175" i="3"/>
  <c r="W1175" i="3"/>
  <c r="AA1175" i="3"/>
  <c r="A1176" i="3"/>
  <c r="W1176" i="3"/>
  <c r="AA1176" i="3"/>
  <c r="A1177" i="3"/>
  <c r="W1177" i="3"/>
  <c r="AA1177" i="3"/>
  <c r="A1178" i="3"/>
  <c r="W1178" i="3"/>
  <c r="AA1178" i="3"/>
  <c r="A1179" i="3"/>
  <c r="W1179" i="3"/>
  <c r="AA1179" i="3"/>
  <c r="A1180" i="3"/>
  <c r="W1180" i="3"/>
  <c r="AA1180" i="3"/>
  <c r="A1181" i="3"/>
  <c r="W1181" i="3"/>
  <c r="AA1181" i="3"/>
  <c r="A1182" i="3"/>
  <c r="W1182" i="3"/>
  <c r="AA1182" i="3"/>
  <c r="A1183" i="3"/>
  <c r="W1183" i="3"/>
  <c r="AA1183" i="3"/>
  <c r="A1184" i="3"/>
  <c r="W1184" i="3"/>
  <c r="AA1184" i="3"/>
  <c r="A1185" i="3"/>
  <c r="W1185" i="3"/>
  <c r="AA1185" i="3"/>
  <c r="A1186" i="3"/>
  <c r="W1186" i="3"/>
  <c r="AA1186" i="3"/>
  <c r="A1187" i="3"/>
  <c r="W1187" i="3"/>
  <c r="AA1187" i="3"/>
  <c r="A1188" i="3"/>
  <c r="W1188" i="3"/>
  <c r="AA1188" i="3"/>
  <c r="A1189" i="3"/>
  <c r="W1189" i="3"/>
  <c r="AA1189" i="3"/>
  <c r="A1190" i="3"/>
  <c r="W1190" i="3"/>
  <c r="AA1190" i="3"/>
  <c r="A1191" i="3"/>
  <c r="W1191" i="3"/>
  <c r="AA1191" i="3"/>
  <c r="A901" i="3"/>
  <c r="W901" i="3"/>
  <c r="AA901" i="3"/>
  <c r="A902" i="3"/>
  <c r="W902" i="3"/>
  <c r="AA902" i="3"/>
  <c r="A903" i="3"/>
  <c r="W903" i="3"/>
  <c r="AA903" i="3"/>
  <c r="A904" i="3"/>
  <c r="W904" i="3"/>
  <c r="AA904" i="3"/>
  <c r="A905" i="3"/>
  <c r="W905" i="3"/>
  <c r="AA905" i="3"/>
  <c r="A906" i="3"/>
  <c r="W906" i="3"/>
  <c r="AA906" i="3"/>
  <c r="A907" i="3"/>
  <c r="W907" i="3"/>
  <c r="AA907" i="3"/>
  <c r="A908" i="3"/>
  <c r="W908" i="3"/>
  <c r="AA908" i="3"/>
  <c r="A909" i="3"/>
  <c r="W909" i="3"/>
  <c r="AA909" i="3"/>
  <c r="A910" i="3"/>
  <c r="W910" i="3"/>
  <c r="AA910" i="3"/>
  <c r="A911" i="3"/>
  <c r="W911" i="3"/>
  <c r="AA911" i="3"/>
  <c r="A912" i="3"/>
  <c r="W912" i="3"/>
  <c r="AA912" i="3"/>
  <c r="A913" i="3"/>
  <c r="W913" i="3"/>
  <c r="AA913" i="3"/>
  <c r="A914" i="3"/>
  <c r="W914" i="3"/>
  <c r="AA914" i="3"/>
  <c r="A915" i="3"/>
  <c r="W915" i="3"/>
  <c r="AA915" i="3"/>
  <c r="A916" i="3"/>
  <c r="W916" i="3"/>
  <c r="AA916" i="3"/>
  <c r="A917" i="3"/>
  <c r="W917" i="3"/>
  <c r="AA917" i="3"/>
  <c r="A918" i="3"/>
  <c r="W918" i="3"/>
  <c r="AA918" i="3"/>
  <c r="A919" i="3"/>
  <c r="W919" i="3"/>
  <c r="AA919" i="3"/>
  <c r="A920" i="3"/>
  <c r="W920" i="3"/>
  <c r="AA920" i="3"/>
  <c r="A921" i="3"/>
  <c r="W921" i="3"/>
  <c r="AA921" i="3"/>
  <c r="A922" i="3"/>
  <c r="W922" i="3"/>
  <c r="AA922" i="3"/>
  <c r="A923" i="3"/>
  <c r="W923" i="3"/>
  <c r="AA923" i="3"/>
  <c r="A924" i="3"/>
  <c r="W924" i="3"/>
  <c r="AA924" i="3"/>
  <c r="A925" i="3"/>
  <c r="W925" i="3"/>
  <c r="AA925" i="3"/>
  <c r="A926" i="3"/>
  <c r="W926" i="3"/>
  <c r="AA926" i="3"/>
  <c r="A927" i="3"/>
  <c r="W927" i="3"/>
  <c r="AA927" i="3"/>
  <c r="A928" i="3"/>
  <c r="W928" i="3"/>
  <c r="AA928" i="3"/>
  <c r="A929" i="3"/>
  <c r="W929" i="3"/>
  <c r="AA929" i="3"/>
  <c r="A930" i="3"/>
  <c r="W930" i="3"/>
  <c r="AA930" i="3"/>
  <c r="A931" i="3"/>
  <c r="W931" i="3"/>
  <c r="AA931" i="3"/>
  <c r="A932" i="3"/>
  <c r="W932" i="3"/>
  <c r="AA932" i="3"/>
  <c r="A933" i="3"/>
  <c r="W933" i="3"/>
  <c r="AA933" i="3"/>
  <c r="A934" i="3"/>
  <c r="W934" i="3"/>
  <c r="AA934" i="3"/>
  <c r="A935" i="3"/>
  <c r="W935" i="3"/>
  <c r="AA935" i="3"/>
  <c r="A936" i="3"/>
  <c r="W936" i="3"/>
  <c r="AA936" i="3"/>
  <c r="A937" i="3"/>
  <c r="W937" i="3"/>
  <c r="AA937" i="3"/>
  <c r="A938" i="3"/>
  <c r="W938" i="3"/>
  <c r="AA938" i="3"/>
  <c r="A939" i="3"/>
  <c r="W939" i="3"/>
  <c r="AA939" i="3"/>
  <c r="A940" i="3"/>
  <c r="W940" i="3"/>
  <c r="AA940" i="3"/>
  <c r="A941" i="3"/>
  <c r="W941" i="3"/>
  <c r="AA941" i="3"/>
  <c r="A942" i="3"/>
  <c r="W942" i="3"/>
  <c r="AA942" i="3"/>
  <c r="A943" i="3"/>
  <c r="W943" i="3"/>
  <c r="AA943" i="3"/>
  <c r="A944" i="3"/>
  <c r="W944" i="3"/>
  <c r="AA944" i="3"/>
  <c r="A945" i="3"/>
  <c r="W945" i="3"/>
  <c r="AA945" i="3"/>
  <c r="A946" i="3"/>
  <c r="W946" i="3"/>
  <c r="AA946" i="3"/>
  <c r="A947" i="3"/>
  <c r="W947" i="3"/>
  <c r="AA947" i="3"/>
  <c r="A948" i="3"/>
  <c r="W948" i="3"/>
  <c r="AA948" i="3"/>
  <c r="A949" i="3"/>
  <c r="W949" i="3"/>
  <c r="AA949" i="3"/>
  <c r="A950" i="3"/>
  <c r="W950" i="3"/>
  <c r="AA950" i="3"/>
  <c r="A951" i="3"/>
  <c r="W951" i="3"/>
  <c r="AA951" i="3"/>
  <c r="A952" i="3"/>
  <c r="W952" i="3"/>
  <c r="AA952" i="3"/>
  <c r="A953" i="3"/>
  <c r="W953" i="3"/>
  <c r="AA953" i="3"/>
  <c r="A954" i="3"/>
  <c r="W954" i="3"/>
  <c r="AA954" i="3"/>
  <c r="A955" i="3"/>
  <c r="W955" i="3"/>
  <c r="AA955" i="3"/>
  <c r="A956" i="3"/>
  <c r="W956" i="3"/>
  <c r="AA956" i="3"/>
  <c r="A957" i="3"/>
  <c r="W957" i="3"/>
  <c r="AA957" i="3"/>
  <c r="A958" i="3"/>
  <c r="W958" i="3"/>
  <c r="AA958" i="3"/>
  <c r="A959" i="3"/>
  <c r="W959" i="3"/>
  <c r="AA959" i="3"/>
  <c r="A960" i="3"/>
  <c r="W960" i="3"/>
  <c r="AA960" i="3"/>
  <c r="A961" i="3"/>
  <c r="W961" i="3"/>
  <c r="AA961" i="3"/>
  <c r="A962" i="3"/>
  <c r="W962" i="3"/>
  <c r="AA962" i="3"/>
  <c r="A963" i="3"/>
  <c r="W963" i="3"/>
  <c r="AA963" i="3"/>
  <c r="A964" i="3"/>
  <c r="W964" i="3"/>
  <c r="AA964" i="3"/>
  <c r="A965" i="3"/>
  <c r="W965" i="3"/>
  <c r="AA965" i="3"/>
  <c r="A966" i="3"/>
  <c r="W966" i="3"/>
  <c r="AA966" i="3"/>
  <c r="A967" i="3"/>
  <c r="W967" i="3"/>
  <c r="AA967" i="3"/>
  <c r="A968" i="3"/>
  <c r="W968" i="3"/>
  <c r="AA968" i="3"/>
  <c r="A969" i="3"/>
  <c r="W969" i="3"/>
  <c r="AA969" i="3"/>
  <c r="A970" i="3"/>
  <c r="W970" i="3"/>
  <c r="AA970" i="3"/>
  <c r="A971" i="3"/>
  <c r="W971" i="3"/>
  <c r="AA971" i="3"/>
  <c r="A972" i="3"/>
  <c r="W972" i="3"/>
  <c r="AA972" i="3"/>
  <c r="A973" i="3"/>
  <c r="W973" i="3"/>
  <c r="AA973" i="3"/>
  <c r="A974" i="3"/>
  <c r="W974" i="3"/>
  <c r="AA974" i="3"/>
  <c r="A975" i="3"/>
  <c r="W975" i="3"/>
  <c r="AA975" i="3"/>
  <c r="A976" i="3"/>
  <c r="W976" i="3"/>
  <c r="AA976" i="3"/>
  <c r="A977" i="3"/>
  <c r="W977" i="3"/>
  <c r="AA977" i="3"/>
  <c r="A978" i="3"/>
  <c r="W978" i="3"/>
  <c r="AA978" i="3"/>
  <c r="A979" i="3"/>
  <c r="W979" i="3"/>
  <c r="AA979" i="3"/>
  <c r="A980" i="3"/>
  <c r="W980" i="3"/>
  <c r="AA980" i="3"/>
  <c r="A981" i="3"/>
  <c r="W981" i="3"/>
  <c r="AA981" i="3"/>
  <c r="A982" i="3"/>
  <c r="W982" i="3"/>
  <c r="AA982" i="3"/>
  <c r="A983" i="3"/>
  <c r="W983" i="3"/>
  <c r="AA983" i="3"/>
  <c r="A984" i="3"/>
  <c r="W984" i="3"/>
  <c r="AA984" i="3"/>
  <c r="A985" i="3"/>
  <c r="W985" i="3"/>
  <c r="AA985" i="3"/>
  <c r="A986" i="3"/>
  <c r="W986" i="3"/>
  <c r="AA986" i="3"/>
  <c r="A987" i="3"/>
  <c r="W987" i="3"/>
  <c r="AA987" i="3"/>
  <c r="A988" i="3"/>
  <c r="W988" i="3"/>
  <c r="AA988" i="3"/>
  <c r="A989" i="3"/>
  <c r="W989" i="3"/>
  <c r="AA989" i="3"/>
  <c r="A990" i="3"/>
  <c r="W990" i="3"/>
  <c r="AA990" i="3"/>
  <c r="A991" i="3"/>
  <c r="W991" i="3"/>
  <c r="AA991" i="3"/>
  <c r="A992" i="3"/>
  <c r="W992" i="3"/>
  <c r="AA992" i="3"/>
  <c r="A993" i="3"/>
  <c r="W993" i="3"/>
  <c r="AA993" i="3"/>
  <c r="A994" i="3"/>
  <c r="W994" i="3"/>
  <c r="AA994" i="3"/>
  <c r="A995" i="3"/>
  <c r="W995" i="3"/>
  <c r="AA995" i="3"/>
  <c r="A996" i="3"/>
  <c r="W996" i="3"/>
  <c r="AA996" i="3"/>
  <c r="A997" i="3"/>
  <c r="W997" i="3"/>
  <c r="AA997" i="3"/>
  <c r="A998" i="3"/>
  <c r="W998" i="3"/>
  <c r="AA998" i="3"/>
  <c r="A999" i="3"/>
  <c r="W999" i="3"/>
  <c r="AA999" i="3"/>
  <c r="A1000" i="3"/>
  <c r="W1000" i="3"/>
  <c r="AA1000" i="3"/>
  <c r="A1001" i="3"/>
  <c r="W1001" i="3"/>
  <c r="AA1001" i="3"/>
  <c r="A1002" i="3"/>
  <c r="W1002" i="3"/>
  <c r="AA1002" i="3"/>
  <c r="A1003" i="3"/>
  <c r="W1003" i="3"/>
  <c r="AA1003" i="3"/>
  <c r="A1004" i="3"/>
  <c r="W1004" i="3"/>
  <c r="AA1004" i="3"/>
  <c r="A1005" i="3"/>
  <c r="W1005" i="3"/>
  <c r="AA1005" i="3"/>
  <c r="A1006" i="3"/>
  <c r="W1006" i="3"/>
  <c r="AA1006" i="3"/>
  <c r="A1007" i="3"/>
  <c r="W1007" i="3"/>
  <c r="AA1007" i="3"/>
  <c r="A1008" i="3"/>
  <c r="W1008" i="3"/>
  <c r="AA1008" i="3"/>
  <c r="A1009" i="3"/>
  <c r="W1009" i="3"/>
  <c r="AA1009" i="3"/>
  <c r="A1010" i="3"/>
  <c r="W1010" i="3"/>
  <c r="AA1010" i="3"/>
  <c r="A1011" i="3"/>
  <c r="W1011" i="3"/>
  <c r="AA1011" i="3"/>
  <c r="A1012" i="3"/>
  <c r="W1012" i="3"/>
  <c r="AA1012" i="3"/>
  <c r="A1013" i="3"/>
  <c r="W1013" i="3"/>
  <c r="AA1013" i="3"/>
  <c r="A1014" i="3"/>
  <c r="W1014" i="3"/>
  <c r="AA1014" i="3"/>
  <c r="A1015" i="3"/>
  <c r="W1015" i="3"/>
  <c r="AA1015" i="3"/>
  <c r="A1016" i="3"/>
  <c r="W1016" i="3"/>
  <c r="AA1016" i="3"/>
  <c r="A1017" i="3"/>
  <c r="W1017" i="3"/>
  <c r="AA1017" i="3"/>
  <c r="A1018" i="3"/>
  <c r="W1018" i="3"/>
  <c r="AA1018" i="3"/>
  <c r="A1019" i="3"/>
  <c r="W1019" i="3"/>
  <c r="AA1019" i="3"/>
  <c r="A1020" i="3"/>
  <c r="W1020" i="3"/>
  <c r="AA1020" i="3"/>
  <c r="A1021" i="3"/>
  <c r="W1021" i="3"/>
  <c r="AA1021" i="3"/>
  <c r="A1022" i="3"/>
  <c r="W1022" i="3"/>
  <c r="AA1022" i="3"/>
  <c r="A1023" i="3"/>
  <c r="W1023" i="3"/>
  <c r="AA1023" i="3"/>
  <c r="A1024" i="3"/>
  <c r="W1024" i="3"/>
  <c r="AA1024" i="3"/>
  <c r="A1025" i="3"/>
  <c r="W1025" i="3"/>
  <c r="AA1025" i="3"/>
  <c r="A1026" i="3"/>
  <c r="W1026" i="3"/>
  <c r="AA1026" i="3"/>
  <c r="A1027" i="3"/>
  <c r="W1027" i="3"/>
  <c r="AA1027" i="3"/>
  <c r="A1028" i="3"/>
  <c r="W1028" i="3"/>
  <c r="AA1028" i="3"/>
  <c r="A1029" i="3"/>
  <c r="W1029" i="3"/>
  <c r="AA1029" i="3"/>
  <c r="A1030" i="3"/>
  <c r="W1030" i="3"/>
  <c r="AA1030" i="3"/>
  <c r="A1031" i="3"/>
  <c r="W1031" i="3"/>
  <c r="AA1031" i="3"/>
  <c r="A1032" i="3"/>
  <c r="W1032" i="3"/>
  <c r="AA1032" i="3"/>
  <c r="A1033" i="3"/>
  <c r="W1033" i="3"/>
  <c r="AA1033" i="3"/>
  <c r="A1034" i="3"/>
  <c r="W1034" i="3"/>
  <c r="AA1034" i="3"/>
  <c r="A1035" i="3"/>
  <c r="W1035" i="3"/>
  <c r="AA1035" i="3"/>
  <c r="A1036" i="3"/>
  <c r="W1036" i="3"/>
  <c r="AA1036" i="3"/>
  <c r="A1037" i="3"/>
  <c r="W1037" i="3"/>
  <c r="AA1037" i="3"/>
  <c r="A1038" i="3"/>
  <c r="W1038" i="3"/>
  <c r="AA1038" i="3"/>
  <c r="A1039" i="3"/>
  <c r="W1039" i="3"/>
  <c r="AA1039" i="3"/>
  <c r="A1040" i="3"/>
  <c r="W1040" i="3"/>
  <c r="AA1040" i="3"/>
  <c r="A1041" i="3"/>
  <c r="W1041" i="3"/>
  <c r="AA1041" i="3"/>
  <c r="A1042" i="3"/>
  <c r="W1042" i="3"/>
  <c r="AA1042" i="3"/>
  <c r="A1043" i="3"/>
  <c r="W1043" i="3"/>
  <c r="AA1043" i="3"/>
  <c r="A1044" i="3"/>
  <c r="W1044" i="3"/>
  <c r="AA1044" i="3"/>
  <c r="A1045" i="3"/>
  <c r="W1045" i="3"/>
  <c r="AA1045" i="3"/>
  <c r="A1046" i="3"/>
  <c r="W1046" i="3"/>
  <c r="AA1046" i="3"/>
  <c r="A1047" i="3"/>
  <c r="W1047" i="3"/>
  <c r="AA1047" i="3"/>
  <c r="A1048" i="3"/>
  <c r="W1048" i="3"/>
  <c r="AA1048" i="3"/>
  <c r="A1049" i="3"/>
  <c r="W1049" i="3"/>
  <c r="AA1049" i="3"/>
  <c r="A1050" i="3"/>
  <c r="W1050" i="3"/>
  <c r="AA1050" i="3"/>
  <c r="A1051" i="3"/>
  <c r="W1051" i="3"/>
  <c r="AA1051" i="3"/>
  <c r="A1052" i="3"/>
  <c r="W1052" i="3"/>
  <c r="AA1052" i="3"/>
  <c r="A1053" i="3"/>
  <c r="W1053" i="3"/>
  <c r="AA1053" i="3"/>
  <c r="A1054" i="3"/>
  <c r="W1054" i="3"/>
  <c r="AA1054" i="3"/>
  <c r="A1055" i="3"/>
  <c r="W1055" i="3"/>
  <c r="AA1055" i="3"/>
  <c r="A1056" i="3"/>
  <c r="W1056" i="3"/>
  <c r="AA1056" i="3"/>
  <c r="A1057" i="3"/>
  <c r="W1057" i="3"/>
  <c r="AA1057" i="3"/>
  <c r="A1058" i="3"/>
  <c r="W1058" i="3"/>
  <c r="AA1058" i="3"/>
  <c r="A1059" i="3"/>
  <c r="W1059" i="3"/>
  <c r="AA1059" i="3"/>
  <c r="A1060" i="3"/>
  <c r="W1060" i="3"/>
  <c r="AA1060" i="3"/>
  <c r="A1061" i="3"/>
  <c r="W1061" i="3"/>
  <c r="AA1061" i="3"/>
  <c r="A1062" i="3"/>
  <c r="W1062" i="3"/>
  <c r="AA1062" i="3"/>
  <c r="A1063" i="3"/>
  <c r="W1063" i="3"/>
  <c r="AA1063" i="3"/>
  <c r="A1064" i="3"/>
  <c r="W1064" i="3"/>
  <c r="AA1064" i="3"/>
  <c r="A1065" i="3"/>
  <c r="W1065" i="3"/>
  <c r="AA1065" i="3"/>
  <c r="A1066" i="3"/>
  <c r="W1066" i="3"/>
  <c r="AA1066" i="3"/>
  <c r="A1067" i="3"/>
  <c r="W1067" i="3"/>
  <c r="AA1067" i="3"/>
  <c r="A1068" i="3"/>
  <c r="W1068" i="3"/>
  <c r="AA1068" i="3"/>
  <c r="A1069" i="3"/>
  <c r="W1069" i="3"/>
  <c r="AA1069" i="3"/>
  <c r="A1070" i="3"/>
  <c r="W1070" i="3"/>
  <c r="AA1070" i="3"/>
  <c r="A1071" i="3"/>
  <c r="W1071" i="3"/>
  <c r="AA1071" i="3"/>
  <c r="A1072" i="3"/>
  <c r="W1072" i="3"/>
  <c r="AA1072" i="3"/>
  <c r="A1073" i="3"/>
  <c r="W1073" i="3"/>
  <c r="AA1073" i="3"/>
  <c r="A1074" i="3"/>
  <c r="W1074" i="3"/>
  <c r="AA1074" i="3"/>
  <c r="A1075" i="3"/>
  <c r="W1075" i="3"/>
  <c r="AA1075" i="3"/>
  <c r="A1076" i="3"/>
  <c r="W1076" i="3"/>
  <c r="AA1076" i="3"/>
  <c r="A1077" i="3"/>
  <c r="W1077" i="3"/>
  <c r="AA1077" i="3"/>
  <c r="A1078" i="3"/>
  <c r="W1078" i="3"/>
  <c r="AA1078" i="3"/>
  <c r="A1079" i="3"/>
  <c r="W1079" i="3"/>
  <c r="AA1079" i="3"/>
  <c r="A1080" i="3"/>
  <c r="W1080" i="3"/>
  <c r="AA1080" i="3"/>
  <c r="A1081" i="3"/>
  <c r="W1081" i="3"/>
  <c r="AA1081" i="3"/>
  <c r="A1082" i="3"/>
  <c r="W1082" i="3"/>
  <c r="AA1082" i="3"/>
  <c r="A1083" i="3"/>
  <c r="W1083" i="3"/>
  <c r="AA1083" i="3"/>
  <c r="A1084" i="3"/>
  <c r="W1084" i="3"/>
  <c r="AA1084" i="3"/>
  <c r="A1085" i="3"/>
  <c r="W1085" i="3"/>
  <c r="AA1085" i="3"/>
  <c r="A1086" i="3"/>
  <c r="W1086" i="3"/>
  <c r="AA1086" i="3"/>
  <c r="A1087" i="3"/>
  <c r="W1087" i="3"/>
  <c r="AA1087" i="3"/>
  <c r="A1088" i="3"/>
  <c r="W1088" i="3"/>
  <c r="AA1088" i="3"/>
  <c r="A1089" i="3"/>
  <c r="W1089" i="3"/>
  <c r="AA1089" i="3"/>
  <c r="A1090" i="3"/>
  <c r="W1090" i="3"/>
  <c r="AA1090" i="3"/>
  <c r="A1091" i="3"/>
  <c r="W1091" i="3"/>
  <c r="AA1091" i="3"/>
  <c r="A1092" i="3"/>
  <c r="W1092" i="3"/>
  <c r="AA1092" i="3"/>
  <c r="A1093" i="3"/>
  <c r="W1093" i="3"/>
  <c r="AA1093" i="3"/>
  <c r="A1094" i="3"/>
  <c r="W1094" i="3"/>
  <c r="AA1094" i="3"/>
  <c r="A1095" i="3"/>
  <c r="W1095" i="3"/>
  <c r="AA1095" i="3"/>
  <c r="A1096" i="3"/>
  <c r="W1096" i="3"/>
  <c r="AA1096" i="3"/>
  <c r="A1097" i="3"/>
  <c r="W1097" i="3"/>
  <c r="AA1097" i="3"/>
  <c r="A1098" i="3"/>
  <c r="W1098" i="3"/>
  <c r="AA1098" i="3"/>
  <c r="A1099" i="3"/>
  <c r="W1099" i="3"/>
  <c r="AA1099" i="3"/>
  <c r="A1100" i="3"/>
  <c r="W1100" i="3"/>
  <c r="AA1100" i="3"/>
  <c r="A1101" i="3"/>
  <c r="W1101" i="3"/>
  <c r="AA1101" i="3"/>
  <c r="A1102" i="3"/>
  <c r="W1102" i="3"/>
  <c r="AA1102" i="3"/>
  <c r="A1103" i="3"/>
  <c r="W1103" i="3"/>
  <c r="AA1103" i="3"/>
  <c r="A1104" i="3"/>
  <c r="W1104" i="3"/>
  <c r="AA1104" i="3"/>
  <c r="A1105" i="3"/>
  <c r="W1105" i="3"/>
  <c r="AA1105" i="3"/>
  <c r="A1106" i="3"/>
  <c r="W1106" i="3"/>
  <c r="AA1106" i="3"/>
  <c r="A1107" i="3"/>
  <c r="W1107" i="3"/>
  <c r="AA1107" i="3"/>
  <c r="A1108" i="3"/>
  <c r="W1108" i="3"/>
  <c r="AA1108" i="3"/>
  <c r="A1109" i="3"/>
  <c r="W1109" i="3"/>
  <c r="AA1109" i="3"/>
  <c r="A1110" i="3"/>
  <c r="W1110" i="3"/>
  <c r="AA1110" i="3"/>
  <c r="A1111" i="3"/>
  <c r="W1111" i="3"/>
  <c r="AA1111" i="3"/>
  <c r="A1112" i="3"/>
  <c r="W1112" i="3"/>
  <c r="AA1112" i="3"/>
  <c r="A1113" i="3"/>
  <c r="W1113" i="3"/>
  <c r="AA1113" i="3"/>
  <c r="A1114" i="3"/>
  <c r="W1114" i="3"/>
  <c r="AA1114" i="3"/>
  <c r="A1115" i="3"/>
  <c r="W1115" i="3"/>
  <c r="AA1115" i="3"/>
  <c r="A1116" i="3"/>
  <c r="W1116" i="3"/>
  <c r="AA1116" i="3"/>
  <c r="A1117" i="3"/>
  <c r="W1117" i="3"/>
  <c r="AA1117" i="3"/>
  <c r="A1118" i="3"/>
  <c r="W1118" i="3"/>
  <c r="AA1118" i="3"/>
  <c r="A1119" i="3"/>
  <c r="W1119" i="3"/>
  <c r="AA1119" i="3"/>
  <c r="A1120" i="3"/>
  <c r="W1120" i="3"/>
  <c r="AA1120" i="3"/>
  <c r="A1121" i="3"/>
  <c r="W1121" i="3"/>
  <c r="AA1121" i="3"/>
  <c r="A1122" i="3"/>
  <c r="W1122" i="3"/>
  <c r="AA1122" i="3"/>
  <c r="A1123" i="3"/>
  <c r="W1123" i="3"/>
  <c r="AA1123" i="3"/>
  <c r="A1124" i="3"/>
  <c r="W1124" i="3"/>
  <c r="AA1124" i="3"/>
  <c r="A1125" i="3"/>
  <c r="W1125" i="3"/>
  <c r="AA1125" i="3"/>
  <c r="A1126" i="3"/>
  <c r="W1126" i="3"/>
  <c r="AA1126" i="3"/>
  <c r="A1127" i="3"/>
  <c r="W1127" i="3"/>
  <c r="AA1127" i="3"/>
  <c r="A1128" i="3"/>
  <c r="W1128" i="3"/>
  <c r="AA1128" i="3"/>
  <c r="A1129" i="3"/>
  <c r="W1129" i="3"/>
  <c r="AA1129" i="3"/>
  <c r="A1130" i="3"/>
  <c r="W1130" i="3"/>
  <c r="AA1130" i="3"/>
  <c r="A1131" i="3"/>
  <c r="W1131" i="3"/>
  <c r="AA1131" i="3"/>
  <c r="A1132" i="3"/>
  <c r="W1132" i="3"/>
  <c r="AA1132" i="3"/>
  <c r="A1133" i="3"/>
  <c r="W1133" i="3"/>
  <c r="AA1133" i="3"/>
  <c r="A1134" i="3"/>
  <c r="W1134" i="3"/>
  <c r="AA1134" i="3"/>
  <c r="A1135" i="3"/>
  <c r="W1135" i="3"/>
  <c r="AA1135" i="3"/>
  <c r="A1136" i="3"/>
  <c r="W1136" i="3"/>
  <c r="AA1136" i="3"/>
  <c r="A1137" i="3"/>
  <c r="W1137" i="3"/>
  <c r="AA1137" i="3"/>
  <c r="A1138" i="3"/>
  <c r="W1138" i="3"/>
  <c r="AA1138" i="3"/>
  <c r="A1139" i="3"/>
  <c r="W1139" i="3"/>
  <c r="AA1139" i="3"/>
  <c r="A1140" i="3"/>
  <c r="W1140" i="3"/>
  <c r="AA1140" i="3"/>
  <c r="A1141" i="3"/>
  <c r="W1141" i="3"/>
  <c r="AA1141" i="3"/>
  <c r="A1142" i="3"/>
  <c r="W1142" i="3"/>
  <c r="AA1142" i="3"/>
  <c r="A1143" i="3"/>
  <c r="W1143" i="3"/>
  <c r="AA1143" i="3"/>
  <c r="A1144" i="3"/>
  <c r="W1144" i="3"/>
  <c r="AA1144" i="3"/>
  <c r="A1145" i="3"/>
  <c r="W1145" i="3"/>
  <c r="AA1145" i="3"/>
  <c r="A1146" i="3"/>
  <c r="W1146" i="3"/>
  <c r="AA1146" i="3"/>
  <c r="A1147" i="3"/>
  <c r="W1147" i="3"/>
  <c r="AA1147" i="3"/>
  <c r="A1148" i="3"/>
  <c r="W1148" i="3"/>
  <c r="AA1148" i="3"/>
  <c r="A1149" i="3"/>
  <c r="W1149" i="3"/>
  <c r="AA1149" i="3"/>
  <c r="A1150" i="3"/>
  <c r="W1150" i="3"/>
  <c r="AA1150" i="3"/>
  <c r="A1151" i="3"/>
  <c r="W1151" i="3"/>
  <c r="AA1151" i="3"/>
  <c r="A1152" i="3"/>
  <c r="W1152" i="3"/>
  <c r="AA1152" i="3"/>
  <c r="A1153" i="3"/>
  <c r="W1153" i="3"/>
  <c r="AA1153" i="3"/>
  <c r="A1154" i="3"/>
  <c r="W1154" i="3"/>
  <c r="AA1154" i="3"/>
  <c r="A1155" i="3"/>
  <c r="W1155" i="3"/>
  <c r="AA1155" i="3"/>
  <c r="A1156" i="3"/>
  <c r="W1156" i="3"/>
  <c r="AA1156" i="3"/>
  <c r="A1157" i="3"/>
  <c r="W1157" i="3"/>
  <c r="AA1157" i="3"/>
  <c r="A1158" i="3"/>
  <c r="W1158" i="3"/>
  <c r="AA1158" i="3"/>
  <c r="A1159" i="3"/>
  <c r="W1159" i="3"/>
  <c r="AA1159" i="3"/>
  <c r="A1160" i="3"/>
  <c r="W1160" i="3"/>
  <c r="AA1160" i="3"/>
  <c r="A1161" i="3"/>
  <c r="W1161" i="3"/>
  <c r="AA1161" i="3"/>
  <c r="A1162" i="3"/>
  <c r="W1162" i="3"/>
  <c r="AA1162" i="3"/>
  <c r="A1163" i="3"/>
  <c r="W1163" i="3"/>
  <c r="AA1163" i="3"/>
  <c r="A1164" i="3"/>
  <c r="W1164" i="3"/>
  <c r="AA1164" i="3"/>
  <c r="A1165" i="3"/>
  <c r="W1165" i="3"/>
  <c r="AA1165" i="3"/>
  <c r="A1166" i="3"/>
  <c r="W1166" i="3"/>
  <c r="AA1166" i="3"/>
  <c r="A1167" i="3"/>
  <c r="W1167" i="3"/>
  <c r="AA1167" i="3"/>
  <c r="A1168" i="3"/>
  <c r="W1168" i="3"/>
  <c r="AA1168" i="3"/>
  <c r="A1169" i="3"/>
  <c r="W1169" i="3"/>
  <c r="AA1169" i="3"/>
  <c r="A1170" i="3"/>
  <c r="W1170" i="3"/>
  <c r="AA1170" i="3"/>
  <c r="A1171" i="3"/>
  <c r="W1171" i="3"/>
  <c r="AA1171" i="3"/>
  <c r="A1172" i="3"/>
  <c r="W1172" i="3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6" i="1"/>
  <c r="A145" i="1"/>
  <c r="A147" i="1"/>
  <c r="A148" i="1"/>
  <c r="A149" i="1"/>
  <c r="A150" i="1"/>
  <c r="A701" i="3"/>
  <c r="W701" i="3"/>
  <c r="AA701" i="3"/>
  <c r="A702" i="3"/>
  <c r="W702" i="3"/>
  <c r="AA702" i="3"/>
  <c r="A703" i="3"/>
  <c r="W703" i="3"/>
  <c r="AA703" i="3"/>
  <c r="A704" i="3"/>
  <c r="W704" i="3"/>
  <c r="AA704" i="3"/>
  <c r="A705" i="3"/>
  <c r="W705" i="3"/>
  <c r="AA705" i="3"/>
  <c r="A706" i="3"/>
  <c r="W706" i="3"/>
  <c r="AA706" i="3"/>
  <c r="A707" i="3"/>
  <c r="W707" i="3"/>
  <c r="AA707" i="3"/>
  <c r="A708" i="3"/>
  <c r="W708" i="3"/>
  <c r="AA708" i="3"/>
  <c r="A709" i="3"/>
  <c r="W709" i="3"/>
  <c r="AA709" i="3"/>
  <c r="A710" i="3"/>
  <c r="W710" i="3"/>
  <c r="AA710" i="3"/>
  <c r="A711" i="3"/>
  <c r="W711" i="3"/>
  <c r="AA711" i="3"/>
  <c r="A712" i="3"/>
  <c r="W712" i="3"/>
  <c r="AA712" i="3"/>
  <c r="A713" i="3"/>
  <c r="W713" i="3"/>
  <c r="AA713" i="3"/>
  <c r="A714" i="3"/>
  <c r="W714" i="3"/>
  <c r="AA714" i="3"/>
  <c r="A715" i="3"/>
  <c r="W715" i="3"/>
  <c r="AA715" i="3"/>
  <c r="A716" i="3"/>
  <c r="W716" i="3"/>
  <c r="AA716" i="3"/>
  <c r="A717" i="3"/>
  <c r="W717" i="3"/>
  <c r="AA717" i="3"/>
  <c r="A718" i="3"/>
  <c r="W718" i="3"/>
  <c r="AA718" i="3"/>
  <c r="A719" i="3"/>
  <c r="W719" i="3"/>
  <c r="AA719" i="3"/>
  <c r="A720" i="3"/>
  <c r="W720" i="3"/>
  <c r="AA720" i="3"/>
  <c r="A721" i="3"/>
  <c r="W721" i="3"/>
  <c r="AA721" i="3"/>
  <c r="A722" i="3"/>
  <c r="W722" i="3"/>
  <c r="AA722" i="3"/>
  <c r="A723" i="3"/>
  <c r="W723" i="3"/>
  <c r="AA723" i="3"/>
  <c r="A724" i="3"/>
  <c r="W724" i="3"/>
  <c r="AA724" i="3"/>
  <c r="A725" i="3"/>
  <c r="W725" i="3"/>
  <c r="AA725" i="3"/>
  <c r="A726" i="3"/>
  <c r="W726" i="3"/>
  <c r="AA726" i="3"/>
  <c r="A727" i="3"/>
  <c r="W727" i="3"/>
  <c r="AA727" i="3"/>
  <c r="A728" i="3"/>
  <c r="W728" i="3"/>
  <c r="AA728" i="3"/>
  <c r="A729" i="3"/>
  <c r="W729" i="3"/>
  <c r="AA729" i="3"/>
  <c r="A730" i="3"/>
  <c r="W730" i="3"/>
  <c r="AA730" i="3"/>
  <c r="A731" i="3"/>
  <c r="W731" i="3"/>
  <c r="AA731" i="3"/>
  <c r="A732" i="3"/>
  <c r="W732" i="3"/>
  <c r="AA732" i="3"/>
  <c r="A733" i="3"/>
  <c r="W733" i="3"/>
  <c r="AA733" i="3"/>
  <c r="A734" i="3"/>
  <c r="W734" i="3"/>
  <c r="AA734" i="3"/>
  <c r="A735" i="3"/>
  <c r="W735" i="3"/>
  <c r="AA735" i="3"/>
  <c r="A736" i="3"/>
  <c r="W736" i="3"/>
  <c r="AA736" i="3"/>
  <c r="A737" i="3"/>
  <c r="W737" i="3"/>
  <c r="AA737" i="3"/>
  <c r="A738" i="3"/>
  <c r="W738" i="3"/>
  <c r="AA738" i="3"/>
  <c r="A739" i="3"/>
  <c r="W739" i="3"/>
  <c r="AA739" i="3"/>
  <c r="A740" i="3"/>
  <c r="W740" i="3"/>
  <c r="AA740" i="3"/>
  <c r="A741" i="3"/>
  <c r="W741" i="3"/>
  <c r="AA741" i="3"/>
  <c r="A742" i="3"/>
  <c r="W742" i="3"/>
  <c r="AA742" i="3"/>
  <c r="A743" i="3"/>
  <c r="W743" i="3"/>
  <c r="AA743" i="3"/>
  <c r="A744" i="3"/>
  <c r="W744" i="3"/>
  <c r="AA744" i="3"/>
  <c r="A745" i="3"/>
  <c r="W745" i="3"/>
  <c r="AA745" i="3"/>
  <c r="A746" i="3"/>
  <c r="W746" i="3"/>
  <c r="AA746" i="3"/>
  <c r="A747" i="3"/>
  <c r="W747" i="3"/>
  <c r="AA747" i="3"/>
  <c r="A748" i="3"/>
  <c r="W748" i="3"/>
  <c r="AA748" i="3"/>
  <c r="A749" i="3"/>
  <c r="W749" i="3"/>
  <c r="AA749" i="3"/>
  <c r="A750" i="3"/>
  <c r="W750" i="3"/>
  <c r="AA750" i="3"/>
  <c r="A751" i="3"/>
  <c r="W751" i="3"/>
  <c r="AA751" i="3"/>
  <c r="A752" i="3"/>
  <c r="W752" i="3"/>
  <c r="AA752" i="3"/>
  <c r="A753" i="3"/>
  <c r="W753" i="3"/>
  <c r="AA753" i="3"/>
  <c r="A754" i="3"/>
  <c r="W754" i="3"/>
  <c r="AA754" i="3"/>
  <c r="A755" i="3"/>
  <c r="W755" i="3"/>
  <c r="AA755" i="3"/>
  <c r="A756" i="3"/>
  <c r="W756" i="3"/>
  <c r="AA756" i="3"/>
  <c r="A757" i="3"/>
  <c r="W757" i="3"/>
  <c r="AA757" i="3"/>
  <c r="A758" i="3"/>
  <c r="W758" i="3"/>
  <c r="AA758" i="3"/>
  <c r="A759" i="3"/>
  <c r="W759" i="3"/>
  <c r="AA759" i="3"/>
  <c r="A760" i="3"/>
  <c r="W760" i="3"/>
  <c r="AA760" i="3"/>
  <c r="A761" i="3"/>
  <c r="W761" i="3"/>
  <c r="AA761" i="3"/>
  <c r="A762" i="3"/>
  <c r="W762" i="3"/>
  <c r="AA762" i="3"/>
  <c r="A763" i="3"/>
  <c r="W763" i="3"/>
  <c r="AA763" i="3"/>
  <c r="A764" i="3"/>
  <c r="W764" i="3"/>
  <c r="AA764" i="3"/>
  <c r="A765" i="3"/>
  <c r="W765" i="3"/>
  <c r="AA765" i="3"/>
  <c r="A766" i="3"/>
  <c r="W766" i="3"/>
  <c r="AA766" i="3"/>
  <c r="A767" i="3"/>
  <c r="W767" i="3"/>
  <c r="AA767" i="3"/>
  <c r="A768" i="3"/>
  <c r="W768" i="3"/>
  <c r="AA768" i="3"/>
  <c r="A769" i="3"/>
  <c r="W769" i="3"/>
  <c r="AA769" i="3"/>
  <c r="A770" i="3"/>
  <c r="W770" i="3"/>
  <c r="AA770" i="3"/>
  <c r="A771" i="3"/>
  <c r="W771" i="3"/>
  <c r="AA771" i="3"/>
  <c r="A772" i="3"/>
  <c r="W772" i="3"/>
  <c r="AA772" i="3"/>
  <c r="A773" i="3"/>
  <c r="W773" i="3"/>
  <c r="AA773" i="3"/>
  <c r="A774" i="3"/>
  <c r="W774" i="3"/>
  <c r="AA774" i="3"/>
  <c r="A775" i="3"/>
  <c r="W775" i="3"/>
  <c r="AA775" i="3"/>
  <c r="A776" i="3"/>
  <c r="W776" i="3"/>
  <c r="AA776" i="3"/>
  <c r="A777" i="3"/>
  <c r="W777" i="3"/>
  <c r="AA777" i="3"/>
  <c r="A778" i="3"/>
  <c r="W778" i="3"/>
  <c r="AA778" i="3"/>
  <c r="A779" i="3"/>
  <c r="W779" i="3"/>
  <c r="AA779" i="3"/>
  <c r="A780" i="3"/>
  <c r="W780" i="3"/>
  <c r="AA780" i="3"/>
  <c r="A781" i="3"/>
  <c r="W781" i="3"/>
  <c r="AA781" i="3"/>
  <c r="A782" i="3"/>
  <c r="W782" i="3"/>
  <c r="AA782" i="3"/>
  <c r="A783" i="3"/>
  <c r="W783" i="3"/>
  <c r="AA783" i="3"/>
  <c r="A784" i="3"/>
  <c r="W784" i="3"/>
  <c r="AA784" i="3"/>
  <c r="A785" i="3"/>
  <c r="W785" i="3"/>
  <c r="AA785" i="3"/>
  <c r="A786" i="3"/>
  <c r="W786" i="3"/>
  <c r="AA786" i="3"/>
  <c r="A787" i="3"/>
  <c r="W787" i="3"/>
  <c r="AA787" i="3"/>
  <c r="A788" i="3"/>
  <c r="W788" i="3"/>
  <c r="AA788" i="3"/>
  <c r="A789" i="3"/>
  <c r="W789" i="3"/>
  <c r="AA789" i="3"/>
  <c r="A790" i="3"/>
  <c r="W790" i="3"/>
  <c r="AA790" i="3"/>
  <c r="A791" i="3"/>
  <c r="W791" i="3"/>
  <c r="AA791" i="3"/>
  <c r="A792" i="3"/>
  <c r="W792" i="3"/>
  <c r="AA792" i="3"/>
  <c r="A793" i="3"/>
  <c r="W793" i="3"/>
  <c r="AA793" i="3"/>
  <c r="A794" i="3"/>
  <c r="W794" i="3"/>
  <c r="AA794" i="3"/>
  <c r="A795" i="3"/>
  <c r="W795" i="3"/>
  <c r="AA795" i="3"/>
  <c r="A796" i="3"/>
  <c r="W796" i="3"/>
  <c r="AA796" i="3"/>
  <c r="A797" i="3"/>
  <c r="W797" i="3"/>
  <c r="AA797" i="3"/>
  <c r="A798" i="3"/>
  <c r="W798" i="3"/>
  <c r="AA798" i="3"/>
  <c r="A799" i="3"/>
  <c r="W799" i="3"/>
  <c r="AA799" i="3"/>
  <c r="A800" i="3"/>
  <c r="W800" i="3"/>
  <c r="AA800" i="3"/>
  <c r="A801" i="3"/>
  <c r="W801" i="3"/>
  <c r="AA801" i="3"/>
  <c r="A802" i="3"/>
  <c r="W802" i="3"/>
  <c r="AA802" i="3"/>
  <c r="A803" i="3"/>
  <c r="W803" i="3"/>
  <c r="AA803" i="3"/>
  <c r="A804" i="3"/>
  <c r="W804" i="3"/>
  <c r="AA804" i="3"/>
  <c r="A805" i="3"/>
  <c r="W805" i="3"/>
  <c r="AA805" i="3"/>
  <c r="A806" i="3"/>
  <c r="W806" i="3"/>
  <c r="AA806" i="3"/>
  <c r="A807" i="3"/>
  <c r="W807" i="3"/>
  <c r="AA807" i="3"/>
  <c r="A808" i="3"/>
  <c r="W808" i="3"/>
  <c r="AA808" i="3"/>
  <c r="A809" i="3"/>
  <c r="W809" i="3"/>
  <c r="AA809" i="3"/>
  <c r="A810" i="3"/>
  <c r="W810" i="3"/>
  <c r="AA810" i="3"/>
  <c r="A811" i="3"/>
  <c r="W811" i="3"/>
  <c r="AA811" i="3"/>
  <c r="A812" i="3"/>
  <c r="W812" i="3"/>
  <c r="AA812" i="3"/>
  <c r="A813" i="3"/>
  <c r="W813" i="3"/>
  <c r="AA813" i="3"/>
  <c r="A814" i="3"/>
  <c r="W814" i="3"/>
  <c r="AA814" i="3"/>
  <c r="A815" i="3"/>
  <c r="W815" i="3"/>
  <c r="AA815" i="3"/>
  <c r="A816" i="3"/>
  <c r="W816" i="3"/>
  <c r="AA816" i="3"/>
  <c r="A817" i="3"/>
  <c r="W817" i="3"/>
  <c r="AA817" i="3"/>
  <c r="A818" i="3"/>
  <c r="W818" i="3"/>
  <c r="AA818" i="3"/>
  <c r="A819" i="3"/>
  <c r="W819" i="3"/>
  <c r="AA819" i="3"/>
  <c r="A820" i="3"/>
  <c r="W820" i="3"/>
  <c r="AA820" i="3"/>
  <c r="A821" i="3"/>
  <c r="W821" i="3"/>
  <c r="AA821" i="3"/>
  <c r="A822" i="3"/>
  <c r="W822" i="3"/>
  <c r="AA822" i="3"/>
  <c r="A823" i="3"/>
  <c r="W823" i="3"/>
  <c r="AA823" i="3"/>
  <c r="A824" i="3"/>
  <c r="W824" i="3"/>
  <c r="AA824" i="3"/>
  <c r="A825" i="3"/>
  <c r="W825" i="3"/>
  <c r="AA825" i="3"/>
  <c r="A826" i="3"/>
  <c r="W826" i="3"/>
  <c r="AA826" i="3"/>
  <c r="A827" i="3"/>
  <c r="W827" i="3"/>
  <c r="AA827" i="3"/>
  <c r="A828" i="3"/>
  <c r="W828" i="3"/>
  <c r="AA828" i="3"/>
  <c r="A829" i="3"/>
  <c r="W829" i="3"/>
  <c r="AA829" i="3"/>
  <c r="A830" i="3"/>
  <c r="W830" i="3"/>
  <c r="AA830" i="3"/>
  <c r="A831" i="3"/>
  <c r="W831" i="3"/>
  <c r="AA831" i="3"/>
  <c r="A832" i="3"/>
  <c r="W832" i="3"/>
  <c r="AA832" i="3"/>
  <c r="A833" i="3"/>
  <c r="W833" i="3"/>
  <c r="AA833" i="3"/>
  <c r="A834" i="3"/>
  <c r="W834" i="3"/>
  <c r="AA834" i="3"/>
  <c r="A835" i="3"/>
  <c r="W835" i="3"/>
  <c r="AA835" i="3"/>
  <c r="A836" i="3"/>
  <c r="W836" i="3"/>
  <c r="AA836" i="3"/>
  <c r="A837" i="3"/>
  <c r="W837" i="3"/>
  <c r="AA837" i="3"/>
  <c r="A838" i="3"/>
  <c r="W838" i="3"/>
  <c r="AA838" i="3"/>
  <c r="A839" i="3"/>
  <c r="W839" i="3"/>
  <c r="AA839" i="3"/>
  <c r="A840" i="3"/>
  <c r="W840" i="3"/>
  <c r="AA840" i="3"/>
  <c r="A841" i="3"/>
  <c r="W841" i="3"/>
  <c r="AA841" i="3"/>
  <c r="A842" i="3"/>
  <c r="W842" i="3"/>
  <c r="AA842" i="3"/>
  <c r="A843" i="3"/>
  <c r="W843" i="3"/>
  <c r="AA843" i="3"/>
  <c r="A844" i="3"/>
  <c r="W844" i="3"/>
  <c r="AA844" i="3"/>
  <c r="A845" i="3"/>
  <c r="W845" i="3"/>
  <c r="AA845" i="3"/>
  <c r="A846" i="3"/>
  <c r="W846" i="3"/>
  <c r="AA846" i="3"/>
  <c r="A847" i="3"/>
  <c r="W847" i="3"/>
  <c r="AA847" i="3"/>
  <c r="A848" i="3"/>
  <c r="W848" i="3"/>
  <c r="AA848" i="3"/>
  <c r="A849" i="3"/>
  <c r="W849" i="3"/>
  <c r="AA849" i="3"/>
  <c r="A850" i="3"/>
  <c r="W850" i="3"/>
  <c r="AA850" i="3"/>
  <c r="A851" i="3"/>
  <c r="W851" i="3"/>
  <c r="AA851" i="3"/>
  <c r="A852" i="3"/>
  <c r="W852" i="3"/>
  <c r="AA852" i="3"/>
  <c r="A853" i="3"/>
  <c r="W853" i="3"/>
  <c r="AA853" i="3"/>
  <c r="A854" i="3"/>
  <c r="W854" i="3"/>
  <c r="AA854" i="3"/>
  <c r="A855" i="3"/>
  <c r="W855" i="3"/>
  <c r="AA855" i="3"/>
  <c r="A856" i="3"/>
  <c r="W856" i="3"/>
  <c r="AA856" i="3"/>
  <c r="A857" i="3"/>
  <c r="W857" i="3"/>
  <c r="AA857" i="3"/>
  <c r="A858" i="3"/>
  <c r="W858" i="3"/>
  <c r="AA858" i="3"/>
  <c r="A859" i="3"/>
  <c r="W859" i="3"/>
  <c r="AA859" i="3"/>
  <c r="A860" i="3"/>
  <c r="W860" i="3"/>
  <c r="AA860" i="3"/>
  <c r="A861" i="3"/>
  <c r="W861" i="3"/>
  <c r="AA861" i="3"/>
  <c r="A862" i="3"/>
  <c r="W862" i="3"/>
  <c r="AA862" i="3"/>
  <c r="A863" i="3"/>
  <c r="W863" i="3"/>
  <c r="AA863" i="3"/>
  <c r="A864" i="3"/>
  <c r="W864" i="3"/>
  <c r="AA864" i="3"/>
  <c r="A865" i="3"/>
  <c r="W865" i="3"/>
  <c r="AA865" i="3"/>
  <c r="A866" i="3"/>
  <c r="W866" i="3"/>
  <c r="AA866" i="3"/>
  <c r="A867" i="3"/>
  <c r="W867" i="3"/>
  <c r="AA867" i="3"/>
  <c r="A868" i="3"/>
  <c r="W868" i="3"/>
  <c r="AA868" i="3"/>
  <c r="A869" i="3"/>
  <c r="W869" i="3"/>
  <c r="AA869" i="3"/>
  <c r="A870" i="3"/>
  <c r="W870" i="3"/>
  <c r="AA870" i="3"/>
  <c r="A871" i="3"/>
  <c r="W871" i="3"/>
  <c r="AA871" i="3"/>
  <c r="A872" i="3"/>
  <c r="W872" i="3"/>
  <c r="AA872" i="3"/>
  <c r="A873" i="3"/>
  <c r="W873" i="3"/>
  <c r="AA873" i="3"/>
  <c r="A874" i="3"/>
  <c r="W874" i="3"/>
  <c r="AA874" i="3"/>
  <c r="A875" i="3"/>
  <c r="W875" i="3"/>
  <c r="AA875" i="3"/>
  <c r="A876" i="3"/>
  <c r="W876" i="3"/>
  <c r="AA876" i="3"/>
  <c r="A877" i="3"/>
  <c r="W877" i="3"/>
  <c r="AA877" i="3"/>
  <c r="A878" i="3"/>
  <c r="W878" i="3"/>
  <c r="AA878" i="3"/>
  <c r="A879" i="3"/>
  <c r="W879" i="3"/>
  <c r="AA879" i="3"/>
  <c r="A880" i="3"/>
  <c r="W880" i="3"/>
  <c r="AA880" i="3"/>
  <c r="A881" i="3"/>
  <c r="W881" i="3"/>
  <c r="AA881" i="3"/>
  <c r="A882" i="3"/>
  <c r="W882" i="3"/>
  <c r="AA882" i="3"/>
  <c r="A883" i="3"/>
  <c r="W883" i="3"/>
  <c r="AA883" i="3"/>
  <c r="A884" i="3"/>
  <c r="W884" i="3"/>
  <c r="AA884" i="3"/>
  <c r="A885" i="3"/>
  <c r="W885" i="3"/>
  <c r="AA885" i="3"/>
  <c r="A886" i="3"/>
  <c r="W886" i="3"/>
  <c r="AA886" i="3"/>
  <c r="A887" i="3"/>
  <c r="W887" i="3"/>
  <c r="AA887" i="3"/>
  <c r="A888" i="3"/>
  <c r="W888" i="3"/>
  <c r="AA888" i="3"/>
  <c r="A889" i="3"/>
  <c r="W889" i="3"/>
  <c r="AA889" i="3"/>
  <c r="A890" i="3"/>
  <c r="W890" i="3"/>
  <c r="AA890" i="3"/>
  <c r="A891" i="3"/>
  <c r="W891" i="3"/>
  <c r="AA891" i="3"/>
  <c r="A892" i="3"/>
  <c r="W892" i="3"/>
  <c r="AA892" i="3"/>
  <c r="A893" i="3"/>
  <c r="W893" i="3"/>
  <c r="AA893" i="3"/>
  <c r="A894" i="3"/>
  <c r="W894" i="3"/>
  <c r="AA894" i="3"/>
  <c r="A895" i="3"/>
  <c r="W895" i="3"/>
  <c r="AA895" i="3"/>
  <c r="A896" i="3"/>
  <c r="W896" i="3"/>
  <c r="AA896" i="3"/>
  <c r="A897" i="3"/>
  <c r="W897" i="3"/>
  <c r="AA897" i="3"/>
  <c r="A898" i="3"/>
  <c r="W898" i="3"/>
  <c r="AA898" i="3"/>
  <c r="A899" i="3"/>
  <c r="W899" i="3"/>
  <c r="AA899" i="3"/>
  <c r="A900" i="3"/>
  <c r="W900" i="3"/>
  <c r="AA900" i="3"/>
  <c r="A593" i="3"/>
  <c r="W593" i="3"/>
  <c r="AA593" i="3"/>
  <c r="A594" i="3"/>
  <c r="W594" i="3"/>
  <c r="AA594" i="3"/>
  <c r="A595" i="3"/>
  <c r="W595" i="3"/>
  <c r="AA595" i="3"/>
  <c r="A596" i="3"/>
  <c r="W596" i="3"/>
  <c r="AA596" i="3"/>
  <c r="A597" i="3"/>
  <c r="W597" i="3"/>
  <c r="AA597" i="3"/>
  <c r="A598" i="3"/>
  <c r="W598" i="3"/>
  <c r="AA598" i="3"/>
  <c r="A599" i="3"/>
  <c r="W599" i="3"/>
  <c r="AA599" i="3"/>
  <c r="A600" i="3"/>
  <c r="W600" i="3"/>
  <c r="AA600" i="3"/>
  <c r="A601" i="3"/>
  <c r="W601" i="3"/>
  <c r="AA601" i="3"/>
  <c r="A602" i="3"/>
  <c r="W602" i="3"/>
  <c r="AA602" i="3"/>
  <c r="A603" i="3"/>
  <c r="W603" i="3"/>
  <c r="AA603" i="3"/>
  <c r="A604" i="3"/>
  <c r="W604" i="3"/>
  <c r="AA604" i="3"/>
  <c r="A605" i="3"/>
  <c r="W605" i="3"/>
  <c r="AA605" i="3"/>
  <c r="A606" i="3"/>
  <c r="W606" i="3"/>
  <c r="AA606" i="3"/>
  <c r="A607" i="3"/>
  <c r="W607" i="3"/>
  <c r="AA607" i="3"/>
  <c r="A608" i="3"/>
  <c r="W608" i="3"/>
  <c r="AA608" i="3"/>
  <c r="A609" i="3"/>
  <c r="W609" i="3"/>
  <c r="AA609" i="3"/>
  <c r="A610" i="3"/>
  <c r="W610" i="3"/>
  <c r="AA610" i="3"/>
  <c r="A611" i="3"/>
  <c r="W611" i="3"/>
  <c r="AA611" i="3"/>
  <c r="A612" i="3"/>
  <c r="W612" i="3"/>
  <c r="AA612" i="3"/>
  <c r="A613" i="3"/>
  <c r="W613" i="3"/>
  <c r="AA613" i="3"/>
  <c r="A614" i="3"/>
  <c r="W614" i="3"/>
  <c r="AA614" i="3"/>
  <c r="A615" i="3"/>
  <c r="W615" i="3"/>
  <c r="AA615" i="3"/>
  <c r="A616" i="3"/>
  <c r="W616" i="3"/>
  <c r="AA616" i="3"/>
  <c r="A617" i="3"/>
  <c r="W617" i="3"/>
  <c r="AA617" i="3"/>
  <c r="A618" i="3"/>
  <c r="W618" i="3"/>
  <c r="AA618" i="3"/>
  <c r="A619" i="3"/>
  <c r="W619" i="3"/>
  <c r="AA619" i="3"/>
  <c r="A620" i="3"/>
  <c r="W620" i="3"/>
  <c r="AA620" i="3"/>
  <c r="A621" i="3"/>
  <c r="W621" i="3"/>
  <c r="AA621" i="3"/>
  <c r="A622" i="3"/>
  <c r="W622" i="3"/>
  <c r="AA622" i="3"/>
  <c r="A623" i="3"/>
  <c r="W623" i="3"/>
  <c r="AA623" i="3"/>
  <c r="A624" i="3"/>
  <c r="W624" i="3"/>
  <c r="AA624" i="3"/>
  <c r="A625" i="3"/>
  <c r="W625" i="3"/>
  <c r="AA625" i="3"/>
  <c r="A626" i="3"/>
  <c r="W626" i="3"/>
  <c r="AA626" i="3"/>
  <c r="A627" i="3"/>
  <c r="W627" i="3"/>
  <c r="AA627" i="3"/>
  <c r="A628" i="3"/>
  <c r="W628" i="3"/>
  <c r="AA628" i="3"/>
  <c r="A629" i="3"/>
  <c r="W629" i="3"/>
  <c r="AA629" i="3"/>
  <c r="A630" i="3"/>
  <c r="W630" i="3"/>
  <c r="AA630" i="3"/>
  <c r="A631" i="3"/>
  <c r="W631" i="3"/>
  <c r="AA631" i="3"/>
  <c r="A632" i="3"/>
  <c r="W632" i="3"/>
  <c r="AA632" i="3"/>
  <c r="A633" i="3"/>
  <c r="W633" i="3"/>
  <c r="AA633" i="3"/>
  <c r="A634" i="3"/>
  <c r="W634" i="3"/>
  <c r="AA634" i="3"/>
  <c r="A635" i="3"/>
  <c r="W635" i="3"/>
  <c r="AA635" i="3"/>
  <c r="A636" i="3"/>
  <c r="W636" i="3"/>
  <c r="AA636" i="3"/>
  <c r="A637" i="3"/>
  <c r="W637" i="3"/>
  <c r="AA637" i="3"/>
  <c r="A638" i="3"/>
  <c r="W638" i="3"/>
  <c r="AA638" i="3"/>
  <c r="A639" i="3"/>
  <c r="W639" i="3"/>
  <c r="AA639" i="3"/>
  <c r="A640" i="3"/>
  <c r="W640" i="3"/>
  <c r="AA640" i="3"/>
  <c r="A641" i="3"/>
  <c r="W641" i="3"/>
  <c r="AA641" i="3"/>
  <c r="A642" i="3"/>
  <c r="W642" i="3"/>
  <c r="AA642" i="3"/>
  <c r="A643" i="3"/>
  <c r="W643" i="3"/>
  <c r="AA643" i="3"/>
  <c r="A644" i="3"/>
  <c r="W644" i="3"/>
  <c r="AA644" i="3"/>
  <c r="A645" i="3"/>
  <c r="W645" i="3"/>
  <c r="AA645" i="3"/>
  <c r="A646" i="3"/>
  <c r="W646" i="3"/>
  <c r="AA646" i="3"/>
  <c r="A647" i="3"/>
  <c r="W647" i="3"/>
  <c r="AA647" i="3"/>
  <c r="A648" i="3"/>
  <c r="W648" i="3"/>
  <c r="AA648" i="3"/>
  <c r="A649" i="3"/>
  <c r="W649" i="3"/>
  <c r="AA649" i="3"/>
  <c r="A650" i="3"/>
  <c r="W650" i="3"/>
  <c r="AA650" i="3"/>
  <c r="A651" i="3"/>
  <c r="W651" i="3"/>
  <c r="AA651" i="3"/>
  <c r="A652" i="3"/>
  <c r="W652" i="3"/>
  <c r="AA652" i="3"/>
  <c r="A653" i="3"/>
  <c r="W653" i="3"/>
  <c r="AA653" i="3"/>
  <c r="A654" i="3"/>
  <c r="W654" i="3"/>
  <c r="AA654" i="3"/>
  <c r="A655" i="3"/>
  <c r="W655" i="3"/>
  <c r="AA655" i="3"/>
  <c r="A656" i="3"/>
  <c r="W656" i="3"/>
  <c r="AA656" i="3"/>
  <c r="A657" i="3"/>
  <c r="W657" i="3"/>
  <c r="AA657" i="3"/>
  <c r="A658" i="3"/>
  <c r="W658" i="3"/>
  <c r="AA658" i="3"/>
  <c r="A659" i="3"/>
  <c r="W659" i="3"/>
  <c r="AA659" i="3"/>
  <c r="A660" i="3"/>
  <c r="W660" i="3"/>
  <c r="AA660" i="3"/>
  <c r="A661" i="3"/>
  <c r="W661" i="3"/>
  <c r="AA661" i="3"/>
  <c r="A662" i="3"/>
  <c r="W662" i="3"/>
  <c r="AA662" i="3"/>
  <c r="A663" i="3"/>
  <c r="W663" i="3"/>
  <c r="AA663" i="3"/>
  <c r="A664" i="3"/>
  <c r="W664" i="3"/>
  <c r="AA664" i="3"/>
  <c r="A665" i="3"/>
  <c r="W665" i="3"/>
  <c r="AA665" i="3"/>
  <c r="A666" i="3"/>
  <c r="W666" i="3"/>
  <c r="AA666" i="3"/>
  <c r="A667" i="3"/>
  <c r="W667" i="3"/>
  <c r="AA667" i="3"/>
  <c r="A668" i="3"/>
  <c r="W668" i="3"/>
  <c r="AA668" i="3"/>
  <c r="A669" i="3"/>
  <c r="W669" i="3"/>
  <c r="AA669" i="3"/>
  <c r="A670" i="3"/>
  <c r="W670" i="3"/>
  <c r="AA670" i="3"/>
  <c r="A671" i="3"/>
  <c r="W671" i="3"/>
  <c r="AA671" i="3"/>
  <c r="A672" i="3"/>
  <c r="W672" i="3"/>
  <c r="AA672" i="3"/>
  <c r="A673" i="3"/>
  <c r="W673" i="3"/>
  <c r="AA673" i="3"/>
  <c r="A674" i="3"/>
  <c r="W674" i="3"/>
  <c r="AA674" i="3"/>
  <c r="A675" i="3"/>
  <c r="W675" i="3"/>
  <c r="AA675" i="3"/>
  <c r="A676" i="3"/>
  <c r="W676" i="3"/>
  <c r="AA676" i="3"/>
  <c r="A677" i="3"/>
  <c r="W677" i="3"/>
  <c r="AA677" i="3"/>
  <c r="A678" i="3"/>
  <c r="W678" i="3"/>
  <c r="AA678" i="3"/>
  <c r="A679" i="3"/>
  <c r="W679" i="3"/>
  <c r="AA679" i="3"/>
  <c r="A680" i="3"/>
  <c r="W680" i="3"/>
  <c r="AA680" i="3"/>
  <c r="A681" i="3"/>
  <c r="W681" i="3"/>
  <c r="AA681" i="3"/>
  <c r="A682" i="3"/>
  <c r="W682" i="3"/>
  <c r="AA682" i="3"/>
  <c r="A683" i="3"/>
  <c r="W683" i="3"/>
  <c r="AA683" i="3"/>
  <c r="A684" i="3"/>
  <c r="W684" i="3"/>
  <c r="AA684" i="3"/>
  <c r="A685" i="3"/>
  <c r="W685" i="3"/>
  <c r="AA685" i="3"/>
  <c r="A686" i="3"/>
  <c r="W686" i="3"/>
  <c r="AA686" i="3"/>
  <c r="A687" i="3"/>
  <c r="W687" i="3"/>
  <c r="AA687" i="3"/>
  <c r="A688" i="3"/>
  <c r="W688" i="3"/>
  <c r="AA688" i="3"/>
  <c r="A689" i="3"/>
  <c r="W689" i="3"/>
  <c r="AA689" i="3"/>
  <c r="A690" i="3"/>
  <c r="W690" i="3"/>
  <c r="AA690" i="3"/>
  <c r="A691" i="3"/>
  <c r="W691" i="3"/>
  <c r="AA691" i="3"/>
  <c r="A692" i="3"/>
  <c r="W692" i="3"/>
  <c r="AA692" i="3"/>
  <c r="A693" i="3"/>
  <c r="W693" i="3"/>
  <c r="AA693" i="3"/>
  <c r="A694" i="3"/>
  <c r="W694" i="3"/>
  <c r="AA694" i="3"/>
  <c r="A695" i="3"/>
  <c r="W695" i="3"/>
  <c r="AA695" i="3"/>
  <c r="A696" i="3"/>
  <c r="W696" i="3"/>
  <c r="AA696" i="3"/>
  <c r="A697" i="3"/>
  <c r="W697" i="3"/>
  <c r="AA697" i="3"/>
  <c r="A698" i="3"/>
  <c r="W698" i="3"/>
  <c r="AA698" i="3"/>
  <c r="A699" i="3"/>
  <c r="W699" i="3"/>
  <c r="AA699" i="3"/>
  <c r="A700" i="3"/>
  <c r="W700" i="3"/>
  <c r="AA700" i="3"/>
  <c r="A103" i="1"/>
  <c r="A104" i="1"/>
  <c r="A105" i="1"/>
  <c r="A106" i="1"/>
  <c r="A107" i="1"/>
  <c r="A108" i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A91" i="1"/>
  <c r="A84" i="1"/>
  <c r="A85" i="1"/>
  <c r="A86" i="1"/>
  <c r="A87" i="1"/>
  <c r="A88" i="1"/>
  <c r="A89" i="1"/>
  <c r="A81" i="1"/>
  <c r="A82" i="1"/>
  <c r="A83" i="1"/>
  <c r="A551" i="3"/>
  <c r="W551" i="3"/>
  <c r="AA551" i="3"/>
  <c r="A552" i="3"/>
  <c r="W552" i="3"/>
  <c r="AA552" i="3"/>
  <c r="A553" i="3"/>
  <c r="W553" i="3"/>
  <c r="AA553" i="3"/>
  <c r="A554" i="3"/>
  <c r="W554" i="3"/>
  <c r="AA554" i="3"/>
  <c r="A555" i="3"/>
  <c r="W555" i="3"/>
  <c r="AA555" i="3"/>
  <c r="A556" i="3"/>
  <c r="W556" i="3"/>
  <c r="AA556" i="3"/>
  <c r="A557" i="3"/>
  <c r="W557" i="3"/>
  <c r="AA557" i="3"/>
  <c r="A558" i="3"/>
  <c r="W558" i="3"/>
  <c r="AA558" i="3"/>
  <c r="A559" i="3"/>
  <c r="W559" i="3"/>
  <c r="AA559" i="3"/>
  <c r="A560" i="3"/>
  <c r="W560" i="3"/>
  <c r="AA560" i="3"/>
  <c r="A561" i="3"/>
  <c r="W561" i="3"/>
  <c r="AA561" i="3"/>
  <c r="A562" i="3"/>
  <c r="W562" i="3"/>
  <c r="AA562" i="3"/>
  <c r="A563" i="3"/>
  <c r="W563" i="3"/>
  <c r="AA563" i="3"/>
  <c r="A564" i="3"/>
  <c r="W564" i="3"/>
  <c r="AA564" i="3"/>
  <c r="A565" i="3"/>
  <c r="W565" i="3"/>
  <c r="AA565" i="3"/>
  <c r="A566" i="3"/>
  <c r="W566" i="3"/>
  <c r="AA566" i="3"/>
  <c r="A567" i="3"/>
  <c r="W567" i="3"/>
  <c r="AA567" i="3"/>
  <c r="A568" i="3"/>
  <c r="W568" i="3"/>
  <c r="AA568" i="3"/>
  <c r="A569" i="3"/>
  <c r="W569" i="3"/>
  <c r="AA569" i="3"/>
  <c r="A570" i="3"/>
  <c r="W570" i="3"/>
  <c r="AA570" i="3"/>
  <c r="A571" i="3"/>
  <c r="W571" i="3"/>
  <c r="AA571" i="3"/>
  <c r="A572" i="3"/>
  <c r="W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W501" i="3"/>
  <c r="A502" i="3"/>
  <c r="W502" i="3"/>
  <c r="A503" i="3"/>
  <c r="W503" i="3"/>
  <c r="A504" i="3"/>
  <c r="W504" i="3"/>
  <c r="A505" i="3"/>
  <c r="W505" i="3"/>
  <c r="A506" i="3"/>
  <c r="W506" i="3"/>
  <c r="A507" i="3"/>
  <c r="W507" i="3"/>
  <c r="A508" i="3"/>
  <c r="W508" i="3"/>
  <c r="A509" i="3"/>
  <c r="W509" i="3"/>
  <c r="A510" i="3"/>
  <c r="W510" i="3"/>
  <c r="A511" i="3"/>
  <c r="W511" i="3"/>
  <c r="A512" i="3"/>
  <c r="W512" i="3"/>
  <c r="A513" i="3"/>
  <c r="W513" i="3"/>
  <c r="A514" i="3"/>
  <c r="W514" i="3"/>
  <c r="A515" i="3"/>
  <c r="W515" i="3"/>
  <c r="A516" i="3"/>
  <c r="W516" i="3"/>
  <c r="A517" i="3"/>
  <c r="W517" i="3"/>
  <c r="A518" i="3"/>
  <c r="W518" i="3"/>
  <c r="A519" i="3"/>
  <c r="W519" i="3"/>
  <c r="A520" i="3"/>
  <c r="W520" i="3"/>
  <c r="A521" i="3"/>
  <c r="W521" i="3"/>
  <c r="A522" i="3"/>
  <c r="W522" i="3"/>
  <c r="A523" i="3"/>
  <c r="W523" i="3"/>
  <c r="A524" i="3"/>
  <c r="W524" i="3"/>
  <c r="A525" i="3"/>
  <c r="W525" i="3"/>
  <c r="A526" i="3"/>
  <c r="W526" i="3"/>
  <c r="A527" i="3"/>
  <c r="W527" i="3"/>
  <c r="A528" i="3"/>
  <c r="W528" i="3"/>
  <c r="A529" i="3"/>
  <c r="W529" i="3"/>
  <c r="A530" i="3"/>
  <c r="W530" i="3"/>
  <c r="A531" i="3"/>
  <c r="W531" i="3"/>
  <c r="A532" i="3"/>
  <c r="W532" i="3"/>
  <c r="A533" i="3"/>
  <c r="W533" i="3"/>
  <c r="A534" i="3"/>
  <c r="W534" i="3"/>
  <c r="A535" i="3"/>
  <c r="W535" i="3"/>
  <c r="A536" i="3"/>
  <c r="W536" i="3"/>
  <c r="A537" i="3"/>
  <c r="W537" i="3"/>
  <c r="A538" i="3"/>
  <c r="W538" i="3"/>
  <c r="A539" i="3"/>
  <c r="W539" i="3"/>
  <c r="A540" i="3"/>
  <c r="W540" i="3"/>
  <c r="A541" i="3"/>
  <c r="W541" i="3"/>
  <c r="A542" i="3"/>
  <c r="W542" i="3"/>
  <c r="A543" i="3"/>
  <c r="W543" i="3"/>
  <c r="A544" i="3"/>
  <c r="W544" i="3"/>
  <c r="A545" i="3"/>
  <c r="W545" i="3"/>
  <c r="A546" i="3"/>
  <c r="W546" i="3"/>
  <c r="A547" i="3"/>
  <c r="W547" i="3"/>
  <c r="A548" i="3"/>
  <c r="W548" i="3"/>
  <c r="A549" i="3"/>
  <c r="W549" i="3"/>
  <c r="A550" i="3"/>
  <c r="W550" i="3"/>
  <c r="A72" i="1"/>
  <c r="A73" i="1"/>
  <c r="A74" i="1"/>
  <c r="A75" i="1"/>
  <c r="A76" i="1"/>
  <c r="A77" i="1"/>
  <c r="A78" i="1"/>
  <c r="A79" i="1"/>
  <c r="A80" i="1"/>
  <c r="A474" i="3"/>
  <c r="W474" i="3"/>
  <c r="A475" i="3"/>
  <c r="W475" i="3"/>
  <c r="A476" i="3"/>
  <c r="W476" i="3"/>
  <c r="A477" i="3"/>
  <c r="W477" i="3"/>
  <c r="A478" i="3"/>
  <c r="W478" i="3"/>
  <c r="A479" i="3"/>
  <c r="W479" i="3"/>
  <c r="A480" i="3"/>
  <c r="W480" i="3"/>
  <c r="A481" i="3"/>
  <c r="W481" i="3"/>
  <c r="A482" i="3"/>
  <c r="W482" i="3"/>
  <c r="A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A493" i="3"/>
  <c r="W493" i="3"/>
  <c r="A494" i="3"/>
  <c r="W494" i="3"/>
  <c r="A495" i="3"/>
  <c r="W495" i="3"/>
  <c r="A496" i="3"/>
  <c r="W496" i="3"/>
  <c r="A497" i="3"/>
  <c r="W497" i="3"/>
  <c r="A498" i="3"/>
  <c r="W498" i="3"/>
  <c r="A499" i="3"/>
  <c r="W499" i="3"/>
  <c r="A500" i="3"/>
  <c r="W500" i="3"/>
  <c r="A463" i="3"/>
  <c r="W463" i="3"/>
  <c r="A464" i="3"/>
  <c r="W464" i="3"/>
  <c r="A465" i="3"/>
  <c r="W465" i="3"/>
  <c r="A466" i="3"/>
  <c r="W466" i="3"/>
  <c r="A467" i="3"/>
  <c r="W467" i="3"/>
  <c r="A468" i="3"/>
  <c r="W468" i="3"/>
  <c r="A469" i="3"/>
  <c r="W469" i="3"/>
  <c r="A470" i="3"/>
  <c r="W470" i="3"/>
  <c r="A471" i="3"/>
  <c r="W471" i="3"/>
  <c r="A472" i="3"/>
  <c r="W472" i="3"/>
  <c r="A473" i="3"/>
  <c r="W473" i="3"/>
  <c r="A71" i="1"/>
  <c r="A454" i="3"/>
  <c r="W454" i="3"/>
  <c r="A455" i="3"/>
  <c r="W455" i="3"/>
  <c r="A456" i="3"/>
  <c r="W456" i="3"/>
  <c r="A457" i="3"/>
  <c r="W457" i="3"/>
  <c r="A458" i="3"/>
  <c r="W458" i="3"/>
  <c r="A459" i="3"/>
  <c r="W459" i="3"/>
  <c r="A460" i="3"/>
  <c r="W460" i="3"/>
  <c r="A461" i="3"/>
  <c r="W461" i="3"/>
  <c r="A462" i="3"/>
  <c r="W462" i="3"/>
  <c r="A63" i="1"/>
  <c r="A64" i="1"/>
  <c r="A65" i="1"/>
  <c r="A66" i="1"/>
  <c r="A67" i="1"/>
  <c r="A68" i="1"/>
  <c r="A69" i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W447" i="3"/>
  <c r="A448" i="3"/>
  <c r="W448" i="3"/>
  <c r="A449" i="3"/>
  <c r="W449" i="3"/>
  <c r="A450" i="3"/>
  <c r="W450" i="3"/>
  <c r="A451" i="3"/>
  <c r="W451" i="3"/>
  <c r="A452" i="3"/>
  <c r="W452" i="3"/>
  <c r="A453" i="3"/>
  <c r="W453" i="3"/>
  <c r="A414" i="3"/>
  <c r="W414" i="3"/>
  <c r="A415" i="3"/>
  <c r="W415" i="3"/>
  <c r="A416" i="3"/>
  <c r="W416" i="3"/>
  <c r="A417" i="3"/>
  <c r="W417" i="3"/>
  <c r="A418" i="3"/>
  <c r="W418" i="3"/>
  <c r="A419" i="3"/>
  <c r="W419" i="3"/>
  <c r="A420" i="3"/>
  <c r="W420" i="3"/>
  <c r="A421" i="3"/>
  <c r="W421" i="3"/>
  <c r="A422" i="3"/>
  <c r="W422" i="3"/>
  <c r="A423" i="3"/>
  <c r="W423" i="3"/>
  <c r="A424" i="3"/>
  <c r="W424" i="3"/>
  <c r="A425" i="3"/>
  <c r="W425" i="3"/>
  <c r="A426" i="3"/>
  <c r="W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A435" i="3"/>
  <c r="W435" i="3"/>
  <c r="A436" i="3"/>
  <c r="W436" i="3"/>
  <c r="A437" i="3"/>
  <c r="W437" i="3"/>
  <c r="A438" i="3"/>
  <c r="W438" i="3"/>
  <c r="A439" i="3"/>
  <c r="W439" i="3"/>
  <c r="A56" i="1"/>
  <c r="A57" i="1"/>
  <c r="A58" i="1"/>
  <c r="A59" i="1"/>
  <c r="A60" i="1"/>
  <c r="A61" i="1"/>
  <c r="A62" i="1"/>
  <c r="A55" i="1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X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54" i="1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A53" i="1"/>
  <c r="W362" i="3"/>
  <c r="W363" i="3"/>
  <c r="W364" i="3"/>
  <c r="W365" i="3"/>
  <c r="W366" i="3"/>
  <c r="W367" i="3"/>
  <c r="W368" i="3"/>
  <c r="W369" i="3"/>
  <c r="A52" i="1"/>
  <c r="A51" i="1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A47" i="1"/>
  <c r="A46" i="1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A45" i="1"/>
  <c r="A44" i="1"/>
  <c r="W306" i="3"/>
  <c r="W307" i="3"/>
  <c r="W308" i="3"/>
  <c r="W309" i="3"/>
  <c r="A43" i="1"/>
  <c r="A42" i="1"/>
  <c r="A41" i="1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X304" i="3"/>
  <c r="W305" i="3"/>
  <c r="A39" i="1"/>
  <c r="A40" i="1"/>
  <c r="A38" i="1"/>
  <c r="A37" i="1"/>
  <c r="A36" i="1"/>
  <c r="A35" i="1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1" i="1"/>
  <c r="G3" i="3"/>
  <c r="G4" i="3"/>
  <c r="G5" i="3"/>
  <c r="G18" i="3"/>
  <c r="G19" i="3"/>
  <c r="G2" i="3"/>
  <c r="A225" i="3"/>
  <c r="W225" i="3"/>
  <c r="A226" i="3"/>
  <c r="W226" i="3"/>
  <c r="A227" i="3"/>
  <c r="W227" i="3"/>
  <c r="A228" i="3"/>
  <c r="W228" i="3"/>
  <c r="A229" i="3"/>
  <c r="W229" i="3"/>
  <c r="X229" i="3"/>
  <c r="A230" i="3"/>
  <c r="W230" i="3"/>
  <c r="A231" i="3"/>
  <c r="W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A193" i="3"/>
  <c r="W193" i="3"/>
  <c r="A194" i="3"/>
  <c r="W194" i="3"/>
  <c r="A195" i="3"/>
  <c r="W195" i="3"/>
  <c r="A196" i="3"/>
  <c r="W196" i="3"/>
  <c r="A197" i="3"/>
  <c r="W197" i="3"/>
  <c r="A198" i="3"/>
  <c r="W198" i="3"/>
  <c r="A199" i="3"/>
  <c r="W199" i="3"/>
  <c r="A200" i="3"/>
  <c r="W200" i="3"/>
  <c r="A201" i="3"/>
  <c r="W201" i="3"/>
  <c r="A202" i="3"/>
  <c r="W202" i="3"/>
  <c r="A203" i="3"/>
  <c r="W203" i="3"/>
  <c r="A181" i="3"/>
  <c r="W181" i="3"/>
  <c r="A182" i="3"/>
  <c r="W182" i="3"/>
  <c r="A183" i="3"/>
  <c r="W183" i="3"/>
  <c r="A184" i="3"/>
  <c r="W184" i="3"/>
  <c r="A185" i="3"/>
  <c r="W185" i="3"/>
  <c r="A186" i="3"/>
  <c r="W186" i="3"/>
  <c r="A187" i="3"/>
  <c r="W187" i="3"/>
  <c r="A188" i="3"/>
  <c r="W188" i="3"/>
  <c r="A189" i="3"/>
  <c r="W189" i="3"/>
  <c r="A190" i="3"/>
  <c r="W190" i="3"/>
  <c r="A191" i="3"/>
  <c r="W191" i="3"/>
  <c r="A161" i="3"/>
  <c r="W161" i="3"/>
  <c r="A162" i="3"/>
  <c r="W162" i="3"/>
  <c r="A163" i="3"/>
  <c r="W163" i="3"/>
  <c r="A164" i="3"/>
  <c r="W164" i="3"/>
  <c r="A165" i="3"/>
  <c r="W165" i="3"/>
  <c r="A166" i="3"/>
  <c r="W166" i="3"/>
  <c r="A167" i="3"/>
  <c r="W167" i="3"/>
  <c r="A168" i="3"/>
  <c r="W168" i="3"/>
  <c r="A169" i="3"/>
  <c r="W169" i="3"/>
  <c r="A170" i="3"/>
  <c r="W170" i="3"/>
  <c r="A171" i="3"/>
  <c r="W171" i="3"/>
  <c r="A172" i="3"/>
  <c r="W172" i="3"/>
  <c r="A173" i="3"/>
  <c r="W173" i="3"/>
  <c r="A174" i="3"/>
  <c r="W174" i="3"/>
  <c r="A175" i="3"/>
  <c r="W175" i="3"/>
  <c r="A176" i="3"/>
  <c r="W176" i="3"/>
  <c r="A177" i="3"/>
  <c r="W177" i="3"/>
  <c r="A178" i="3"/>
  <c r="W178" i="3"/>
  <c r="A179" i="3"/>
  <c r="W179" i="3"/>
  <c r="A180" i="3"/>
  <c r="W180" i="3"/>
  <c r="A25" i="1"/>
  <c r="A151" i="3"/>
  <c r="W151" i="3"/>
  <c r="A152" i="3"/>
  <c r="W152" i="3"/>
  <c r="A153" i="3"/>
  <c r="W153" i="3"/>
  <c r="A154" i="3"/>
  <c r="W154" i="3"/>
  <c r="A155" i="3"/>
  <c r="W155" i="3"/>
  <c r="A156" i="3"/>
  <c r="W156" i="3"/>
  <c r="A157" i="3"/>
  <c r="W157" i="3"/>
  <c r="A158" i="3"/>
  <c r="W158" i="3"/>
  <c r="A159" i="3"/>
  <c r="W159" i="3"/>
  <c r="A160" i="3"/>
  <c r="W160" i="3"/>
  <c r="A135" i="3"/>
  <c r="W135" i="3"/>
  <c r="A136" i="3"/>
  <c r="W136" i="3"/>
  <c r="A137" i="3"/>
  <c r="W137" i="3"/>
  <c r="A138" i="3"/>
  <c r="W138" i="3"/>
  <c r="A139" i="3"/>
  <c r="W139" i="3"/>
  <c r="A140" i="3"/>
  <c r="W140" i="3"/>
  <c r="A141" i="3"/>
  <c r="W141" i="3"/>
  <c r="A142" i="3"/>
  <c r="W142" i="3"/>
  <c r="A143" i="3"/>
  <c r="W143" i="3"/>
  <c r="A144" i="3"/>
  <c r="W144" i="3"/>
  <c r="A145" i="3"/>
  <c r="W145" i="3"/>
  <c r="A146" i="3"/>
  <c r="W146" i="3"/>
  <c r="A147" i="3"/>
  <c r="W147" i="3"/>
  <c r="A148" i="3"/>
  <c r="W148" i="3"/>
  <c r="A149" i="3"/>
  <c r="W149" i="3"/>
  <c r="A150" i="3"/>
  <c r="W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G481" i="3" s="1"/>
  <c r="A4" i="1"/>
  <c r="G137" i="3" s="1"/>
  <c r="A5" i="1"/>
  <c r="X292" i="3" s="1"/>
  <c r="A6" i="1"/>
  <c r="X148" i="3" s="1"/>
  <c r="A7" i="1"/>
  <c r="X319" i="3" s="1"/>
  <c r="A8" i="1"/>
  <c r="A9" i="1"/>
  <c r="X190" i="3" s="1"/>
  <c r="A2" i="1"/>
  <c r="X661" i="3" s="1"/>
  <c r="Z1209" i="3" l="1"/>
  <c r="Z1207" i="3"/>
  <c r="Z1543" i="3"/>
  <c r="Z1212" i="3"/>
  <c r="Z1547" i="3"/>
  <c r="Z1216" i="3"/>
  <c r="Z1210" i="3"/>
  <c r="Z1224" i="3"/>
  <c r="Z1208" i="3"/>
  <c r="Z1204" i="3"/>
  <c r="Z1205" i="3"/>
  <c r="Z1202" i="3"/>
  <c r="Z1530" i="3"/>
  <c r="Z1514" i="3"/>
  <c r="Z1498" i="3"/>
  <c r="Z1482" i="3"/>
  <c r="Z1466" i="3"/>
  <c r="Z1450" i="3"/>
  <c r="Z1434" i="3"/>
  <c r="Z1418" i="3"/>
  <c r="Z1402" i="3"/>
  <c r="Z1386" i="3"/>
  <c r="Z1370" i="3"/>
  <c r="Z1354" i="3"/>
  <c r="Z1338" i="3"/>
  <c r="Z1322" i="3"/>
  <c r="Z1306" i="3"/>
  <c r="Z1290" i="3"/>
  <c r="Z1274" i="3"/>
  <c r="Z1258" i="3"/>
  <c r="Z1242" i="3"/>
  <c r="Z1226" i="3"/>
  <c r="Z1532" i="3"/>
  <c r="Z1516" i="3"/>
  <c r="Z1500" i="3"/>
  <c r="Z1484" i="3"/>
  <c r="Z1468" i="3"/>
  <c r="Z1452" i="3"/>
  <c r="Z1436" i="3"/>
  <c r="Z1420" i="3"/>
  <c r="Z1404" i="3"/>
  <c r="Z1388" i="3"/>
  <c r="Z1372" i="3"/>
  <c r="Z1356" i="3"/>
  <c r="Z1340" i="3"/>
  <c r="Z1324" i="3"/>
  <c r="Z1308" i="3"/>
  <c r="Z1292" i="3"/>
  <c r="Z1276" i="3"/>
  <c r="Z1260" i="3"/>
  <c r="Z1244" i="3"/>
  <c r="Z1228" i="3"/>
  <c r="Z1526" i="3"/>
  <c r="Z1510" i="3"/>
  <c r="Z1494" i="3"/>
  <c r="Z1478" i="3"/>
  <c r="Z1462" i="3"/>
  <c r="Z1446" i="3"/>
  <c r="Z1430" i="3"/>
  <c r="Z1414" i="3"/>
  <c r="Z1398" i="3"/>
  <c r="Z1382" i="3"/>
  <c r="Z1366" i="3"/>
  <c r="Z1350" i="3"/>
  <c r="Z1334" i="3"/>
  <c r="Z1318" i="3"/>
  <c r="Z1302" i="3"/>
  <c r="Z1286" i="3"/>
  <c r="Z1270" i="3"/>
  <c r="Z1254" i="3"/>
  <c r="Z1238" i="3"/>
  <c r="Z1264" i="3"/>
  <c r="Z1248" i="3"/>
  <c r="Z1232" i="3"/>
  <c r="G67" i="3"/>
  <c r="G53" i="3"/>
  <c r="G42" i="3"/>
  <c r="G28" i="3"/>
  <c r="G17" i="3"/>
  <c r="G292" i="3"/>
  <c r="G278" i="3"/>
  <c r="G348" i="3"/>
  <c r="G343" i="3"/>
  <c r="G332" i="3"/>
  <c r="G327" i="3"/>
  <c r="G316" i="3"/>
  <c r="G311" i="3"/>
  <c r="X282" i="3"/>
  <c r="Z282" i="3" s="1"/>
  <c r="X270" i="3"/>
  <c r="Z270" i="3" s="1"/>
  <c r="X241" i="3"/>
  <c r="Z241" i="3" s="1"/>
  <c r="X318" i="3"/>
  <c r="X344" i="3"/>
  <c r="X383" i="3"/>
  <c r="G467" i="3"/>
  <c r="X529" i="3"/>
  <c r="G519" i="3"/>
  <c r="X558" i="3"/>
  <c r="Z558" i="3" s="1"/>
  <c r="G551" i="3"/>
  <c r="X591" i="3"/>
  <c r="G657" i="3"/>
  <c r="G652" i="3"/>
  <c r="X165" i="3"/>
  <c r="X170" i="3"/>
  <c r="X221" i="3"/>
  <c r="Z221" i="3" s="1"/>
  <c r="X209" i="3"/>
  <c r="Z209" i="3" s="1"/>
  <c r="G225" i="3"/>
  <c r="G197" i="3"/>
  <c r="G172" i="3"/>
  <c r="G147" i="3"/>
  <c r="G133" i="3"/>
  <c r="G97" i="3"/>
  <c r="G69" i="3"/>
  <c r="G44" i="3"/>
  <c r="G293" i="3"/>
  <c r="G344" i="3"/>
  <c r="G328" i="3"/>
  <c r="G312" i="3"/>
  <c r="X139" i="3"/>
  <c r="X151" i="3"/>
  <c r="X189" i="3"/>
  <c r="Z189" i="3" s="1"/>
  <c r="X204" i="3"/>
  <c r="Z204" i="3" s="1"/>
  <c r="G235" i="3"/>
  <c r="G196" i="3"/>
  <c r="G157" i="3"/>
  <c r="G121" i="3"/>
  <c r="G68" i="3"/>
  <c r="G264" i="3"/>
  <c r="X287" i="3"/>
  <c r="Z287" i="3" s="1"/>
  <c r="X264" i="3"/>
  <c r="Z264" i="3" s="1"/>
  <c r="X252" i="3"/>
  <c r="Z252" i="3" s="1"/>
  <c r="X246" i="3"/>
  <c r="X338" i="3"/>
  <c r="X333" i="3"/>
  <c r="X349" i="3"/>
  <c r="X377" i="3"/>
  <c r="X438" i="3"/>
  <c r="Z438" i="3" s="1"/>
  <c r="G568" i="3"/>
  <c r="X690" i="3"/>
  <c r="Z690" i="3" s="1"/>
  <c r="X143" i="3"/>
  <c r="X102" i="3"/>
  <c r="X173" i="3"/>
  <c r="X195" i="3"/>
  <c r="X217" i="3"/>
  <c r="G236" i="3"/>
  <c r="G211" i="3"/>
  <c r="G186" i="3"/>
  <c r="G161" i="3"/>
  <c r="G122" i="3"/>
  <c r="G83" i="3"/>
  <c r="G58" i="3"/>
  <c r="G33" i="3"/>
  <c r="G284" i="3"/>
  <c r="G339" i="3"/>
  <c r="G323" i="3"/>
  <c r="G307" i="3"/>
  <c r="X242" i="3"/>
  <c r="X237" i="3"/>
  <c r="X314" i="3"/>
  <c r="X365" i="3"/>
  <c r="X154" i="3"/>
  <c r="Z154" i="3" s="1"/>
  <c r="X164" i="3"/>
  <c r="Z164" i="3" s="1"/>
  <c r="X183" i="3"/>
  <c r="Z183" i="3" s="1"/>
  <c r="G221" i="3"/>
  <c r="G185" i="3"/>
  <c r="G132" i="3"/>
  <c r="G93" i="3"/>
  <c r="G288" i="3"/>
  <c r="G274" i="3"/>
  <c r="G253" i="3"/>
  <c r="X68" i="3"/>
  <c r="Z68" i="3" s="1"/>
  <c r="X136" i="3"/>
  <c r="X178" i="3"/>
  <c r="X203" i="3"/>
  <c r="X197" i="3"/>
  <c r="X220" i="3"/>
  <c r="X212" i="3"/>
  <c r="Z212" i="3" s="1"/>
  <c r="G234" i="3"/>
  <c r="G209" i="3"/>
  <c r="G181" i="3"/>
  <c r="G156" i="3"/>
  <c r="G131" i="3"/>
  <c r="G106" i="3"/>
  <c r="G81" i="3"/>
  <c r="X144" i="3"/>
  <c r="Z144" i="3" s="1"/>
  <c r="X156" i="3"/>
  <c r="Z156" i="3" s="1"/>
  <c r="X166" i="3"/>
  <c r="Z166" i="3" s="1"/>
  <c r="X191" i="3"/>
  <c r="X194" i="3"/>
  <c r="X227" i="3"/>
  <c r="G233" i="3"/>
  <c r="G205" i="3"/>
  <c r="G180" i="3"/>
  <c r="G155" i="3"/>
  <c r="G130" i="3"/>
  <c r="G105" i="3"/>
  <c r="G77" i="3"/>
  <c r="G52" i="3"/>
  <c r="G13" i="3"/>
  <c r="G296" i="3"/>
  <c r="G282" i="3"/>
  <c r="G273" i="3"/>
  <c r="G268" i="3"/>
  <c r="G257" i="3"/>
  <c r="G252" i="3"/>
  <c r="X303" i="3"/>
  <c r="X107" i="3"/>
  <c r="X73" i="3"/>
  <c r="X149" i="3"/>
  <c r="Z149" i="3" s="1"/>
  <c r="X138" i="3"/>
  <c r="Z138" i="3" s="1"/>
  <c r="X153" i="3"/>
  <c r="Z153" i="3" s="1"/>
  <c r="X188" i="3"/>
  <c r="X185" i="3"/>
  <c r="X182" i="3"/>
  <c r="X223" i="3"/>
  <c r="X219" i="3"/>
  <c r="X215" i="3"/>
  <c r="Z215" i="3" s="1"/>
  <c r="X211" i="3"/>
  <c r="Z211" i="3" s="1"/>
  <c r="G218" i="3"/>
  <c r="G204" i="3"/>
  <c r="G193" i="3"/>
  <c r="G179" i="3"/>
  <c r="G165" i="3"/>
  <c r="G154" i="3"/>
  <c r="G140" i="3"/>
  <c r="G115" i="3"/>
  <c r="G101" i="3"/>
  <c r="G90" i="3"/>
  <c r="G76" i="3"/>
  <c r="G65" i="3"/>
  <c r="G51" i="3"/>
  <c r="G37" i="3"/>
  <c r="G26" i="3"/>
  <c r="G12" i="3"/>
  <c r="G300" i="3"/>
  <c r="G286" i="3"/>
  <c r="G277" i="3"/>
  <c r="G352" i="3"/>
  <c r="G347" i="3"/>
  <c r="G336" i="3"/>
  <c r="G331" i="3"/>
  <c r="G320" i="3"/>
  <c r="G315" i="3"/>
  <c r="G304" i="3"/>
  <c r="X274" i="3"/>
  <c r="X269" i="3"/>
  <c r="X309" i="3"/>
  <c r="X322" i="3"/>
  <c r="X311" i="3"/>
  <c r="Z311" i="3" s="1"/>
  <c r="X382" i="3"/>
  <c r="Z382" i="3" s="1"/>
  <c r="X416" i="3"/>
  <c r="Z416" i="3" s="1"/>
  <c r="X469" i="3"/>
  <c r="G543" i="3"/>
  <c r="X521" i="3"/>
  <c r="G511" i="3"/>
  <c r="X692" i="3"/>
  <c r="X140" i="3"/>
  <c r="Z140" i="3" s="1"/>
  <c r="X162" i="3"/>
  <c r="Z162" i="3" s="1"/>
  <c r="X145" i="3"/>
  <c r="Z145" i="3" s="1"/>
  <c r="X157" i="3"/>
  <c r="X167" i="3"/>
  <c r="X192" i="3"/>
  <c r="X213" i="3"/>
  <c r="G108" i="3"/>
  <c r="X231" i="3"/>
  <c r="Z231" i="3" s="1"/>
  <c r="G210" i="3"/>
  <c r="G171" i="3"/>
  <c r="G146" i="3"/>
  <c r="G107" i="3"/>
  <c r="G82" i="3"/>
  <c r="G57" i="3"/>
  <c r="G43" i="3"/>
  <c r="G29" i="3"/>
  <c r="G297" i="3"/>
  <c r="G269" i="3"/>
  <c r="G248" i="3"/>
  <c r="X147" i="3"/>
  <c r="X159" i="3"/>
  <c r="X175" i="3"/>
  <c r="X200" i="3"/>
  <c r="X224" i="3"/>
  <c r="Z224" i="3" s="1"/>
  <c r="X216" i="3"/>
  <c r="Z216" i="3" s="1"/>
  <c r="X208" i="3"/>
  <c r="Z208" i="3" s="1"/>
  <c r="G220" i="3"/>
  <c r="G195" i="3"/>
  <c r="G170" i="3"/>
  <c r="G145" i="3"/>
  <c r="G117" i="3"/>
  <c r="G92" i="3"/>
  <c r="X141" i="3"/>
  <c r="Z141" i="3" s="1"/>
  <c r="X172" i="3"/>
  <c r="Z172" i="3" s="1"/>
  <c r="G219" i="3"/>
  <c r="G194" i="3"/>
  <c r="G169" i="3"/>
  <c r="G141" i="3"/>
  <c r="G116" i="3"/>
  <c r="G91" i="3"/>
  <c r="G66" i="3"/>
  <c r="G41" i="3"/>
  <c r="G27" i="3"/>
  <c r="G243" i="3"/>
  <c r="G229" i="3"/>
  <c r="G129" i="3"/>
  <c r="X111" i="3"/>
  <c r="X1196" i="3"/>
  <c r="Z1196" i="3" s="1"/>
  <c r="X903" i="3"/>
  <c r="Z903" i="3" s="1"/>
  <c r="G905" i="3"/>
  <c r="X911" i="3"/>
  <c r="G913" i="3"/>
  <c r="X919" i="3"/>
  <c r="G921" i="3"/>
  <c r="X927" i="3"/>
  <c r="G929" i="3"/>
  <c r="X935" i="3"/>
  <c r="Z935" i="3" s="1"/>
  <c r="G937" i="3"/>
  <c r="X943" i="3"/>
  <c r="G945" i="3"/>
  <c r="X951" i="3"/>
  <c r="G953" i="3"/>
  <c r="X959" i="3"/>
  <c r="G961" i="3"/>
  <c r="X967" i="3"/>
  <c r="Z967" i="3" s="1"/>
  <c r="G969" i="3"/>
  <c r="X975" i="3"/>
  <c r="G977" i="3"/>
  <c r="X983" i="3"/>
  <c r="G985" i="3"/>
  <c r="X991" i="3"/>
  <c r="Z991" i="3" s="1"/>
  <c r="G993" i="3"/>
  <c r="G1175" i="3"/>
  <c r="G1177" i="3"/>
  <c r="X1189" i="3"/>
  <c r="X1191" i="3"/>
  <c r="G902" i="3"/>
  <c r="X908" i="3"/>
  <c r="G910" i="3"/>
  <c r="X916" i="3"/>
  <c r="Z916" i="3" s="1"/>
  <c r="G918" i="3"/>
  <c r="X924" i="3"/>
  <c r="Z924" i="3" s="1"/>
  <c r="G926" i="3"/>
  <c r="X932" i="3"/>
  <c r="G934" i="3"/>
  <c r="X940" i="3"/>
  <c r="G942" i="3"/>
  <c r="X948" i="3"/>
  <c r="Z948" i="3" s="1"/>
  <c r="G950" i="3"/>
  <c r="X956" i="3"/>
  <c r="Z956" i="3" s="1"/>
  <c r="G958" i="3"/>
  <c r="X964" i="3"/>
  <c r="G966" i="3"/>
  <c r="X972" i="3"/>
  <c r="G974" i="3"/>
  <c r="X980" i="3"/>
  <c r="Z980" i="3" s="1"/>
  <c r="G982" i="3"/>
  <c r="X988" i="3"/>
  <c r="Z988" i="3" s="1"/>
  <c r="G990" i="3"/>
  <c r="X996" i="3"/>
  <c r="G998" i="3"/>
  <c r="X1004" i="3"/>
  <c r="G1006" i="3"/>
  <c r="X1012" i="3"/>
  <c r="Z1012" i="3" s="1"/>
  <c r="G1014" i="3"/>
  <c r="X1020" i="3"/>
  <c r="Z1020" i="3" s="1"/>
  <c r="G1022" i="3"/>
  <c r="X1028" i="3"/>
  <c r="G1030" i="3"/>
  <c r="X1036" i="3"/>
  <c r="G1038" i="3"/>
  <c r="X1044" i="3"/>
  <c r="Z1044" i="3" s="1"/>
  <c r="G1046" i="3"/>
  <c r="X1052" i="3"/>
  <c r="Z1052" i="3" s="1"/>
  <c r="G1054" i="3"/>
  <c r="X1060" i="3"/>
  <c r="Z1060" i="3" s="1"/>
  <c r="G1062" i="3"/>
  <c r="X1068" i="3"/>
  <c r="G1070" i="3"/>
  <c r="X1076" i="3"/>
  <c r="Z1076" i="3" s="1"/>
  <c r="G1078" i="3"/>
  <c r="X1084" i="3"/>
  <c r="Z1084" i="3" s="1"/>
  <c r="G1086" i="3"/>
  <c r="X1092" i="3"/>
  <c r="G1094" i="3"/>
  <c r="X1100" i="3"/>
  <c r="Z1100" i="3" s="1"/>
  <c r="G1102" i="3"/>
  <c r="X1108" i="3"/>
  <c r="Z1108" i="3" s="1"/>
  <c r="G1110" i="3"/>
  <c r="X1116" i="3"/>
  <c r="Z1116" i="3" s="1"/>
  <c r="G1118" i="3"/>
  <c r="X1124" i="3"/>
  <c r="Z1124" i="3" s="1"/>
  <c r="G1126" i="3"/>
  <c r="X1132" i="3"/>
  <c r="G1134" i="3"/>
  <c r="X1140" i="3"/>
  <c r="Z1140" i="3" s="1"/>
  <c r="G1142" i="3"/>
  <c r="X1148" i="3"/>
  <c r="Z1148" i="3" s="1"/>
  <c r="G1150" i="3"/>
  <c r="X1156" i="3"/>
  <c r="G1158" i="3"/>
  <c r="X1164" i="3"/>
  <c r="G1166" i="3"/>
  <c r="X1172" i="3"/>
  <c r="Z1172" i="3" s="1"/>
  <c r="G702" i="3"/>
  <c r="X708" i="3"/>
  <c r="Z708" i="3" s="1"/>
  <c r="G710" i="3"/>
  <c r="X716" i="3"/>
  <c r="G718" i="3"/>
  <c r="X724" i="3"/>
  <c r="G726" i="3"/>
  <c r="X732" i="3"/>
  <c r="Z732" i="3" s="1"/>
  <c r="G734" i="3"/>
  <c r="X905" i="3"/>
  <c r="Z905" i="3" s="1"/>
  <c r="G907" i="3"/>
  <c r="X913" i="3"/>
  <c r="G915" i="3"/>
  <c r="X921" i="3"/>
  <c r="G923" i="3"/>
  <c r="X929" i="3"/>
  <c r="Z929" i="3" s="1"/>
  <c r="G931" i="3"/>
  <c r="X937" i="3"/>
  <c r="Z937" i="3" s="1"/>
  <c r="G939" i="3"/>
  <c r="X945" i="3"/>
  <c r="G947" i="3"/>
  <c r="X953" i="3"/>
  <c r="G955" i="3"/>
  <c r="X961" i="3"/>
  <c r="Z961" i="3" s="1"/>
  <c r="G963" i="3"/>
  <c r="X969" i="3"/>
  <c r="Z969" i="3" s="1"/>
  <c r="G971" i="3"/>
  <c r="X977" i="3"/>
  <c r="G979" i="3"/>
  <c r="X985" i="3"/>
  <c r="G987" i="3"/>
  <c r="X993" i="3"/>
  <c r="Z993" i="3" s="1"/>
  <c r="G995" i="3"/>
  <c r="X1001" i="3"/>
  <c r="Z1001" i="3" s="1"/>
  <c r="G1003" i="3"/>
  <c r="X1009" i="3"/>
  <c r="G1011" i="3"/>
  <c r="X1017" i="3"/>
  <c r="G1019" i="3"/>
  <c r="X1025" i="3"/>
  <c r="Z1025" i="3" s="1"/>
  <c r="G1027" i="3"/>
  <c r="X1033" i="3"/>
  <c r="Z1033" i="3" s="1"/>
  <c r="G1035" i="3"/>
  <c r="X1041" i="3"/>
  <c r="G1043" i="3"/>
  <c r="X1049" i="3"/>
  <c r="G1051" i="3"/>
  <c r="X1057" i="3"/>
  <c r="Z1057" i="3" s="1"/>
  <c r="G1059" i="3"/>
  <c r="X1065" i="3"/>
  <c r="Z1065" i="3" s="1"/>
  <c r="G1067" i="3"/>
  <c r="X1073" i="3"/>
  <c r="G1075" i="3"/>
  <c r="X1081" i="3"/>
  <c r="G1083" i="3"/>
  <c r="X1089" i="3"/>
  <c r="Z1089" i="3" s="1"/>
  <c r="G1091" i="3"/>
  <c r="X1097" i="3"/>
  <c r="Z1097" i="3" s="1"/>
  <c r="G1099" i="3"/>
  <c r="X1105" i="3"/>
  <c r="Z1105" i="3" s="1"/>
  <c r="G1107" i="3"/>
  <c r="X1113" i="3"/>
  <c r="G1115" i="3"/>
  <c r="X1121" i="3"/>
  <c r="Z1121" i="3" s="1"/>
  <c r="X1173" i="3"/>
  <c r="Z1173" i="3" s="1"/>
  <c r="X1175" i="3"/>
  <c r="Z1175" i="3" s="1"/>
  <c r="X902" i="3"/>
  <c r="G904" i="3"/>
  <c r="X910" i="3"/>
  <c r="G912" i="3"/>
  <c r="X918" i="3"/>
  <c r="G920" i="3"/>
  <c r="X926" i="3"/>
  <c r="Z926" i="3" s="1"/>
  <c r="G928" i="3"/>
  <c r="X934" i="3"/>
  <c r="G936" i="3"/>
  <c r="X942" i="3"/>
  <c r="G944" i="3"/>
  <c r="X950" i="3"/>
  <c r="Z950" i="3" s="1"/>
  <c r="G952" i="3"/>
  <c r="X958" i="3"/>
  <c r="Z958" i="3" s="1"/>
  <c r="G960" i="3"/>
  <c r="X966" i="3"/>
  <c r="G968" i="3"/>
  <c r="X974" i="3"/>
  <c r="G976" i="3"/>
  <c r="X982" i="3"/>
  <c r="Z982" i="3" s="1"/>
  <c r="G984" i="3"/>
  <c r="X990" i="3"/>
  <c r="Z990" i="3" s="1"/>
  <c r="G992" i="3"/>
  <c r="X998" i="3"/>
  <c r="G1000" i="3"/>
  <c r="X1006" i="3"/>
  <c r="G1008" i="3"/>
  <c r="X1014" i="3"/>
  <c r="G1016" i="3"/>
  <c r="X1022" i="3"/>
  <c r="Z1022" i="3" s="1"/>
  <c r="G1024" i="3"/>
  <c r="X1030" i="3"/>
  <c r="G1032" i="3"/>
  <c r="X1038" i="3"/>
  <c r="G1040" i="3"/>
  <c r="X1046" i="3"/>
  <c r="Z1046" i="3" s="1"/>
  <c r="G1048" i="3"/>
  <c r="X1054" i="3"/>
  <c r="Z1054" i="3" s="1"/>
  <c r="G1056" i="3"/>
  <c r="X1062" i="3"/>
  <c r="G1064" i="3"/>
  <c r="X1070" i="3"/>
  <c r="G1072" i="3"/>
  <c r="X1078" i="3"/>
  <c r="G1080" i="3"/>
  <c r="X1086" i="3"/>
  <c r="Z1086" i="3" s="1"/>
  <c r="G1088" i="3"/>
  <c r="X1094" i="3"/>
  <c r="G1096" i="3"/>
  <c r="X1102" i="3"/>
  <c r="G1104" i="3"/>
  <c r="X1110" i="3"/>
  <c r="Z1110" i="3" s="1"/>
  <c r="G1112" i="3"/>
  <c r="X1118" i="3"/>
  <c r="Z1118" i="3" s="1"/>
  <c r="G1120" i="3"/>
  <c r="X1126" i="3"/>
  <c r="G1128" i="3"/>
  <c r="X1134" i="3"/>
  <c r="G1136" i="3"/>
  <c r="X1142" i="3"/>
  <c r="Z1142" i="3" s="1"/>
  <c r="G1144" i="3"/>
  <c r="G901" i="3"/>
  <c r="X907" i="3"/>
  <c r="Z907" i="3" s="1"/>
  <c r="G909" i="3"/>
  <c r="X915" i="3"/>
  <c r="G917" i="3"/>
  <c r="X923" i="3"/>
  <c r="G925" i="3"/>
  <c r="X931" i="3"/>
  <c r="Z931" i="3" s="1"/>
  <c r="G933" i="3"/>
  <c r="X939" i="3"/>
  <c r="Z939" i="3" s="1"/>
  <c r="G941" i="3"/>
  <c r="X947" i="3"/>
  <c r="G949" i="3"/>
  <c r="X955" i="3"/>
  <c r="G957" i="3"/>
  <c r="X963" i="3"/>
  <c r="Z963" i="3" s="1"/>
  <c r="G965" i="3"/>
  <c r="X971" i="3"/>
  <c r="Z971" i="3" s="1"/>
  <c r="G973" i="3"/>
  <c r="X979" i="3"/>
  <c r="G981" i="3"/>
  <c r="X987" i="3"/>
  <c r="G989" i="3"/>
  <c r="X995" i="3"/>
  <c r="Z995" i="3" s="1"/>
  <c r="G997" i="3"/>
  <c r="X1003" i="3"/>
  <c r="Z1003" i="3" s="1"/>
  <c r="G1005" i="3"/>
  <c r="X1011" i="3"/>
  <c r="G1013" i="3"/>
  <c r="X1019" i="3"/>
  <c r="G1021" i="3"/>
  <c r="X1027" i="3"/>
  <c r="Z1027" i="3" s="1"/>
  <c r="G1029" i="3"/>
  <c r="X1035" i="3"/>
  <c r="Z1035" i="3" s="1"/>
  <c r="G1037" i="3"/>
  <c r="X1043" i="3"/>
  <c r="Z1043" i="3" s="1"/>
  <c r="G1045" i="3"/>
  <c r="X1051" i="3"/>
  <c r="Z1051" i="3" s="1"/>
  <c r="G1053" i="3"/>
  <c r="X1059" i="3"/>
  <c r="Z1059" i="3" s="1"/>
  <c r="G1061" i="3"/>
  <c r="X1067" i="3"/>
  <c r="Z1067" i="3" s="1"/>
  <c r="G1069" i="3"/>
  <c r="X1075" i="3"/>
  <c r="G1077" i="3"/>
  <c r="X1083" i="3"/>
  <c r="Z1083" i="3" s="1"/>
  <c r="G1085" i="3"/>
  <c r="X1091" i="3"/>
  <c r="Z1091" i="3" s="1"/>
  <c r="G1093" i="3"/>
  <c r="X1099" i="3"/>
  <c r="Z1099" i="3" s="1"/>
  <c r="G1101" i="3"/>
  <c r="X1107" i="3"/>
  <c r="G1109" i="3"/>
  <c r="X1115" i="3"/>
  <c r="G1117" i="3"/>
  <c r="X1123" i="3"/>
  <c r="Z1123" i="3" s="1"/>
  <c r="G1125" i="3"/>
  <c r="X1131" i="3"/>
  <c r="Z1131" i="3" s="1"/>
  <c r="G1133" i="3"/>
  <c r="X1139" i="3"/>
  <c r="Z1139" i="3" s="1"/>
  <c r="G1141" i="3"/>
  <c r="X1147" i="3"/>
  <c r="Z1147" i="3" s="1"/>
  <c r="G1149" i="3"/>
  <c r="X1155" i="3"/>
  <c r="Z1155" i="3" s="1"/>
  <c r="G1157" i="3"/>
  <c r="X1163" i="3"/>
  <c r="Z1163" i="3" s="1"/>
  <c r="G1165" i="3"/>
  <c r="X1171" i="3"/>
  <c r="Z1171" i="3" s="1"/>
  <c r="G701" i="3"/>
  <c r="X707" i="3"/>
  <c r="G709" i="3"/>
  <c r="X715" i="3"/>
  <c r="Z715" i="3" s="1"/>
  <c r="G717" i="3"/>
  <c r="X723" i="3"/>
  <c r="Z723" i="3" s="1"/>
  <c r="G725" i="3"/>
  <c r="X731" i="3"/>
  <c r="G733" i="3"/>
  <c r="X739" i="3"/>
  <c r="G741" i="3"/>
  <c r="X747" i="3"/>
  <c r="Z747" i="3" s="1"/>
  <c r="G749" i="3"/>
  <c r="X755" i="3"/>
  <c r="Z755" i="3" s="1"/>
  <c r="G757" i="3"/>
  <c r="X763" i="3"/>
  <c r="G765" i="3"/>
  <c r="X904" i="3"/>
  <c r="G906" i="3"/>
  <c r="X912" i="3"/>
  <c r="Z912" i="3" s="1"/>
  <c r="G914" i="3"/>
  <c r="X920" i="3"/>
  <c r="Z920" i="3" s="1"/>
  <c r="G922" i="3"/>
  <c r="X928" i="3"/>
  <c r="G930" i="3"/>
  <c r="X936" i="3"/>
  <c r="G938" i="3"/>
  <c r="X944" i="3"/>
  <c r="Z944" i="3" s="1"/>
  <c r="G946" i="3"/>
  <c r="X952" i="3"/>
  <c r="Z952" i="3" s="1"/>
  <c r="G954" i="3"/>
  <c r="X960" i="3"/>
  <c r="G962" i="3"/>
  <c r="X968" i="3"/>
  <c r="G970" i="3"/>
  <c r="X976" i="3"/>
  <c r="Z976" i="3" s="1"/>
  <c r="G978" i="3"/>
  <c r="X984" i="3"/>
  <c r="Z984" i="3" s="1"/>
  <c r="G986" i="3"/>
  <c r="X992" i="3"/>
  <c r="G994" i="3"/>
  <c r="X1000" i="3"/>
  <c r="G1002" i="3"/>
  <c r="X1008" i="3"/>
  <c r="Z1008" i="3" s="1"/>
  <c r="G1010" i="3"/>
  <c r="X1016" i="3"/>
  <c r="Z1016" i="3" s="1"/>
  <c r="G1018" i="3"/>
  <c r="X1024" i="3"/>
  <c r="Z1024" i="3" s="1"/>
  <c r="G1026" i="3"/>
  <c r="X1032" i="3"/>
  <c r="G1034" i="3"/>
  <c r="X1040" i="3"/>
  <c r="Z1040" i="3" s="1"/>
  <c r="G1042" i="3"/>
  <c r="X1048" i="3"/>
  <c r="Z1048" i="3" s="1"/>
  <c r="G1050" i="3"/>
  <c r="X1056" i="3"/>
  <c r="Z1056" i="3" s="1"/>
  <c r="G1058" i="3"/>
  <c r="X1064" i="3"/>
  <c r="G1066" i="3"/>
  <c r="X1072" i="3"/>
  <c r="Z1072" i="3" s="1"/>
  <c r="G1074" i="3"/>
  <c r="X1080" i="3"/>
  <c r="Z1080" i="3" s="1"/>
  <c r="G1082" i="3"/>
  <c r="X1088" i="3"/>
  <c r="G1090" i="3"/>
  <c r="X1096" i="3"/>
  <c r="G1098" i="3"/>
  <c r="X1104" i="3"/>
  <c r="Z1104" i="3" s="1"/>
  <c r="X1112" i="3"/>
  <c r="Z1112" i="3" s="1"/>
  <c r="G1114" i="3"/>
  <c r="X1120" i="3"/>
  <c r="G1122" i="3"/>
  <c r="X1128" i="3"/>
  <c r="G1130" i="3"/>
  <c r="X1136" i="3"/>
  <c r="Z1136" i="3" s="1"/>
  <c r="G1138" i="3"/>
  <c r="X1144" i="3"/>
  <c r="Z1144" i="3" s="1"/>
  <c r="G1146" i="3"/>
  <c r="X1152" i="3"/>
  <c r="Z1152" i="3" s="1"/>
  <c r="G1154" i="3"/>
  <c r="X1160" i="3"/>
  <c r="Z1160" i="3" s="1"/>
  <c r="G1162" i="3"/>
  <c r="X1168" i="3"/>
  <c r="Z1168" i="3" s="1"/>
  <c r="G1170" i="3"/>
  <c r="X704" i="3"/>
  <c r="Z704" i="3" s="1"/>
  <c r="G706" i="3"/>
  <c r="X712" i="3"/>
  <c r="G714" i="3"/>
  <c r="X720" i="3"/>
  <c r="G722" i="3"/>
  <c r="X728" i="3"/>
  <c r="Z728" i="3" s="1"/>
  <c r="G730" i="3"/>
  <c r="X736" i="3"/>
  <c r="Z736" i="3" s="1"/>
  <c r="G738" i="3"/>
  <c r="X744" i="3"/>
  <c r="X1181" i="3"/>
  <c r="G1191" i="3"/>
  <c r="X906" i="3"/>
  <c r="G908" i="3"/>
  <c r="X914" i="3"/>
  <c r="Z914" i="3" s="1"/>
  <c r="G916" i="3"/>
  <c r="X922" i="3"/>
  <c r="Z922" i="3" s="1"/>
  <c r="G924" i="3"/>
  <c r="X930" i="3"/>
  <c r="G932" i="3"/>
  <c r="X938" i="3"/>
  <c r="G940" i="3"/>
  <c r="X946" i="3"/>
  <c r="Z946" i="3" s="1"/>
  <c r="G948" i="3"/>
  <c r="X954" i="3"/>
  <c r="Z954" i="3" s="1"/>
  <c r="G956" i="3"/>
  <c r="X962" i="3"/>
  <c r="G964" i="3"/>
  <c r="X970" i="3"/>
  <c r="G972" i="3"/>
  <c r="X978" i="3"/>
  <c r="Z978" i="3" s="1"/>
  <c r="G980" i="3"/>
  <c r="X986" i="3"/>
  <c r="Z986" i="3" s="1"/>
  <c r="G988" i="3"/>
  <c r="X994" i="3"/>
  <c r="G996" i="3"/>
  <c r="X1002" i="3"/>
  <c r="G1004" i="3"/>
  <c r="X1010" i="3"/>
  <c r="Z1010" i="3" s="1"/>
  <c r="G1012" i="3"/>
  <c r="X1018" i="3"/>
  <c r="Z1018" i="3" s="1"/>
  <c r="G1020" i="3"/>
  <c r="X1026" i="3"/>
  <c r="G1028" i="3"/>
  <c r="X1034" i="3"/>
  <c r="G1036" i="3"/>
  <c r="X1042" i="3"/>
  <c r="Z1042" i="3" s="1"/>
  <c r="G1044" i="3"/>
  <c r="X1050" i="3"/>
  <c r="Z1050" i="3" s="1"/>
  <c r="G1052" i="3"/>
  <c r="X1058" i="3"/>
  <c r="Z1058" i="3" s="1"/>
  <c r="G1060" i="3"/>
  <c r="X1066" i="3"/>
  <c r="G1068" i="3"/>
  <c r="X1074" i="3"/>
  <c r="Z1074" i="3" s="1"/>
  <c r="G1076" i="3"/>
  <c r="X1082" i="3"/>
  <c r="Z1082" i="3" s="1"/>
  <c r="G1084" i="3"/>
  <c r="X1090" i="3"/>
  <c r="G1092" i="3"/>
  <c r="X1098" i="3"/>
  <c r="G1100" i="3"/>
  <c r="X1106" i="3"/>
  <c r="Z1106" i="3" s="1"/>
  <c r="G1108" i="3"/>
  <c r="X1114" i="3"/>
  <c r="Z1114" i="3" s="1"/>
  <c r="G1116" i="3"/>
  <c r="X1122" i="3"/>
  <c r="Z1122" i="3" s="1"/>
  <c r="G1124" i="3"/>
  <c r="X1130" i="3"/>
  <c r="Z1130" i="3" s="1"/>
  <c r="G1132" i="3"/>
  <c r="X1138" i="3"/>
  <c r="Z1138" i="3" s="1"/>
  <c r="G1140" i="3"/>
  <c r="X1146" i="3"/>
  <c r="Z1146" i="3" s="1"/>
  <c r="G1148" i="3"/>
  <c r="X1154" i="3"/>
  <c r="G1156" i="3"/>
  <c r="X1162" i="3"/>
  <c r="G1164" i="3"/>
  <c r="X1170" i="3"/>
  <c r="Z1170" i="3" s="1"/>
  <c r="G1172" i="3"/>
  <c r="X706" i="3"/>
  <c r="Z706" i="3" s="1"/>
  <c r="G708" i="3"/>
  <c r="X714" i="3"/>
  <c r="G716" i="3"/>
  <c r="X722" i="3"/>
  <c r="G724" i="3"/>
  <c r="X730" i="3"/>
  <c r="Z730" i="3" s="1"/>
  <c r="G732" i="3"/>
  <c r="X738" i="3"/>
  <c r="Z738" i="3" s="1"/>
  <c r="G740" i="3"/>
  <c r="X746" i="3"/>
  <c r="G748" i="3"/>
  <c r="X754" i="3"/>
  <c r="X1183" i="3"/>
  <c r="Z1183" i="3" s="1"/>
  <c r="X917" i="3"/>
  <c r="Z917" i="3" s="1"/>
  <c r="G927" i="3"/>
  <c r="X949" i="3"/>
  <c r="Z949" i="3" s="1"/>
  <c r="G959" i="3"/>
  <c r="X981" i="3"/>
  <c r="Z981" i="3" s="1"/>
  <c r="G991" i="3"/>
  <c r="X1005" i="3"/>
  <c r="X1007" i="3"/>
  <c r="Z1007" i="3" s="1"/>
  <c r="X1021" i="3"/>
  <c r="Z1021" i="3" s="1"/>
  <c r="X1023" i="3"/>
  <c r="Z1023" i="3" s="1"/>
  <c r="X1037" i="3"/>
  <c r="Z1037" i="3" s="1"/>
  <c r="X1039" i="3"/>
  <c r="X1053" i="3"/>
  <c r="X1055" i="3"/>
  <c r="X1069" i="3"/>
  <c r="X1071" i="3"/>
  <c r="Z1071" i="3" s="1"/>
  <c r="X1085" i="3"/>
  <c r="Z1085" i="3" s="1"/>
  <c r="X1087" i="3"/>
  <c r="Z1087" i="3" s="1"/>
  <c r="X1101" i="3"/>
  <c r="Z1101" i="3" s="1"/>
  <c r="X1103" i="3"/>
  <c r="X1117" i="3"/>
  <c r="Z1117" i="3" s="1"/>
  <c r="X1119" i="3"/>
  <c r="X1151" i="3"/>
  <c r="X1159" i="3"/>
  <c r="Z1159" i="3" s="1"/>
  <c r="X1167" i="3"/>
  <c r="Z1167" i="3" s="1"/>
  <c r="X703" i="3"/>
  <c r="Z703" i="3" s="1"/>
  <c r="X711" i="3"/>
  <c r="Z711" i="3" s="1"/>
  <c r="X719" i="3"/>
  <c r="X727" i="3"/>
  <c r="Z727" i="3" s="1"/>
  <c r="X735" i="3"/>
  <c r="X741" i="3"/>
  <c r="G743" i="3"/>
  <c r="X750" i="3"/>
  <c r="Z750" i="3" s="1"/>
  <c r="G752" i="3"/>
  <c r="X757" i="3"/>
  <c r="Z757" i="3" s="1"/>
  <c r="G759" i="3"/>
  <c r="G764" i="3"/>
  <c r="X767" i="3"/>
  <c r="G769" i="3"/>
  <c r="X775" i="3"/>
  <c r="Z775" i="3" s="1"/>
  <c r="G777" i="3"/>
  <c r="X783" i="3"/>
  <c r="Z783" i="3" s="1"/>
  <c r="G785" i="3"/>
  <c r="X791" i="3"/>
  <c r="G793" i="3"/>
  <c r="X799" i="3"/>
  <c r="G801" i="3"/>
  <c r="X807" i="3"/>
  <c r="Z807" i="3" s="1"/>
  <c r="G809" i="3"/>
  <c r="X815" i="3"/>
  <c r="Z815" i="3" s="1"/>
  <c r="G817" i="3"/>
  <c r="X823" i="3"/>
  <c r="G825" i="3"/>
  <c r="X831" i="3"/>
  <c r="G833" i="3"/>
  <c r="X839" i="3"/>
  <c r="Z839" i="3" s="1"/>
  <c r="G841" i="3"/>
  <c r="X847" i="3"/>
  <c r="Z847" i="3" s="1"/>
  <c r="G849" i="3"/>
  <c r="X855" i="3"/>
  <c r="G857" i="3"/>
  <c r="X863" i="3"/>
  <c r="G865" i="3"/>
  <c r="X871" i="3"/>
  <c r="Z871" i="3" s="1"/>
  <c r="G873" i="3"/>
  <c r="X879" i="3"/>
  <c r="Z879" i="3" s="1"/>
  <c r="G881" i="3"/>
  <c r="X887" i="3"/>
  <c r="G889" i="3"/>
  <c r="X895" i="3"/>
  <c r="G897" i="3"/>
  <c r="X595" i="3"/>
  <c r="Z595" i="3" s="1"/>
  <c r="G597" i="3"/>
  <c r="X603" i="3"/>
  <c r="Z603" i="3" s="1"/>
  <c r="G605" i="3"/>
  <c r="X611" i="3"/>
  <c r="G613" i="3"/>
  <c r="X619" i="3"/>
  <c r="G621" i="3"/>
  <c r="X627" i="3"/>
  <c r="G629" i="3"/>
  <c r="X635" i="3"/>
  <c r="Z635" i="3" s="1"/>
  <c r="G637" i="3"/>
  <c r="X643" i="3"/>
  <c r="G1135" i="3"/>
  <c r="G1137" i="3"/>
  <c r="G1139" i="3"/>
  <c r="X1141" i="3"/>
  <c r="Z1141" i="3" s="1"/>
  <c r="X1143" i="3"/>
  <c r="Z1143" i="3" s="1"/>
  <c r="X1145" i="3"/>
  <c r="Z1145" i="3" s="1"/>
  <c r="X1153" i="3"/>
  <c r="Z1153" i="3" s="1"/>
  <c r="X1161" i="3"/>
  <c r="X1169" i="3"/>
  <c r="Z1169" i="3" s="1"/>
  <c r="X705" i="3"/>
  <c r="X713" i="3"/>
  <c r="X721" i="3"/>
  <c r="Z721" i="3" s="1"/>
  <c r="X729" i="3"/>
  <c r="Z729" i="3" s="1"/>
  <c r="X737" i="3"/>
  <c r="Z737" i="3" s="1"/>
  <c r="G745" i="3"/>
  <c r="X762" i="3"/>
  <c r="G766" i="3"/>
  <c r="X772" i="3"/>
  <c r="G774" i="3"/>
  <c r="X780" i="3"/>
  <c r="Z780" i="3" s="1"/>
  <c r="G782" i="3"/>
  <c r="X788" i="3"/>
  <c r="Z788" i="3" s="1"/>
  <c r="G790" i="3"/>
  <c r="X796" i="3"/>
  <c r="G798" i="3"/>
  <c r="X804" i="3"/>
  <c r="G806" i="3"/>
  <c r="X812" i="3"/>
  <c r="Z812" i="3" s="1"/>
  <c r="G814" i="3"/>
  <c r="X820" i="3"/>
  <c r="Z820" i="3" s="1"/>
  <c r="G822" i="3"/>
  <c r="X828" i="3"/>
  <c r="G830" i="3"/>
  <c r="X836" i="3"/>
  <c r="G838" i="3"/>
  <c r="X844" i="3"/>
  <c r="Z844" i="3" s="1"/>
  <c r="G846" i="3"/>
  <c r="X852" i="3"/>
  <c r="Z852" i="3" s="1"/>
  <c r="G854" i="3"/>
  <c r="X860" i="3"/>
  <c r="G862" i="3"/>
  <c r="X868" i="3"/>
  <c r="G870" i="3"/>
  <c r="X876" i="3"/>
  <c r="Z876" i="3" s="1"/>
  <c r="G878" i="3"/>
  <c r="X884" i="3"/>
  <c r="Z884" i="3" s="1"/>
  <c r="G886" i="3"/>
  <c r="X892" i="3"/>
  <c r="G894" i="3"/>
  <c r="X900" i="3"/>
  <c r="G594" i="3"/>
  <c r="X600" i="3"/>
  <c r="Z600" i="3" s="1"/>
  <c r="G602" i="3"/>
  <c r="X608" i="3"/>
  <c r="Z608" i="3" s="1"/>
  <c r="G610" i="3"/>
  <c r="X616" i="3"/>
  <c r="G618" i="3"/>
  <c r="X624" i="3"/>
  <c r="Z624" i="3" s="1"/>
  <c r="G626" i="3"/>
  <c r="X632" i="3"/>
  <c r="Z632" i="3" s="1"/>
  <c r="G634" i="3"/>
  <c r="X640" i="3"/>
  <c r="Z640" i="3" s="1"/>
  <c r="G642" i="3"/>
  <c r="X648" i="3"/>
  <c r="G650" i="3"/>
  <c r="X656" i="3"/>
  <c r="Z656" i="3" s="1"/>
  <c r="G658" i="3"/>
  <c r="X664" i="3"/>
  <c r="Z664" i="3" s="1"/>
  <c r="G666" i="3"/>
  <c r="X672" i="3"/>
  <c r="Z672" i="3" s="1"/>
  <c r="G674" i="3"/>
  <c r="X680" i="3"/>
  <c r="G682" i="3"/>
  <c r="X688" i="3"/>
  <c r="Z688" i="3" s="1"/>
  <c r="G690" i="3"/>
  <c r="X696" i="3"/>
  <c r="Z696" i="3" s="1"/>
  <c r="G698" i="3"/>
  <c r="G903" i="3"/>
  <c r="X925" i="3"/>
  <c r="Z925" i="3" s="1"/>
  <c r="G935" i="3"/>
  <c r="X957" i="3"/>
  <c r="Z957" i="3" s="1"/>
  <c r="G967" i="3"/>
  <c r="X989" i="3"/>
  <c r="G999" i="3"/>
  <c r="G1001" i="3"/>
  <c r="G1015" i="3"/>
  <c r="G1017" i="3"/>
  <c r="G1031" i="3"/>
  <c r="G1033" i="3"/>
  <c r="G1047" i="3"/>
  <c r="G1049" i="3"/>
  <c r="G1063" i="3"/>
  <c r="G1065" i="3"/>
  <c r="G1079" i="3"/>
  <c r="G1081" i="3"/>
  <c r="G1095" i="3"/>
  <c r="G1097" i="3"/>
  <c r="G1111" i="3"/>
  <c r="G1113" i="3"/>
  <c r="X743" i="3"/>
  <c r="Z743" i="3" s="1"/>
  <c r="G747" i="3"/>
  <c r="X752" i="3"/>
  <c r="Z752" i="3" s="1"/>
  <c r="G754" i="3"/>
  <c r="G756" i="3"/>
  <c r="X759" i="3"/>
  <c r="G761" i="3"/>
  <c r="X764" i="3"/>
  <c r="Z764" i="3" s="1"/>
  <c r="X769" i="3"/>
  <c r="Z769" i="3" s="1"/>
  <c r="G771" i="3"/>
  <c r="X777" i="3"/>
  <c r="Z777" i="3" s="1"/>
  <c r="G779" i="3"/>
  <c r="X785" i="3"/>
  <c r="G787" i="3"/>
  <c r="X793" i="3"/>
  <c r="G795" i="3"/>
  <c r="X801" i="3"/>
  <c r="Z801" i="3" s="1"/>
  <c r="G803" i="3"/>
  <c r="X809" i="3"/>
  <c r="Z809" i="3" s="1"/>
  <c r="G811" i="3"/>
  <c r="X817" i="3"/>
  <c r="G819" i="3"/>
  <c r="X825" i="3"/>
  <c r="Z825" i="3" s="1"/>
  <c r="G827" i="3"/>
  <c r="X833" i="3"/>
  <c r="Z833" i="3" s="1"/>
  <c r="G835" i="3"/>
  <c r="X841" i="3"/>
  <c r="Z841" i="3" s="1"/>
  <c r="G843" i="3"/>
  <c r="X849" i="3"/>
  <c r="G851" i="3"/>
  <c r="X857" i="3"/>
  <c r="G859" i="3"/>
  <c r="X865" i="3"/>
  <c r="Z865" i="3" s="1"/>
  <c r="G867" i="3"/>
  <c r="X873" i="3"/>
  <c r="Z873" i="3" s="1"/>
  <c r="G875" i="3"/>
  <c r="X881" i="3"/>
  <c r="G883" i="3"/>
  <c r="X889" i="3"/>
  <c r="Z889" i="3" s="1"/>
  <c r="G891" i="3"/>
  <c r="X897" i="3"/>
  <c r="Z897" i="3" s="1"/>
  <c r="G899" i="3"/>
  <c r="X597" i="3"/>
  <c r="Z597" i="3" s="1"/>
  <c r="G599" i="3"/>
  <c r="G1127" i="3"/>
  <c r="G1129" i="3"/>
  <c r="G1131" i="3"/>
  <c r="X1133" i="3"/>
  <c r="Z1133" i="3" s="1"/>
  <c r="X1135" i="3"/>
  <c r="Z1135" i="3" s="1"/>
  <c r="X1137" i="3"/>
  <c r="Z1137" i="3" s="1"/>
  <c r="X1150" i="3"/>
  <c r="Z1150" i="3" s="1"/>
  <c r="G1152" i="3"/>
  <c r="X1158" i="3"/>
  <c r="G1160" i="3"/>
  <c r="X1166" i="3"/>
  <c r="G1168" i="3"/>
  <c r="X702" i="3"/>
  <c r="Z702" i="3" s="1"/>
  <c r="G704" i="3"/>
  <c r="X710" i="3"/>
  <c r="Z710" i="3" s="1"/>
  <c r="G712" i="3"/>
  <c r="X718" i="3"/>
  <c r="G720" i="3"/>
  <c r="X901" i="3"/>
  <c r="Z901" i="3" s="1"/>
  <c r="G911" i="3"/>
  <c r="X933" i="3"/>
  <c r="Z933" i="3" s="1"/>
  <c r="G943" i="3"/>
  <c r="X965" i="3"/>
  <c r="Z965" i="3" s="1"/>
  <c r="G975" i="3"/>
  <c r="X997" i="3"/>
  <c r="X999" i="3"/>
  <c r="Z999" i="3" s="1"/>
  <c r="X1013" i="3"/>
  <c r="Z1013" i="3" s="1"/>
  <c r="X1015" i="3"/>
  <c r="X1029" i="3"/>
  <c r="Z1029" i="3" s="1"/>
  <c r="X1031" i="3"/>
  <c r="Z1031" i="3" s="1"/>
  <c r="X1045" i="3"/>
  <c r="Z1045" i="3" s="1"/>
  <c r="X1047" i="3"/>
  <c r="Z1047" i="3" s="1"/>
  <c r="X1061" i="3"/>
  <c r="X1063" i="3"/>
  <c r="Z1063" i="3" s="1"/>
  <c r="X1077" i="3"/>
  <c r="X1079" i="3"/>
  <c r="Z1079" i="3" s="1"/>
  <c r="X1093" i="3"/>
  <c r="Z1093" i="3" s="1"/>
  <c r="X1095" i="3"/>
  <c r="Z1095" i="3" s="1"/>
  <c r="X1109" i="3"/>
  <c r="Z1109" i="3" s="1"/>
  <c r="X1111" i="3"/>
  <c r="Z1111" i="3" s="1"/>
  <c r="X740" i="3"/>
  <c r="X756" i="3"/>
  <c r="X761" i="3"/>
  <c r="Z761" i="3" s="1"/>
  <c r="G763" i="3"/>
  <c r="X771" i="3"/>
  <c r="Z771" i="3" s="1"/>
  <c r="G773" i="3"/>
  <c r="X779" i="3"/>
  <c r="Z779" i="3" s="1"/>
  <c r="G781" i="3"/>
  <c r="X787" i="3"/>
  <c r="G789" i="3"/>
  <c r="X795" i="3"/>
  <c r="G797" i="3"/>
  <c r="X803" i="3"/>
  <c r="Z803" i="3" s="1"/>
  <c r="G805" i="3"/>
  <c r="X811" i="3"/>
  <c r="Z811" i="3" s="1"/>
  <c r="G813" i="3"/>
  <c r="X819" i="3"/>
  <c r="G821" i="3"/>
  <c r="X827" i="3"/>
  <c r="G829" i="3"/>
  <c r="X835" i="3"/>
  <c r="Z835" i="3" s="1"/>
  <c r="G837" i="3"/>
  <c r="X843" i="3"/>
  <c r="Z843" i="3" s="1"/>
  <c r="G845" i="3"/>
  <c r="X851" i="3"/>
  <c r="G853" i="3"/>
  <c r="X859" i="3"/>
  <c r="Z859" i="3" s="1"/>
  <c r="G861" i="3"/>
  <c r="X867" i="3"/>
  <c r="Z867" i="3" s="1"/>
  <c r="G869" i="3"/>
  <c r="X875" i="3"/>
  <c r="Z875" i="3" s="1"/>
  <c r="G1123" i="3"/>
  <c r="X1125" i="3"/>
  <c r="Z1125" i="3" s="1"/>
  <c r="X1127" i="3"/>
  <c r="Z1127" i="3" s="1"/>
  <c r="X1129" i="3"/>
  <c r="Z1129" i="3" s="1"/>
  <c r="X742" i="3"/>
  <c r="G744" i="3"/>
  <c r="X751" i="3"/>
  <c r="Z751" i="3" s="1"/>
  <c r="G753" i="3"/>
  <c r="X758" i="3"/>
  <c r="Z758" i="3" s="1"/>
  <c r="G760" i="3"/>
  <c r="X768" i="3"/>
  <c r="Z768" i="3" s="1"/>
  <c r="G770" i="3"/>
  <c r="X776" i="3"/>
  <c r="Z776" i="3" s="1"/>
  <c r="G778" i="3"/>
  <c r="X784" i="3"/>
  <c r="Z784" i="3" s="1"/>
  <c r="G786" i="3"/>
  <c r="X792" i="3"/>
  <c r="Z792" i="3" s="1"/>
  <c r="G794" i="3"/>
  <c r="X800" i="3"/>
  <c r="Z800" i="3" s="1"/>
  <c r="G802" i="3"/>
  <c r="X808" i="3"/>
  <c r="Z808" i="3" s="1"/>
  <c r="G810" i="3"/>
  <c r="X816" i="3"/>
  <c r="Z816" i="3" s="1"/>
  <c r="G818" i="3"/>
  <c r="X824" i="3"/>
  <c r="Z824" i="3" s="1"/>
  <c r="G826" i="3"/>
  <c r="X832" i="3"/>
  <c r="G834" i="3"/>
  <c r="X840" i="3"/>
  <c r="Z840" i="3" s="1"/>
  <c r="G842" i="3"/>
  <c r="X848" i="3"/>
  <c r="Z848" i="3" s="1"/>
  <c r="G850" i="3"/>
  <c r="X856" i="3"/>
  <c r="Z856" i="3" s="1"/>
  <c r="G858" i="3"/>
  <c r="X864" i="3"/>
  <c r="Z864" i="3" s="1"/>
  <c r="G866" i="3"/>
  <c r="X872" i="3"/>
  <c r="Z872" i="3" s="1"/>
  <c r="G874" i="3"/>
  <c r="X880" i="3"/>
  <c r="Z880" i="3" s="1"/>
  <c r="G882" i="3"/>
  <c r="X888" i="3"/>
  <c r="Z888" i="3" s="1"/>
  <c r="G890" i="3"/>
  <c r="X896" i="3"/>
  <c r="Z896" i="3" s="1"/>
  <c r="G1143" i="3"/>
  <c r="G1147" i="3"/>
  <c r="X1149" i="3"/>
  <c r="Z1149" i="3" s="1"/>
  <c r="G1153" i="3"/>
  <c r="G1155" i="3"/>
  <c r="X1157" i="3"/>
  <c r="Z1157" i="3" s="1"/>
  <c r="G1161" i="3"/>
  <c r="G1163" i="3"/>
  <c r="X1165" i="3"/>
  <c r="Z1165" i="3" s="1"/>
  <c r="G1169" i="3"/>
  <c r="G1171" i="3"/>
  <c r="X701" i="3"/>
  <c r="Z701" i="3" s="1"/>
  <c r="G705" i="3"/>
  <c r="G707" i="3"/>
  <c r="X709" i="3"/>
  <c r="G713" i="3"/>
  <c r="G715" i="3"/>
  <c r="X717" i="3"/>
  <c r="Z717" i="3" s="1"/>
  <c r="G721" i="3"/>
  <c r="G723" i="3"/>
  <c r="X725" i="3"/>
  <c r="Z725" i="3" s="1"/>
  <c r="G729" i="3"/>
  <c r="G731" i="3"/>
  <c r="X733" i="3"/>
  <c r="Z733" i="3" s="1"/>
  <c r="G737" i="3"/>
  <c r="G739" i="3"/>
  <c r="X748" i="3"/>
  <c r="Z748" i="3" s="1"/>
  <c r="X753" i="3"/>
  <c r="Z753" i="3" s="1"/>
  <c r="X760" i="3"/>
  <c r="Z760" i="3" s="1"/>
  <c r="G762" i="3"/>
  <c r="X770" i="3"/>
  <c r="Z770" i="3" s="1"/>
  <c r="G772" i="3"/>
  <c r="X778" i="3"/>
  <c r="G780" i="3"/>
  <c r="X786" i="3"/>
  <c r="Z786" i="3" s="1"/>
  <c r="G788" i="3"/>
  <c r="X794" i="3"/>
  <c r="Z794" i="3" s="1"/>
  <c r="G796" i="3"/>
  <c r="X802" i="3"/>
  <c r="Z802" i="3" s="1"/>
  <c r="G804" i="3"/>
  <c r="X810" i="3"/>
  <c r="G812" i="3"/>
  <c r="X818" i="3"/>
  <c r="Z818" i="3" s="1"/>
  <c r="G820" i="3"/>
  <c r="X826" i="3"/>
  <c r="Z826" i="3" s="1"/>
  <c r="G828" i="3"/>
  <c r="X834" i="3"/>
  <c r="Z834" i="3" s="1"/>
  <c r="G836" i="3"/>
  <c r="X842" i="3"/>
  <c r="Z842" i="3" s="1"/>
  <c r="G844" i="3"/>
  <c r="X850" i="3"/>
  <c r="Z850" i="3" s="1"/>
  <c r="G852" i="3"/>
  <c r="X858" i="3"/>
  <c r="Z858" i="3" s="1"/>
  <c r="G860" i="3"/>
  <c r="X866" i="3"/>
  <c r="Z866" i="3" s="1"/>
  <c r="G868" i="3"/>
  <c r="X874" i="3"/>
  <c r="Z874" i="3" s="1"/>
  <c r="G876" i="3"/>
  <c r="X882" i="3"/>
  <c r="Z882" i="3" s="1"/>
  <c r="G884" i="3"/>
  <c r="X890" i="3"/>
  <c r="Z890" i="3" s="1"/>
  <c r="G892" i="3"/>
  <c r="X898" i="3"/>
  <c r="Z898" i="3" s="1"/>
  <c r="G900" i="3"/>
  <c r="X598" i="3"/>
  <c r="Z598" i="3" s="1"/>
  <c r="G600" i="3"/>
  <c r="X606" i="3"/>
  <c r="Z606" i="3" s="1"/>
  <c r="G608" i="3"/>
  <c r="X614" i="3"/>
  <c r="Z614" i="3" s="1"/>
  <c r="G616" i="3"/>
  <c r="X622" i="3"/>
  <c r="Z622" i="3" s="1"/>
  <c r="G1023" i="3"/>
  <c r="G1087" i="3"/>
  <c r="G1167" i="3"/>
  <c r="G735" i="3"/>
  <c r="X749" i="3"/>
  <c r="Z749" i="3" s="1"/>
  <c r="G768" i="3"/>
  <c r="G775" i="3"/>
  <c r="G784" i="3"/>
  <c r="G791" i="3"/>
  <c r="G800" i="3"/>
  <c r="G807" i="3"/>
  <c r="G816" i="3"/>
  <c r="G823" i="3"/>
  <c r="G832" i="3"/>
  <c r="G839" i="3"/>
  <c r="G848" i="3"/>
  <c r="G855" i="3"/>
  <c r="G864" i="3"/>
  <c r="G871" i="3"/>
  <c r="X886" i="3"/>
  <c r="Z886" i="3" s="1"/>
  <c r="G893" i="3"/>
  <c r="G595" i="3"/>
  <c r="G603" i="3"/>
  <c r="X612" i="3"/>
  <c r="Z612" i="3" s="1"/>
  <c r="G620" i="3"/>
  <c r="X625" i="3"/>
  <c r="Z625" i="3" s="1"/>
  <c r="X634" i="3"/>
  <c r="Z634" i="3" s="1"/>
  <c r="G638" i="3"/>
  <c r="X641" i="3"/>
  <c r="Z641" i="3" s="1"/>
  <c r="G645" i="3"/>
  <c r="X653" i="3"/>
  <c r="Z653" i="3" s="1"/>
  <c r="G655" i="3"/>
  <c r="X663" i="3"/>
  <c r="Z663" i="3" s="1"/>
  <c r="G667" i="3"/>
  <c r="X675" i="3"/>
  <c r="Z675" i="3" s="1"/>
  <c r="G677" i="3"/>
  <c r="X685" i="3"/>
  <c r="Z685" i="3" s="1"/>
  <c r="G687" i="3"/>
  <c r="X695" i="3"/>
  <c r="Z695" i="3" s="1"/>
  <c r="G699" i="3"/>
  <c r="G553" i="3"/>
  <c r="G555" i="3"/>
  <c r="G919" i="3"/>
  <c r="G1041" i="3"/>
  <c r="G703" i="3"/>
  <c r="G728" i="3"/>
  <c r="X766" i="3"/>
  <c r="Z766" i="3" s="1"/>
  <c r="X773" i="3"/>
  <c r="Z773" i="3" s="1"/>
  <c r="X782" i="3"/>
  <c r="Z782" i="3" s="1"/>
  <c r="X789" i="3"/>
  <c r="Z789" i="3" s="1"/>
  <c r="X798" i="3"/>
  <c r="Z798" i="3" s="1"/>
  <c r="X805" i="3"/>
  <c r="Z805" i="3" s="1"/>
  <c r="X814" i="3"/>
  <c r="Z814" i="3" s="1"/>
  <c r="X821" i="3"/>
  <c r="Z821" i="3" s="1"/>
  <c r="X830" i="3"/>
  <c r="Z830" i="3" s="1"/>
  <c r="X837" i="3"/>
  <c r="Z837" i="3" s="1"/>
  <c r="X846" i="3"/>
  <c r="Z846" i="3" s="1"/>
  <c r="X853" i="3"/>
  <c r="Z853" i="3" s="1"/>
  <c r="X862" i="3"/>
  <c r="Z862" i="3" s="1"/>
  <c r="X869" i="3"/>
  <c r="Z869" i="3" s="1"/>
  <c r="G880" i="3"/>
  <c r="G895" i="3"/>
  <c r="X899" i="3"/>
  <c r="Z899" i="3" s="1"/>
  <c r="G1039" i="3"/>
  <c r="G1103" i="3"/>
  <c r="G711" i="3"/>
  <c r="X726" i="3"/>
  <c r="Z726" i="3" s="1"/>
  <c r="X745" i="3"/>
  <c r="Z745" i="3" s="1"/>
  <c r="X878" i="3"/>
  <c r="Z878" i="3" s="1"/>
  <c r="G885" i="3"/>
  <c r="X891" i="3"/>
  <c r="Z891" i="3" s="1"/>
  <c r="X893" i="3"/>
  <c r="Z893" i="3" s="1"/>
  <c r="X605" i="3"/>
  <c r="Z605" i="3" s="1"/>
  <c r="G611" i="3"/>
  <c r="X620" i="3"/>
  <c r="Z620" i="3" s="1"/>
  <c r="G624" i="3"/>
  <c r="G633" i="3"/>
  <c r="X638" i="3"/>
  <c r="Z638" i="3" s="1"/>
  <c r="G640" i="3"/>
  <c r="X645" i="3"/>
  <c r="Z645" i="3" s="1"/>
  <c r="G647" i="3"/>
  <c r="X655" i="3"/>
  <c r="Z655" i="3" s="1"/>
  <c r="G659" i="3"/>
  <c r="X667" i="3"/>
  <c r="Z667" i="3" s="1"/>
  <c r="G669" i="3"/>
  <c r="X677" i="3"/>
  <c r="Z677" i="3" s="1"/>
  <c r="G679" i="3"/>
  <c r="X687" i="3"/>
  <c r="Z687" i="3" s="1"/>
  <c r="G691" i="3"/>
  <c r="X699" i="3"/>
  <c r="Z699" i="3" s="1"/>
  <c r="X570" i="3"/>
  <c r="Z570" i="3" s="1"/>
  <c r="X572" i="3"/>
  <c r="Z572" i="3" s="1"/>
  <c r="G475" i="3"/>
  <c r="X492" i="3"/>
  <c r="Z492" i="3" s="1"/>
  <c r="G458" i="3"/>
  <c r="X462" i="3"/>
  <c r="Z462" i="3" s="1"/>
  <c r="G447" i="3"/>
  <c r="X415" i="3"/>
  <c r="Z415" i="3" s="1"/>
  <c r="X417" i="3"/>
  <c r="Z417" i="3" s="1"/>
  <c r="X419" i="3"/>
  <c r="Z419" i="3" s="1"/>
  <c r="X421" i="3"/>
  <c r="Z421" i="3" s="1"/>
  <c r="X423" i="3"/>
  <c r="Z423" i="3" s="1"/>
  <c r="X425" i="3"/>
  <c r="Z425" i="3" s="1"/>
  <c r="X406" i="3"/>
  <c r="Z406" i="3" s="1"/>
  <c r="X909" i="3"/>
  <c r="Z909" i="3" s="1"/>
  <c r="G951" i="3"/>
  <c r="G1057" i="3"/>
  <c r="G1121" i="3"/>
  <c r="G719" i="3"/>
  <c r="G750" i="3"/>
  <c r="G887" i="3"/>
  <c r="X607" i="3"/>
  <c r="Z607" i="3" s="1"/>
  <c r="X609" i="3"/>
  <c r="G615" i="3"/>
  <c r="G617" i="3"/>
  <c r="G628" i="3"/>
  <c r="X631" i="3"/>
  <c r="Z631" i="3" s="1"/>
  <c r="G635" i="3"/>
  <c r="G644" i="3"/>
  <c r="G649" i="3"/>
  <c r="X652" i="3"/>
  <c r="G654" i="3"/>
  <c r="X657" i="3"/>
  <c r="Z657" i="3" s="1"/>
  <c r="X662" i="3"/>
  <c r="Z662" i="3" s="1"/>
  <c r="G664" i="3"/>
  <c r="X674" i="3"/>
  <c r="Z674" i="3" s="1"/>
  <c r="G676" i="3"/>
  <c r="G681" i="3"/>
  <c r="X684" i="3"/>
  <c r="Z684" i="3" s="1"/>
  <c r="G686" i="3"/>
  <c r="X689" i="3"/>
  <c r="Z689" i="3" s="1"/>
  <c r="X694" i="3"/>
  <c r="Z694" i="3" s="1"/>
  <c r="G696" i="3"/>
  <c r="G562" i="3"/>
  <c r="X568" i="3"/>
  <c r="Z568" i="3" s="1"/>
  <c r="G583" i="3"/>
  <c r="G502" i="3"/>
  <c r="G504" i="3"/>
  <c r="G506" i="3"/>
  <c r="G508" i="3"/>
  <c r="G510" i="3"/>
  <c r="G512" i="3"/>
  <c r="G514" i="3"/>
  <c r="G516" i="3"/>
  <c r="G518" i="3"/>
  <c r="G520" i="3"/>
  <c r="G522" i="3"/>
  <c r="G524" i="3"/>
  <c r="G526" i="3"/>
  <c r="G528" i="3"/>
  <c r="G530" i="3"/>
  <c r="G532" i="3"/>
  <c r="G534" i="3"/>
  <c r="G536" i="3"/>
  <c r="G538" i="3"/>
  <c r="G540" i="3"/>
  <c r="G542" i="3"/>
  <c r="G544" i="3"/>
  <c r="G546" i="3"/>
  <c r="G548" i="3"/>
  <c r="G550" i="3"/>
  <c r="G464" i="3"/>
  <c r="G466" i="3"/>
  <c r="G468" i="3"/>
  <c r="G456" i="3"/>
  <c r="X460" i="3"/>
  <c r="Z460" i="3" s="1"/>
  <c r="X390" i="3"/>
  <c r="Z390" i="3" s="1"/>
  <c r="X394" i="3"/>
  <c r="Z394" i="3" s="1"/>
  <c r="X398" i="3"/>
  <c r="Z398" i="3" s="1"/>
  <c r="X402" i="3"/>
  <c r="Z402" i="3" s="1"/>
  <c r="X362" i="3"/>
  <c r="Z362" i="3" s="1"/>
  <c r="X366" i="3"/>
  <c r="Z366" i="3" s="1"/>
  <c r="X343" i="3"/>
  <c r="Z343" i="3" s="1"/>
  <c r="X347" i="3"/>
  <c r="Z347" i="3" s="1"/>
  <c r="X351" i="3"/>
  <c r="Z351" i="3" s="1"/>
  <c r="X323" i="3"/>
  <c r="Z323" i="3" s="1"/>
  <c r="G1055" i="3"/>
  <c r="G1119" i="3"/>
  <c r="G736" i="3"/>
  <c r="G755" i="3"/>
  <c r="G767" i="3"/>
  <c r="G776" i="3"/>
  <c r="G783" i="3"/>
  <c r="G792" i="3"/>
  <c r="G799" i="3"/>
  <c r="G808" i="3"/>
  <c r="G815" i="3"/>
  <c r="G824" i="3"/>
  <c r="G831" i="3"/>
  <c r="G840" i="3"/>
  <c r="G847" i="3"/>
  <c r="G856" i="3"/>
  <c r="G863" i="3"/>
  <c r="G872" i="3"/>
  <c r="G877" i="3"/>
  <c r="X883" i="3"/>
  <c r="Z883" i="3" s="1"/>
  <c r="X885" i="3"/>
  <c r="Z885" i="3" s="1"/>
  <c r="G898" i="3"/>
  <c r="G596" i="3"/>
  <c r="G598" i="3"/>
  <c r="G604" i="3"/>
  <c r="X613" i="3"/>
  <c r="Z613" i="3" s="1"/>
  <c r="G619" i="3"/>
  <c r="X626" i="3"/>
  <c r="Z626" i="3" s="1"/>
  <c r="G630" i="3"/>
  <c r="X633" i="3"/>
  <c r="Z633" i="3" s="1"/>
  <c r="X642" i="3"/>
  <c r="Z642" i="3" s="1"/>
  <c r="X647" i="3"/>
  <c r="Z647" i="3" s="1"/>
  <c r="G651" i="3"/>
  <c r="X659" i="3"/>
  <c r="Z659" i="3" s="1"/>
  <c r="G661" i="3"/>
  <c r="X669" i="3"/>
  <c r="Z669" i="3" s="1"/>
  <c r="G671" i="3"/>
  <c r="X679" i="3"/>
  <c r="Z679" i="3" s="1"/>
  <c r="G683" i="3"/>
  <c r="X691" i="3"/>
  <c r="Z691" i="3" s="1"/>
  <c r="G693" i="3"/>
  <c r="G554" i="3"/>
  <c r="G556" i="3"/>
  <c r="G558" i="3"/>
  <c r="G479" i="3"/>
  <c r="X496" i="3"/>
  <c r="Z496" i="3" s="1"/>
  <c r="G454" i="3"/>
  <c r="X458" i="3"/>
  <c r="Z458" i="3" s="1"/>
  <c r="G451" i="3"/>
  <c r="G414" i="3"/>
  <c r="G416" i="3"/>
  <c r="G418" i="3"/>
  <c r="G420" i="3"/>
  <c r="G422" i="3"/>
  <c r="G424" i="3"/>
  <c r="G426" i="3"/>
  <c r="X436" i="3"/>
  <c r="Z436" i="3" s="1"/>
  <c r="G401" i="3"/>
  <c r="G412" i="3"/>
  <c r="X372" i="3"/>
  <c r="Z372" i="3" s="1"/>
  <c r="X376" i="3"/>
  <c r="Z376" i="3" s="1"/>
  <c r="X380" i="3"/>
  <c r="Z380" i="3" s="1"/>
  <c r="X384" i="3"/>
  <c r="Z384" i="3" s="1"/>
  <c r="X235" i="3"/>
  <c r="Z235" i="3" s="1"/>
  <c r="X239" i="3"/>
  <c r="Z239" i="3" s="1"/>
  <c r="X243" i="3"/>
  <c r="Z243" i="3" s="1"/>
  <c r="X247" i="3"/>
  <c r="Z247" i="3" s="1"/>
  <c r="X251" i="3"/>
  <c r="Z251" i="3" s="1"/>
  <c r="X255" i="3"/>
  <c r="Z255" i="3" s="1"/>
  <c r="X259" i="3"/>
  <c r="Z259" i="3" s="1"/>
  <c r="X263" i="3"/>
  <c r="Z263" i="3" s="1"/>
  <c r="X267" i="3"/>
  <c r="Z267" i="3" s="1"/>
  <c r="X271" i="3"/>
  <c r="Z271" i="3" s="1"/>
  <c r="X275" i="3"/>
  <c r="Z275" i="3" s="1"/>
  <c r="X279" i="3"/>
  <c r="Z279" i="3" s="1"/>
  <c r="X283" i="3"/>
  <c r="Z283" i="3" s="1"/>
  <c r="X941" i="3"/>
  <c r="Z941" i="3" s="1"/>
  <c r="G983" i="3"/>
  <c r="G1009" i="3"/>
  <c r="G1073" i="3"/>
  <c r="G727" i="3"/>
  <c r="X734" i="3"/>
  <c r="Z734" i="3" s="1"/>
  <c r="G746" i="3"/>
  <c r="X765" i="3"/>
  <c r="Z765" i="3" s="1"/>
  <c r="X774" i="3"/>
  <c r="Z774" i="3" s="1"/>
  <c r="X781" i="3"/>
  <c r="Z781" i="3" s="1"/>
  <c r="X790" i="3"/>
  <c r="Z790" i="3" s="1"/>
  <c r="X797" i="3"/>
  <c r="Z797" i="3" s="1"/>
  <c r="X806" i="3"/>
  <c r="Z806" i="3" s="1"/>
  <c r="X813" i="3"/>
  <c r="Z813" i="3" s="1"/>
  <c r="X822" i="3"/>
  <c r="Z822" i="3" s="1"/>
  <c r="X829" i="3"/>
  <c r="Z829" i="3" s="1"/>
  <c r="X838" i="3"/>
  <c r="Z838" i="3" s="1"/>
  <c r="X845" i="3"/>
  <c r="Z845" i="3" s="1"/>
  <c r="X854" i="3"/>
  <c r="Z854" i="3" s="1"/>
  <c r="X861" i="3"/>
  <c r="Z861" i="3" s="1"/>
  <c r="X870" i="3"/>
  <c r="Z870" i="3" s="1"/>
  <c r="G879" i="3"/>
  <c r="G896" i="3"/>
  <c r="X594" i="3"/>
  <c r="Z594" i="3" s="1"/>
  <c r="X602" i="3"/>
  <c r="Z602" i="3" s="1"/>
  <c r="G606" i="3"/>
  <c r="X615" i="3"/>
  <c r="Z615" i="3" s="1"/>
  <c r="X617" i="3"/>
  <c r="Z617" i="3" s="1"/>
  <c r="G623" i="3"/>
  <c r="X628" i="3"/>
  <c r="Z628" i="3" s="1"/>
  <c r="X637" i="3"/>
  <c r="Z637" i="3" s="1"/>
  <c r="G639" i="3"/>
  <c r="X644" i="3"/>
  <c r="Z644" i="3" s="1"/>
  <c r="G646" i="3"/>
  <c r="X649" i="3"/>
  <c r="Z649" i="3" s="1"/>
  <c r="X654" i="3"/>
  <c r="Z654" i="3" s="1"/>
  <c r="G656" i="3"/>
  <c r="X666" i="3"/>
  <c r="Z666" i="3" s="1"/>
  <c r="G668" i="3"/>
  <c r="G673" i="3"/>
  <c r="X676" i="3"/>
  <c r="Z676" i="3" s="1"/>
  <c r="G678" i="3"/>
  <c r="X681" i="3"/>
  <c r="Z681" i="3" s="1"/>
  <c r="X686" i="3"/>
  <c r="Z686" i="3" s="1"/>
  <c r="G688" i="3"/>
  <c r="X698" i="3"/>
  <c r="Z698" i="3" s="1"/>
  <c r="G700" i="3"/>
  <c r="X562" i="3"/>
  <c r="Z562" i="3" s="1"/>
  <c r="G567" i="3"/>
  <c r="X502" i="3"/>
  <c r="Z502" i="3" s="1"/>
  <c r="X504" i="3"/>
  <c r="Z504" i="3" s="1"/>
  <c r="X506" i="3"/>
  <c r="Z506" i="3" s="1"/>
  <c r="X508" i="3"/>
  <c r="X510" i="3"/>
  <c r="Z510" i="3" s="1"/>
  <c r="X512" i="3"/>
  <c r="Z512" i="3" s="1"/>
  <c r="X514" i="3"/>
  <c r="Z514" i="3" s="1"/>
  <c r="X516" i="3"/>
  <c r="Z516" i="3" s="1"/>
  <c r="X518" i="3"/>
  <c r="Z518" i="3" s="1"/>
  <c r="X520" i="3"/>
  <c r="Z520" i="3" s="1"/>
  <c r="X522" i="3"/>
  <c r="Z522" i="3" s="1"/>
  <c r="X524" i="3"/>
  <c r="Z524" i="3" s="1"/>
  <c r="X526" i="3"/>
  <c r="Z526" i="3" s="1"/>
  <c r="X528" i="3"/>
  <c r="Z528" i="3" s="1"/>
  <c r="X530" i="3"/>
  <c r="Z530" i="3" s="1"/>
  <c r="X532" i="3"/>
  <c r="Z532" i="3" s="1"/>
  <c r="X534" i="3"/>
  <c r="Z534" i="3" s="1"/>
  <c r="X536" i="3"/>
  <c r="Z536" i="3" s="1"/>
  <c r="X538" i="3"/>
  <c r="Z538" i="3" s="1"/>
  <c r="X540" i="3"/>
  <c r="Z540" i="3" s="1"/>
  <c r="X542" i="3"/>
  <c r="Z542" i="3" s="1"/>
  <c r="X544" i="3"/>
  <c r="Z544" i="3" s="1"/>
  <c r="X546" i="3"/>
  <c r="Z546" i="3" s="1"/>
  <c r="X548" i="3"/>
  <c r="Z548" i="3" s="1"/>
  <c r="X550" i="3"/>
  <c r="Z550" i="3" s="1"/>
  <c r="X464" i="3"/>
  <c r="Z464" i="3" s="1"/>
  <c r="X466" i="3"/>
  <c r="Z466" i="3" s="1"/>
  <c r="X468" i="3"/>
  <c r="Z468" i="3" s="1"/>
  <c r="X456" i="3"/>
  <c r="Z456" i="3" s="1"/>
  <c r="G461" i="3"/>
  <c r="X387" i="3"/>
  <c r="Z387" i="3" s="1"/>
  <c r="X391" i="3"/>
  <c r="Z391" i="3" s="1"/>
  <c r="X395" i="3"/>
  <c r="Z395" i="3" s="1"/>
  <c r="X399" i="3"/>
  <c r="Z399" i="3" s="1"/>
  <c r="X973" i="3"/>
  <c r="Z973" i="3" s="1"/>
  <c r="G1025" i="3"/>
  <c r="G1089" i="3"/>
  <c r="G1159" i="3"/>
  <c r="G742" i="3"/>
  <c r="G751" i="3"/>
  <c r="G888" i="3"/>
  <c r="G593" i="3"/>
  <c r="G601" i="3"/>
  <c r="X610" i="3"/>
  <c r="Z610" i="3" s="1"/>
  <c r="G614" i="3"/>
  <c r="X623" i="3"/>
  <c r="Z623" i="3" s="1"/>
  <c r="G627" i="3"/>
  <c r="G636" i="3"/>
  <c r="X639" i="3"/>
  <c r="Z639" i="3" s="1"/>
  <c r="G643" i="3"/>
  <c r="X646" i="3"/>
  <c r="Z646" i="3" s="1"/>
  <c r="G648" i="3"/>
  <c r="X658" i="3"/>
  <c r="Z658" i="3" s="1"/>
  <c r="G660" i="3"/>
  <c r="G665" i="3"/>
  <c r="X668" i="3"/>
  <c r="Z668" i="3" s="1"/>
  <c r="G1007" i="3"/>
  <c r="G758" i="3"/>
  <c r="G612" i="3"/>
  <c r="G631" i="3"/>
  <c r="G662" i="3"/>
  <c r="G680" i="3"/>
  <c r="X682" i="3"/>
  <c r="Z682" i="3" s="1"/>
  <c r="G689" i="3"/>
  <c r="G695" i="3"/>
  <c r="X571" i="3"/>
  <c r="Z571" i="3" s="1"/>
  <c r="G457" i="3"/>
  <c r="G460" i="3"/>
  <c r="X392" i="3"/>
  <c r="Z392" i="3" s="1"/>
  <c r="X397" i="3"/>
  <c r="Z397" i="3" s="1"/>
  <c r="G402" i="3"/>
  <c r="G1071" i="3"/>
  <c r="X593" i="3"/>
  <c r="Z593" i="3" s="1"/>
  <c r="G622" i="3"/>
  <c r="X629" i="3"/>
  <c r="Z629" i="3" s="1"/>
  <c r="G641" i="3"/>
  <c r="G653" i="3"/>
  <c r="X660" i="3"/>
  <c r="Z660" i="3" s="1"/>
  <c r="X671" i="3"/>
  <c r="Z671" i="3" s="1"/>
  <c r="X673" i="3"/>
  <c r="Z673" i="3" s="1"/>
  <c r="X693" i="3"/>
  <c r="Z693" i="3" s="1"/>
  <c r="X697" i="3"/>
  <c r="Z697" i="3" s="1"/>
  <c r="X501" i="3"/>
  <c r="Z501" i="3" s="1"/>
  <c r="G507" i="3"/>
  <c r="X509" i="3"/>
  <c r="Z509" i="3" s="1"/>
  <c r="G515" i="3"/>
  <c r="X517" i="3"/>
  <c r="Z517" i="3" s="1"/>
  <c r="G523" i="3"/>
  <c r="X525" i="3"/>
  <c r="Z525" i="3" s="1"/>
  <c r="G531" i="3"/>
  <c r="X533" i="3"/>
  <c r="Z533" i="3" s="1"/>
  <c r="G539" i="3"/>
  <c r="X541" i="3"/>
  <c r="Z541" i="3" s="1"/>
  <c r="G547" i="3"/>
  <c r="X549" i="3"/>
  <c r="Z549" i="3" s="1"/>
  <c r="G463" i="3"/>
  <c r="X465" i="3"/>
  <c r="Z465" i="3" s="1"/>
  <c r="X454" i="3"/>
  <c r="Z454" i="3" s="1"/>
  <c r="G415" i="3"/>
  <c r="X420" i="3"/>
  <c r="Z420" i="3" s="1"/>
  <c r="G423" i="3"/>
  <c r="X403" i="3"/>
  <c r="Z403" i="3" s="1"/>
  <c r="G408" i="3"/>
  <c r="X370" i="3"/>
  <c r="Z370" i="3" s="1"/>
  <c r="X379" i="3"/>
  <c r="Z379" i="3" s="1"/>
  <c r="X363" i="3"/>
  <c r="Z363" i="3" s="1"/>
  <c r="X345" i="3"/>
  <c r="Z345" i="3" s="1"/>
  <c r="X234" i="3"/>
  <c r="Z234" i="3" s="1"/>
  <c r="X248" i="3"/>
  <c r="Z248" i="3" s="1"/>
  <c r="X257" i="3"/>
  <c r="Z257" i="3" s="1"/>
  <c r="X266" i="3"/>
  <c r="Z266" i="3" s="1"/>
  <c r="X280" i="3"/>
  <c r="Z280" i="3" s="1"/>
  <c r="G246" i="3"/>
  <c r="G250" i="3"/>
  <c r="G254" i="3"/>
  <c r="G258" i="3"/>
  <c r="G262" i="3"/>
  <c r="G266" i="3"/>
  <c r="G270" i="3"/>
  <c r="X636" i="3"/>
  <c r="Z636" i="3" s="1"/>
  <c r="X651" i="3"/>
  <c r="Z651" i="3" s="1"/>
  <c r="X678" i="3"/>
  <c r="Z678" i="3" s="1"/>
  <c r="G483" i="3"/>
  <c r="X494" i="3"/>
  <c r="Z494" i="3" s="1"/>
  <c r="G449" i="3"/>
  <c r="X388" i="3"/>
  <c r="Z388" i="3" s="1"/>
  <c r="X393" i="3"/>
  <c r="Z393" i="3" s="1"/>
  <c r="X410" i="3"/>
  <c r="Z410" i="3" s="1"/>
  <c r="G403" i="3"/>
  <c r="X375" i="3"/>
  <c r="Z375" i="3" s="1"/>
  <c r="X368" i="3"/>
  <c r="Z368" i="3" s="1"/>
  <c r="X341" i="3"/>
  <c r="Z341" i="3" s="1"/>
  <c r="X350" i="3"/>
  <c r="Z350" i="3" s="1"/>
  <c r="X327" i="3"/>
  <c r="Z327" i="3" s="1"/>
  <c r="X331" i="3"/>
  <c r="Z331" i="3" s="1"/>
  <c r="X335" i="3"/>
  <c r="Z335" i="3" s="1"/>
  <c r="X339" i="3"/>
  <c r="Z339" i="3" s="1"/>
  <c r="X312" i="3"/>
  <c r="Z312" i="3" s="1"/>
  <c r="X316" i="3"/>
  <c r="Z316" i="3" s="1"/>
  <c r="X320" i="3"/>
  <c r="Z320" i="3" s="1"/>
  <c r="X306" i="3"/>
  <c r="Z306" i="3" s="1"/>
  <c r="X244" i="3"/>
  <c r="Z244" i="3" s="1"/>
  <c r="X253" i="3"/>
  <c r="Z253" i="3" s="1"/>
  <c r="X262" i="3"/>
  <c r="Z262" i="3" s="1"/>
  <c r="X276" i="3"/>
  <c r="Z276" i="3" s="1"/>
  <c r="X285" i="3"/>
  <c r="Z285" i="3" s="1"/>
  <c r="X289" i="3"/>
  <c r="Z289" i="3" s="1"/>
  <c r="X293" i="3"/>
  <c r="Z293" i="3" s="1"/>
  <c r="X297" i="3"/>
  <c r="Z297" i="3" s="1"/>
  <c r="X301" i="3"/>
  <c r="Z301" i="3" s="1"/>
  <c r="X305" i="3"/>
  <c r="Z305" i="3" s="1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X230" i="3"/>
  <c r="Z230" i="3" s="1"/>
  <c r="X193" i="3"/>
  <c r="Z193" i="3" s="1"/>
  <c r="X201" i="3"/>
  <c r="Z201" i="3" s="1"/>
  <c r="X186" i="3"/>
  <c r="Z186" i="3" s="1"/>
  <c r="X163" i="3"/>
  <c r="Z163" i="3" s="1"/>
  <c r="X171" i="3"/>
  <c r="Z171" i="3" s="1"/>
  <c r="X179" i="3"/>
  <c r="Z179" i="3" s="1"/>
  <c r="X894" i="3"/>
  <c r="Z894" i="3" s="1"/>
  <c r="X596" i="3"/>
  <c r="Z596" i="3" s="1"/>
  <c r="G625" i="3"/>
  <c r="G670" i="3"/>
  <c r="G685" i="3"/>
  <c r="G692" i="3"/>
  <c r="X700" i="3"/>
  <c r="Z700" i="3" s="1"/>
  <c r="G565" i="3"/>
  <c r="G505" i="3"/>
  <c r="X507" i="3"/>
  <c r="Z507" i="3" s="1"/>
  <c r="G513" i="3"/>
  <c r="X515" i="3"/>
  <c r="Z515" i="3" s="1"/>
  <c r="G521" i="3"/>
  <c r="X523" i="3"/>
  <c r="Z523" i="3" s="1"/>
  <c r="G529" i="3"/>
  <c r="X531" i="3"/>
  <c r="Z531" i="3" s="1"/>
  <c r="G537" i="3"/>
  <c r="X539" i="3"/>
  <c r="Z539" i="3" s="1"/>
  <c r="G545" i="3"/>
  <c r="X547" i="3"/>
  <c r="Z547" i="3" s="1"/>
  <c r="X498" i="3"/>
  <c r="Z498" i="3" s="1"/>
  <c r="X463" i="3"/>
  <c r="Z463" i="3" s="1"/>
  <c r="G469" i="3"/>
  <c r="G455" i="3"/>
  <c r="G453" i="3"/>
  <c r="X418" i="3"/>
  <c r="Z418" i="3" s="1"/>
  <c r="G421" i="3"/>
  <c r="X426" i="3"/>
  <c r="Z426" i="3" s="1"/>
  <c r="X404" i="3"/>
  <c r="Z404" i="3" s="1"/>
  <c r="X371" i="3"/>
  <c r="Z371" i="3" s="1"/>
  <c r="X385" i="3"/>
  <c r="Z385" i="3" s="1"/>
  <c r="X364" i="3"/>
  <c r="Z364" i="3" s="1"/>
  <c r="X346" i="3"/>
  <c r="Z346" i="3" s="1"/>
  <c r="X240" i="3"/>
  <c r="Z240" i="3" s="1"/>
  <c r="X249" i="3"/>
  <c r="Z249" i="3" s="1"/>
  <c r="X258" i="3"/>
  <c r="Z258" i="3" s="1"/>
  <c r="X272" i="3"/>
  <c r="Z272" i="3" s="1"/>
  <c r="X281" i="3"/>
  <c r="Z281" i="3" s="1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7" i="3"/>
  <c r="G15" i="3"/>
  <c r="G23" i="3"/>
  <c r="G31" i="3"/>
  <c r="G39" i="3"/>
  <c r="G47" i="3"/>
  <c r="G55" i="3"/>
  <c r="G63" i="3"/>
  <c r="G71" i="3"/>
  <c r="G79" i="3"/>
  <c r="G87" i="3"/>
  <c r="G95" i="3"/>
  <c r="G103" i="3"/>
  <c r="G111" i="3"/>
  <c r="G119" i="3"/>
  <c r="G127" i="3"/>
  <c r="G135" i="3"/>
  <c r="G143" i="3"/>
  <c r="G151" i="3"/>
  <c r="G159" i="3"/>
  <c r="G167" i="3"/>
  <c r="G175" i="3"/>
  <c r="G183" i="3"/>
  <c r="G191" i="3"/>
  <c r="G199" i="3"/>
  <c r="G207" i="3"/>
  <c r="G215" i="3"/>
  <c r="G223" i="3"/>
  <c r="G231" i="3"/>
  <c r="G239" i="3"/>
  <c r="X225" i="3"/>
  <c r="Z225" i="3" s="1"/>
  <c r="X207" i="3"/>
  <c r="Z207" i="3" s="1"/>
  <c r="X601" i="3"/>
  <c r="Z601" i="3" s="1"/>
  <c r="X618" i="3"/>
  <c r="Z618" i="3" s="1"/>
  <c r="G632" i="3"/>
  <c r="G663" i="3"/>
  <c r="X665" i="3"/>
  <c r="Z665" i="3" s="1"/>
  <c r="G672" i="3"/>
  <c r="X683" i="3"/>
  <c r="Z683" i="3" s="1"/>
  <c r="G694" i="3"/>
  <c r="G477" i="3"/>
  <c r="X434" i="3"/>
  <c r="Z434" i="3" s="1"/>
  <c r="X389" i="3"/>
  <c r="Z389" i="3" s="1"/>
  <c r="X400" i="3"/>
  <c r="Z400" i="3" s="1"/>
  <c r="G404" i="3"/>
  <c r="X381" i="3"/>
  <c r="Z381" i="3" s="1"/>
  <c r="X369" i="3"/>
  <c r="Z369" i="3" s="1"/>
  <c r="X342" i="3"/>
  <c r="Z342" i="3" s="1"/>
  <c r="X324" i="3"/>
  <c r="Z324" i="3" s="1"/>
  <c r="X328" i="3"/>
  <c r="Z328" i="3" s="1"/>
  <c r="X332" i="3"/>
  <c r="Z332" i="3" s="1"/>
  <c r="X336" i="3"/>
  <c r="Z336" i="3" s="1"/>
  <c r="X313" i="3"/>
  <c r="Z313" i="3" s="1"/>
  <c r="X317" i="3"/>
  <c r="Z317" i="3" s="1"/>
  <c r="X321" i="3"/>
  <c r="Z321" i="3" s="1"/>
  <c r="X307" i="3"/>
  <c r="Z307" i="3" s="1"/>
  <c r="X236" i="3"/>
  <c r="Z236" i="3" s="1"/>
  <c r="X245" i="3"/>
  <c r="Z245" i="3" s="1"/>
  <c r="X254" i="3"/>
  <c r="Z254" i="3" s="1"/>
  <c r="X268" i="3"/>
  <c r="Z268" i="3" s="1"/>
  <c r="X277" i="3"/>
  <c r="Z277" i="3" s="1"/>
  <c r="X286" i="3"/>
  <c r="Z286" i="3" s="1"/>
  <c r="X290" i="3"/>
  <c r="Z290" i="3" s="1"/>
  <c r="X294" i="3"/>
  <c r="Z294" i="3" s="1"/>
  <c r="X298" i="3"/>
  <c r="Z298" i="3" s="1"/>
  <c r="X302" i="3"/>
  <c r="Z302" i="3" s="1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8" i="3"/>
  <c r="G16" i="3"/>
  <c r="G24" i="3"/>
  <c r="G32" i="3"/>
  <c r="G40" i="3"/>
  <c r="G48" i="3"/>
  <c r="G56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G224" i="3"/>
  <c r="G232" i="3"/>
  <c r="G240" i="3"/>
  <c r="X228" i="3"/>
  <c r="Z228" i="3" s="1"/>
  <c r="X199" i="3"/>
  <c r="Z199" i="3" s="1"/>
  <c r="X184" i="3"/>
  <c r="Z184" i="3" s="1"/>
  <c r="X161" i="3"/>
  <c r="Z161" i="3" s="1"/>
  <c r="X169" i="3"/>
  <c r="Z169" i="3" s="1"/>
  <c r="X177" i="3"/>
  <c r="Z177" i="3" s="1"/>
  <c r="X152" i="3"/>
  <c r="Z152" i="3" s="1"/>
  <c r="X160" i="3"/>
  <c r="Z160" i="3" s="1"/>
  <c r="X142" i="3"/>
  <c r="Z142" i="3" s="1"/>
  <c r="X150" i="3"/>
  <c r="Z150" i="3" s="1"/>
  <c r="X599" i="3"/>
  <c r="Z599" i="3" s="1"/>
  <c r="X604" i="3"/>
  <c r="Z604" i="3" s="1"/>
  <c r="X877" i="3"/>
  <c r="Z877" i="3" s="1"/>
  <c r="G607" i="3"/>
  <c r="G675" i="3"/>
  <c r="G684" i="3"/>
  <c r="G697" i="3"/>
  <c r="G501" i="3"/>
  <c r="X503" i="3"/>
  <c r="Z503" i="3" s="1"/>
  <c r="G509" i="3"/>
  <c r="X511" i="3"/>
  <c r="Z511" i="3" s="1"/>
  <c r="G517" i="3"/>
  <c r="X519" i="3"/>
  <c r="Z519" i="3" s="1"/>
  <c r="G525" i="3"/>
  <c r="X527" i="3"/>
  <c r="Z527" i="3" s="1"/>
  <c r="G533" i="3"/>
  <c r="X535" i="3"/>
  <c r="Z535" i="3" s="1"/>
  <c r="G541" i="3"/>
  <c r="X543" i="3"/>
  <c r="Z543" i="3" s="1"/>
  <c r="G549" i="3"/>
  <c r="G465" i="3"/>
  <c r="X467" i="3"/>
  <c r="Z467" i="3" s="1"/>
  <c r="X414" i="3"/>
  <c r="Z414" i="3" s="1"/>
  <c r="G417" i="3"/>
  <c r="X65" i="3"/>
  <c r="Z65" i="3" s="1"/>
  <c r="X146" i="3"/>
  <c r="Z146" i="3" s="1"/>
  <c r="X135" i="3"/>
  <c r="Z135" i="3" s="1"/>
  <c r="X158" i="3"/>
  <c r="Z158" i="3" s="1"/>
  <c r="X180" i="3"/>
  <c r="Z180" i="3" s="1"/>
  <c r="X174" i="3"/>
  <c r="Z174" i="3" s="1"/>
  <c r="X168" i="3"/>
  <c r="Z168" i="3" s="1"/>
  <c r="X202" i="3"/>
  <c r="Z202" i="3" s="1"/>
  <c r="X196" i="3"/>
  <c r="Z196" i="3" s="1"/>
  <c r="X206" i="3"/>
  <c r="Z206" i="3" s="1"/>
  <c r="G242" i="3"/>
  <c r="G228" i="3"/>
  <c r="G217" i="3"/>
  <c r="G203" i="3"/>
  <c r="G189" i="3"/>
  <c r="G178" i="3"/>
  <c r="G164" i="3"/>
  <c r="G153" i="3"/>
  <c r="G139" i="3"/>
  <c r="G125" i="3"/>
  <c r="G114" i="3"/>
  <c r="G100" i="3"/>
  <c r="G89" i="3"/>
  <c r="G75" i="3"/>
  <c r="G61" i="3"/>
  <c r="G50" i="3"/>
  <c r="G36" i="3"/>
  <c r="G25" i="3"/>
  <c r="G11" i="3"/>
  <c r="G290" i="3"/>
  <c r="G281" i="3"/>
  <c r="G272" i="3"/>
  <c r="G261" i="3"/>
  <c r="G256" i="3"/>
  <c r="G245" i="3"/>
  <c r="X296" i="3"/>
  <c r="Z296" i="3" s="1"/>
  <c r="X291" i="3"/>
  <c r="Z291" i="3" s="1"/>
  <c r="X233" i="3"/>
  <c r="Z233" i="3" s="1"/>
  <c r="X337" i="3"/>
  <c r="Z337" i="3" s="1"/>
  <c r="X326" i="3"/>
  <c r="Z326" i="3" s="1"/>
  <c r="X348" i="3"/>
  <c r="Z348" i="3" s="1"/>
  <c r="X367" i="3"/>
  <c r="Z367" i="3" s="1"/>
  <c r="X630" i="3"/>
  <c r="Z630" i="3" s="1"/>
  <c r="X226" i="3"/>
  <c r="Z226" i="3" s="1"/>
  <c r="G241" i="3"/>
  <c r="G227" i="3"/>
  <c r="G213" i="3"/>
  <c r="G202" i="3"/>
  <c r="G188" i="3"/>
  <c r="G177" i="3"/>
  <c r="G163" i="3"/>
  <c r="G149" i="3"/>
  <c r="G138" i="3"/>
  <c r="G124" i="3"/>
  <c r="G113" i="3"/>
  <c r="G99" i="3"/>
  <c r="G85" i="3"/>
  <c r="G74" i="3"/>
  <c r="G60" i="3"/>
  <c r="G49" i="3"/>
  <c r="G35" i="3"/>
  <c r="G21" i="3"/>
  <c r="G10" i="3"/>
  <c r="G294" i="3"/>
  <c r="G285" i="3"/>
  <c r="G276" i="3"/>
  <c r="G351" i="3"/>
  <c r="G340" i="3"/>
  <c r="G335" i="3"/>
  <c r="G324" i="3"/>
  <c r="G319" i="3"/>
  <c r="G308" i="3"/>
  <c r="G303" i="3"/>
  <c r="X273" i="3"/>
  <c r="Z273" i="3" s="1"/>
  <c r="X256" i="3"/>
  <c r="Z256" i="3" s="1"/>
  <c r="X250" i="3"/>
  <c r="Z250" i="3" s="1"/>
  <c r="X238" i="3"/>
  <c r="Z238" i="3" s="1"/>
  <c r="X308" i="3"/>
  <c r="Z308" i="3" s="1"/>
  <c r="X315" i="3"/>
  <c r="Z315" i="3" s="1"/>
  <c r="X310" i="3"/>
  <c r="Z310" i="3" s="1"/>
  <c r="X386" i="3"/>
  <c r="Z386" i="3" s="1"/>
  <c r="X396" i="3"/>
  <c r="Z396" i="3" s="1"/>
  <c r="X422" i="3"/>
  <c r="Z422" i="3" s="1"/>
  <c r="G419" i="3"/>
  <c r="X545" i="3"/>
  <c r="Z545" i="3" s="1"/>
  <c r="G535" i="3"/>
  <c r="X513" i="3"/>
  <c r="Z513" i="3" s="1"/>
  <c r="G503" i="3"/>
  <c r="X120" i="3"/>
  <c r="Z120" i="3" s="1"/>
  <c r="X155" i="3"/>
  <c r="Z155" i="3" s="1"/>
  <c r="X222" i="3"/>
  <c r="Z222" i="3" s="1"/>
  <c r="X218" i="3"/>
  <c r="Z218" i="3" s="1"/>
  <c r="X214" i="3"/>
  <c r="Z214" i="3" s="1"/>
  <c r="X210" i="3"/>
  <c r="Z210" i="3" s="1"/>
  <c r="X137" i="3"/>
  <c r="Z137" i="3" s="1"/>
  <c r="X176" i="3"/>
  <c r="Z176" i="3" s="1"/>
  <c r="X187" i="3"/>
  <c r="Z187" i="3" s="1"/>
  <c r="X181" i="3"/>
  <c r="Z181" i="3" s="1"/>
  <c r="X198" i="3"/>
  <c r="Z198" i="3" s="1"/>
  <c r="X205" i="3"/>
  <c r="Z205" i="3" s="1"/>
  <c r="G237" i="3"/>
  <c r="G226" i="3"/>
  <c r="G212" i="3"/>
  <c r="G201" i="3"/>
  <c r="G187" i="3"/>
  <c r="G173" i="3"/>
  <c r="G162" i="3"/>
  <c r="G148" i="3"/>
  <c r="G123" i="3"/>
  <c r="G109" i="3"/>
  <c r="G98" i="3"/>
  <c r="G84" i="3"/>
  <c r="G73" i="3"/>
  <c r="G59" i="3"/>
  <c r="G45" i="3"/>
  <c r="G34" i="3"/>
  <c r="G20" i="3"/>
  <c r="G9" i="3"/>
  <c r="G298" i="3"/>
  <c r="G289" i="3"/>
  <c r="G280" i="3"/>
  <c r="G265" i="3"/>
  <c r="G260" i="3"/>
  <c r="G249" i="3"/>
  <c r="G244" i="3"/>
  <c r="X300" i="3"/>
  <c r="Z300" i="3" s="1"/>
  <c r="X295" i="3"/>
  <c r="Z295" i="3" s="1"/>
  <c r="X284" i="3"/>
  <c r="Z284" i="3" s="1"/>
  <c r="X278" i="3"/>
  <c r="Z278" i="3" s="1"/>
  <c r="X261" i="3"/>
  <c r="Z261" i="3" s="1"/>
  <c r="X232" i="3"/>
  <c r="Z232" i="3" s="1"/>
  <c r="X330" i="3"/>
  <c r="Z330" i="3" s="1"/>
  <c r="X325" i="3"/>
  <c r="Z325" i="3" s="1"/>
  <c r="X352" i="3"/>
  <c r="Z352" i="3" s="1"/>
  <c r="X340" i="3"/>
  <c r="Z340" i="3" s="1"/>
  <c r="X374" i="3"/>
  <c r="Z374" i="3" s="1"/>
  <c r="G425" i="3"/>
  <c r="G459" i="3"/>
  <c r="G609" i="3"/>
  <c r="G433" i="3"/>
  <c r="G462" i="3"/>
  <c r="X537" i="3"/>
  <c r="Z537" i="3" s="1"/>
  <c r="G527" i="3"/>
  <c r="X505" i="3"/>
  <c r="Z505" i="3" s="1"/>
  <c r="X670" i="3"/>
  <c r="Z670" i="3" s="1"/>
  <c r="X650" i="3"/>
  <c r="Z650" i="3" s="1"/>
  <c r="X299" i="3"/>
  <c r="Z299" i="3" s="1"/>
  <c r="X288" i="3"/>
  <c r="Z288" i="3" s="1"/>
  <c r="X265" i="3"/>
  <c r="Z265" i="3" s="1"/>
  <c r="X260" i="3"/>
  <c r="Z260" i="3" s="1"/>
  <c r="X334" i="3"/>
  <c r="Z334" i="3" s="1"/>
  <c r="X329" i="3"/>
  <c r="Z329" i="3" s="1"/>
  <c r="X378" i="3"/>
  <c r="Z378" i="3" s="1"/>
  <c r="X373" i="3"/>
  <c r="Z373" i="3" s="1"/>
  <c r="X424" i="3"/>
  <c r="Z424" i="3" s="1"/>
  <c r="G561" i="3"/>
  <c r="X556" i="3"/>
  <c r="Z556" i="3" s="1"/>
  <c r="X621" i="3"/>
  <c r="Z621" i="3" s="1"/>
  <c r="G450" i="3"/>
  <c r="X447" i="3"/>
  <c r="Z447" i="3" s="1"/>
  <c r="G587" i="3"/>
  <c r="X407" i="3"/>
  <c r="Z407" i="3" s="1"/>
  <c r="X555" i="3"/>
  <c r="Z555" i="3" s="1"/>
  <c r="G471" i="3"/>
  <c r="X354" i="3"/>
  <c r="Z354" i="3" s="1"/>
  <c r="X446" i="3"/>
  <c r="Z446" i="3" s="1"/>
  <c r="X455" i="3"/>
  <c r="Z455" i="3" s="1"/>
  <c r="X475" i="3"/>
  <c r="Z475" i="3" s="1"/>
  <c r="X552" i="3"/>
  <c r="Z552" i="3" s="1"/>
  <c r="X1195" i="3"/>
  <c r="Z1195" i="3" s="1"/>
  <c r="G1192" i="3"/>
  <c r="X1190" i="3"/>
  <c r="Z1190" i="3" s="1"/>
  <c r="G1196" i="3"/>
  <c r="Z987" i="3"/>
  <c r="Z1034" i="3"/>
  <c r="Z923" i="3"/>
  <c r="Z915" i="3"/>
  <c r="Z1006" i="3"/>
  <c r="Z998" i="3"/>
  <c r="Z942" i="3"/>
  <c r="Z1113" i="3"/>
  <c r="Z1081" i="3"/>
  <c r="Z1073" i="3"/>
  <c r="Z977" i="3"/>
  <c r="Z1102" i="3"/>
  <c r="Z1094" i="3"/>
  <c r="Z1103" i="3"/>
  <c r="G1185" i="3"/>
  <c r="G1183" i="3"/>
  <c r="G1198" i="3"/>
  <c r="G1190" i="3"/>
  <c r="X1188" i="3"/>
  <c r="Z1188" i="3" s="1"/>
  <c r="G1182" i="3"/>
  <c r="X1180" i="3"/>
  <c r="Z1180" i="3" s="1"/>
  <c r="G1174" i="3"/>
  <c r="X1201" i="3"/>
  <c r="Z1201" i="3" s="1"/>
  <c r="G1195" i="3"/>
  <c r="X1193" i="3"/>
  <c r="Z1193" i="3" s="1"/>
  <c r="G1188" i="3"/>
  <c r="X1186" i="3"/>
  <c r="Z1186" i="3" s="1"/>
  <c r="G1180" i="3"/>
  <c r="X1178" i="3"/>
  <c r="Z1178" i="3" s="1"/>
  <c r="G1201" i="3"/>
  <c r="X1199" i="3"/>
  <c r="Z1199" i="3" s="1"/>
  <c r="G1193" i="3"/>
  <c r="X1194" i="3"/>
  <c r="Z1194" i="3" s="1"/>
  <c r="G1186" i="3"/>
  <c r="X1184" i="3"/>
  <c r="Z1184" i="3" s="1"/>
  <c r="G1178" i="3"/>
  <c r="X1176" i="3"/>
  <c r="Z1176" i="3" s="1"/>
  <c r="G1199" i="3"/>
  <c r="X1197" i="3"/>
  <c r="Z1197" i="3" s="1"/>
  <c r="G1189" i="3"/>
  <c r="X1187" i="3"/>
  <c r="Z1187" i="3" s="1"/>
  <c r="G1181" i="3"/>
  <c r="X1179" i="3"/>
  <c r="Z1179" i="3" s="1"/>
  <c r="G1173" i="3"/>
  <c r="X1200" i="3"/>
  <c r="Z1200" i="3" s="1"/>
  <c r="G1194" i="3"/>
  <c r="X1192" i="3"/>
  <c r="Z1192" i="3" s="1"/>
  <c r="G1184" i="3"/>
  <c r="X1182" i="3"/>
  <c r="Z1182" i="3" s="1"/>
  <c r="G1176" i="3"/>
  <c r="X1174" i="3"/>
  <c r="Z1174" i="3" s="1"/>
  <c r="G1197" i="3"/>
  <c r="G1187" i="3"/>
  <c r="X1185" i="3"/>
  <c r="Z1185" i="3" s="1"/>
  <c r="G1179" i="3"/>
  <c r="X1177" i="3"/>
  <c r="Z1177" i="3" s="1"/>
  <c r="G1200" i="3"/>
  <c r="X1198" i="3"/>
  <c r="Z1198" i="3" s="1"/>
  <c r="Z1092" i="3"/>
  <c r="Z1069" i="3"/>
  <c r="Z1075" i="3"/>
  <c r="Z1061" i="3"/>
  <c r="Z1032" i="3"/>
  <c r="Z1028" i="3"/>
  <c r="Z996" i="3"/>
  <c r="Z985" i="3"/>
  <c r="Z972" i="3"/>
  <c r="Z979" i="3"/>
  <c r="Z964" i="3"/>
  <c r="Z960" i="3"/>
  <c r="Z953" i="3"/>
  <c r="Z945" i="3"/>
  <c r="Z934" i="3"/>
  <c r="Z1128" i="3"/>
  <c r="Z1064" i="3"/>
  <c r="Z1026" i="3"/>
  <c r="Z1002" i="3"/>
  <c r="Z983" i="3"/>
  <c r="Z975" i="3"/>
  <c r="Z857" i="3"/>
  <c r="Z817" i="3"/>
  <c r="Z793" i="3"/>
  <c r="Z785" i="3"/>
  <c r="Z1070" i="3"/>
  <c r="Z1062" i="3"/>
  <c r="Z1000" i="3"/>
  <c r="Z930" i="3"/>
  <c r="Z906" i="3"/>
  <c r="Z1189" i="3"/>
  <c r="Z1181" i="3"/>
  <c r="Z968" i="3"/>
  <c r="Z810" i="3"/>
  <c r="Z762" i="3"/>
  <c r="Z754" i="3"/>
  <c r="Z722" i="3"/>
  <c r="Z1166" i="3"/>
  <c r="Z1161" i="3"/>
  <c r="Z1158" i="3"/>
  <c r="Z1055" i="3"/>
  <c r="Z1039" i="3"/>
  <c r="Z1017" i="3"/>
  <c r="Z1009" i="3"/>
  <c r="Z936" i="3"/>
  <c r="Z1154" i="3"/>
  <c r="Z1107" i="3"/>
  <c r="Z1096" i="3"/>
  <c r="Z1088" i="3"/>
  <c r="Z1077" i="3"/>
  <c r="Z1066" i="3"/>
  <c r="Z1036" i="3"/>
  <c r="Z1014" i="3"/>
  <c r="Z992" i="3"/>
  <c r="Z938" i="3"/>
  <c r="Z927" i="3"/>
  <c r="Z1119" i="3"/>
  <c r="Z1078" i="3"/>
  <c r="Z1053" i="3"/>
  <c r="Z1015" i="3"/>
  <c r="Z1004" i="3"/>
  <c r="Z974" i="3"/>
  <c r="Z966" i="3"/>
  <c r="Z955" i="3"/>
  <c r="Z947" i="3"/>
  <c r="Z928" i="3"/>
  <c r="Z1164" i="3"/>
  <c r="Z1134" i="3"/>
  <c r="Z1156" i="3"/>
  <c r="Z1120" i="3"/>
  <c r="Z1098" i="3"/>
  <c r="Z1090" i="3"/>
  <c r="Z1068" i="3"/>
  <c r="Z1038" i="3"/>
  <c r="Z1005" i="3"/>
  <c r="Z994" i="3"/>
  <c r="Z940" i="3"/>
  <c r="Z827" i="3"/>
  <c r="Z819" i="3"/>
  <c r="Z795" i="3"/>
  <c r="Z787" i="3"/>
  <c r="Z763" i="3"/>
  <c r="Z739" i="3"/>
  <c r="Z731" i="3"/>
  <c r="Z1162" i="3"/>
  <c r="Z1151" i="3"/>
  <c r="Z1132" i="3"/>
  <c r="Z1126" i="3"/>
  <c r="Z1115" i="3"/>
  <c r="Z1049" i="3"/>
  <c r="Z1041" i="3"/>
  <c r="Z1030" i="3"/>
  <c r="Z1019" i="3"/>
  <c r="Z1011" i="3"/>
  <c r="Z997" i="3"/>
  <c r="Z989" i="3"/>
  <c r="Z970" i="3"/>
  <c r="Z962" i="3"/>
  <c r="Z959" i="3"/>
  <c r="Z951" i="3"/>
  <c r="Z943" i="3"/>
  <c r="Z932" i="3"/>
  <c r="Z908" i="3"/>
  <c r="Z1191" i="3"/>
  <c r="Z919" i="3"/>
  <c r="Z911" i="3"/>
  <c r="Z918" i="3"/>
  <c r="Z910" i="3"/>
  <c r="Z902" i="3"/>
  <c r="Z921" i="3"/>
  <c r="Z913" i="3"/>
  <c r="Z904" i="3"/>
  <c r="Z881" i="3"/>
  <c r="Z851" i="3"/>
  <c r="Z849" i="3"/>
  <c r="Z611" i="3"/>
  <c r="Z895" i="3"/>
  <c r="Z887" i="3"/>
  <c r="Z863" i="3"/>
  <c r="Z855" i="3"/>
  <c r="Z831" i="3"/>
  <c r="Z823" i="3"/>
  <c r="Z799" i="3"/>
  <c r="Z791" i="3"/>
  <c r="Z767" i="3"/>
  <c r="Z759" i="3"/>
  <c r="Z735" i="3"/>
  <c r="Z719" i="3"/>
  <c r="Z832" i="3"/>
  <c r="Z744" i="3"/>
  <c r="Z680" i="3"/>
  <c r="Z900" i="3"/>
  <c r="Z892" i="3"/>
  <c r="Z868" i="3"/>
  <c r="Z860" i="3"/>
  <c r="Z724" i="3"/>
  <c r="Z716" i="3"/>
  <c r="Z591" i="3"/>
  <c r="Z836" i="3"/>
  <c r="Z828" i="3"/>
  <c r="Z804" i="3"/>
  <c r="Z796" i="3"/>
  <c r="Z772" i="3"/>
  <c r="Z778" i="3"/>
  <c r="Z756" i="3"/>
  <c r="Z742" i="3"/>
  <c r="Z740" i="3"/>
  <c r="Z746" i="3"/>
  <c r="Z741" i="3"/>
  <c r="Z720" i="3"/>
  <c r="Z714" i="3"/>
  <c r="Z718" i="3"/>
  <c r="Z712" i="3"/>
  <c r="Z709" i="3"/>
  <c r="Z713" i="3"/>
  <c r="Z707" i="3"/>
  <c r="Z692" i="3"/>
  <c r="Z705" i="3"/>
  <c r="Z643" i="3"/>
  <c r="Z652" i="3"/>
  <c r="Z661" i="3"/>
  <c r="Z648" i="3"/>
  <c r="Z627" i="3"/>
  <c r="Z619" i="3"/>
  <c r="Z616" i="3"/>
  <c r="Z609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08" i="3"/>
  <c r="Z529" i="3"/>
  <c r="Z521" i="3"/>
  <c r="Z274" i="3"/>
  <c r="Z246" i="3"/>
  <c r="Z242" i="3"/>
  <c r="Z377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349" i="3"/>
  <c r="Z469" i="3"/>
  <c r="X461" i="3"/>
  <c r="Z461" i="3" s="1"/>
  <c r="X459" i="3"/>
  <c r="Z459" i="3" s="1"/>
  <c r="X457" i="3"/>
  <c r="Z457" i="3" s="1"/>
  <c r="G431" i="3"/>
  <c r="G429" i="3"/>
  <c r="G42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69" i="3"/>
  <c r="Z237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383" i="3"/>
  <c r="Z365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44" i="3"/>
  <c r="Z304" i="3"/>
  <c r="Z292" i="3"/>
  <c r="Z319" i="3"/>
  <c r="Z338" i="3"/>
  <c r="Z318" i="3"/>
  <c r="Z314" i="3"/>
  <c r="Z333" i="3"/>
  <c r="Z322" i="3"/>
  <c r="Z309" i="3"/>
  <c r="Z303" i="3"/>
  <c r="Z217" i="3"/>
  <c r="Z229" i="3"/>
  <c r="Z219" i="3"/>
  <c r="Z165" i="3"/>
  <c r="Z220" i="3"/>
  <c r="Z227" i="3"/>
  <c r="Z213" i="3"/>
  <c r="Z223" i="3"/>
  <c r="Z203" i="3"/>
  <c r="Z195" i="3"/>
  <c r="Z194" i="3"/>
  <c r="Z191" i="3"/>
  <c r="Z200" i="3"/>
  <c r="Z197" i="3"/>
  <c r="Z173" i="3"/>
  <c r="Z188" i="3"/>
  <c r="Z178" i="3"/>
  <c r="Z185" i="3"/>
  <c r="Z192" i="3"/>
  <c r="Z175" i="3"/>
  <c r="Z190" i="3"/>
  <c r="Z182" i="3"/>
  <c r="Z170" i="3"/>
  <c r="Z167" i="3"/>
  <c r="Z157" i="3"/>
  <c r="Z111" i="3"/>
  <c r="Z136" i="3"/>
  <c r="Z143" i="3"/>
  <c r="Z159" i="3"/>
  <c r="Z151" i="3"/>
  <c r="Z148" i="3"/>
  <c r="Z147" i="3"/>
  <c r="Z139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73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<sst xmlns="http://schemas.openxmlformats.org/spreadsheetml/2006/main" count="4610" uniqueCount="2531">
  <si>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</si>
  <si>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</si>
  <si>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</si>
  <si>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</si>
  <si>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</si>
  <si>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</si>
  <si>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</si>
  <si>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</si>
  <si>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</si>
  <si>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</si>
  <si>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</si>
  <si>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</si>
  <si>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</si>
  <si>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</si>
  <si>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</si>
  <si>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</si>
  <si>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</si>
  <si>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</si>
  <si>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</si>
  <si>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</si>
  <si>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</si>
  <si>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</si>
  <si>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</si>
  <si>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</si>
  <si>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</si>
  <si>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</si>
  <si>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</si>
  <si>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</si>
  <si>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</si>
  <si>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</si>
  <si>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</si>
  <si>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</si>
  <si>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</si>
  <si>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</si>
  <si>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</si>
  <si>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</si>
  <si>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</si>
  <si>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</si>
  <si>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</si>
  <si>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</si>
  <si>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</si>
  <si>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</si>
  <si>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</si>
  <si>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</si>
  <si>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</si>
  <si>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</si>
  <si>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</si>
  <si>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</si>
  <si>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</si>
  <si>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</si>
  <si>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</si>
  <si>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</si>
  <si>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</si>
  <si>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</si>
  <si>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</si>
  <si>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</si>
  <si>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</si>
  <si>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</si>
  <si>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</si>
  <si>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</si>
  <si>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</si>
  <si>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</si>
  <si>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</si>
  <si>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</si>
  <si>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</si>
  <si>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</si>
  <si>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</si>
  <si>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</si>
  <si>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</si>
  <si>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</si>
  <si>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</si>
  <si>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</si>
  <si>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</si>
  <si>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</si>
  <si>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</si>
  <si>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</si>
  <si>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</si>
  <si>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</si>
  <si>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</si>
  <si>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</si>
  <si>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</si>
  <si>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</si>
  <si>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</si>
  <si>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</si>
  <si>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</si>
  <si>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</si>
  <si>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</si>
  <si>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</si>
  <si>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</si>
  <si>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</si>
  <si>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</si>
  <si>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</si>
  <si>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</si>
  <si>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</si>
  <si>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</si>
  <si>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</si>
  <si>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</si>
  <si>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</si>
  <si>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</si>
  <si>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</si>
  <si>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</si>
  <si>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</si>
  <si>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</si>
  <si>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</si>
  <si>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</si>
  <si>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</si>
  <si>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</si>
  <si>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</si>
  <si>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</si>
  <si>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</si>
  <si>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</si>
  <si>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</si>
  <si>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</si>
  <si>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</si>
  <si>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</si>
  <si>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</si>
  <si>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</si>
  <si>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</si>
  <si>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</si>
  <si>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</si>
  <si>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</si>
  <si>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</si>
  <si>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</si>
  <si>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</si>
  <si>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</si>
  <si>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</si>
  <si>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</si>
  <si>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</si>
  <si>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</si>
  <si>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</si>
  <si>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</si>
  <si>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</si>
  <si>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</si>
  <si>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</si>
  <si>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</si>
  <si>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</si>
  <si>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</si>
  <si>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</si>
  <si>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</si>
  <si>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</si>
  <si>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</si>
  <si>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</si>
  <si>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</si>
  <si>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</si>
  <si>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</si>
  <si>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</si>
  <si>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</si>
  <si>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</si>
  <si>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</si>
  <si>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</si>
  <si>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</si>
  <si>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</si>
  <si>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</si>
  <si>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</si>
  <si>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</si>
  <si>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</si>
  <si>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</si>
  <si>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</si>
  <si>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</si>
  <si>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</si>
  <si>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</si>
  <si>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</si>
  <si>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</si>
  <si>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</si>
  <si>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</si>
  <si>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</si>
  <si>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</si>
  <si>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</si>
  <si>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</si>
  <si>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</si>
  <si>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</si>
  <si>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</si>
  <si>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</si>
  <si>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</si>
  <si>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</si>
  <si>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</si>
  <si>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</si>
  <si>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</si>
  <si>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</si>
  <si>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</si>
  <si>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</si>
  <si>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</si>
  <si>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</si>
  <si>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</si>
  <si>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</si>
  <si>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</si>
  <si>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</si>
  <si>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</si>
  <si>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</si>
  <si>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</si>
  <si>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</si>
  <si>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</si>
  <si>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</si>
  <si>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</si>
  <si>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</si>
  <si>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</si>
  <si>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</si>
  <si>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</si>
  <si>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</si>
  <si>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</si>
  <si>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</si>
  <si>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</si>
  <si>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</si>
  <si>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</si>
  <si>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</si>
  <si>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</si>
  <si>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</si>
  <si>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</si>
  <si>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</si>
  <si>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</si>
  <si>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</si>
  <si>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</si>
  <si>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</si>
  <si>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</si>
  <si>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</si>
  <si>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</si>
  <si>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</si>
  <si>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</si>
  <si>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</si>
  <si>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</si>
  <si>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</si>
  <si>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</si>
  <si>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</si>
  <si>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</si>
  <si>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</si>
  <si>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</si>
  <si>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</si>
  <si>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</si>
  <si>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</si>
  <si>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</si>
  <si>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</si>
  <si>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</si>
  <si>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</si>
  <si>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</si>
  <si>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</si>
  <si>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</si>
  <si>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</si>
  <si>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</si>
  <si>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</si>
  <si>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</si>
  <si>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</si>
  <si>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</si>
  <si>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</si>
  <si>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</si>
  <si>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</si>
  <si>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</si>
  <si>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</si>
  <si>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</si>
  <si>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</si>
  <si>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</si>
  <si>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</si>
  <si>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</si>
  <si>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</si>
  <si>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</si>
  <si>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</si>
  <si>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</si>
  <si>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</si>
  <si>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</si>
  <si>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</si>
  <si>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</si>
  <si>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</si>
  <si>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</si>
  <si>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</si>
  <si>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</si>
  <si>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</si>
  <si>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</si>
  <si>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</si>
  <si>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</si>
  <si>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</si>
  <si>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</si>
  <si>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</si>
  <si>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</si>
  <si>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</si>
  <si>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</si>
  <si>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</si>
  <si>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</si>
  <si>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</si>
  <si>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</si>
  <si>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</si>
  <si>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</si>
  <si>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</si>
  <si>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</si>
  <si>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</si>
  <si>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</si>
  <si>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</si>
  <si>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</si>
  <si>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</si>
  <si>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</si>
  <si>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</si>
  <si>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</si>
  <si>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</si>
  <si>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</si>
  <si>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</si>
  <si>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</si>
  <si>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</si>
  <si>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</si>
  <si>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</si>
  <si>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</si>
  <si>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</si>
  <si>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</si>
  <si>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</si>
  <si>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</si>
  <si>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</si>
  <si>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</si>
  <si>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</si>
  <si>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</si>
  <si>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</si>
  <si>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</si>
  <si>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</si>
  <si>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</si>
  <si>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</si>
  <si>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</si>
  <si>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</si>
  <si>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</si>
  <si>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</si>
  <si>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</si>
  <si>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</si>
  <si>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</si>
  <si>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</si>
  <si>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</si>
  <si>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</si>
  <si>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</si>
  <si>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</si>
  <si>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</si>
  <si>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</si>
  <si>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</si>
  <si>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</si>
  <si>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</si>
  <si>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</si>
  <si>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</si>
  <si>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</si>
  <si>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</si>
  <si>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</si>
  <si>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</si>
  <si>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</si>
  <si>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</si>
  <si>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</si>
  <si>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</si>
  <si>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</si>
  <si>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</si>
  <si>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</si>
  <si>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</si>
  <si>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</si>
  <si>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</si>
  <si>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</si>
  <si>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</si>
  <si>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</si>
  <si>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</si>
  <si>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</si>
  <si>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</si>
  <si>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</si>
  <si>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</si>
  <si>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</si>
  <si>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</si>
  <si>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</si>
  <si>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</si>
  <si>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</si>
  <si>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</si>
  <si>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</si>
  <si>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</si>
  <si>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</si>
  <si>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</si>
  <si>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</si>
  <si>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</si>
  <si>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</si>
  <si>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</si>
  <si>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</si>
  <si>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</si>
  <si>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</si>
  <si>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</si>
  <si>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</si>
  <si>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</si>
  <si>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</si>
  <si>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</si>
  <si>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</si>
  <si>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</si>
  <si>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</si>
  <si>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</si>
  <si>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</si>
  <si>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</si>
  <si>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</si>
  <si>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</si>
  <si>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</si>
  <si>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</si>
  <si>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</si>
  <si>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</si>
  <si>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</si>
  <si>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</si>
  <si>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</si>
  <si>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</si>
  <si>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</si>
  <si>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</si>
  <si>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</si>
  <si>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</si>
  <si>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</si>
  <si>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</si>
  <si>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</si>
  <si>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</si>
  <si>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</si>
  <si>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</si>
  <si>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</si>
  <si>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</si>
  <si>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</si>
  <si>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</si>
  <si>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</si>
  <si>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</si>
  <si>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</si>
  <si>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</si>
  <si>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</si>
  <si>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</si>
  <si>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</si>
  <si>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</si>
  <si>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</si>
  <si>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</si>
  <si>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</si>
  <si>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</si>
  <si>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</si>
  <si>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</si>
  <si>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</si>
  <si>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</si>
  <si>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</si>
  <si>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</si>
  <si>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</si>
  <si>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</si>
  <si>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</si>
  <si>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</si>
  <si>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</si>
  <si>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</si>
  <si>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</si>
  <si>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</si>
  <si>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</si>
  <si>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</si>
  <si>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</si>
  <si>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</si>
  <si>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</si>
  <si>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</si>
  <si>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</si>
  <si>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</si>
  <si>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</si>
  <si>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</si>
  <si>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</si>
  <si>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</si>
  <si>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</si>
  <si>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</si>
  <si>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</si>
  <si>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</si>
  <si>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</si>
  <si>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</si>
  <si>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</si>
  <si>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</si>
  <si>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</si>
  <si>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</si>
  <si>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</si>
  <si>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</si>
  <si>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</si>
  <si>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</si>
  <si>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</si>
  <si>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</si>
  <si>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</si>
  <si>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</si>
  <si>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</si>
  <si>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</si>
  <si>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</si>
  <si>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</si>
  <si>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</si>
  <si>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</si>
  <si>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</si>
  <si>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</si>
  <si>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</si>
  <si>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</si>
  <si>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</si>
  <si>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</si>
  <si>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</si>
  <si>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</si>
  <si>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</si>
  <si>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</si>
  <si>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</si>
  <si>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</si>
  <si>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</si>
  <si>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</si>
  <si>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</si>
  <si>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</si>
  <si>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</si>
  <si>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</si>
  <si>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</si>
  <si>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</si>
  <si>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</si>
  <si>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</si>
  <si>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</si>
  <si>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</si>
  <si>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</si>
  <si>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</si>
  <si>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</si>
  <si>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</si>
  <si>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</si>
  <si>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</si>
  <si>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</si>
  <si>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</si>
  <si>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</si>
  <si>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</si>
  <si>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</si>
  <si>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</si>
  <si>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</si>
  <si>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</si>
  <si>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</si>
  <si>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</si>
  <si>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</si>
  <si>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</si>
  <si>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</si>
  <si>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</si>
  <si>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</si>
  <si>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</si>
  <si>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</si>
  <si>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</si>
  <si>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</si>
  <si>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</si>
  <si>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</si>
  <si>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</si>
  <si>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</si>
  <si>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</si>
  <si>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</si>
  <si>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</si>
  <si>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</si>
  <si>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</si>
  <si>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</si>
  <si>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</si>
  <si>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</si>
  <si>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</si>
  <si>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</si>
  <si>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</si>
  <si>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</si>
  <si>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</si>
  <si>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</si>
  <si>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</si>
  <si>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</si>
  <si>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</si>
  <si>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</si>
  <si>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</si>
  <si>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</si>
  <si>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</si>
  <si>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</si>
  <si>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</si>
  <si>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</si>
  <si>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</si>
  <si>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</si>
  <si>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</si>
  <si>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</si>
  <si>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</si>
  <si>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</si>
  <si>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</si>
  <si>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</si>
  <si>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</si>
  <si>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</si>
  <si>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</si>
  <si>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</si>
  <si>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</si>
  <si>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</si>
  <si>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</si>
  <si>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</si>
  <si>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</si>
  <si>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</si>
  <si>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</si>
  <si>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</si>
  <si>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</si>
  <si>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</si>
  <si>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</si>
  <si>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</si>
  <si>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</si>
  <si>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</si>
  <si>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</si>
  <si>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</si>
  <si>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</si>
  <si>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</si>
  <si>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</si>
  <si>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</si>
  <si>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</si>
  <si>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</si>
  <si>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</si>
  <si>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</si>
  <si>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</si>
  <si>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</si>
  <si>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</si>
  <si>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</si>
  <si>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</si>
  <si>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</si>
  <si>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</si>
  <si>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</si>
  <si>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</si>
  <si>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</si>
  <si>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</si>
  <si>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</si>
  <si>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</si>
  <si>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</si>
  <si>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</si>
  <si>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</si>
  <si>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</si>
  <si>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</si>
  <si>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</si>
  <si>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</si>
  <si>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</si>
  <si>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</si>
  <si>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</si>
  <si>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</si>
  <si>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</si>
  <si>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</si>
  <si>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</si>
  <si>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</si>
  <si>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</si>
  <si>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</si>
  <si>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</si>
  <si>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</si>
  <si>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</si>
  <si>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</si>
  <si>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</si>
  <si>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</si>
  <si>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</si>
  <si>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</si>
  <si>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</si>
  <si>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</si>
  <si>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</si>
  <si>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</si>
  <si>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</si>
  <si>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</si>
  <si>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</si>
  <si>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</si>
  <si>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</si>
  <si>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</si>
  <si>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</si>
  <si>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</si>
  <si>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</si>
  <si>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</si>
  <si>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</si>
  <si>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</si>
  <si>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</si>
  <si>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</si>
  <si>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</si>
  <si>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</si>
  <si>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</si>
  <si>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</si>
  <si>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</si>
  <si>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</si>
  <si>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</si>
  <si>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</si>
  <si>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</si>
  <si>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</si>
  <si>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</si>
  <si>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</si>
  <si>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</si>
  <si>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</si>
  <si>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</si>
  <si>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</si>
  <si>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</si>
  <si>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</si>
  <si>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</si>
  <si>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</si>
  <si>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</si>
  <si>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</si>
  <si>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</si>
  <si>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</si>
  <si>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</si>
  <si>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</si>
  <si>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</si>
  <si>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</si>
  <si>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</si>
  <si>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</si>
  <si>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</si>
  <si>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</si>
  <si>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</si>
  <si>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</si>
  <si>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</si>
  <si>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</si>
  <si>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</si>
  <si>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</si>
  <si>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</si>
  <si>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</si>
  <si>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</si>
  <si>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</si>
  <si>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</si>
  <si>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</si>
  <si>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</si>
  <si>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</si>
  <si>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</si>
  <si>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</si>
  <si>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</si>
  <si>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</si>
  <si>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</si>
  <si>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</si>
  <si>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</si>
  <si>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</si>
  <si>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</si>
  <si>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</si>
  <si>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</si>
  <si>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</si>
  <si>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</si>
  <si>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</si>
  <si>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</si>
  <si>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</si>
  <si>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</si>
  <si>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</si>
  <si>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</si>
  <si>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</si>
  <si>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</si>
  <si>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</si>
  <si>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</si>
  <si>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</si>
  <si>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</si>
  <si>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</si>
  <si>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</si>
  <si>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</si>
  <si>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</si>
  <si>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</si>
  <si>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</si>
  <si>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</si>
  <si>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</si>
  <si>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</si>
  <si>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</si>
  <si>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</si>
  <si>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</si>
  <si>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</si>
  <si>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</si>
  <si>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</si>
  <si>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</si>
  <si>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</si>
  <si>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</si>
  <si>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</si>
  <si>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</si>
  <si>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</si>
  <si>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</si>
  <si>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</si>
  <si>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</si>
  <si>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</si>
  <si>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</si>
  <si>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</si>
  <si>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</si>
  <si>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</si>
  <si>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</si>
  <si>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</si>
  <si>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</si>
  <si>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</si>
  <si>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</si>
  <si>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</si>
  <si>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</si>
  <si>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</si>
  <si>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</si>
  <si>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</si>
  <si>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</si>
  <si>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</si>
  <si>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</si>
  <si>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</si>
  <si>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</si>
  <si>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</si>
  <si>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</si>
  <si>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</si>
  <si>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</si>
  <si>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</si>
  <si>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</si>
  <si>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</si>
  <si>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</si>
  <si>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</si>
  <si>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</si>
  <si>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</si>
  <si>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</si>
  <si>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</si>
  <si>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</si>
  <si>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</si>
  <si>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</si>
  <si>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</si>
  <si>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</si>
  <si>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</si>
  <si>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</si>
  <si>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</si>
  <si>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</si>
  <si>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</si>
  <si>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</si>
  <si>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</si>
  <si>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</si>
  <si>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</si>
  <si>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</si>
  <si>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</si>
  <si>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</si>
  <si>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</si>
  <si>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</si>
  <si>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</si>
  <si>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</si>
  <si>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</si>
  <si>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</si>
  <si>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</si>
  <si>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</si>
  <si>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</si>
  <si>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</si>
  <si>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</si>
  <si>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</si>
  <si>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</si>
  <si>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</si>
  <si>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</si>
  <si>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</si>
  <si>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</si>
  <si>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</si>
  <si>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</si>
  <si>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</si>
  <si>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</si>
  <si>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</si>
  <si>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</si>
  <si>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</si>
  <si>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</si>
  <si>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</si>
  <si>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</si>
  <si>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</si>
  <si>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</si>
  <si>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</si>
  <si>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</si>
  <si>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</si>
  <si>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</si>
  <si>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</si>
  <si>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</si>
  <si>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</si>
  <si>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</si>
  <si>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</si>
  <si>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</si>
  <si>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</si>
  <si>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</si>
  <si>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</si>
  <si>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</si>
  <si>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</si>
  <si>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</si>
  <si>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</si>
  <si>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</si>
  <si>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</si>
  <si>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</si>
  <si>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</si>
  <si>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</si>
  <si>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</si>
  <si>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</si>
  <si>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</si>
  <si>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</si>
  <si>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</si>
  <si>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</si>
  <si>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</si>
  <si>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</si>
  <si>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</si>
  <si>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</si>
  <si>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</si>
  <si>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</si>
  <si>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</si>
  <si>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</si>
  <si>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</si>
  <si>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</si>
  <si>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</si>
  <si>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</si>
  <si>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</si>
  <si>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</si>
  <si>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</si>
  <si>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</si>
  <si>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</si>
  <si>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</si>
  <si>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</si>
  <si>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</si>
  <si>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</si>
  <si>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</si>
  <si>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</si>
  <si>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</si>
  <si>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</si>
  <si>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</si>
  <si>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</si>
  <si>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</si>
  <si>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</si>
  <si>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</si>
  <si>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</si>
  <si>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</si>
  <si>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</si>
  <si>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</si>
  <si>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</si>
  <si>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</si>
  <si>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</si>
  <si>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</si>
  <si>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</si>
  <si>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</si>
  <si>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</si>
  <si>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</si>
  <si>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</si>
  <si>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</si>
  <si>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</si>
  <si>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</si>
  <si>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</si>
  <si>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</si>
  <si>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</si>
  <si>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</si>
  <si>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</si>
  <si>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</si>
  <si>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</si>
  <si>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</si>
  <si>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</si>
  <si>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</si>
  <si>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</si>
  <si>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</si>
  <si>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</si>
  <si>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</si>
  <si>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</si>
  <si>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</si>
  <si>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</si>
  <si>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</si>
  <si>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</si>
  <si>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</si>
  <si>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</si>
  <si>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</si>
  <si>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</si>
  <si>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</si>
  <si>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</si>
  <si>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</si>
  <si>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</si>
  <si>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</si>
  <si>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</si>
  <si>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</si>
  <si>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</si>
  <si>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</si>
  <si>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</si>
  <si>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</si>
  <si>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</si>
  <si>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</si>
  <si>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</si>
  <si>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</si>
  <si>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</si>
  <si>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</si>
  <si>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</si>
  <si>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</si>
  <si>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</si>
  <si>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</si>
  <si>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</si>
  <si>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</si>
  <si>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</si>
  <si>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</si>
  <si>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</si>
  <si>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</si>
  <si>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</si>
  <si>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</si>
  <si>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</si>
  <si>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</si>
  <si>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</si>
  <si>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</si>
  <si>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</si>
  <si>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</si>
  <si>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</si>
  <si>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</si>
  <si>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</si>
  <si>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</si>
  <si>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</si>
  <si>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</si>
  <si>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</si>
  <si>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</si>
  <si>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</si>
  <si>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</si>
  <si>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</si>
  <si>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</si>
  <si>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</si>
  <si>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</si>
  <si>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</si>
  <si>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</si>
  <si>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</si>
  <si>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</si>
  <si>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</si>
  <si>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</si>
  <si>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</si>
  <si>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</si>
  <si>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</si>
  <si>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</si>
  <si>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</si>
  <si>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</si>
  <si>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</si>
  <si>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</si>
  <si>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</si>
  <si>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</si>
  <si>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</si>
  <si>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</si>
  <si>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</si>
  <si>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</si>
  <si>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</si>
  <si>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</si>
  <si>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</si>
  <si>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</si>
  <si>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</si>
  <si>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</si>
  <si>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</si>
  <si>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</si>
  <si>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</si>
  <si>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</si>
  <si>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</si>
  <si>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</si>
  <si>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</si>
  <si>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</si>
  <si>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</si>
  <si>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</si>
  <si>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</si>
  <si>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</si>
  <si>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</si>
  <si>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</si>
  <si>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</si>
  <si>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</si>
  <si>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</si>
  <si>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</si>
  <si>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</si>
  <si>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</si>
  <si>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</si>
  <si>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</si>
  <si>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</si>
  <si>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</si>
  <si>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</si>
  <si>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</si>
  <si>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</si>
  <si>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</si>
  <si>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</si>
  <si>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</si>
  <si>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</si>
  <si>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</si>
  <si>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</si>
  <si>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</si>
  <si>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</si>
  <si>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</si>
  <si>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</si>
  <si>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</si>
  <si>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</si>
  <si>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</si>
  <si>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</si>
  <si>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</si>
  <si>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</si>
  <si>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</si>
  <si>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</si>
  <si>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</si>
  <si>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</si>
  <si>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</si>
  <si>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</si>
  <si>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</si>
  <si>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</si>
  <si>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</si>
  <si>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</si>
  <si>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</si>
  <si>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</si>
  <si>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</si>
  <si>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</si>
  <si>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</si>
  <si>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</si>
  <si>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</si>
  <si>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</si>
  <si>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</si>
  <si>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</si>
  <si>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</si>
  <si>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</si>
  <si>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</si>
  <si>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</si>
  <si>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</si>
  <si>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</si>
  <si>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</si>
  <si>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</si>
  <si>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</si>
  <si>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</si>
  <si>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</si>
  <si>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</si>
  <si>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</si>
  <si>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</si>
  <si>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</si>
  <si>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</si>
  <si>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</si>
  <si>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</si>
  <si>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</si>
  <si>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</si>
  <si>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</si>
  <si>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</si>
  <si>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</si>
  <si>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</si>
  <si>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</si>
  <si>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</si>
  <si>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</si>
  <si>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</si>
  <si>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</si>
  <si>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</si>
  <si>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</si>
  <si>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</si>
  <si>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</si>
  <si>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</si>
  <si>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</si>
  <si>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</si>
  <si>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</si>
  <si>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</si>
  <si>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</si>
  <si>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</si>
  <si>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</si>
  <si>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</si>
  <si>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</si>
  <si>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</si>
  <si>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</si>
  <si>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</si>
  <si>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</si>
  <si>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</si>
  <si>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</si>
  <si>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</si>
  <si>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</si>
  <si>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</si>
  <si>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</si>
  <si>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</si>
  <si>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</si>
  <si>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</si>
  <si>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</si>
  <si>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</si>
  <si>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</si>
  <si>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</si>
  <si>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</si>
  <si>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</si>
  <si>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</si>
  <si>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</si>
  <si>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</si>
  <si>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</si>
  <si>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</si>
  <si>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</si>
  <si>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</si>
  <si>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</si>
  <si>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</si>
  <si>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</si>
  <si>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</si>
  <si>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</si>
  <si>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</si>
  <si>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</si>
  <si>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</si>
  <si>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</si>
  <si>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</si>
  <si>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</si>
  <si>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</si>
  <si>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</si>
  <si>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</si>
  <si>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</si>
  <si>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</si>
  <si>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</si>
  <si>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</si>
  <si>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</si>
  <si>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</si>
  <si>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</si>
  <si>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</si>
  <si>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</si>
  <si>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</si>
  <si>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</si>
  <si>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</si>
  <si>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</si>
  <si>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</si>
  <si>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</si>
  <si>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</si>
  <si>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</si>
  <si>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</si>
  <si>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</si>
  <si>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</si>
  <si>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</si>
  <si>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</si>
  <si>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</si>
  <si>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</si>
  <si>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</si>
  <si>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</si>
  <si>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</si>
  <si>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</si>
  <si>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</si>
  <si>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</si>
  <si>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</si>
  <si>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</si>
  <si>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</si>
  <si>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</si>
  <si>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</si>
  <si>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</si>
  <si>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</si>
  <si>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</si>
  <si>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</si>
  <si>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</si>
  <si>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</si>
  <si>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</si>
  <si>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</si>
  <si>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</si>
  <si>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</si>
  <si>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</si>
  <si>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</si>
  <si>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</si>
  <si>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</si>
  <si>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</si>
  <si>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</si>
  <si>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</si>
  <si>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</si>
  <si>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</si>
  <si>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</si>
  <si>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</si>
  <si>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</si>
  <si>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</si>
  <si>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</si>
  <si>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</si>
  <si>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</si>
  <si>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</si>
  <si>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</si>
  <si>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</si>
  <si>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</si>
  <si>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</si>
  <si>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</si>
  <si>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</si>
  <si>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</si>
  <si>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</si>
  <si>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</si>
  <si>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</si>
  <si>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</si>
  <si>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</si>
  <si>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</si>
  <si>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</si>
  <si>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</si>
  <si>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</si>
  <si>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</si>
  <si>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</si>
  <si>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</si>
  <si>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</si>
  <si>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</si>
  <si>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</si>
  <si>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</si>
  <si>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</si>
  <si>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</si>
  <si>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</si>
  <si>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</si>
  <si>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</si>
  <si>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</si>
  <si>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</si>
  <si>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</si>
  <si>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</si>
  <si>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</si>
  <si>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</si>
  <si>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</si>
  <si>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</si>
  <si>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</si>
  <si>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</si>
  <si>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</si>
  <si>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</si>
  <si>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</si>
  <si>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</si>
  <si>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</si>
  <si>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</si>
  <si>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</si>
  <si>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</si>
  <si>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</si>
  <si>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</si>
  <si>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</si>
  <si>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</si>
  <si>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</si>
  <si>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</si>
  <si>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</si>
  <si>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</si>
  <si>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</si>
  <si>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</si>
  <si>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</si>
  <si>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</si>
  <si>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</si>
  <si>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</si>
  <si>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</si>
  <si>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</si>
  <si>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</si>
  <si>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</si>
  <si>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</si>
  <si>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</si>
  <si>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</si>
  <si>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</si>
  <si>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</si>
  <si>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</si>
  <si>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</si>
  <si>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</si>
  <si>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</si>
  <si>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</si>
  <si>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</si>
  <si>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</si>
  <si>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</si>
  <si>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</si>
  <si>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</si>
  <si>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</si>
  <si>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</si>
  <si>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</si>
  <si>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</si>
  <si>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</si>
  <si>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</si>
  <si>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</si>
  <si>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</si>
  <si>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</si>
  <si>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</si>
  <si>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</si>
  <si>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</si>
  <si>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</si>
  <si>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</si>
  <si>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</si>
  <si>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</si>
  <si>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</si>
  <si>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</si>
  <si>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</si>
  <si>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</si>
  <si>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</si>
  <si>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</si>
  <si>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</si>
  <si>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</si>
  <si>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</si>
  <si>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</si>
  <si>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</si>
  <si>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</si>
  <si>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</si>
  <si>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</si>
  <si>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</si>
  <si>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</si>
  <si>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</si>
  <si>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</si>
  <si>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</si>
  <si>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</si>
  <si>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</si>
  <si>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</si>
  <si>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</si>
  <si>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</si>
  <si>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</si>
  <si>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</si>
  <si>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</si>
  <si>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</si>
  <si>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</si>
  <si>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</si>
  <si>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</si>
  <si>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</si>
  <si>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</si>
  <si>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</si>
  <si>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</si>
  <si>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</si>
  <si>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</si>
  <si>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</si>
  <si>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</si>
  <si>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</si>
  <si>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</si>
  <si>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</si>
  <si>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</si>
  <si>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</si>
  <si>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</si>
  <si>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</si>
  <si>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</si>
  <si>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</si>
  <si>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</si>
  <si>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</si>
  <si>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</si>
  <si>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</si>
  <si>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</si>
  <si>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</si>
  <si>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</si>
  <si>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</si>
  <si>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</si>
  <si>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</si>
  <si>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</si>
  <si>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</si>
  <si>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</si>
  <si>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</si>
  <si>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</si>
  <si>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</si>
  <si>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</si>
  <si>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</si>
  <si>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</si>
  <si>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</si>
  <si>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</si>
  <si>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</si>
  <si>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</si>
  <si>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</si>
  <si>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</si>
  <si>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</si>
  <si>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</si>
  <si>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</si>
  <si>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</si>
  <si>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</si>
  <si>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</si>
  <si>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</si>
  <si>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</si>
  <si>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</si>
  <si>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</si>
  <si>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</si>
  <si>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</si>
  <si>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</si>
  <si>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</si>
  <si>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</si>
  <si>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</si>
  <si>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</si>
  <si>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</si>
  <si>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</si>
  <si>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</si>
  <si>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</si>
  <si>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</si>
  <si>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</si>
  <si>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</si>
  <si>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</si>
  <si>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</si>
  <si>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</si>
  <si>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</si>
  <si>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</si>
  <si>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</si>
  <si>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</si>
  <si>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</si>
  <si>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</si>
  <si>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</si>
  <si>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</si>
  <si>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</si>
  <si>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</si>
  <si>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</si>
  <si>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</si>
  <si>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</si>
  <si>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</si>
  <si>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</si>
  <si>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</si>
  <si>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</si>
  <si>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</si>
  <si>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</si>
  <si>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</si>
  <si>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</si>
  <si>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</si>
  <si>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</si>
  <si>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</si>
  <si>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</si>
  <si>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</si>
  <si>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</si>
  <si>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</si>
  <si>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</si>
  <si>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</si>
  <si>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</si>
  <si>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</si>
  <si>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</si>
  <si>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</si>
  <si>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</si>
  <si>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</si>
  <si>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</si>
  <si>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</si>
  <si>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</si>
  <si>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</si>
  <si>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</si>
  <si>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</si>
  <si>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</si>
  <si>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</si>
  <si>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</si>
  <si>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</si>
  <si>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</si>
  <si>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</si>
  <si>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</si>
  <si>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</si>
  <si>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</si>
  <si>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</si>
  <si>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</si>
  <si>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</si>
  <si>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</si>
  <si>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</si>
  <si>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</si>
  <si>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</si>
  <si>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</si>
  <si>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</si>
  <si>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</si>
  <si>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</si>
  <si>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</si>
  <si>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</si>
  <si>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</si>
  <si>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</si>
  <si>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</si>
  <si>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</si>
  <si>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</si>
  <si>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</si>
  <si>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</si>
  <si>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</si>
  <si>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</si>
  <si>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</si>
  <si>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</si>
  <si>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</si>
  <si>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</si>
  <si>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</si>
  <si>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</si>
  <si>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</si>
  <si>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</si>
  <si>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</si>
  <si>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</si>
  <si>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</si>
  <si>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</si>
  <si>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</si>
  <si>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</si>
  <si>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</si>
  <si>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</si>
  <si>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</si>
  <si>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</si>
  <si>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</si>
  <si>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</si>
  <si>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</si>
  <si>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</si>
  <si>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</si>
  <si>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</si>
  <si>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</si>
  <si>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</si>
  <si>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</si>
  <si>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</si>
  <si>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</si>
  <si>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</si>
  <si>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</si>
  <si>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</si>
  <si>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</si>
  <si>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</si>
  <si>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</si>
  <si>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</si>
  <si>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</si>
  <si>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</si>
  <si>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</si>
  <si>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</si>
  <si>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</si>
  <si>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</si>
  <si>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</si>
  <si>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</si>
  <si>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</si>
  <si>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</si>
  <si>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</si>
  <si>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</si>
  <si>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</si>
  <si>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</si>
  <si>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</si>
  <si>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</si>
  <si>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</si>
  <si>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</si>
  <si>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</si>
  <si>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</si>
  <si>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</si>
  <si>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</si>
  <si>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</si>
  <si>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</si>
  <si>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</si>
  <si>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</si>
  <si>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</si>
  <si>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</si>
  <si>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</si>
  <si>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</si>
  <si>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</si>
  <si>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</si>
  <si>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</si>
  <si>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</si>
  <si>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</si>
  <si>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</si>
  <si>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</si>
  <si>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</si>
  <si>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</si>
  <si>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</si>
  <si>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</si>
  <si>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</si>
  <si>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</si>
  <si>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</si>
  <si>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</si>
  <si>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</si>
  <si>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</si>
  <si>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</si>
  <si>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</si>
  <si>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</si>
  <si>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</si>
  <si>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</si>
  <si>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</si>
  <si>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</si>
  <si>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</si>
  <si>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</si>
  <si>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</si>
  <si>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</si>
  <si>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</si>
  <si>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</si>
  <si>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</si>
  <si>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</si>
  <si>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</si>
  <si>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</si>
  <si>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</si>
  <si>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</si>
  <si>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</si>
  <si>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</si>
  <si>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</si>
  <si>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</si>
  <si>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</si>
  <si>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</si>
  <si>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</si>
  <si>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</si>
  <si>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</si>
  <si>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</si>
  <si>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</si>
  <si>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</si>
  <si>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</si>
  <si>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</si>
  <si>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</si>
  <si>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</si>
  <si>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</si>
  <si>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</si>
  <si>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</si>
  <si>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</si>
  <si>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</si>
  <si>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</si>
  <si>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</si>
  <si>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</si>
  <si>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</si>
  <si>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</si>
  <si>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</si>
  <si>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</si>
  <si>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</si>
  <si>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</si>
  <si>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</si>
  <si>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</si>
  <si>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</si>
  <si>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</si>
  <si>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</si>
  <si>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</si>
  <si>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</si>
  <si>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</si>
  <si>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</si>
  <si>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</si>
  <si>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</si>
  <si>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</si>
  <si>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</si>
  <si>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</si>
  <si>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</si>
  <si>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</si>
  <si>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</si>
  <si>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</si>
  <si>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</si>
  <si>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</si>
  <si>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</si>
  <si>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</si>
  <si>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</si>
  <si>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</si>
  <si>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</si>
  <si>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</si>
  <si>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</si>
  <si>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</si>
  <si>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</si>
  <si>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</si>
  <si>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</si>
  <si>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</si>
  <si>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</si>
  <si>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</si>
  <si>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</si>
  <si>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</si>
  <si>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</si>
  <si>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</si>
  <si>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</si>
  <si>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</si>
  <si>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</si>
  <si>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</si>
  <si>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</si>
  <si>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</si>
  <si>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</si>
  <si>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</si>
  <si>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</si>
  <si>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</si>
  <si>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</si>
  <si>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</si>
  <si>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</si>
  <si>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</si>
  <si>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</si>
  <si>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</si>
  <si>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</si>
  <si>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</si>
  <si>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</si>
  <si>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</si>
  <si>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</si>
  <si>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</si>
  <si>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</si>
  <si>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</si>
  <si>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</si>
  <si>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</si>
  <si>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</si>
  <si>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</si>
  <si>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</si>
  <si>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</si>
  <si>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</si>
  <si>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</si>
  <si>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</si>
  <si>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</si>
  <si>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</si>
  <si>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</si>
  <si>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</si>
  <si>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</si>
  <si>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</si>
  <si>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</si>
  <si>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</si>
  <si>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</si>
  <si>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</si>
  <si>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</si>
  <si>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</si>
  <si>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</si>
  <si>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</si>
  <si>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</si>
  <si>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</si>
  <si>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</si>
  <si>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</si>
  <si>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</si>
  <si>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</si>
  <si>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</si>
  <si>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</si>
  <si>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</si>
  <si>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</si>
  <si>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</si>
  <si>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</si>
  <si>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</si>
  <si>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</si>
  <si>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</si>
  <si>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</si>
  <si>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</si>
  <si>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</si>
  <si>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</si>
  <si>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</si>
  <si>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</si>
  <si>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</si>
  <si>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</si>
  <si>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</si>
  <si>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</si>
  <si>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</si>
  <si>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</si>
  <si>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</si>
  <si>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</si>
  <si>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</si>
  <si>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</si>
  <si>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</si>
  <si>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</si>
  <si>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</si>
  <si>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</si>
  <si>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</si>
  <si>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</si>
  <si>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</si>
  <si>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</si>
  <si>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</si>
  <si>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</si>
  <si>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</si>
  <si>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</si>
  <si>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</si>
  <si>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</si>
  <si>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</si>
  <si>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</si>
  <si>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</si>
  <si>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</si>
  <si>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</si>
  <si>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</si>
  <si>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</si>
  <si>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</si>
  <si>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</si>
  <si>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</si>
  <si>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</si>
  <si>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</si>
  <si>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</si>
  <si>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</si>
  <si>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</si>
  <si>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</si>
  <si>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</si>
  <si>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</si>
  <si>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</si>
  <si>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</si>
  <si>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</si>
  <si>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</si>
  <si>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</si>
  <si>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</si>
  <si>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</si>
  <si>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</si>
  <si>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</si>
  <si>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</si>
  <si>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</si>
  <si>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</si>
  <si>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</si>
  <si>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</si>
  <si>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</si>
  <si>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</si>
  <si>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</si>
  <si>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</si>
  <si>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</si>
  <si>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</si>
  <si>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</si>
  <si>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</si>
  <si>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</si>
  <si>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</si>
  <si>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</si>
  <si>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</si>
  <si>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</si>
  <si>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</si>
  <si>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</si>
  <si>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</si>
  <si>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</si>
  <si>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</si>
  <si>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</si>
  <si>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</si>
  <si>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</si>
  <si>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</si>
  <si>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</si>
  <si>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</si>
  <si>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</si>
  <si>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</si>
  <si>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</si>
  <si>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</si>
  <si>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</si>
  <si>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</si>
  <si>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</si>
  <si>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</si>
  <si>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</si>
  <si>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</si>
  <si>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</si>
  <si>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</si>
  <si>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</si>
  <si>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</si>
  <si>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</si>
  <si>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</si>
  <si>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</si>
  <si>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</si>
  <si>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</si>
  <si>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</si>
  <si>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</si>
  <si>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</si>
  <si>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</si>
  <si>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</si>
  <si>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</si>
  <si>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</si>
  <si>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</si>
  <si>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</si>
  <si>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</si>
  <si>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</si>
  <si>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</si>
  <si>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</si>
  <si>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</si>
  <si>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</si>
  <si>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</si>
  <si>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</si>
  <si>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</si>
  <si>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</si>
  <si>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</si>
  <si>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</si>
  <si>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</si>
  <si>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</si>
  <si>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</si>
  <si>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</si>
  <si>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</si>
  <si>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</si>
  <si>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</si>
  <si>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</si>
  <si>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</si>
  <si>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</si>
  <si>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</si>
  <si>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</si>
  <si>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</si>
  <si>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</si>
  <si>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</si>
  <si>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</si>
  <si>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</si>
  <si>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</si>
  <si>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</si>
  <si>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</si>
  <si>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</si>
  <si>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</si>
  <si>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</si>
  <si>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</si>
  <si>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</si>
  <si>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</si>
  <si>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</si>
  <si>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</si>
  <si>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</si>
  <si>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</si>
  <si>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</si>
  <si>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</si>
  <si>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</si>
  <si>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</si>
  <si>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</si>
  <si>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</si>
  <si>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</si>
  <si>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</si>
  <si>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</si>
  <si>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</si>
  <si>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</si>
  <si>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</si>
  <si>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</si>
  <si>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</si>
  <si>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</si>
  <si>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</si>
  <si>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</si>
  <si>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</si>
  <si>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</si>
  <si>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</si>
  <si>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</si>
  <si>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</si>
  <si>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</si>
  <si>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</si>
  <si>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</si>
  <si>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</si>
  <si>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</si>
  <si>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</si>
  <si>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</si>
  <si>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</si>
  <si>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</si>
  <si>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</si>
  <si>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</si>
  <si>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</si>
  <si>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</si>
  <si>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</si>
  <si>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</si>
  <si>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</si>
  <si>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</si>
  <si>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</si>
  <si>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</si>
  <si>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</si>
  <si>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</si>
  <si>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</si>
  <si>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</si>
  <si>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</si>
  <si>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</si>
  <si>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</si>
  <si>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</si>
  <si>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</si>
  <si>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</si>
  <si>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</si>
  <si>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</si>
  <si>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</si>
  <si>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</si>
  <si>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</si>
  <si>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</si>
  <si>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</si>
  <si>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</si>
  <si>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</si>
  <si>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</si>
  <si>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</si>
  <si>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</si>
  <si>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</si>
  <si>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</si>
  <si>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</si>
  <si>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</si>
  <si>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</si>
  <si>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</si>
  <si>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</si>
  <si>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</si>
  <si>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</si>
  <si>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</si>
  <si>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</si>
  <si>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</si>
  <si>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</si>
  <si>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</si>
  <si>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</si>
  <si>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</si>
  <si>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</si>
  <si>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</si>
  <si>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</si>
  <si>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</si>
  <si>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</si>
  <si>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</si>
  <si>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</si>
  <si>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</si>
  <si>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</si>
  <si>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</si>
  <si>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</si>
  <si>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</si>
  <si>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</si>
  <si>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</si>
  <si>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</si>
  <si>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</si>
  <si>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</si>
  <si>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</si>
  <si>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</si>
  <si>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</si>
  <si>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</si>
  <si>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</si>
  <si>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</si>
  <si>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</si>
  <si>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</si>
  <si>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</si>
  <si>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</si>
  <si>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</si>
  <si>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</si>
  <si>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</si>
  <si>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</si>
  <si>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</si>
  <si>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</si>
  <si>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</si>
  <si>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</si>
  <si>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</si>
  <si>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</si>
  <si>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</si>
  <si>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</si>
  <si>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</si>
  <si>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</si>
  <si>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</si>
  <si>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</si>
  <si>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</si>
  <si>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</si>
  <si>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</si>
  <si>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</si>
  <si>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</si>
  <si>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</si>
  <si>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</si>
  <si>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</si>
  <si>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</si>
  <si>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</si>
  <si>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</si>
  <si>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</si>
  <si>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</si>
  <si>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</si>
  <si>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</si>
  <si>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</si>
  <si>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</si>
  <si>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</si>
  <si>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</si>
  <si>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</si>
  <si>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</si>
  <si>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</si>
  <si>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</si>
  <si>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</si>
  <si>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</si>
  <si>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</si>
  <si>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</si>
  <si>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</si>
  <si>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</si>
  <si>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</si>
  <si>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</si>
  <si>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</si>
  <si>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</si>
  <si>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</si>
  <si>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</si>
  <si>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</si>
  <si>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</si>
  <si>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</si>
  <si>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</si>
  <si>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</si>
  <si>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</si>
  <si>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</si>
  <si>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</si>
  <si>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</si>
  <si>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</si>
  <si>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</si>
  <si>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</si>
  <si>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</si>
  <si>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</si>
  <si>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</si>
  <si>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</si>
  <si>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</si>
  <si>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</si>
  <si>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</si>
  <si>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</si>
  <si>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</si>
  <si>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</si>
  <si>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</si>
  <si>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</si>
  <si>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</si>
  <si>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</si>
  <si>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</si>
  <si>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</si>
  <si>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</si>
  <si>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</si>
  <si>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</si>
  <si>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</si>
  <si>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</si>
  <si>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</si>
  <si>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</si>
  <si>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</si>
  <si>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</si>
  <si>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</si>
  <si>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</si>
  <si>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</si>
  <si>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</si>
  <si>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</si>
  <si>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</si>
  <si>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</si>
  <si>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</si>
  <si>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</si>
  <si>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</si>
  <si>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</si>
  <si>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</si>
  <si>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</si>
  <si>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</si>
  <si>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</si>
  <si>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</si>
  <si>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</si>
  <si>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</si>
  <si>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</si>
  <si>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</si>
  <si>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</si>
  <si>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</si>
  <si>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</si>
  <si>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</si>
  <si>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</si>
  <si>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</si>
  <si>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</si>
  <si>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</si>
  <si>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</si>
  <si>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</si>
  <si>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</si>
  <si>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</si>
  <si>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</si>
  <si>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</si>
  <si>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</si>
  <si>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</si>
  <si>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</si>
  <si>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</si>
  <si>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</si>
  <si>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</si>
  <si>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</si>
  <si>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</si>
  <si>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</si>
  <si>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</si>
  <si>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</si>
  <si>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</si>
  <si>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</si>
  <si>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</si>
  <si>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</si>
  <si>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</si>
  <si>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</si>
  <si>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</si>
  <si>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</si>
  <si>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</si>
  <si>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</si>
  <si>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</si>
  <si>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</si>
  <si>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</si>
  <si>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</si>
  <si>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</si>
  <si>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</si>
  <si>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</si>
  <si>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</si>
  <si>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</si>
  <si>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</si>
  <si>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</si>
  <si>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</si>
  <si>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</si>
  <si>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</si>
  <si>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</si>
  <si>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</si>
  <si>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</si>
  <si>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</si>
  <si>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</si>
  <si>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</si>
  <si>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</si>
  <si>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</si>
  <si>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</si>
  <si>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</si>
  <si>
    <t>【#弾き語り】 Mrs. GREEN APPLE縛り歌枠！！【幽音しの:ななしいんく】 #karaoke #歌枠</t>
    <phoneticPr fontId="2"/>
  </si>
  <si>
    <t>https://www.youtube.com/live/DCABx3RjHlk?si=2kjkclC-U2asQNr-</t>
    <phoneticPr fontId="2"/>
  </si>
  <si>
    <t>0:05:36</t>
  </si>
  <si>
    <t>アウフヘーベン</t>
  </si>
  <si>
    <t>0:12:54</t>
  </si>
  <si>
    <t>インフェルノ</t>
  </si>
  <si>
    <t>0:21:21</t>
  </si>
  <si>
    <t>Speaking</t>
  </si>
  <si>
    <t>WanteD! WanteD!</t>
  </si>
  <si>
    <t>0:35:37</t>
  </si>
  <si>
    <t>我逢人</t>
  </si>
  <si>
    <t>ケセラセラ</t>
  </si>
  <si>
    <t>0:48:45</t>
  </si>
  <si>
    <t>0:58:32</t>
  </si>
  <si>
    <t>【#弾き語り】深夜定期！！ギターの音で深い眠りへ誘うはず　【幽音しの:ななしいんく】　#shorts #vsinger #歌枠</t>
    <phoneticPr fontId="2"/>
  </si>
  <si>
    <t>https://www.youtube.com/live/tbPnXY8S_GQ?si=8PkFk0wPDIc_uL_n</t>
    <phoneticPr fontId="2"/>
  </si>
  <si>
    <t>0:05:38</t>
  </si>
  <si>
    <t>0:13:04</t>
  </si>
  <si>
    <t>0:19:42</t>
  </si>
  <si>
    <t>GALLOWS BELL</t>
  </si>
  <si>
    <t>buzzG feat.初音ミク</t>
  </si>
  <si>
    <t>0:25:53</t>
  </si>
  <si>
    <t>ワールド・ランプシェード</t>
  </si>
  <si>
    <t>BuzzG feat.GUMI</t>
  </si>
  <si>
    <t>0:33:22</t>
  </si>
  <si>
    <t>アイスクリーム シンドローム</t>
  </si>
  <si>
    <t>1:04:08</t>
  </si>
  <si>
    <t>1:11:06</t>
  </si>
  <si>
    <t>1:18:04</t>
  </si>
  <si>
    <t>1:33:36</t>
  </si>
  <si>
    <t>1:40:38</t>
  </si>
  <si>
    <t>1:48:11</t>
  </si>
  <si>
    <t>【#弾き語り】　火曜日の夜+に弾き語りで彩りを！【幽音しの:ななしいんく】 #karaoke #歌枠</t>
    <phoneticPr fontId="2"/>
  </si>
  <si>
    <t>https://www.youtube.com/live/3sDTyQ9hCDg?si=pXcH4WBWdJUgF-zq</t>
    <phoneticPr fontId="2"/>
  </si>
  <si>
    <t>0:06:48</t>
  </si>
  <si>
    <t>0:16:15</t>
  </si>
  <si>
    <t>0:23:15</t>
  </si>
  <si>
    <t>愛唄</t>
  </si>
  <si>
    <t>GRe4N BOYZ</t>
  </si>
  <si>
    <t>0:43:34</t>
  </si>
  <si>
    <t>迷宮ラブソング (1chorus)</t>
  </si>
  <si>
    <t>0:47:19</t>
  </si>
  <si>
    <t>0:54:33</t>
  </si>
  <si>
    <t>1:03:01</t>
  </si>
  <si>
    <t>1:09:50</t>
  </si>
  <si>
    <t>今週の予定の歌</t>
  </si>
  <si>
    <t>【#弾き語り】少し寒い昼下がりに、、弾き語りを聴かない？　【幽音しの:ななしいんく】　#shorts #karaoke #歌枠</t>
    <phoneticPr fontId="2"/>
  </si>
  <si>
    <t>https://www.youtube.com/live/xKwyAT6ZyDo?si=p8RkryjyMuiiNoGd</t>
    <phoneticPr fontId="2"/>
  </si>
  <si>
    <t>0:05:14</t>
  </si>
  <si>
    <t>0:11:14</t>
  </si>
  <si>
    <t>0:17:05</t>
  </si>
  <si>
    <t>雨とペトラ</t>
  </si>
  <si>
    <t>0:23:18</t>
  </si>
  <si>
    <t>0:35:07</t>
  </si>
  <si>
    <t>0:41:36</t>
  </si>
  <si>
    <t>0:46:32</t>
  </si>
  <si>
    <t>0:52:24</t>
  </si>
  <si>
    <t>0:58:20</t>
  </si>
  <si>
    <t>1:03:43</t>
  </si>
  <si>
    <t>1:09:55</t>
  </si>
  <si>
    <t>1:17:07</t>
  </si>
  <si>
    <t>1:24:42</t>
  </si>
  <si>
    <t>トゥインクル</t>
  </si>
  <si>
    <t>Junky feat.鏡音リン</t>
  </si>
  <si>
    <t>【運動記録】太ももシェイプ！！！！！リングフィットアドベンチャー#7【幽音しの:ななしいんく】 #vtuber</t>
    <phoneticPr fontId="2"/>
  </si>
  <si>
    <t>https://www.youtube.com/live/q-NGMbZYKXs?si=PW1tXGBm0QqXgfQn</t>
    <phoneticPr fontId="2"/>
  </si>
  <si>
    <t>【#弾き語り】深夜定期！弾き語りでチルく寝る日【幽音しの:ななしいんく】 #karaoke #歌枠</t>
    <phoneticPr fontId="2"/>
  </si>
  <si>
    <t>https://www.youtube.com/live/RXbt0OmMVe8?si=zUTwr5vQz3aflRD3</t>
    <phoneticPr fontId="2"/>
  </si>
  <si>
    <t>0:05:26</t>
  </si>
  <si>
    <t>0:12:38</t>
  </si>
  <si>
    <t>たばこ</t>
  </si>
  <si>
    <t>コレサワ</t>
  </si>
  <si>
    <t>0:21:19</t>
  </si>
  <si>
    <t>0:44:23</t>
  </si>
  <si>
    <t>うそつき</t>
  </si>
  <si>
    <t>めざめP feat.初音ミク</t>
  </si>
  <si>
    <t>0:51:46</t>
  </si>
  <si>
    <t>1:00:24</t>
  </si>
  <si>
    <t>1:06:30</t>
  </si>
  <si>
    <t>1:13:43</t>
  </si>
  <si>
    <t>1:20:45</t>
  </si>
  <si>
    <t>1:27:25</t>
  </si>
  <si>
    <t>1:34:20</t>
  </si>
  <si>
    <t>1:44:18</t>
  </si>
  <si>
    <t>【 #ななし鉄千 】ねこはスマートにかってなんぼ。ななしいんくMinecraft鉄千！　しの視点【幽音しの:ななしいんく】</t>
    <phoneticPr fontId="2"/>
  </si>
  <si>
    <t>https://www.youtube.com/live/GiTmTKFi_r4?si=YWh5gkimymLBhlSx</t>
    <phoneticPr fontId="2"/>
  </si>
  <si>
    <t>【#弾き語り】のんびりとゆっくり弾き語る歌枠　【幽音しの:ななしいんく】　#shorts #vsinger #歌枠</t>
    <phoneticPr fontId="2"/>
  </si>
  <si>
    <t>https://www.youtube.com/live/TLhHmBIm5rI?si=VIh-Mx1TlTgHASX4</t>
    <phoneticPr fontId="2"/>
  </si>
  <si>
    <t>0:05:13</t>
  </si>
  <si>
    <t>0:24:58</t>
  </si>
  <si>
    <t>0:35:16</t>
  </si>
  <si>
    <t>初めての恋が終わる時</t>
  </si>
  <si>
    <t>supercell feat.初音ミク</t>
  </si>
  <si>
    <t>0:43:44</t>
  </si>
  <si>
    <t>0:52:19</t>
  </si>
  <si>
    <t>1:00:45</t>
  </si>
  <si>
    <t>白い恋人達</t>
  </si>
  <si>
    <t>桑田佳祐</t>
  </si>
  <si>
    <t>1:10:00</t>
  </si>
  <si>
    <t>glow</t>
  </si>
  <si>
    <t>keeno feat.初音ミク</t>
  </si>
  <si>
    <t>1:19:25</t>
  </si>
  <si>
    <t>1:27:38</t>
  </si>
  <si>
    <t>Departures ～あなたにおくるアイの歌～</t>
  </si>
  <si>
    <t>1:34:35</t>
  </si>
  <si>
    <t>1:43:06</t>
  </si>
  <si>
    <t>1:51:36</t>
  </si>
  <si>
    <t>［Alexandros］</t>
  </si>
  <si>
    <t>1:58:34</t>
  </si>
  <si>
    <t>2:05:13</t>
  </si>
  <si>
    <t>【#弾き語り】弾き語りをして寝る前に楽しむぞ！【幽音しの:ななしいんく】 #karaoke #歌枠</t>
    <phoneticPr fontId="2"/>
  </si>
  <si>
    <t>https://www.youtube.com/live/svcUFFcJrHE?si=j83cuHNyk6QwuYkQ</t>
    <phoneticPr fontId="2"/>
  </si>
  <si>
    <t>0:11:20</t>
  </si>
  <si>
    <t>0:17:18</t>
  </si>
  <si>
    <t>0:26:05</t>
  </si>
  <si>
    <t>0:32:58</t>
  </si>
  <si>
    <t>寝癖</t>
  </si>
  <si>
    <t>0:40:48</t>
  </si>
  <si>
    <t>0:57:35</t>
  </si>
  <si>
    <t>1:04:52</t>
  </si>
  <si>
    <t>1:12:30</t>
  </si>
  <si>
    <t>1:21:46</t>
  </si>
  <si>
    <t>1:33:03</t>
  </si>
  <si>
    <t>1:47:26</t>
  </si>
  <si>
    <t>1:55:31</t>
  </si>
  <si>
    <t>【運動記録】一緒に運動いかがですか？リングフィットアドベンチャー#８【幽音しの:ななしいんく】 #vtuber</t>
    <phoneticPr fontId="2"/>
  </si>
  <si>
    <t>https://www.youtube.com/live/CZbn2XcF7qA?si=r-_jc2eVbOWxSTiN</t>
    <phoneticPr fontId="2"/>
  </si>
  <si>
    <t>【#弾き語り】深夜定期！ゆっくり流れる時間をあなたに【幽音しの:ななしいんく】 #karaoke #歌枠</t>
    <phoneticPr fontId="2"/>
  </si>
  <si>
    <t>https://www.youtube.com/live/0AqoHfYD46E?si=mWOedgt9iLzf5zoc</t>
    <phoneticPr fontId="2"/>
  </si>
  <si>
    <t>0:03:49</t>
  </si>
  <si>
    <t>0:12:11</t>
  </si>
  <si>
    <t>0:18:45</t>
  </si>
  <si>
    <t>0:26:22</t>
  </si>
  <si>
    <t>0:33:24</t>
  </si>
  <si>
    <t>0:40:05</t>
  </si>
  <si>
    <t>エウテルペ</t>
  </si>
  <si>
    <t>0:45:49</t>
  </si>
  <si>
    <t>ツギハギスタッカート</t>
  </si>
  <si>
    <t>0:52:06</t>
  </si>
  <si>
    <t>0:59:44</t>
  </si>
  <si>
    <t>街路、ライトの灯りだけ</t>
  </si>
  <si>
    <t>1:06:15</t>
  </si>
  <si>
    <t>vivi</t>
  </si>
  <si>
    <t>1:22:22</t>
  </si>
  <si>
    <t>失想ワアド</t>
  </si>
  <si>
    <t>じん feat.初音ミク</t>
  </si>
  <si>
    <t>1:30:54</t>
  </si>
  <si>
    <t>1:38:23</t>
  </si>
  <si>
    <t>1:47:04</t>
  </si>
  <si>
    <t>いつも何度でも</t>
  </si>
  <si>
    <t>【#弾き語り】ギターの音でゆったり流れる時間を　【幽音しの:ななしいんく】　#shorts #karaoke #歌枠</t>
    <phoneticPr fontId="2"/>
  </si>
  <si>
    <t>https://www.youtube.com/live/xp0K3WVssKY?si=LZW-N2O4nOZbWeQk</t>
    <phoneticPr fontId="2"/>
  </si>
  <si>
    <t>0:05:07</t>
  </si>
  <si>
    <t>クリスマスソング</t>
  </si>
  <si>
    <t>Back number</t>
  </si>
  <si>
    <t>0:12:25</t>
  </si>
  <si>
    <t>あわてんぼうのサンタクロース</t>
  </si>
  <si>
    <t>田中星児etc…</t>
  </si>
  <si>
    <t>ジングルベル</t>
  </si>
  <si>
    <t>James Lord Pierpont</t>
  </si>
  <si>
    <t>0:23:40</t>
  </si>
  <si>
    <t>0:30:17</t>
  </si>
  <si>
    <t>0:36:51</t>
  </si>
  <si>
    <t>0:43:45</t>
  </si>
  <si>
    <t>0:50:59</t>
  </si>
  <si>
    <t>ひまわりの約束</t>
  </si>
  <si>
    <t>秦基博</t>
  </si>
  <si>
    <t>0:58:46</t>
  </si>
  <si>
    <t>1:08:15</t>
  </si>
  <si>
    <t>1:14:13</t>
  </si>
  <si>
    <t>1:21:24</t>
  </si>
  <si>
    <t>1:29:53</t>
  </si>
  <si>
    <t>1:38:12</t>
  </si>
  <si>
    <t>シェリル・ノームstarring May'n</t>
  </si>
  <si>
    <t>1:47:07</t>
  </si>
  <si>
    <t>1999</t>
    <phoneticPr fontId="2"/>
  </si>
  <si>
    <t>【雑談】アイススプーンを使ってアイスを食べ雑談！【幽音しの:ななしいんく】　 #vtuber</t>
    <phoneticPr fontId="2"/>
  </si>
  <si>
    <t>https://www.youtube.com/live/kH-eTHQ4Mg0?si=ApJmJgE98kh-4EZM</t>
    <phoneticPr fontId="2"/>
  </si>
  <si>
    <t>【#弾き語り】RADWIMPSさんを歌う日！！【幽音しの:ななしいんく】 #karaoke #歌枠</t>
    <phoneticPr fontId="2"/>
  </si>
  <si>
    <t>正解</t>
  </si>
  <si>
    <t>そっけない</t>
  </si>
  <si>
    <t>0:32:52</t>
  </si>
  <si>
    <t>おしゃかしゃま</t>
  </si>
  <si>
    <t>0:47:50</t>
  </si>
  <si>
    <t>0:52:49</t>
  </si>
  <si>
    <t>1:00:48</t>
  </si>
  <si>
    <t>https://www.youtube.com/live/OColkUKqs90?si=u_QJLT5Paxmg4Fbl</t>
    <phoneticPr fontId="2"/>
  </si>
  <si>
    <t>【クリスマスイブ大掃除】この部屋、綺麗にな～れ！【幽音しの:ななしいんく】 #vtuber</t>
    <phoneticPr fontId="2"/>
  </si>
  <si>
    <t>https://www.youtube.com/live/KH_X8cFDpAo?si=iylDtsVTLki_7_CH</t>
    <phoneticPr fontId="2"/>
  </si>
  <si>
    <t>【運動記録】クリスマスは体を鍛えよ！リングフィットアドベンチャー#９【幽音しの:ななしいんく】 #vtuber</t>
    <phoneticPr fontId="2"/>
  </si>
  <si>
    <t>https://www.youtube.com/live/gdwrzSCbprY?si=ldNO_U0XnD_debJP</t>
    <phoneticPr fontId="2"/>
  </si>
  <si>
    <t>【#弾き語り】深夜定期！弾き語りの夜を～クリスマスだね！【幽音しの:ななしいんく】 #karaoke #歌枠</t>
    <phoneticPr fontId="2"/>
  </si>
  <si>
    <t>https://www.youtube.com/live/MRm5RirWRTc?si=-La1GXnNoxw2IMQH</t>
    <phoneticPr fontId="2"/>
  </si>
  <si>
    <t>0:04:59</t>
  </si>
  <si>
    <t>サンタが街にやってくる</t>
  </si>
  <si>
    <t>神戸孝夫(日本)</t>
  </si>
  <si>
    <t>0:28:36</t>
  </si>
  <si>
    <t>0:36:41</t>
  </si>
  <si>
    <t>0:45:22</t>
  </si>
  <si>
    <t>いかないで</t>
  </si>
  <si>
    <t>想太 feat.歌愛ユキ</t>
  </si>
  <si>
    <t>0:51:33</t>
  </si>
  <si>
    <t>0:56:08</t>
  </si>
  <si>
    <t>お正月</t>
  </si>
  <si>
    <t>瀧廉太郎</t>
  </si>
  <si>
    <t>1:03:25</t>
  </si>
  <si>
    <t>赤鼻のトナカイ</t>
  </si>
  <si>
    <t>Rudolph the Red-Nosed Reindeer</t>
  </si>
  <si>
    <t>1:21:54</t>
  </si>
  <si>
    <t>1:30:11</t>
  </si>
  <si>
    <t>【#弾き語り】お昼の弾き語り！食後のデザートにいかが？　【幽音しの:ななしいんく】　#shorts #karaoke #歌枠</t>
    <phoneticPr fontId="2"/>
  </si>
  <si>
    <t>https://www.youtube.com/live/oAyJDZdA6tE?si=2WnKccc2rn5H72au</t>
    <phoneticPr fontId="2"/>
  </si>
  <si>
    <t>0:19:25</t>
  </si>
  <si>
    <t>0:24:53</t>
  </si>
  <si>
    <t>0:32:03</t>
  </si>
  <si>
    <t>0:39:24</t>
  </si>
  <si>
    <t>0:46:59</t>
  </si>
  <si>
    <t>0:56:09</t>
  </si>
  <si>
    <t>バルーン(須田景凪)feat.flower</t>
  </si>
  <si>
    <t>1:03:45</t>
  </si>
  <si>
    <t>1:09:30</t>
  </si>
  <si>
    <t>1:22:40</t>
  </si>
  <si>
    <t>1:29:01</t>
  </si>
  <si>
    <t>1:36:44</t>
  </si>
  <si>
    <t>1:42:59</t>
  </si>
  <si>
    <t>1:51:03</t>
  </si>
  <si>
    <t>1:59:59</t>
  </si>
  <si>
    <t>【#弾き語り】年内ラスト歌枠！好きな曲歌って歌いおさめる！【幽音しの:ななしいんく】 #shorts #karaoke #歌枠</t>
    <phoneticPr fontId="2"/>
  </si>
  <si>
    <t>https://www.youtube.com/live/-LFW7tNdmHY?si=GPUnndjVLQ00wOIS</t>
    <phoneticPr fontId="2"/>
  </si>
  <si>
    <t>0:05:28</t>
  </si>
  <si>
    <t>0:14:19</t>
  </si>
  <si>
    <t>0:30:38</t>
  </si>
  <si>
    <t>0:37:04</t>
  </si>
  <si>
    <t>0:44:09</t>
  </si>
  <si>
    <t>0:52:16</t>
  </si>
  <si>
    <t>1:01:55</t>
  </si>
  <si>
    <t>1:07:24</t>
  </si>
  <si>
    <t>1:17:33</t>
  </si>
  <si>
    <t>1:28:16</t>
  </si>
  <si>
    <t>来年も一緒だよ！</t>
  </si>
  <si>
    <t>【有馬記念】知識ゼロのおばけが、ビギナーズラックをおこしてみせる！！！【幽音しの:ななしいんく】</t>
    <phoneticPr fontId="2"/>
  </si>
  <si>
    <t>https://www.youtube.com/live/v7PBMbLTYgY?si=OvQ1JmPPK8s_zlVm</t>
    <phoneticPr fontId="2"/>
  </si>
  <si>
    <t>【れいかい通信＃3】レッツダンディー！ダンディのこと呼んだかな？【幽音しの:ななしいんく】　 #vtuber</t>
    <phoneticPr fontId="2"/>
  </si>
  <si>
    <t>【年末歌合戦】第5回「悪天歌合戦」現在、悪魔2勝。2引き分け。今年はどうなる！？　#悪天歌合戦【ななしいんく / 島村シャルロット】</t>
    <phoneticPr fontId="2"/>
  </si>
  <si>
    <t>https://www.youtube.com/live/CRuz_3IGzcI?si=4zCSejhZNR_9LYe8</t>
    <phoneticPr fontId="2"/>
  </si>
  <si>
    <t>https://www.youtube.com/live/IJunTLDD7I0?si=lhLUIzdM_Rtfr1c2</t>
    <phoneticPr fontId="2"/>
  </si>
  <si>
    <t>0:26:38</t>
    <phoneticPr fontId="2"/>
  </si>
  <si>
    <t>弾き語り</t>
  </si>
  <si>
    <t>音源</t>
    <rPh sb="0" eb="2">
      <t>オンゲン</t>
    </rPh>
    <phoneticPr fontId="2"/>
  </si>
  <si>
    <t>0:27:55</t>
    <phoneticPr fontId="2"/>
  </si>
  <si>
    <t>点描の唄(1chorus)</t>
    <phoneticPr fontId="2"/>
  </si>
  <si>
    <t>ド屑(1chorus)</t>
    <phoneticPr fontId="2"/>
  </si>
  <si>
    <t>レッツダンディ</t>
    <phoneticPr fontId="2"/>
  </si>
  <si>
    <t>0:33:38</t>
    <phoneticPr fontId="2"/>
  </si>
  <si>
    <t>ダンディさん(幽音しの(即興))</t>
    <phoneticPr fontId="2"/>
  </si>
  <si>
    <t>【あけおめ配信】あけましておめでとう雑談！お酒飲みながら少しお話しする【幽音しの:ななしいんく】　#shorts #vsinger</t>
    <phoneticPr fontId="2"/>
  </si>
  <si>
    <t>https://www.youtube.com/live/55-fnnXPRQk?si=7zNy10DVwXJ3rxFg</t>
    <phoneticPr fontId="2"/>
  </si>
  <si>
    <t>【#弾き語り】2026年！初歌枠だ～～！！今年もよろしくね！！【幽音しの:ななしいんく】 #shorts #karaoke #歌枠</t>
    <phoneticPr fontId="2"/>
  </si>
  <si>
    <t>https://www.youtube.com/live/ivps1kBiaZY?si=JYr8YoP36SUYaFiy</t>
    <phoneticPr fontId="2"/>
  </si>
  <si>
    <t>0:10:40</t>
  </si>
  <si>
    <t>聖槍爆裂ボーイ</t>
  </si>
  <si>
    <t>れるりり&amp;もじゃ feat .鏡音リン</t>
  </si>
  <si>
    <t>0:16:29</t>
  </si>
  <si>
    <t>0:22:49</t>
  </si>
  <si>
    <t>Masked bitcH</t>
  </si>
  <si>
    <t>ギガ&amp;q*Left feat.GUMI</t>
  </si>
  <si>
    <t>0:28:20</t>
  </si>
  <si>
    <t>0:34:49</t>
  </si>
  <si>
    <t>バレリーコ</t>
  </si>
  <si>
    <t>みきとP feat.GUMI</t>
  </si>
  <si>
    <t>0:41:20</t>
  </si>
  <si>
    <t>0:49:45</t>
  </si>
  <si>
    <t>1:02:02</t>
  </si>
  <si>
    <t>モニタリング</t>
  </si>
  <si>
    <t>1:09:32</t>
  </si>
  <si>
    <t>1:14:39</t>
  </si>
  <si>
    <t>1:21:40</t>
  </si>
  <si>
    <t>1:34:16</t>
  </si>
  <si>
    <t>乙女解剖</t>
  </si>
  <si>
    <t>【#弾き語り】深夜定期！今日も寝れる弾き語りを！【幽音しの:ななしいんく】 #karaoke #歌枠</t>
    <phoneticPr fontId="2"/>
  </si>
  <si>
    <t>https://www.youtube.com/live/eoOU4nEz4Yk?si=whVwZgpMk4twa4IR</t>
    <phoneticPr fontId="2"/>
  </si>
  <si>
    <t>0:04:20</t>
  </si>
  <si>
    <t>0:13:41</t>
  </si>
  <si>
    <t>0:28:53</t>
  </si>
  <si>
    <t>0:43:29</t>
  </si>
  <si>
    <t>0:50:08</t>
  </si>
  <si>
    <r>
      <t>【 #</t>
    </r>
    <r>
      <rPr>
        <sz val="11"/>
        <color theme="1"/>
        <rFont val="Segoe UI Symbol"/>
        <family val="3"/>
        <charset val="1"/>
      </rPr>
      <t>⁠</t>
    </r>
    <r>
      <rPr>
        <sz val="11"/>
        <color theme="1"/>
        <rFont val="Meiryo UI"/>
        <family val="3"/>
        <charset val="128"/>
      </rPr>
      <t>ななし新春歌枠リレー 】思わず空に浮いちゃうような弾き語りをお届け！【幽音しの:ななしいんく】 #vsinger #歌枠</t>
    </r>
    <phoneticPr fontId="2"/>
  </si>
  <si>
    <t>https://www.youtube.com/live/TQC6YXjwtgA?si=BdfZ9GrSmS7Xrso8</t>
    <phoneticPr fontId="2"/>
  </si>
  <si>
    <t>ランカ・リー＝中島愛</t>
  </si>
  <si>
    <t>神のまにまに</t>
  </si>
  <si>
    <t>れるりり</t>
  </si>
  <si>
    <t>0:00:53</t>
    <phoneticPr fontId="2"/>
  </si>
  <si>
    <t>0:05:02</t>
    <phoneticPr fontId="2"/>
  </si>
  <si>
    <t>0:13:12</t>
    <phoneticPr fontId="2"/>
  </si>
  <si>
    <t>0:20:01</t>
    <phoneticPr fontId="2"/>
  </si>
  <si>
    <t>0:25:37</t>
    <phoneticPr fontId="2"/>
  </si>
  <si>
    <t>【利用規約に同意したい】たくさん同意してやんよ！【幽音しの:ななしいんく】　 #vsinger</t>
    <phoneticPr fontId="2"/>
  </si>
  <si>
    <t>https://www.youtube.com/live/RG3JLadSsgo?si=5uyNEGK1qEZGuULU</t>
    <phoneticPr fontId="2"/>
  </si>
  <si>
    <t>【#弾き語り】かっこよく！男性アーティスト縛り歌枠です！【幽音しの:ななしいんく】 #karaoke #歌枠</t>
    <phoneticPr fontId="2"/>
  </si>
  <si>
    <t>https://www.youtube.com/live/PeAN2eEh-ug?si=Q76LwLkKs-5oX2lF</t>
    <phoneticPr fontId="2"/>
  </si>
  <si>
    <t>0:04:24</t>
  </si>
  <si>
    <t>0:10:26</t>
  </si>
  <si>
    <t>0:25:13</t>
  </si>
  <si>
    <t>夜の踊り子</t>
  </si>
  <si>
    <t>0:41:04</t>
  </si>
  <si>
    <t>0:48:50</t>
  </si>
  <si>
    <t>0:55:25</t>
  </si>
  <si>
    <t>TK from 凛として時雨</t>
  </si>
  <si>
    <t>1:09:58</t>
  </si>
  <si>
    <t>1:16:52</t>
  </si>
  <si>
    <t>1:24:58</t>
  </si>
  <si>
    <t>1:30:33</t>
  </si>
  <si>
    <t>Help! (1chorus)</t>
  </si>
  <si>
    <t>The Beatles</t>
  </si>
  <si>
    <t>1:35:06</t>
  </si>
  <si>
    <t>スターライトパレード</t>
  </si>
  <si>
    <t>SEKAI NO OWARI</t>
  </si>
  <si>
    <t>1:41:53</t>
  </si>
  <si>
    <t>マツケンサンバⅡ (1chorus)</t>
  </si>
  <si>
    <t>松平健</t>
  </si>
  <si>
    <t>1:47:16</t>
  </si>
  <si>
    <t>完全感覚Dreamer</t>
    <phoneticPr fontId="2"/>
  </si>
  <si>
    <t>マツケンサンバⅡ (1chorus)</t>
    <phoneticPr fontId="2"/>
  </si>
  <si>
    <t>【#ななしマイクラビンゴ】情熱の赤！！！それは勝利の色！！【幽音しの:ななしいんく】　#vsinger</t>
    <phoneticPr fontId="2"/>
  </si>
  <si>
    <t>https://www.youtube.com/live/UPM7MQfPoU8?si=59I5bWXIdcPJmj6G</t>
    <phoneticPr fontId="2"/>
  </si>
  <si>
    <t>【歌枠】気ままにカラオケを楽しむ配信！！【幽音しの:ななしいんく】　#shorts #vsinger #歌枠</t>
    <phoneticPr fontId="2"/>
  </si>
  <si>
    <t>https://www.youtube.com/live/5WLpYh7ET8Q?si=U6vokm2OYMw3HwVF</t>
    <phoneticPr fontId="2"/>
  </si>
  <si>
    <t>0:04:04</t>
  </si>
  <si>
    <t>0:11:26</t>
  </si>
  <si>
    <t>ヤマダ電機の歌</t>
  </si>
  <si>
    <t>富田伊知郎(ミラクル・ヴォウス)</t>
  </si>
  <si>
    <t>0:18:50</t>
  </si>
  <si>
    <t>ヨドバシカメラの歌</t>
  </si>
  <si>
    <t>ヨドバシカメラ</t>
  </si>
  <si>
    <t>0:22:33</t>
  </si>
  <si>
    <t>MIRACLE SHOPPING〜ドン・キホーテのテーマ〜</t>
  </si>
  <si>
    <t>田中マイミ</t>
  </si>
  <si>
    <t>0:27:38</t>
  </si>
  <si>
    <t>0:35:30</t>
  </si>
  <si>
    <t>W/X/Y</t>
  </si>
  <si>
    <t>Tani Yuuki</t>
  </si>
  <si>
    <t>0:48:46</t>
  </si>
  <si>
    <t>シュガーソングとビターステップ (リクエスト)</t>
  </si>
  <si>
    <t>0:55:24</t>
  </si>
  <si>
    <t>1:00:16</t>
  </si>
  <si>
    <t>unlasting (Tv size)</t>
  </si>
  <si>
    <t>1:03:26</t>
  </si>
  <si>
    <t>1:16:40</t>
  </si>
  <si>
    <t>君のせい (Tv size)</t>
  </si>
  <si>
    <t>1:22:27</t>
  </si>
  <si>
    <t>ADAMAS</t>
  </si>
  <si>
    <t>【#弾き語り】ただいま！深夜定期弾き語り歌枠【幽音しの:ななしいんく】 #karaoke #歌枠 #shorts</t>
    <phoneticPr fontId="2"/>
  </si>
  <si>
    <t>https://www.youtube.com/live/lZby81fWXVY?si=_wcXehm3GgvfsGSB</t>
    <phoneticPr fontId="2"/>
  </si>
  <si>
    <t>0:06:59</t>
  </si>
  <si>
    <t>0:12:58</t>
  </si>
  <si>
    <t>久しぶりだねの歌</t>
  </si>
  <si>
    <t>0:24:32</t>
  </si>
  <si>
    <t>0:30:30</t>
  </si>
  <si>
    <t>0:37:10</t>
  </si>
  <si>
    <t>0:43:33</t>
  </si>
  <si>
    <t>0:49:52</t>
  </si>
  <si>
    <t>0:55:55</t>
  </si>
  <si>
    <t>1:05:42</t>
  </si>
  <si>
    <t>1:13:45</t>
  </si>
  <si>
    <t>1:21:21</t>
  </si>
  <si>
    <t>1:29:36</t>
  </si>
  <si>
    <t>1:36:03</t>
  </si>
  <si>
    <t>1:44:36</t>
  </si>
  <si>
    <t>1:52:49</t>
  </si>
  <si>
    <t>https://www.youtube.com/live/CgbUKXihteo?si=wC_GhD4UiJMSmN-2</t>
    <phoneticPr fontId="2"/>
  </si>
  <si>
    <t>https://www.youtube.com/live/G91-yAp1V24?si=KNtrLs71KsSJQ6YV</t>
    <phoneticPr fontId="2"/>
  </si>
  <si>
    <t>食べたいな</t>
    <phoneticPr fontId="2"/>
  </si>
  <si>
    <t>1:37:11</t>
    <phoneticPr fontId="2"/>
  </si>
  <si>
    <t>幽音しの(即興)</t>
    <phoneticPr fontId="2"/>
  </si>
  <si>
    <t>【#弾き語り】女性アーティスト縛りで弾き語りしていく！【幽音しの:ななしいんく】 #karaoke #歌枠 #shorts</t>
    <phoneticPr fontId="2"/>
  </si>
  <si>
    <t>【TCG Card Shop Simulator】パックはすべてしののもの。買うなよ？？？？【幽音しの:ななしいんく】　#新人vtuber #shorts #vsinger</t>
    <phoneticPr fontId="2"/>
  </si>
  <si>
    <t xml:space="preserve">【雑談】君たちが何食べたのか把握しながら雑談する【幽音しの:ななしいんく】　#shorts #vsinger </t>
    <phoneticPr fontId="2"/>
  </si>
  <si>
    <t>https://www.youtube.com/live/Bu9csWjEZX8?si=nJ9zG6seBCTHQymC</t>
    <phoneticPr fontId="2"/>
  </si>
  <si>
    <t>0:08:33</t>
  </si>
  <si>
    <t>0:15:26</t>
  </si>
  <si>
    <t>0:27:56</t>
  </si>
  <si>
    <t>0:35:00</t>
  </si>
  <si>
    <t>0:40:54</t>
  </si>
  <si>
    <t>君と夏フェス</t>
  </si>
  <si>
    <t>0:55:13</t>
  </si>
  <si>
    <t>行きたくない</t>
  </si>
  <si>
    <t>1:00:17</t>
  </si>
  <si>
    <t>僕に彼女ができたんだ</t>
  </si>
  <si>
    <t>1:06:39</t>
  </si>
  <si>
    <t>祝福</t>
  </si>
  <si>
    <t>1:13:38</t>
  </si>
  <si>
    <t>1:19:29</t>
  </si>
  <si>
    <t>1:27:24</t>
  </si>
  <si>
    <t>大正浪漫 (1chorus)</t>
  </si>
  <si>
    <t>1:32:42</t>
  </si>
  <si>
    <t>花の塔</t>
  </si>
  <si>
    <t>1:38:32</t>
  </si>
  <si>
    <t>1:46:15</t>
  </si>
  <si>
    <t>1:56:01</t>
  </si>
  <si>
    <t>2:04:17</t>
  </si>
  <si>
    <t>2:16:05</t>
  </si>
  <si>
    <t>2:23:14</t>
  </si>
  <si>
    <t>2:30:52</t>
  </si>
  <si>
    <t>れるりり feat.初音ミク＆鏡音リン&amp;GUMI</t>
  </si>
  <si>
    <t>2:37:30</t>
  </si>
  <si>
    <t>【うれしいお知らせ】君に話したいことがあるんだ。ここだとはずいから一緒にカラオケに行かない？！！！【幽音しの:ななしいんく】　 #vsinger #歌枠</t>
    <phoneticPr fontId="2"/>
  </si>
  <si>
    <t>https://www.youtube.com/live/klsCzXR7fdY?si=mNcCv4SglRHHCRHx</t>
    <phoneticPr fontId="2"/>
  </si>
  <si>
    <t>IRIS OUT</t>
  </si>
  <si>
    <t>0:13:16</t>
  </si>
  <si>
    <t>0:20:53</t>
  </si>
  <si>
    <t>0:32:13</t>
  </si>
  <si>
    <t>好きすぎて滅！</t>
  </si>
  <si>
    <t>M!LK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</si>
</sst>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Segoe UI Symbol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1" fillId="3" borderId="2" xfId="0" applyNumberFormat="1" applyFont="1" applyFill="1" applyBorder="1">
      <alignment vertical="center"/>
    </xf>
    <xf numFmtId="0" fontId="1" fillId="4" borderId="2" xfId="0" applyFont="1" applyFill="1" applyBorder="1" applyAlignment="1">
      <alignment vertical="center" wrapText="1"/>
    </xf>
    <xf numFmtId="0" fontId="1" fillId="3" borderId="0" xfId="0" applyFont="1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63" Type="http://schemas.openxmlformats.org/officeDocument/2006/relationships/hyperlink" Target="https://www.youtube.com/live/rKiEMLFOS8s?si=R7Y_ORgOwbtsqkjP" TargetMode="External"/><Relationship Id="rId84" Type="http://schemas.openxmlformats.org/officeDocument/2006/relationships/hyperlink" Target="https://www.youtube.com/live/r7Bwk1jHwnc?si=YSwS6uQI_0X3Y91g" TargetMode="External"/><Relationship Id="rId138" Type="http://schemas.openxmlformats.org/officeDocument/2006/relationships/hyperlink" Target="https://www.youtube.com/live/KH_X8cFDpAo?si=iylDtsVTLki_7_CH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53" Type="http://schemas.openxmlformats.org/officeDocument/2006/relationships/hyperlink" Target="https://www.youtube.com/live/BTi31luRntI?si=HKZA9dD6UF6pnPvq" TargetMode="External"/><Relationship Id="rId74" Type="http://schemas.openxmlformats.org/officeDocument/2006/relationships/hyperlink" Target="https://www.youtube.com/live/HrTGMEz799w?si=jbCZTdjGLH52DrHB" TargetMode="External"/><Relationship Id="rId128" Type="http://schemas.openxmlformats.org/officeDocument/2006/relationships/hyperlink" Target="https://www.youtube.com/live/q-NGMbZYKXs?si=PW1tXGBm0QqXgfQn" TargetMode="External"/><Relationship Id="rId149" Type="http://schemas.openxmlformats.org/officeDocument/2006/relationships/hyperlink" Target="https://www.youtube.com/live/TQC6YXjwtgA?si=BdfZ9GrSmS7Xrso8" TargetMode="External"/><Relationship Id="rId5" Type="http://schemas.openxmlformats.org/officeDocument/2006/relationships/hyperlink" Target="https://www.youtube.com/live/teQHty590Zo?si=v5B1y_6kXfHA0GoX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43" Type="http://schemas.openxmlformats.org/officeDocument/2006/relationships/hyperlink" Target="https://www.youtube.com/live/7yzjLloyAFE?si=e005NgGsm3Uzthn8" TargetMode="External"/><Relationship Id="rId64" Type="http://schemas.openxmlformats.org/officeDocument/2006/relationships/hyperlink" Target="https://www.youtube.com/live/JAK2m4FWxF0?si=Xy-B8lpcz7dX_b5n" TargetMode="External"/><Relationship Id="rId118" Type="http://schemas.openxmlformats.org/officeDocument/2006/relationships/hyperlink" Target="https://www.youtube.com/live/ag3nYQUbbF8?si=aFdhmvnVdp3ZlCzw" TargetMode="External"/><Relationship Id="rId139" Type="http://schemas.openxmlformats.org/officeDocument/2006/relationships/hyperlink" Target="https://www.youtube.com/live/gdwrzSCbprY?si=ldNO_U0XnD_debJP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50" Type="http://schemas.openxmlformats.org/officeDocument/2006/relationships/hyperlink" Target="https://www.youtube.com/live/RG3JLadSsgo?si=5uyNEGK1qEZGuULU" TargetMode="External"/><Relationship Id="rId155" Type="http://schemas.openxmlformats.org/officeDocument/2006/relationships/hyperlink" Target="https://www.youtube.com/live/CgbUKXihteo?si=wC_GhD4UiJMSmN-2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hyperlink" Target="https://www.youtube.com/live/DCABx3RjHlk?si=2kjkclC-U2asQNr-" TargetMode="External"/><Relationship Id="rId129" Type="http://schemas.openxmlformats.org/officeDocument/2006/relationships/hyperlink" Target="https://www.youtube.com/live/RXbt0OmMVe8?si=zUTwr5vQz3aflRD3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40" Type="http://schemas.openxmlformats.org/officeDocument/2006/relationships/hyperlink" Target="https://www.youtube.com/live/MRm5RirWRTc?si=-La1GXnNoxw2IMQH" TargetMode="External"/><Relationship Id="rId145" Type="http://schemas.openxmlformats.org/officeDocument/2006/relationships/hyperlink" Target="https://www.youtube.com/live/IJunTLDD7I0?si=lhLUIzdM_Rtfr1c2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130" Type="http://schemas.openxmlformats.org/officeDocument/2006/relationships/hyperlink" Target="https://www.youtube.com/live/GiTmTKFi_r4?si=YWh5gkimymLBhlSx" TargetMode="External"/><Relationship Id="rId135" Type="http://schemas.openxmlformats.org/officeDocument/2006/relationships/hyperlink" Target="https://www.youtube.com/live/xp0K3WVssKY?si=LZW-N2O4nOZbWeQk" TargetMode="External"/><Relationship Id="rId151" Type="http://schemas.openxmlformats.org/officeDocument/2006/relationships/hyperlink" Target="https://www.youtube.com/live/PeAN2eEh-ug?si=Q76LwLkKs-5oX2lF" TargetMode="External"/><Relationship Id="rId156" Type="http://schemas.openxmlformats.org/officeDocument/2006/relationships/hyperlink" Target="https://www.youtube.com/live/G91-yAp1V24?si=KNtrLs71KsSJQ6YV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125" Type="http://schemas.openxmlformats.org/officeDocument/2006/relationships/hyperlink" Target="https://www.youtube.com/live/tbPnXY8S_GQ?si=8PkFk0wPDIc_uL_n" TargetMode="External"/><Relationship Id="rId141" Type="http://schemas.openxmlformats.org/officeDocument/2006/relationships/hyperlink" Target="https://www.youtube.com/live/oAyJDZdA6tE?si=2WnKccc2rn5H72au" TargetMode="External"/><Relationship Id="rId146" Type="http://schemas.openxmlformats.org/officeDocument/2006/relationships/hyperlink" Target="https://www.youtube.com/live/55-fnnXPRQk?si=7zNy10DVwXJ3rxFg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131" Type="http://schemas.openxmlformats.org/officeDocument/2006/relationships/hyperlink" Target="https://www.youtube.com/live/TLhHmBIm5rI?si=VIh-Mx1TlTgHASX4" TargetMode="External"/><Relationship Id="rId136" Type="http://schemas.openxmlformats.org/officeDocument/2006/relationships/hyperlink" Target="https://www.youtube.com/live/kH-eTHQ4Mg0?si=ApJmJgE98kh-4EZM" TargetMode="External"/><Relationship Id="rId157" Type="http://schemas.openxmlformats.org/officeDocument/2006/relationships/hyperlink" Target="https://www.youtube.com/live/Bu9csWjEZX8?si=nJ9zG6seBCTHQymC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52" Type="http://schemas.openxmlformats.org/officeDocument/2006/relationships/hyperlink" Target="https://www.youtube.com/live/UPM7MQfPoU8?si=59I5bWXIdcPJmj6G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126" Type="http://schemas.openxmlformats.org/officeDocument/2006/relationships/hyperlink" Target="https://www.youtube.com/live/3sDTyQ9hCDg?si=pXcH4WBWdJUgF-zq" TargetMode="External"/><Relationship Id="rId147" Type="http://schemas.openxmlformats.org/officeDocument/2006/relationships/hyperlink" Target="https://www.youtube.com/live/ivps1kBiaZY?si=JYr8YoP36SUYaFiy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142" Type="http://schemas.openxmlformats.org/officeDocument/2006/relationships/hyperlink" Target="https://www.youtube.com/live/-LFW7tNdmHY?si=GPUnndjVLQ00wOIS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137" Type="http://schemas.openxmlformats.org/officeDocument/2006/relationships/hyperlink" Target="https://www.youtube.com/live/OColkUKqs90?si=u_QJLT5Paxmg4Fbl" TargetMode="External"/><Relationship Id="rId158" Type="http://schemas.openxmlformats.org/officeDocument/2006/relationships/hyperlink" Target="https://www.youtube.com/live/klsCzXR7fdY?si=mNcCv4SglRHHCRH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32" Type="http://schemas.openxmlformats.org/officeDocument/2006/relationships/hyperlink" Target="https://www.youtube.com/live/svcUFFcJrHE?si=j83cuHNyk6QwuYkQ" TargetMode="External"/><Relationship Id="rId153" Type="http://schemas.openxmlformats.org/officeDocument/2006/relationships/hyperlink" Target="https://www.youtube.com/live/5WLpYh7ET8Q?si=U6vokm2OYMw3HwVF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27" Type="http://schemas.openxmlformats.org/officeDocument/2006/relationships/hyperlink" Target="https://www.youtube.com/live/xKwyAT6ZyDo?si=p8RkryjyMuiiNoGd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Relationship Id="rId143" Type="http://schemas.openxmlformats.org/officeDocument/2006/relationships/hyperlink" Target="https://www.youtube.com/live/v7PBMbLTYgY?si=OvQ1JmPPK8s_zlVm" TargetMode="External"/><Relationship Id="rId148" Type="http://schemas.openxmlformats.org/officeDocument/2006/relationships/hyperlink" Target="https://www.youtube.com/live/eoOU4nEz4Yk?si=whVwZgpMk4twa4IR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26" Type="http://schemas.openxmlformats.org/officeDocument/2006/relationships/hyperlink" Target="https://www.youtube.com/live/T2z_BAhLZz0?si=FZhoxASjxucX4Rxr" TargetMode="External"/><Relationship Id="rId47" Type="http://schemas.openxmlformats.org/officeDocument/2006/relationships/hyperlink" Target="https://www.youtube.com/live/KAbs7kX93bA?si=vH7THkmGBPrjgSu6" TargetMode="External"/><Relationship Id="rId68" Type="http://schemas.openxmlformats.org/officeDocument/2006/relationships/hyperlink" Target="https://www.youtube.com/live/owAk9KYpfsc?si=GaCuKItWZmTM1wnU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33" Type="http://schemas.openxmlformats.org/officeDocument/2006/relationships/hyperlink" Target="https://www.youtube.com/live/CZbn2XcF7qA?si=r-_jc2eVbOWxSTiN" TargetMode="External"/><Relationship Id="rId154" Type="http://schemas.openxmlformats.org/officeDocument/2006/relationships/hyperlink" Target="https://www.youtube.com/live/lZby81fWXVY?si=_wcXehm3GgvfsGSB" TargetMode="External"/><Relationship Id="rId16" Type="http://schemas.openxmlformats.org/officeDocument/2006/relationships/hyperlink" Target="https://www.youtube.com/live/8yfLYQayxQg?si=O0Q0AXQXC39nd7WJ" TargetMode="External"/><Relationship Id="rId37" Type="http://schemas.openxmlformats.org/officeDocument/2006/relationships/hyperlink" Target="https://www.youtube.com/live/wY3z5W9B8N0?si=FVqBjyoCdmcOKFxz" TargetMode="External"/><Relationship Id="rId58" Type="http://schemas.openxmlformats.org/officeDocument/2006/relationships/hyperlink" Target="https://www.youtube.com/live/JdIhEjDJiNU?si=deUnozJNoBNUwf--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144" Type="http://schemas.openxmlformats.org/officeDocument/2006/relationships/hyperlink" Target="https://www.youtube.com/live/CRuz_3IGzcI?si=4zCSejhZNR_9LYe8" TargetMode="External"/><Relationship Id="rId90" Type="http://schemas.openxmlformats.org/officeDocument/2006/relationships/hyperlink" Target="https://www.youtube.com/live/nyXzxG79mwQ?si=kGuFyOuc0o-yNPOU" TargetMode="External"/><Relationship Id="rId27" Type="http://schemas.openxmlformats.org/officeDocument/2006/relationships/hyperlink" Target="https://www.youtube.com/live/OEtLBen9pLM?si=M4WDMSGkkHfWLvDr" TargetMode="External"/><Relationship Id="rId48" Type="http://schemas.openxmlformats.org/officeDocument/2006/relationships/hyperlink" Target="https://www.youtube.com/live/W0IIp67n65c?si=eddcETuQKIrmPcey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34" Type="http://schemas.openxmlformats.org/officeDocument/2006/relationships/hyperlink" Target="https://www.youtube.com/live/0AqoHfYD46E?si=mWOedgt9iLzf5zo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201"/>
  <sheetViews>
    <sheetView tabSelected="1" zoomScaleNormal="100" workbookViewId="0">
      <pane xSplit="1" ySplit="1" topLeftCell="B144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9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9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9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9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9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9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9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9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9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9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9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9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9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9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9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9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9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9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9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9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9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9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9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9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9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9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9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9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9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9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9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9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9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x14ac:dyDescent="0.4">
      <c r="A120" s="14">
        <f t="shared" si="1"/>
        <v>119</v>
      </c>
      <c r="B120" s="15">
        <v>45988</v>
      </c>
      <c r="C120" s="25" t="s">
        <v>2037</v>
      </c>
      <c r="D120" s="19" t="s">
        <v>2038</v>
      </c>
      <c r="F120" s="1" t="s">
        <v>628</v>
      </c>
    </row>
    <row r="121" spans="1:6" x14ac:dyDescent="0.4">
      <c r="A121" s="14">
        <f t="shared" si="1"/>
        <v>120</v>
      </c>
      <c r="B121" s="15">
        <v>45989</v>
      </c>
      <c r="C121" s="25" t="s">
        <v>2051</v>
      </c>
      <c r="D121" s="19" t="s">
        <v>2052</v>
      </c>
      <c r="F121" s="1" t="s">
        <v>628</v>
      </c>
    </row>
    <row r="122" spans="1:6" x14ac:dyDescent="0.4">
      <c r="A122" s="14">
        <f t="shared" si="1"/>
        <v>121</v>
      </c>
      <c r="B122" s="15">
        <v>45990</v>
      </c>
      <c r="C122" s="25" t="s">
        <v>2059</v>
      </c>
      <c r="D122" s="19" t="s">
        <v>2060</v>
      </c>
      <c r="F122" s="1" t="s">
        <v>628</v>
      </c>
    </row>
    <row r="123" spans="1:6" x14ac:dyDescent="0.4">
      <c r="A123" s="14">
        <f t="shared" si="1"/>
        <v>122</v>
      </c>
      <c r="B123" s="15">
        <v>45991</v>
      </c>
      <c r="C123" s="25" t="s">
        <v>2073</v>
      </c>
      <c r="D123" s="19" t="s">
        <v>2074</v>
      </c>
      <c r="F123" s="1" t="s">
        <v>628</v>
      </c>
    </row>
    <row r="124" spans="1:6" x14ac:dyDescent="0.4">
      <c r="A124" s="14">
        <f t="shared" si="1"/>
        <v>123</v>
      </c>
      <c r="B124" s="15">
        <v>45993</v>
      </c>
      <c r="C124" s="25" t="s">
        <v>2103</v>
      </c>
      <c r="D124" s="19" t="s">
        <v>2104</v>
      </c>
      <c r="F124" s="1" t="s">
        <v>628</v>
      </c>
    </row>
    <row r="125" spans="1:6" x14ac:dyDescent="0.4">
      <c r="A125" s="14">
        <f t="shared" si="1"/>
        <v>124</v>
      </c>
      <c r="B125" s="15">
        <v>45995</v>
      </c>
      <c r="C125" s="25" t="s">
        <v>2118</v>
      </c>
      <c r="D125" s="19" t="s">
        <v>2119</v>
      </c>
      <c r="F125" s="1" t="s">
        <v>628</v>
      </c>
    </row>
    <row r="126" spans="1:6" x14ac:dyDescent="0.4">
      <c r="A126" s="14">
        <f t="shared" si="1"/>
        <v>125</v>
      </c>
      <c r="B126" s="15">
        <v>45996</v>
      </c>
      <c r="C126" s="25" t="s">
        <v>2132</v>
      </c>
      <c r="D126" s="19" t="s">
        <v>2133</v>
      </c>
      <c r="F126" s="1" t="s">
        <v>628</v>
      </c>
    </row>
    <row r="127" spans="1:6" x14ac:dyDescent="0.4">
      <c r="A127" s="14">
        <f t="shared" si="1"/>
        <v>126</v>
      </c>
      <c r="B127" s="15">
        <v>46000</v>
      </c>
      <c r="C127" s="25" t="s">
        <v>2150</v>
      </c>
      <c r="D127" s="19" t="s">
        <v>2151</v>
      </c>
      <c r="F127" s="1" t="s">
        <v>628</v>
      </c>
    </row>
    <row r="128" spans="1:6" x14ac:dyDescent="0.4">
      <c r="A128" s="14">
        <f t="shared" si="1"/>
        <v>127</v>
      </c>
      <c r="B128" s="15">
        <v>46001</v>
      </c>
      <c r="C128" s="25" t="s">
        <v>2164</v>
      </c>
      <c r="D128" s="19" t="s">
        <v>2165</v>
      </c>
      <c r="F128" s="1" t="s">
        <v>628</v>
      </c>
    </row>
    <row r="129" spans="1:6" x14ac:dyDescent="0.4">
      <c r="A129" s="14">
        <f t="shared" si="1"/>
        <v>128</v>
      </c>
      <c r="B129" s="15">
        <v>46002</v>
      </c>
      <c r="C129" s="29" t="s">
        <v>2182</v>
      </c>
      <c r="D129" s="19" t="s">
        <v>2183</v>
      </c>
      <c r="F129" s="1" t="s">
        <v>627</v>
      </c>
    </row>
    <row r="130" spans="1:6" x14ac:dyDescent="0.4">
      <c r="A130" s="14">
        <f t="shared" si="1"/>
        <v>129</v>
      </c>
      <c r="B130" s="15">
        <v>46003</v>
      </c>
      <c r="C130" s="25" t="s">
        <v>2184</v>
      </c>
      <c r="D130" s="19" t="s">
        <v>2185</v>
      </c>
      <c r="F130" s="1" t="s">
        <v>628</v>
      </c>
    </row>
    <row r="131" spans="1:6" x14ac:dyDescent="0.4">
      <c r="A131" s="14">
        <f t="shared" ref="A131:A194" si="2">ROW()-1</f>
        <v>130</v>
      </c>
      <c r="B131" s="15">
        <v>46004</v>
      </c>
      <c r="C131" s="29" t="s">
        <v>2202</v>
      </c>
      <c r="D131" s="19" t="s">
        <v>2203</v>
      </c>
      <c r="F131" s="1" t="s">
        <v>627</v>
      </c>
    </row>
    <row r="132" spans="1:6" x14ac:dyDescent="0.4">
      <c r="A132" s="14">
        <f t="shared" si="2"/>
        <v>131</v>
      </c>
      <c r="B132" s="15">
        <v>46005</v>
      </c>
      <c r="C132" s="25" t="s">
        <v>2204</v>
      </c>
      <c r="D132" s="19" t="s">
        <v>2205</v>
      </c>
      <c r="F132" s="1" t="s">
        <v>628</v>
      </c>
    </row>
    <row r="133" spans="1:6" x14ac:dyDescent="0.4">
      <c r="A133" s="14">
        <f t="shared" si="2"/>
        <v>132</v>
      </c>
      <c r="B133" s="15">
        <v>46008</v>
      </c>
      <c r="C133" s="25" t="s">
        <v>2228</v>
      </c>
      <c r="D133" s="19" t="s">
        <v>2229</v>
      </c>
      <c r="F133" s="1" t="s">
        <v>628</v>
      </c>
    </row>
    <row r="134" spans="1:6" x14ac:dyDescent="0.4">
      <c r="A134" s="14">
        <f t="shared" si="2"/>
        <v>133</v>
      </c>
      <c r="B134" s="15">
        <v>46009</v>
      </c>
      <c r="C134" s="29" t="s">
        <v>2243</v>
      </c>
      <c r="D134" s="19" t="s">
        <v>2244</v>
      </c>
      <c r="F134" s="1" t="s">
        <v>627</v>
      </c>
    </row>
    <row r="135" spans="1:6" x14ac:dyDescent="0.4">
      <c r="A135" s="14">
        <f t="shared" si="2"/>
        <v>134</v>
      </c>
      <c r="B135" s="15">
        <v>46009</v>
      </c>
      <c r="C135" s="25" t="s">
        <v>2245</v>
      </c>
      <c r="D135" s="19" t="s">
        <v>2246</v>
      </c>
      <c r="F135" s="1" t="s">
        <v>628</v>
      </c>
    </row>
    <row r="136" spans="1:6" x14ac:dyDescent="0.4">
      <c r="A136" s="14">
        <f t="shared" si="2"/>
        <v>135</v>
      </c>
      <c r="B136" s="15">
        <v>46010</v>
      </c>
      <c r="C136" s="25" t="s">
        <v>2268</v>
      </c>
      <c r="D136" s="19" t="s">
        <v>2269</v>
      </c>
      <c r="F136" s="1" t="s">
        <v>628</v>
      </c>
    </row>
    <row r="137" spans="1:6" x14ac:dyDescent="0.4">
      <c r="A137" s="14">
        <f t="shared" si="2"/>
        <v>136</v>
      </c>
      <c r="B137" s="15">
        <v>46011</v>
      </c>
      <c r="C137" s="29" t="s">
        <v>2294</v>
      </c>
      <c r="D137" s="19" t="s">
        <v>2295</v>
      </c>
      <c r="F137" s="1" t="s">
        <v>627</v>
      </c>
    </row>
    <row r="138" spans="1:6" x14ac:dyDescent="0.4">
      <c r="A138" s="14">
        <f t="shared" si="2"/>
        <v>137</v>
      </c>
      <c r="B138" s="15">
        <v>46012</v>
      </c>
      <c r="C138" s="25" t="s">
        <v>2296</v>
      </c>
      <c r="D138" s="19" t="s">
        <v>2304</v>
      </c>
      <c r="F138" s="1" t="s">
        <v>628</v>
      </c>
    </row>
    <row r="139" spans="1:6" x14ac:dyDescent="0.4">
      <c r="A139" s="14">
        <f t="shared" si="2"/>
        <v>138</v>
      </c>
      <c r="B139" s="28">
        <v>46015</v>
      </c>
      <c r="C139" s="29" t="s">
        <v>2305</v>
      </c>
      <c r="D139" s="19" t="s">
        <v>2306</v>
      </c>
      <c r="F139" s="1" t="s">
        <v>627</v>
      </c>
    </row>
    <row r="140" spans="1:6" x14ac:dyDescent="0.4">
      <c r="A140" s="14">
        <f t="shared" si="2"/>
        <v>139</v>
      </c>
      <c r="B140" s="15">
        <v>46016</v>
      </c>
      <c r="C140" s="29" t="s">
        <v>2307</v>
      </c>
      <c r="D140" s="19" t="s">
        <v>2308</v>
      </c>
      <c r="F140" s="1" t="s">
        <v>627</v>
      </c>
    </row>
    <row r="141" spans="1:6" x14ac:dyDescent="0.4">
      <c r="A141" s="14">
        <f t="shared" si="2"/>
        <v>140</v>
      </c>
      <c r="B141" s="15">
        <v>46016</v>
      </c>
      <c r="C141" s="25" t="s">
        <v>2309</v>
      </c>
      <c r="D141" s="19" t="s">
        <v>2310</v>
      </c>
      <c r="F141" s="1" t="s">
        <v>628</v>
      </c>
    </row>
    <row r="142" spans="1:6" x14ac:dyDescent="0.4">
      <c r="A142" s="14">
        <f t="shared" si="2"/>
        <v>141</v>
      </c>
      <c r="B142" s="15">
        <v>46017</v>
      </c>
      <c r="C142" s="25" t="s">
        <v>2328</v>
      </c>
      <c r="D142" s="19" t="s">
        <v>2329</v>
      </c>
      <c r="F142" s="1" t="s">
        <v>628</v>
      </c>
    </row>
    <row r="143" spans="1:6" x14ac:dyDescent="0.4">
      <c r="A143" s="14">
        <f t="shared" si="2"/>
        <v>142</v>
      </c>
      <c r="B143" s="15">
        <v>46018</v>
      </c>
      <c r="C143" s="25" t="s">
        <v>2345</v>
      </c>
      <c r="D143" s="19" t="s">
        <v>2346</v>
      </c>
      <c r="F143" s="1" t="s">
        <v>628</v>
      </c>
    </row>
    <row r="144" spans="1:6" x14ac:dyDescent="0.4">
      <c r="A144" s="14">
        <f t="shared" si="2"/>
        <v>143</v>
      </c>
      <c r="B144" s="15">
        <v>46019</v>
      </c>
      <c r="C144" s="29" t="s">
        <v>2358</v>
      </c>
      <c r="D144" s="19" t="s">
        <v>2359</v>
      </c>
      <c r="F144" s="1" t="s">
        <v>627</v>
      </c>
    </row>
    <row r="145" spans="1:6" ht="31.5" x14ac:dyDescent="0.4">
      <c r="A145" s="14">
        <f t="shared" si="2"/>
        <v>144</v>
      </c>
      <c r="B145" s="15">
        <v>46019</v>
      </c>
      <c r="C145" s="25" t="s">
        <v>2361</v>
      </c>
      <c r="D145" s="19" t="s">
        <v>2362</v>
      </c>
      <c r="F145" s="1" t="s">
        <v>628</v>
      </c>
    </row>
    <row r="146" spans="1:6" x14ac:dyDescent="0.4">
      <c r="A146" s="14">
        <f t="shared" si="2"/>
        <v>145</v>
      </c>
      <c r="B146" s="28">
        <v>46021</v>
      </c>
      <c r="C146" s="29" t="s">
        <v>2360</v>
      </c>
      <c r="D146" s="19" t="s">
        <v>2363</v>
      </c>
      <c r="F146" s="1" t="s">
        <v>627</v>
      </c>
    </row>
    <row r="147" spans="1:6" x14ac:dyDescent="0.4">
      <c r="A147" s="14">
        <f t="shared" si="2"/>
        <v>146</v>
      </c>
      <c r="B147" s="15">
        <v>46026</v>
      </c>
      <c r="C147" s="25" t="s">
        <v>2373</v>
      </c>
      <c r="D147" s="19" t="s">
        <v>2374</v>
      </c>
      <c r="F147" s="1" t="s">
        <v>627</v>
      </c>
    </row>
    <row r="148" spans="1:6" x14ac:dyDescent="0.4">
      <c r="A148" s="14">
        <f t="shared" si="2"/>
        <v>147</v>
      </c>
      <c r="B148" s="15">
        <v>46029</v>
      </c>
      <c r="C148" s="25" t="s">
        <v>2375</v>
      </c>
      <c r="D148" s="19" t="s">
        <v>2376</v>
      </c>
      <c r="F148" s="1" t="s">
        <v>628</v>
      </c>
    </row>
    <row r="149" spans="1:6" x14ac:dyDescent="0.4">
      <c r="A149" s="14">
        <f t="shared" si="2"/>
        <v>148</v>
      </c>
      <c r="B149" s="15">
        <v>46030</v>
      </c>
      <c r="C149" s="25" t="s">
        <v>2397</v>
      </c>
      <c r="D149" s="19" t="s">
        <v>2398</v>
      </c>
      <c r="F149" s="1" t="s">
        <v>628</v>
      </c>
    </row>
    <row r="150" spans="1:6" ht="16.5" x14ac:dyDescent="0.4">
      <c r="A150" s="14">
        <f t="shared" si="2"/>
        <v>149</v>
      </c>
      <c r="B150" s="15">
        <v>46031</v>
      </c>
      <c r="C150" s="25" t="s">
        <v>2404</v>
      </c>
      <c r="D150" s="19" t="s">
        <v>2405</v>
      </c>
      <c r="F150" s="1" t="s">
        <v>627</v>
      </c>
    </row>
    <row r="151" spans="1:6" x14ac:dyDescent="0.4">
      <c r="A151" s="14">
        <f t="shared" si="2"/>
        <v>150</v>
      </c>
      <c r="B151" s="15">
        <v>46032</v>
      </c>
      <c r="C151" s="25" t="s">
        <v>2414</v>
      </c>
      <c r="D151" s="19" t="s">
        <v>2415</v>
      </c>
      <c r="F151" s="1" t="s">
        <v>627</v>
      </c>
    </row>
    <row r="152" spans="1:6" x14ac:dyDescent="0.4">
      <c r="A152" s="14">
        <f t="shared" si="2"/>
        <v>151</v>
      </c>
      <c r="B152" s="15">
        <v>46033</v>
      </c>
      <c r="C152" s="25" t="s">
        <v>2416</v>
      </c>
      <c r="D152" s="19" t="s">
        <v>2417</v>
      </c>
      <c r="F152" s="1" t="s">
        <v>628</v>
      </c>
    </row>
    <row r="153" spans="1:6" x14ac:dyDescent="0.4">
      <c r="A153" s="14">
        <f t="shared" si="2"/>
        <v>152</v>
      </c>
      <c r="B153" s="15">
        <v>46035</v>
      </c>
      <c r="C153" s="25" t="s">
        <v>2441</v>
      </c>
      <c r="D153" s="19" t="s">
        <v>2442</v>
      </c>
      <c r="F153" s="1" t="s">
        <v>627</v>
      </c>
    </row>
    <row r="154" spans="1:6" x14ac:dyDescent="0.4">
      <c r="A154" s="14">
        <f t="shared" si="2"/>
        <v>153</v>
      </c>
      <c r="B154" s="15">
        <v>46036</v>
      </c>
      <c r="C154" s="25" t="s">
        <v>2443</v>
      </c>
      <c r="D154" s="19" t="s">
        <v>2444</v>
      </c>
      <c r="F154" s="1" t="s">
        <v>629</v>
      </c>
    </row>
    <row r="155" spans="1:6" x14ac:dyDescent="0.4">
      <c r="A155" s="14">
        <f t="shared" si="2"/>
        <v>154</v>
      </c>
      <c r="B155" s="15">
        <v>46044</v>
      </c>
      <c r="C155" s="25" t="s">
        <v>2469</v>
      </c>
      <c r="D155" s="19" t="s">
        <v>2470</v>
      </c>
      <c r="F155" s="1" t="s">
        <v>628</v>
      </c>
    </row>
    <row r="156" spans="1:6" x14ac:dyDescent="0.4">
      <c r="A156" s="14">
        <f t="shared" si="2"/>
        <v>155</v>
      </c>
      <c r="B156" s="15">
        <v>46045</v>
      </c>
      <c r="C156" s="25" t="s">
        <v>2494</v>
      </c>
      <c r="D156" s="19" t="s">
        <v>2487</v>
      </c>
      <c r="F156" s="1" t="s">
        <v>627</v>
      </c>
    </row>
    <row r="157" spans="1:6" ht="31.5" x14ac:dyDescent="0.4">
      <c r="A157" s="14">
        <f t="shared" si="2"/>
        <v>156</v>
      </c>
      <c r="B157" s="15">
        <v>46046</v>
      </c>
      <c r="C157" s="25" t="s">
        <v>2493</v>
      </c>
      <c r="D157" s="19" t="s">
        <v>2488</v>
      </c>
      <c r="F157" s="1" t="s">
        <v>627</v>
      </c>
    </row>
    <row r="158" spans="1:6" x14ac:dyDescent="0.4">
      <c r="A158" s="14">
        <f t="shared" si="2"/>
        <v>157</v>
      </c>
      <c r="B158" s="15">
        <v>46047</v>
      </c>
      <c r="C158" s="25" t="s">
        <v>2492</v>
      </c>
      <c r="D158" s="19" t="s">
        <v>2495</v>
      </c>
      <c r="F158" s="1" t="s">
        <v>628</v>
      </c>
    </row>
    <row r="159" spans="1:6" ht="31.5" x14ac:dyDescent="0.4">
      <c r="A159" s="14">
        <f t="shared" si="2"/>
        <v>158</v>
      </c>
      <c r="B159" s="15">
        <v>46048</v>
      </c>
      <c r="C159" s="25" t="s">
        <v>2523</v>
      </c>
      <c r="D159" s="19" t="s">
        <v>2524</v>
      </c>
      <c r="F159" s="1" t="s">
        <v>629</v>
      </c>
    </row>
    <row r="160" spans="1:6" x14ac:dyDescent="0.4">
      <c r="A160" s="14">
        <f t="shared" si="2"/>
        <v>159</v>
      </c>
      <c r="B160" s="14"/>
      <c r="C160" s="25"/>
      <c r="D160" s="14"/>
    </row>
    <row r="161" spans="1:4" x14ac:dyDescent="0.4">
      <c r="A161" s="14">
        <f t="shared" si="2"/>
        <v>160</v>
      </c>
      <c r="B161" s="14"/>
      <c r="C161" s="25"/>
      <c r="D161" s="14"/>
    </row>
    <row r="162" spans="1:4" x14ac:dyDescent="0.4">
      <c r="A162" s="14">
        <f t="shared" si="2"/>
        <v>161</v>
      </c>
      <c r="B162" s="14"/>
      <c r="C162" s="25"/>
      <c r="D162" s="14"/>
    </row>
    <row r="163" spans="1:4" x14ac:dyDescent="0.4">
      <c r="A163" s="14">
        <f t="shared" si="2"/>
        <v>162</v>
      </c>
      <c r="B163" s="14"/>
      <c r="C163" s="25"/>
      <c r="D163" s="14"/>
    </row>
    <row r="164" spans="1:4" x14ac:dyDescent="0.4">
      <c r="A164" s="14">
        <f t="shared" si="2"/>
        <v>163</v>
      </c>
      <c r="B164" s="14"/>
      <c r="C164" s="25"/>
      <c r="D164" s="14"/>
    </row>
    <row r="165" spans="1:4" x14ac:dyDescent="0.4">
      <c r="A165" s="14">
        <f t="shared" si="2"/>
        <v>164</v>
      </c>
      <c r="B165" s="14"/>
      <c r="C165" s="25"/>
      <c r="D165" s="14"/>
    </row>
    <row r="166" spans="1:4" x14ac:dyDescent="0.4">
      <c r="A166" s="14">
        <f t="shared" si="2"/>
        <v>165</v>
      </c>
      <c r="B166" s="14"/>
      <c r="C166" s="25"/>
      <c r="D166" s="14"/>
    </row>
    <row r="167" spans="1:4" x14ac:dyDescent="0.4">
      <c r="A167" s="14">
        <f t="shared" si="2"/>
        <v>166</v>
      </c>
      <c r="B167" s="14"/>
      <c r="C167" s="25"/>
      <c r="D167" s="14"/>
    </row>
    <row r="168" spans="1:4" x14ac:dyDescent="0.4">
      <c r="A168" s="14">
        <f t="shared" si="2"/>
        <v>167</v>
      </c>
      <c r="B168" s="14"/>
      <c r="C168" s="25"/>
      <c r="D168" s="14"/>
    </row>
    <row r="169" spans="1:4" x14ac:dyDescent="0.4">
      <c r="A169" s="14">
        <f t="shared" si="2"/>
        <v>168</v>
      </c>
      <c r="B169" s="14"/>
      <c r="C169" s="25"/>
      <c r="D169" s="14"/>
    </row>
    <row r="170" spans="1:4" x14ac:dyDescent="0.4">
      <c r="A170" s="14">
        <f t="shared" si="2"/>
        <v>169</v>
      </c>
      <c r="B170" s="14"/>
      <c r="C170" s="25"/>
      <c r="D170" s="14"/>
    </row>
    <row r="171" spans="1:4" x14ac:dyDescent="0.4">
      <c r="A171" s="14">
        <f t="shared" si="2"/>
        <v>170</v>
      </c>
      <c r="B171" s="14"/>
      <c r="C171" s="25"/>
      <c r="D171" s="14"/>
    </row>
    <row r="172" spans="1:4" x14ac:dyDescent="0.4">
      <c r="A172" s="14">
        <f t="shared" si="2"/>
        <v>171</v>
      </c>
      <c r="B172" s="14"/>
      <c r="C172" s="25"/>
      <c r="D172" s="14"/>
    </row>
    <row r="173" spans="1:4" x14ac:dyDescent="0.4">
      <c r="A173" s="14">
        <f t="shared" si="2"/>
        <v>172</v>
      </c>
      <c r="B173" s="14"/>
      <c r="C173" s="25"/>
      <c r="D173" s="14"/>
    </row>
    <row r="174" spans="1:4" x14ac:dyDescent="0.4">
      <c r="A174" s="14">
        <f t="shared" si="2"/>
        <v>173</v>
      </c>
      <c r="B174" s="14"/>
      <c r="C174" s="25"/>
      <c r="D174" s="14"/>
    </row>
    <row r="175" spans="1:4" x14ac:dyDescent="0.4">
      <c r="A175" s="14">
        <f t="shared" si="2"/>
        <v>174</v>
      </c>
      <c r="B175" s="14"/>
      <c r="C175" s="25"/>
      <c r="D175" s="14"/>
    </row>
    <row r="176" spans="1:4" x14ac:dyDescent="0.4">
      <c r="A176" s="14">
        <f t="shared" si="2"/>
        <v>175</v>
      </c>
      <c r="B176" s="14"/>
      <c r="C176" s="25"/>
      <c r="D176" s="14"/>
    </row>
    <row r="177" spans="1:4" x14ac:dyDescent="0.4">
      <c r="A177" s="14">
        <f t="shared" si="2"/>
        <v>176</v>
      </c>
      <c r="B177" s="14"/>
      <c r="C177" s="25"/>
      <c r="D177" s="14"/>
    </row>
    <row r="178" spans="1:4" x14ac:dyDescent="0.4">
      <c r="A178" s="14">
        <f t="shared" si="2"/>
        <v>177</v>
      </c>
      <c r="B178" s="14"/>
      <c r="C178" s="25"/>
      <c r="D178" s="14"/>
    </row>
    <row r="179" spans="1:4" x14ac:dyDescent="0.4">
      <c r="A179" s="14">
        <f t="shared" si="2"/>
        <v>178</v>
      </c>
      <c r="B179" s="14"/>
      <c r="C179" s="25"/>
      <c r="D179" s="14"/>
    </row>
    <row r="180" spans="1:4" x14ac:dyDescent="0.4">
      <c r="A180" s="14">
        <f t="shared" si="2"/>
        <v>179</v>
      </c>
      <c r="B180" s="14"/>
      <c r="C180" s="25"/>
      <c r="D180" s="14"/>
    </row>
    <row r="181" spans="1:4" x14ac:dyDescent="0.4">
      <c r="A181" s="14">
        <f t="shared" si="2"/>
        <v>180</v>
      </c>
      <c r="B181" s="14"/>
      <c r="C181" s="25"/>
      <c r="D181" s="14"/>
    </row>
    <row r="182" spans="1:4" x14ac:dyDescent="0.4">
      <c r="A182" s="14">
        <f t="shared" si="2"/>
        <v>181</v>
      </c>
      <c r="B182" s="14"/>
      <c r="C182" s="25"/>
      <c r="D182" s="14"/>
    </row>
    <row r="183" spans="1:4" x14ac:dyDescent="0.4">
      <c r="A183" s="14">
        <f t="shared" si="2"/>
        <v>182</v>
      </c>
      <c r="B183" s="14"/>
      <c r="C183" s="25"/>
      <c r="D183" s="14"/>
    </row>
    <row r="184" spans="1:4" x14ac:dyDescent="0.4">
      <c r="A184" s="14">
        <f t="shared" si="2"/>
        <v>183</v>
      </c>
      <c r="B184" s="14"/>
      <c r="C184" s="25"/>
      <c r="D184" s="14"/>
    </row>
    <row r="185" spans="1:4" x14ac:dyDescent="0.4">
      <c r="A185" s="14">
        <f t="shared" si="2"/>
        <v>184</v>
      </c>
      <c r="B185" s="14"/>
      <c r="C185" s="25"/>
      <c r="D185" s="14"/>
    </row>
    <row r="186" spans="1:4" x14ac:dyDescent="0.4">
      <c r="A186" s="14">
        <f t="shared" si="2"/>
        <v>185</v>
      </c>
      <c r="B186" s="14"/>
      <c r="C186" s="25"/>
      <c r="D186" s="14"/>
    </row>
    <row r="187" spans="1:4" x14ac:dyDescent="0.4">
      <c r="A187" s="14">
        <f t="shared" si="2"/>
        <v>186</v>
      </c>
      <c r="B187" s="14"/>
      <c r="C187" s="25"/>
      <c r="D187" s="14"/>
    </row>
    <row r="188" spans="1:4" x14ac:dyDescent="0.4">
      <c r="A188" s="14">
        <f t="shared" si="2"/>
        <v>187</v>
      </c>
      <c r="B188" s="14"/>
      <c r="C188" s="25"/>
      <c r="D188" s="14"/>
    </row>
    <row r="189" spans="1:4" x14ac:dyDescent="0.4">
      <c r="A189" s="14">
        <f t="shared" si="2"/>
        <v>188</v>
      </c>
      <c r="B189" s="14"/>
      <c r="C189" s="25"/>
      <c r="D189" s="14"/>
    </row>
    <row r="190" spans="1:4" x14ac:dyDescent="0.4">
      <c r="A190" s="14">
        <f t="shared" si="2"/>
        <v>189</v>
      </c>
      <c r="B190" s="14"/>
      <c r="C190" s="25"/>
      <c r="D190" s="14"/>
    </row>
    <row r="191" spans="1:4" x14ac:dyDescent="0.4">
      <c r="A191" s="14">
        <f t="shared" si="2"/>
        <v>190</v>
      </c>
      <c r="B191" s="14"/>
      <c r="C191" s="25"/>
      <c r="D191" s="14"/>
    </row>
    <row r="192" spans="1:4" x14ac:dyDescent="0.4">
      <c r="A192" s="14">
        <f t="shared" si="2"/>
        <v>191</v>
      </c>
      <c r="B192" s="14"/>
      <c r="C192" s="25"/>
      <c r="D192" s="14"/>
    </row>
    <row r="193" spans="1:4" x14ac:dyDescent="0.4">
      <c r="A193" s="14">
        <f t="shared" si="2"/>
        <v>192</v>
      </c>
      <c r="B193" s="14"/>
      <c r="C193" s="25"/>
      <c r="D193" s="14"/>
    </row>
    <row r="194" spans="1:4" x14ac:dyDescent="0.4">
      <c r="A194" s="14">
        <f t="shared" si="2"/>
        <v>193</v>
      </c>
      <c r="B194" s="14"/>
      <c r="C194" s="25"/>
      <c r="D194" s="14"/>
    </row>
    <row r="195" spans="1:4" x14ac:dyDescent="0.4">
      <c r="A195" s="14">
        <f t="shared" ref="A195:A201" si="3">ROW()-1</f>
        <v>194</v>
      </c>
      <c r="B195" s="14"/>
      <c r="C195" s="25"/>
      <c r="D195" s="14"/>
    </row>
    <row r="196" spans="1:4" x14ac:dyDescent="0.4">
      <c r="A196" s="14">
        <f t="shared" si="3"/>
        <v>195</v>
      </c>
      <c r="B196" s="14"/>
      <c r="C196" s="25"/>
      <c r="D196" s="14"/>
    </row>
    <row r="197" spans="1:4" x14ac:dyDescent="0.4">
      <c r="A197" s="14">
        <f t="shared" si="3"/>
        <v>196</v>
      </c>
      <c r="B197" s="14"/>
      <c r="C197" s="25"/>
      <c r="D197" s="14"/>
    </row>
    <row r="198" spans="1:4" x14ac:dyDescent="0.4">
      <c r="A198" s="14">
        <f t="shared" si="3"/>
        <v>197</v>
      </c>
      <c r="B198" s="14"/>
      <c r="C198" s="25"/>
      <c r="D198" s="14"/>
    </row>
    <row r="199" spans="1:4" x14ac:dyDescent="0.4">
      <c r="A199" s="14">
        <f t="shared" si="3"/>
        <v>198</v>
      </c>
      <c r="B199" s="14"/>
      <c r="C199" s="25"/>
      <c r="D199" s="14"/>
    </row>
    <row r="200" spans="1:4" x14ac:dyDescent="0.4">
      <c r="A200" s="14">
        <f t="shared" si="3"/>
        <v>199</v>
      </c>
      <c r="B200" s="14"/>
      <c r="C200" s="25"/>
      <c r="D200" s="14"/>
    </row>
    <row r="201" spans="1:4" x14ac:dyDescent="0.4">
      <c r="A201" s="14">
        <f t="shared" si="3"/>
        <v>200</v>
      </c>
      <c r="B201" s="14"/>
      <c r="C201" s="25"/>
      <c r="D201" s="14"/>
    </row>
  </sheetData>
  <autoFilter ref="A1:F16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  <hyperlink ref="D125" r:id="rId124" xr:uid="{51653F5C-E2E0-43D4-903D-9213272AF0F2}"/>
    <hyperlink ref="D126" r:id="rId125" xr:uid="{B0D7FA67-57B1-4A4F-83F0-357E60CD72FF}"/>
    <hyperlink ref="D127" r:id="rId126" xr:uid="{25246C23-ADE2-4370-9D2B-7CC21BCF2257}"/>
    <hyperlink ref="D128" r:id="rId127" xr:uid="{1386682D-90D7-4317-A6BE-7BBFFA52CBEF}"/>
    <hyperlink ref="D129" r:id="rId128" xr:uid="{18285BB0-577D-49B5-A32D-E5C7CBAF692E}"/>
    <hyperlink ref="D130" r:id="rId129" xr:uid="{DEE99C14-74BC-441B-B2D1-0E6E78BCBEA8}"/>
    <hyperlink ref="D131" r:id="rId130" xr:uid="{488A132C-B0AF-43D7-BE73-5AD54F34F003}"/>
    <hyperlink ref="D132" r:id="rId131" xr:uid="{E3978D23-4D03-49E6-BCE9-2734E7621738}"/>
    <hyperlink ref="D133" r:id="rId132" xr:uid="{03C57F93-1EFA-4FFA-BFC5-D1B3A13E5B46}"/>
    <hyperlink ref="D134" r:id="rId133" xr:uid="{75E548E5-82D6-4B2C-88E6-618E49FCAEA4}"/>
    <hyperlink ref="D135" r:id="rId134" xr:uid="{0FB22C23-8EE1-4A1A-AA12-C5559F4130C3}"/>
    <hyperlink ref="D136" r:id="rId135" xr:uid="{DB36148C-062F-4AC6-BB22-9DBE20B3D3D6}"/>
    <hyperlink ref="D137" r:id="rId136" xr:uid="{4E1FACE8-0F8D-41BA-B6EC-389E9428D438}"/>
    <hyperlink ref="D138" r:id="rId137" xr:uid="{DFA34231-673B-41A8-BDC9-BFA127E5BDA9}"/>
    <hyperlink ref="D139" r:id="rId138" xr:uid="{63396F28-74D3-49F2-9191-5589251D5332}"/>
    <hyperlink ref="D140" r:id="rId139" xr:uid="{8479B9C0-30FE-496D-B5B4-61B7DF381061}"/>
    <hyperlink ref="D141" r:id="rId140" xr:uid="{76462A95-D2B1-4F0C-BEE6-C8CEEFE204AC}"/>
    <hyperlink ref="D142" r:id="rId141" xr:uid="{6675AFC2-C766-4753-8CC6-92B863BBEAA2}"/>
    <hyperlink ref="D143" r:id="rId142" xr:uid="{D23682F8-3F6E-4FD2-93AE-8B3C388797EE}"/>
    <hyperlink ref="D144" r:id="rId143" xr:uid="{0CB59F1D-A4BF-416D-B8F8-3616350CD1E2}"/>
    <hyperlink ref="D145" r:id="rId144" xr:uid="{ED346E33-71CA-49A6-8687-778224D80A08}"/>
    <hyperlink ref="D146" r:id="rId145" xr:uid="{9978D53E-FC38-4B9A-8DAE-2705E1DD7F89}"/>
    <hyperlink ref="D147" r:id="rId146" xr:uid="{729E1DA2-922A-4F61-8C4B-C6643C6F6C66}"/>
    <hyperlink ref="D148" r:id="rId147" xr:uid="{F108337A-668F-4DBE-B5F8-55618D3C3E1E}"/>
    <hyperlink ref="D149" r:id="rId148" xr:uid="{761AF7B4-200F-48AB-8BD5-DE27F30B0194}"/>
    <hyperlink ref="D150" r:id="rId149" xr:uid="{C5DE4647-4417-4386-AFD7-64A8B3AAF28C}"/>
    <hyperlink ref="D151" r:id="rId150" xr:uid="{56A10DD2-7F91-4739-A64D-E79CDFE814E7}"/>
    <hyperlink ref="D152" r:id="rId151" xr:uid="{8653A927-BB8F-433D-A62B-B58326997E2E}"/>
    <hyperlink ref="D153" r:id="rId152" xr:uid="{ABEDC85A-98A9-4C27-B1B8-13EFBC29EB86}"/>
    <hyperlink ref="D154" r:id="rId153" xr:uid="{816F7237-02CC-423E-A706-F7C64B4DFD51}"/>
    <hyperlink ref="D155" r:id="rId154" xr:uid="{38F68D24-EB3B-4609-A9D7-55198A25E54E}"/>
    <hyperlink ref="D156" r:id="rId155" xr:uid="{3169361A-5325-4826-B85A-F37511EAE7EE}"/>
    <hyperlink ref="D157" r:id="rId156" xr:uid="{E0561DD6-8834-49C5-BC0D-F9F74F85D20D}"/>
    <hyperlink ref="D158" r:id="rId157" xr:uid="{9F60D4D0-5666-47E8-ACF8-A3D7700A08F1}"/>
    <hyperlink ref="D159" r:id="rId158" xr:uid="{7B2C22FA-79DA-4DE7-A9BF-E29637C46319}"/>
  </hyperlinks>
  <pageMargins left="0.7" right="0.7" top="0.75" bottom="0.75" header="0.3" footer="0.3"/>
  <pageSetup paperSize="9" orientation="portrait" r:id="rId15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600"/>
  <sheetViews>
    <sheetView zoomScaleNormal="100" workbookViewId="0">
      <pane xSplit="1" ySplit="1" topLeftCell="B1191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>
        <v>124</v>
      </c>
      <c r="C938" s="21" t="s">
        <v>2120</v>
      </c>
      <c r="D938" s="14" t="s">
        <v>2121</v>
      </c>
      <c r="E938" s="14" t="s">
        <v>730</v>
      </c>
      <c r="G938" s="1" t="str">
        <f>_xlfn.XLOOKUP(B938,M_YT_LIVE!A:A,M_YT_LIVE!F:F,"ERROR",0,1)</f>
        <v>弾き語り</v>
      </c>
      <c r="W938" s="13">
        <f t="shared" si="44"/>
        <v>336</v>
      </c>
      <c r="X938" s="12" t="str">
        <f>_xlfn.XLOOKUP($B938,M_YT_LIVE!$A:$A,M_YT_LIVE!$D:$D)</f>
        <v>https://www.youtube.com/live/DCABx3RjHlk?si=2kjkclC-U2asQNr-</v>
      </c>
      <c r="Z938" s="16" t="str">
        <f>HYPERLINK($X938&amp;SUBSTITUTE(マスタ!$C$3,"XXXXX",$W938))</f>
        <v>https://www.youtube.com/live/DCABx3RjHlk?si=2kjkclC-U2asQNr-&amp;t=336s</v>
      </c>
      <c r="AA938" s="12" t="str">
        <f t="shared" si="45"/>
        <v>Mrs. GREEN APPLEアウフヘーベン</v>
      </c>
    </row>
    <row r="939" spans="1:27" x14ac:dyDescent="0.4">
      <c r="A939" s="14">
        <f t="shared" si="46"/>
        <v>938</v>
      </c>
      <c r="B939" s="14">
        <v>124</v>
      </c>
      <c r="C939" s="21" t="s">
        <v>2122</v>
      </c>
      <c r="D939" s="14" t="s">
        <v>2123</v>
      </c>
      <c r="E939" s="14" t="s">
        <v>730</v>
      </c>
      <c r="G939" s="1" t="str">
        <f>_xlfn.XLOOKUP(B939,M_YT_LIVE!A:A,M_YT_LIVE!F:F,"ERROR",0,1)</f>
        <v>弾き語り</v>
      </c>
      <c r="W939" s="13">
        <f t="shared" si="44"/>
        <v>774</v>
      </c>
      <c r="X939" s="12" t="str">
        <f>_xlfn.XLOOKUP($B939,M_YT_LIVE!$A:$A,M_YT_LIVE!$D:$D)</f>
        <v>https://www.youtube.com/live/DCABx3RjHlk?si=2kjkclC-U2asQNr-</v>
      </c>
      <c r="Z939" s="16" t="str">
        <f>HYPERLINK($X939&amp;SUBSTITUTE(マスタ!$C$3,"XXXXX",$W939))</f>
        <v>https://www.youtube.com/live/DCABx3RjHlk?si=2kjkclC-U2asQNr-&amp;t=774s</v>
      </c>
      <c r="AA939" s="12" t="str">
        <f t="shared" si="45"/>
        <v>Mrs. GREEN APPLEインフェルノ</v>
      </c>
    </row>
    <row r="940" spans="1:27" x14ac:dyDescent="0.4">
      <c r="A940" s="14">
        <f t="shared" si="46"/>
        <v>939</v>
      </c>
      <c r="B940" s="14">
        <v>124</v>
      </c>
      <c r="C940" s="21" t="s">
        <v>2124</v>
      </c>
      <c r="D940" s="14" t="s">
        <v>2125</v>
      </c>
      <c r="E940" s="14" t="s">
        <v>730</v>
      </c>
      <c r="G940" s="1" t="str">
        <f>_xlfn.XLOOKUP(B940,M_YT_LIVE!A:A,M_YT_LIVE!F:F,"ERROR",0,1)</f>
        <v>弾き語り</v>
      </c>
      <c r="W940" s="13">
        <f t="shared" si="44"/>
        <v>1281</v>
      </c>
      <c r="X940" s="12" t="str">
        <f>_xlfn.XLOOKUP($B940,M_YT_LIVE!$A:$A,M_YT_LIVE!$D:$D)</f>
        <v>https://www.youtube.com/live/DCABx3RjHlk?si=2kjkclC-U2asQNr-</v>
      </c>
      <c r="Z940" s="16" t="str">
        <f>HYPERLINK($X940&amp;SUBSTITUTE(マスタ!$C$3,"XXXXX",$W940))</f>
        <v>https://www.youtube.com/live/DCABx3RjHlk?si=2kjkclC-U2asQNr-&amp;t=1281s</v>
      </c>
      <c r="AA940" s="12" t="str">
        <f t="shared" si="45"/>
        <v>Mrs. GREEN APPLESpeaking</v>
      </c>
    </row>
    <row r="941" spans="1:27" x14ac:dyDescent="0.4">
      <c r="A941" s="14">
        <f t="shared" si="46"/>
        <v>940</v>
      </c>
      <c r="B941" s="14">
        <v>124</v>
      </c>
      <c r="C941" s="21" t="s">
        <v>1473</v>
      </c>
      <c r="D941" s="14" t="s">
        <v>2126</v>
      </c>
      <c r="E941" s="14" t="s">
        <v>730</v>
      </c>
      <c r="G941" s="1" t="str">
        <f>_xlfn.XLOOKUP(B941,M_YT_LIVE!A:A,M_YT_LIVE!F:F,"ERROR",0,1)</f>
        <v>弾き語り</v>
      </c>
      <c r="W941" s="13">
        <f t="shared" si="44"/>
        <v>1790</v>
      </c>
      <c r="X941" s="12" t="str">
        <f>_xlfn.XLOOKUP($B941,M_YT_LIVE!$A:$A,M_YT_LIVE!$D:$D)</f>
        <v>https://www.youtube.com/live/DCABx3RjHlk?si=2kjkclC-U2asQNr-</v>
      </c>
      <c r="Z941" s="16" t="str">
        <f>HYPERLINK($X941&amp;SUBSTITUTE(マスタ!$C$3,"XXXXX",$W941))</f>
        <v>https://www.youtube.com/live/DCABx3RjHlk?si=2kjkclC-U2asQNr-&amp;t=1790s</v>
      </c>
      <c r="AA941" s="12" t="str">
        <f t="shared" si="45"/>
        <v>Mrs. GREEN APPLEWanteD! WanteD!</v>
      </c>
    </row>
    <row r="942" spans="1:27" x14ac:dyDescent="0.4">
      <c r="A942" s="14">
        <f t="shared" si="46"/>
        <v>941</v>
      </c>
      <c r="B942" s="14">
        <v>124</v>
      </c>
      <c r="C942" s="21" t="s">
        <v>2127</v>
      </c>
      <c r="D942" s="14" t="s">
        <v>2128</v>
      </c>
      <c r="E942" s="14" t="s">
        <v>730</v>
      </c>
      <c r="G942" s="1" t="str">
        <f>_xlfn.XLOOKUP(B942,M_YT_LIVE!A:A,M_YT_LIVE!F:F,"ERROR",0,1)</f>
        <v>弾き語り</v>
      </c>
      <c r="W942" s="13">
        <f t="shared" si="44"/>
        <v>2137</v>
      </c>
      <c r="X942" s="12" t="str">
        <f>_xlfn.XLOOKUP($B942,M_YT_LIVE!$A:$A,M_YT_LIVE!$D:$D)</f>
        <v>https://www.youtube.com/live/DCABx3RjHlk?si=2kjkclC-U2asQNr-</v>
      </c>
      <c r="Z942" s="16" t="str">
        <f>HYPERLINK($X942&amp;SUBSTITUTE(マスタ!$C$3,"XXXXX",$W942))</f>
        <v>https://www.youtube.com/live/DCABx3RjHlk?si=2kjkclC-U2asQNr-&amp;t=2137s</v>
      </c>
      <c r="AA942" s="12" t="str">
        <f t="shared" si="45"/>
        <v>Mrs. GREEN APPLE我逢人</v>
      </c>
    </row>
    <row r="943" spans="1:27" x14ac:dyDescent="0.4">
      <c r="A943" s="14">
        <f t="shared" si="46"/>
        <v>942</v>
      </c>
      <c r="B943" s="14">
        <v>124</v>
      </c>
      <c r="C943" s="21" t="s">
        <v>826</v>
      </c>
      <c r="D943" s="14" t="s">
        <v>2129</v>
      </c>
      <c r="E943" s="14" t="s">
        <v>730</v>
      </c>
      <c r="G943" s="1" t="str">
        <f>_xlfn.XLOOKUP(B943,M_YT_LIVE!A:A,M_YT_LIVE!F:F,"ERROR",0,1)</f>
        <v>弾き語り</v>
      </c>
      <c r="W943" s="13">
        <f t="shared" si="44"/>
        <v>2557</v>
      </c>
      <c r="X943" s="12" t="str">
        <f>_xlfn.XLOOKUP($B943,M_YT_LIVE!$A:$A,M_YT_LIVE!$D:$D)</f>
        <v>https://www.youtube.com/live/DCABx3RjHlk?si=2kjkclC-U2asQNr-</v>
      </c>
      <c r="Z943" s="16" t="str">
        <f>HYPERLINK($X943&amp;SUBSTITUTE(マスタ!$C$3,"XXXXX",$W943))</f>
        <v>https://www.youtube.com/live/DCABx3RjHlk?si=2kjkclC-U2asQNr-&amp;t=2557s</v>
      </c>
      <c r="AA943" s="12" t="str">
        <f t="shared" si="45"/>
        <v>Mrs. GREEN APPLEケセラセラ</v>
      </c>
    </row>
    <row r="944" spans="1:27" x14ac:dyDescent="0.4">
      <c r="A944" s="14">
        <f t="shared" si="46"/>
        <v>943</v>
      </c>
      <c r="B944" s="14">
        <v>124</v>
      </c>
      <c r="C944" s="21" t="s">
        <v>2130</v>
      </c>
      <c r="D944" s="14" t="s">
        <v>1476</v>
      </c>
      <c r="E944" s="14" t="s">
        <v>1477</v>
      </c>
      <c r="G944" s="1" t="str">
        <f>_xlfn.XLOOKUP(B944,M_YT_LIVE!A:A,M_YT_LIVE!F:F,"ERROR",0,1)</f>
        <v>弾き語り</v>
      </c>
      <c r="W944" s="13">
        <f t="shared" si="44"/>
        <v>2925</v>
      </c>
      <c r="X944" s="12" t="str">
        <f>_xlfn.XLOOKUP($B944,M_YT_LIVE!$A:$A,M_YT_LIVE!$D:$D)</f>
        <v>https://www.youtube.com/live/DCABx3RjHlk?si=2kjkclC-U2asQNr-</v>
      </c>
      <c r="Z944" s="16" t="str">
        <f>HYPERLINK($X944&amp;SUBSTITUTE(マスタ!$C$3,"XXXXX",$W944))</f>
        <v>https://www.youtube.com/live/DCABx3RjHlk?si=2kjkclC-U2asQNr-&amp;t=2925s</v>
      </c>
      <c r="AA944" s="12" t="str">
        <f t="shared" si="45"/>
        <v>Mrs. GREEN APPLE feat.井上苑子点描の唄</v>
      </c>
    </row>
    <row r="945" spans="1:27" x14ac:dyDescent="0.4">
      <c r="A945" s="14">
        <f t="shared" si="46"/>
        <v>944</v>
      </c>
      <c r="B945" s="14">
        <v>124</v>
      </c>
      <c r="C945" s="21" t="s">
        <v>2131</v>
      </c>
      <c r="D945" s="14" t="s">
        <v>1599</v>
      </c>
      <c r="E945" s="14" t="s">
        <v>730</v>
      </c>
      <c r="G945" s="1" t="str">
        <f>_xlfn.XLOOKUP(B945,M_YT_LIVE!A:A,M_YT_LIVE!F:F,"ERROR",0,1)</f>
        <v>弾き語り</v>
      </c>
      <c r="W945" s="13">
        <f t="shared" si="44"/>
        <v>3512</v>
      </c>
      <c r="X945" s="12" t="str">
        <f>_xlfn.XLOOKUP($B945,M_YT_LIVE!$A:$A,M_YT_LIVE!$D:$D)</f>
        <v>https://www.youtube.com/live/DCABx3RjHlk?si=2kjkclC-U2asQNr-</v>
      </c>
      <c r="Z945" s="16" t="str">
        <f>HYPERLINK($X945&amp;SUBSTITUTE(マスタ!$C$3,"XXXXX",$W945))</f>
        <v>https://www.youtube.com/live/DCABx3RjHlk?si=2kjkclC-U2asQNr-&amp;t=3512s</v>
      </c>
      <c r="AA945" s="12" t="str">
        <f t="shared" si="45"/>
        <v>Mrs. GREEN APPLEライラック</v>
      </c>
    </row>
    <row r="946" spans="1:27" x14ac:dyDescent="0.4">
      <c r="A946" s="14">
        <f t="shared" si="46"/>
        <v>945</v>
      </c>
      <c r="B946" s="14">
        <v>125</v>
      </c>
      <c r="C946" s="21" t="s">
        <v>2134</v>
      </c>
      <c r="D946" s="14" t="s">
        <v>140</v>
      </c>
      <c r="E946" s="14" t="s">
        <v>141</v>
      </c>
      <c r="G946" s="1" t="str">
        <f>_xlfn.XLOOKUP(B946,M_YT_LIVE!A:A,M_YT_LIVE!F:F,"ERROR",0,1)</f>
        <v>弾き語り</v>
      </c>
      <c r="W946" s="13">
        <f t="shared" si="44"/>
        <v>338</v>
      </c>
      <c r="X946" s="12" t="str">
        <f>_xlfn.XLOOKUP($B946,M_YT_LIVE!$A:$A,M_YT_LIVE!$D:$D)</f>
        <v>https://www.youtube.com/live/tbPnXY8S_GQ?si=8PkFk0wPDIc_uL_n</v>
      </c>
      <c r="Z946" s="16" t="str">
        <f>HYPERLINK($X946&amp;SUBSTITUTE(マスタ!$C$3,"XXXXX",$W946))</f>
        <v>https://www.youtube.com/live/tbPnXY8S_GQ?si=8PkFk0wPDIc_uL_n&amp;t=338s</v>
      </c>
      <c r="AA946" s="12" t="str">
        <f t="shared" si="45"/>
        <v>ヨルシカ靴の花火</v>
      </c>
    </row>
    <row r="947" spans="1:27" x14ac:dyDescent="0.4">
      <c r="A947" s="14">
        <f t="shared" si="46"/>
        <v>946</v>
      </c>
      <c r="B947" s="14">
        <v>125</v>
      </c>
      <c r="C947" s="21" t="s">
        <v>2135</v>
      </c>
      <c r="D947" s="14" t="s">
        <v>1912</v>
      </c>
      <c r="E947" s="14" t="s">
        <v>141</v>
      </c>
      <c r="G947" s="1" t="str">
        <f>_xlfn.XLOOKUP(B947,M_YT_LIVE!A:A,M_YT_LIVE!F:F,"ERROR",0,1)</f>
        <v>弾き語り</v>
      </c>
      <c r="W947" s="13">
        <f t="shared" si="44"/>
        <v>784</v>
      </c>
      <c r="X947" s="12" t="str">
        <f>_xlfn.XLOOKUP($B947,M_YT_LIVE!$A:$A,M_YT_LIVE!$D:$D)</f>
        <v>https://www.youtube.com/live/tbPnXY8S_GQ?si=8PkFk0wPDIc_uL_n</v>
      </c>
      <c r="Z947" s="16" t="str">
        <f>HYPERLINK($X947&amp;SUBSTITUTE(マスタ!$C$3,"XXXXX",$W947))</f>
        <v>https://www.youtube.com/live/tbPnXY8S_GQ?si=8PkFk0wPDIc_uL_n&amp;t=784s</v>
      </c>
      <c r="AA947" s="12" t="str">
        <f t="shared" si="45"/>
        <v>ヨルシカ忘れてください</v>
      </c>
    </row>
    <row r="948" spans="1:27" x14ac:dyDescent="0.4">
      <c r="A948" s="14">
        <f t="shared" si="46"/>
        <v>947</v>
      </c>
      <c r="B948" s="14">
        <v>125</v>
      </c>
      <c r="C948" s="21" t="s">
        <v>2136</v>
      </c>
      <c r="D948" s="14" t="s">
        <v>2137</v>
      </c>
      <c r="E948" s="14" t="s">
        <v>2138</v>
      </c>
      <c r="G948" s="1" t="str">
        <f>_xlfn.XLOOKUP(B948,M_YT_LIVE!A:A,M_YT_LIVE!F:F,"ERROR",0,1)</f>
        <v>弾き語り</v>
      </c>
      <c r="W948" s="13">
        <f t="shared" si="44"/>
        <v>1182</v>
      </c>
      <c r="X948" s="12" t="str">
        <f>_xlfn.XLOOKUP($B948,M_YT_LIVE!$A:$A,M_YT_LIVE!$D:$D)</f>
        <v>https://www.youtube.com/live/tbPnXY8S_GQ?si=8PkFk0wPDIc_uL_n</v>
      </c>
      <c r="Z948" s="16" t="str">
        <f>HYPERLINK($X948&amp;SUBSTITUTE(マスタ!$C$3,"XXXXX",$W948))</f>
        <v>https://www.youtube.com/live/tbPnXY8S_GQ?si=8PkFk0wPDIc_uL_n&amp;t=1182s</v>
      </c>
      <c r="AA948" s="12" t="str">
        <f t="shared" si="45"/>
        <v>buzzG feat.初音ミクGALLOWS BELL</v>
      </c>
    </row>
    <row r="949" spans="1:27" x14ac:dyDescent="0.4">
      <c r="A949" s="14">
        <f t="shared" si="46"/>
        <v>948</v>
      </c>
      <c r="B949" s="14">
        <v>125</v>
      </c>
      <c r="C949" s="21" t="s">
        <v>2139</v>
      </c>
      <c r="D949" s="14" t="s">
        <v>2140</v>
      </c>
      <c r="E949" s="14" t="s">
        <v>2141</v>
      </c>
      <c r="G949" s="1" t="str">
        <f>_xlfn.XLOOKUP(B949,M_YT_LIVE!A:A,M_YT_LIVE!F:F,"ERROR",0,1)</f>
        <v>弾き語り</v>
      </c>
      <c r="W949" s="13">
        <f t="shared" si="44"/>
        <v>1552.9999999999998</v>
      </c>
      <c r="X949" s="12" t="str">
        <f>_xlfn.XLOOKUP($B949,M_YT_LIVE!$A:$A,M_YT_LIVE!$D:$D)</f>
        <v>https://www.youtube.com/live/tbPnXY8S_GQ?si=8PkFk0wPDIc_uL_n</v>
      </c>
      <c r="Z949" s="16" t="str">
        <f>HYPERLINK($X949&amp;SUBSTITUTE(マスタ!$C$3,"XXXXX",$W949))</f>
        <v>https://www.youtube.com/live/tbPnXY8S_GQ?si=8PkFk0wPDIc_uL_n&amp;t=1553s</v>
      </c>
      <c r="AA949" s="12" t="str">
        <f t="shared" si="45"/>
        <v>BuzzG feat.GUMIワールド・ランプシェード</v>
      </c>
    </row>
    <row r="950" spans="1:27" x14ac:dyDescent="0.4">
      <c r="A950" s="14">
        <f t="shared" si="46"/>
        <v>949</v>
      </c>
      <c r="B950" s="14">
        <v>125</v>
      </c>
      <c r="C950" s="21" t="s">
        <v>2142</v>
      </c>
      <c r="D950" s="14" t="s">
        <v>131</v>
      </c>
      <c r="E950" s="14" t="s">
        <v>132</v>
      </c>
      <c r="G950" s="1" t="str">
        <f>_xlfn.XLOOKUP(B950,M_YT_LIVE!A:A,M_YT_LIVE!F:F,"ERROR",0,1)</f>
        <v>弾き語り</v>
      </c>
      <c r="W950" s="13">
        <f t="shared" si="44"/>
        <v>2002</v>
      </c>
      <c r="X950" s="12" t="str">
        <f>_xlfn.XLOOKUP($B950,M_YT_LIVE!$A:$A,M_YT_LIVE!$D:$D)</f>
        <v>https://www.youtube.com/live/tbPnXY8S_GQ?si=8PkFk0wPDIc_uL_n</v>
      </c>
      <c r="Z950" s="16" t="str">
        <f>HYPERLINK($X950&amp;SUBSTITUTE(マスタ!$C$3,"XXXXX",$W950))</f>
        <v>https://www.youtube.com/live/tbPnXY8S_GQ?si=8PkFk0wPDIc_uL_n&amp;t=2002s</v>
      </c>
      <c r="AA950" s="12" t="str">
        <f t="shared" si="45"/>
        <v>phatmans after schoolツキヨミ</v>
      </c>
    </row>
    <row r="951" spans="1:27" x14ac:dyDescent="0.4">
      <c r="A951" s="14">
        <f t="shared" si="46"/>
        <v>950</v>
      </c>
      <c r="B951" s="14">
        <v>125</v>
      </c>
      <c r="C951" s="21" t="s">
        <v>226</v>
      </c>
      <c r="D951" s="14" t="s">
        <v>1186</v>
      </c>
      <c r="E951" s="14" t="s">
        <v>1103</v>
      </c>
      <c r="G951" s="1" t="str">
        <f>_xlfn.XLOOKUP(B951,M_YT_LIVE!A:A,M_YT_LIVE!F:F,"ERROR",0,1)</f>
        <v>弾き語り</v>
      </c>
      <c r="W951" s="13">
        <f t="shared" si="44"/>
        <v>2522</v>
      </c>
      <c r="X951" s="12" t="str">
        <f>_xlfn.XLOOKUP($B951,M_YT_LIVE!$A:$A,M_YT_LIVE!$D:$D)</f>
        <v>https://www.youtube.com/live/tbPnXY8S_GQ?si=8PkFk0wPDIc_uL_n</v>
      </c>
      <c r="Z951" s="16" t="str">
        <f>HYPERLINK($X951&amp;SUBSTITUTE(マスタ!$C$3,"XXXXX",$W951))</f>
        <v>https://www.youtube.com/live/tbPnXY8S_GQ?si=8PkFk0wPDIc_uL_n&amp;t=2522s</v>
      </c>
      <c r="AA951" s="12" t="str">
        <f t="shared" si="45"/>
        <v>Galileo Galilei恋の寿命</v>
      </c>
    </row>
    <row r="952" spans="1:27" x14ac:dyDescent="0.4">
      <c r="A952" s="14">
        <f t="shared" si="46"/>
        <v>951</v>
      </c>
      <c r="B952" s="14">
        <v>125</v>
      </c>
      <c r="C952" s="21" t="s">
        <v>1497</v>
      </c>
      <c r="D952" s="14" t="s">
        <v>2143</v>
      </c>
      <c r="E952" s="14" t="s">
        <v>847</v>
      </c>
      <c r="G952" s="1" t="str">
        <f>_xlfn.XLOOKUP(B952,M_YT_LIVE!A:A,M_YT_LIVE!F:F,"ERROR",0,1)</f>
        <v>弾き語り</v>
      </c>
      <c r="W952" s="13">
        <f t="shared" si="44"/>
        <v>2957</v>
      </c>
      <c r="X952" s="12" t="str">
        <f>_xlfn.XLOOKUP($B952,M_YT_LIVE!$A:$A,M_YT_LIVE!$D:$D)</f>
        <v>https://www.youtube.com/live/tbPnXY8S_GQ?si=8PkFk0wPDIc_uL_n</v>
      </c>
      <c r="Z952" s="16" t="str">
        <f>HYPERLINK($X952&amp;SUBSTITUTE(マスタ!$C$3,"XXXXX",$W952))</f>
        <v>https://www.youtube.com/live/tbPnXY8S_GQ?si=8PkFk0wPDIc_uL_n&amp;t=2957s</v>
      </c>
      <c r="AA952" s="12" t="str">
        <f t="shared" si="45"/>
        <v>スキマスイッチアイスクリーム シンドローム</v>
      </c>
    </row>
    <row r="953" spans="1:27" x14ac:dyDescent="0.4">
      <c r="A953" s="14">
        <f t="shared" si="46"/>
        <v>952</v>
      </c>
      <c r="B953" s="14">
        <v>125</v>
      </c>
      <c r="C953" s="21" t="s">
        <v>1201</v>
      </c>
      <c r="D953" s="14" t="s">
        <v>222</v>
      </c>
      <c r="E953" s="14" t="s">
        <v>57</v>
      </c>
      <c r="G953" s="1" t="str">
        <f>_xlfn.XLOOKUP(B953,M_YT_LIVE!A:A,M_YT_LIVE!F:F,"ERROR",0,1)</f>
        <v>弾き語り</v>
      </c>
      <c r="W953" s="13">
        <f t="shared" si="44"/>
        <v>3394.9999999999995</v>
      </c>
      <c r="X953" s="12" t="str">
        <f>_xlfn.XLOOKUP($B953,M_YT_LIVE!$A:$A,M_YT_LIVE!$D:$D)</f>
        <v>https://www.youtube.com/live/tbPnXY8S_GQ?si=8PkFk0wPDIc_uL_n</v>
      </c>
      <c r="Z953" s="16" t="str">
        <f>HYPERLINK($X953&amp;SUBSTITUTE(マスタ!$C$3,"XXXXX",$W953))</f>
        <v>https://www.youtube.com/live/tbPnXY8S_GQ?si=8PkFk0wPDIc_uL_n&amp;t=3395s</v>
      </c>
      <c r="AA953" s="12" t="str">
        <f t="shared" si="45"/>
        <v>羊文学光るとき</v>
      </c>
    </row>
    <row r="954" spans="1:27" x14ac:dyDescent="0.4">
      <c r="A954" s="14">
        <f t="shared" si="46"/>
        <v>953</v>
      </c>
      <c r="B954" s="14">
        <v>125</v>
      </c>
      <c r="C954" s="21" t="s">
        <v>2144</v>
      </c>
      <c r="D954" s="14" t="s">
        <v>137</v>
      </c>
      <c r="E954" s="14" t="s">
        <v>138</v>
      </c>
      <c r="G954" s="1" t="str">
        <f>_xlfn.XLOOKUP(B954,M_YT_LIVE!A:A,M_YT_LIVE!F:F,"ERROR",0,1)</f>
        <v>弾き語り</v>
      </c>
      <c r="W954" s="13">
        <f t="shared" si="44"/>
        <v>3848</v>
      </c>
      <c r="X954" s="12" t="str">
        <f>_xlfn.XLOOKUP($B954,M_YT_LIVE!$A:$A,M_YT_LIVE!$D:$D)</f>
        <v>https://www.youtube.com/live/tbPnXY8S_GQ?si=8PkFk0wPDIc_uL_n</v>
      </c>
      <c r="Z954" s="16" t="str">
        <f>HYPERLINK($X954&amp;SUBSTITUTE(マスタ!$C$3,"XXXXX",$W954))</f>
        <v>https://www.youtube.com/live/tbPnXY8S_GQ?si=8PkFk0wPDIc_uL_n&amp;t=3848s</v>
      </c>
      <c r="AA954" s="12" t="str">
        <f t="shared" si="45"/>
        <v>ポルカドットスティングレイトゲめくスピカ</v>
      </c>
    </row>
    <row r="955" spans="1:27" x14ac:dyDescent="0.4">
      <c r="A955" s="14">
        <f t="shared" si="46"/>
        <v>954</v>
      </c>
      <c r="B955" s="14">
        <v>125</v>
      </c>
      <c r="C955" s="21" t="s">
        <v>2145</v>
      </c>
      <c r="D955" s="14" t="s">
        <v>1445</v>
      </c>
      <c r="E955" s="14" t="s">
        <v>1446</v>
      </c>
      <c r="G955" s="1" t="str">
        <f>_xlfn.XLOOKUP(B955,M_YT_LIVE!A:A,M_YT_LIVE!F:F,"ERROR",0,1)</f>
        <v>弾き語り</v>
      </c>
      <c r="W955" s="13">
        <f t="shared" si="44"/>
        <v>4266</v>
      </c>
      <c r="X955" s="12" t="str">
        <f>_xlfn.XLOOKUP($B955,M_YT_LIVE!$A:$A,M_YT_LIVE!$D:$D)</f>
        <v>https://www.youtube.com/live/tbPnXY8S_GQ?si=8PkFk0wPDIc_uL_n</v>
      </c>
      <c r="Z955" s="16" t="str">
        <f>HYPERLINK($X955&amp;SUBSTITUTE(マスタ!$C$3,"XXXXX",$W955))</f>
        <v>https://www.youtube.com/live/tbPnXY8S_GQ?si=8PkFk0wPDIc_uL_n&amp;t=4266s</v>
      </c>
      <c r="AA955" s="12" t="str">
        <f t="shared" si="45"/>
        <v>蝶々P feat.GUMI心做し</v>
      </c>
    </row>
    <row r="956" spans="1:27" x14ac:dyDescent="0.4">
      <c r="A956" s="14">
        <f t="shared" si="46"/>
        <v>955</v>
      </c>
      <c r="B956" s="14">
        <v>125</v>
      </c>
      <c r="C956" s="21" t="s">
        <v>2146</v>
      </c>
      <c r="D956" s="14" t="s">
        <v>146</v>
      </c>
      <c r="E956" s="14" t="s">
        <v>147</v>
      </c>
      <c r="G956" s="1" t="str">
        <f>_xlfn.XLOOKUP(B956,M_YT_LIVE!A:A,M_YT_LIVE!F:F,"ERROR",0,1)</f>
        <v>弾き語り</v>
      </c>
      <c r="W956" s="13">
        <f t="shared" si="44"/>
        <v>4684</v>
      </c>
      <c r="X956" s="12" t="str">
        <f>_xlfn.XLOOKUP($B956,M_YT_LIVE!$A:$A,M_YT_LIVE!$D:$D)</f>
        <v>https://www.youtube.com/live/tbPnXY8S_GQ?si=8PkFk0wPDIc_uL_n</v>
      </c>
      <c r="Z956" s="16" t="str">
        <f>HYPERLINK($X956&amp;SUBSTITUTE(マスタ!$C$3,"XXXXX",$W956))</f>
        <v>https://www.youtube.com/live/tbPnXY8S_GQ?si=8PkFk0wPDIc_uL_n&amp;t=4684s</v>
      </c>
      <c r="AA956" s="12" t="str">
        <f t="shared" si="45"/>
        <v>ジミーサムP feat.初音ミク＆巡音ルカ(コーラス)from Y to Y</v>
      </c>
    </row>
    <row r="957" spans="1:27" x14ac:dyDescent="0.4">
      <c r="A957" s="14">
        <f t="shared" si="46"/>
        <v>956</v>
      </c>
      <c r="B957" s="14">
        <v>125</v>
      </c>
      <c r="C957" s="21" t="s">
        <v>309</v>
      </c>
      <c r="D957" s="14" t="s">
        <v>643</v>
      </c>
      <c r="E957" s="14" t="s">
        <v>168</v>
      </c>
      <c r="G957" s="1" t="str">
        <f>_xlfn.XLOOKUP(B957,M_YT_LIVE!A:A,M_YT_LIVE!F:F,"ERROR",0,1)</f>
        <v>弾き語り</v>
      </c>
      <c r="W957" s="13">
        <f t="shared" si="44"/>
        <v>5252</v>
      </c>
      <c r="X957" s="12" t="str">
        <f>_xlfn.XLOOKUP($B957,M_YT_LIVE!$A:$A,M_YT_LIVE!$D:$D)</f>
        <v>https://www.youtube.com/live/tbPnXY8S_GQ?si=8PkFk0wPDIc_uL_n</v>
      </c>
      <c r="Z957" s="16" t="str">
        <f>HYPERLINK($X957&amp;SUBSTITUTE(マスタ!$C$3,"XXXXX",$W957))</f>
        <v>https://www.youtube.com/live/tbPnXY8S_GQ?si=8PkFk0wPDIc_uL_n&amp;t=5252s</v>
      </c>
      <c r="AA957" s="12" t="str">
        <f t="shared" si="45"/>
        <v>AimerRef:rain</v>
      </c>
    </row>
    <row r="958" spans="1:27" x14ac:dyDescent="0.4">
      <c r="A958" s="14">
        <f t="shared" si="46"/>
        <v>957</v>
      </c>
      <c r="B958" s="14">
        <v>125</v>
      </c>
      <c r="C958" s="21" t="s">
        <v>2147</v>
      </c>
      <c r="D958" s="14" t="s">
        <v>477</v>
      </c>
      <c r="E958" s="14" t="s">
        <v>478</v>
      </c>
      <c r="G958" s="1" t="str">
        <f>_xlfn.XLOOKUP(B958,M_YT_LIVE!A:A,M_YT_LIVE!F:F,"ERROR",0,1)</f>
        <v>弾き語り</v>
      </c>
      <c r="W958" s="13">
        <f t="shared" si="44"/>
        <v>5616</v>
      </c>
      <c r="X958" s="12" t="str">
        <f>_xlfn.XLOOKUP($B958,M_YT_LIVE!$A:$A,M_YT_LIVE!$D:$D)</f>
        <v>https://www.youtube.com/live/tbPnXY8S_GQ?si=8PkFk0wPDIc_uL_n</v>
      </c>
      <c r="Z958" s="16" t="str">
        <f>HYPERLINK($X958&amp;SUBSTITUTE(マスタ!$C$3,"XXXXX",$W958))</f>
        <v>https://www.youtube.com/live/tbPnXY8S_GQ?si=8PkFk0wPDIc_uL_n&amp;t=5616s</v>
      </c>
      <c r="AA958" s="12" t="str">
        <f t="shared" si="45"/>
        <v>煮ル果実 feat.可不ナイトルール</v>
      </c>
    </row>
    <row r="959" spans="1:27" x14ac:dyDescent="0.4">
      <c r="A959" s="14">
        <f t="shared" si="46"/>
        <v>958</v>
      </c>
      <c r="B959" s="14">
        <v>125</v>
      </c>
      <c r="C959" s="21" t="s">
        <v>2148</v>
      </c>
      <c r="D959" s="14" t="s">
        <v>224</v>
      </c>
      <c r="E959" s="14" t="s">
        <v>225</v>
      </c>
      <c r="G959" s="1" t="str">
        <f>_xlfn.XLOOKUP(B959,M_YT_LIVE!A:A,M_YT_LIVE!F:F,"ERROR",0,1)</f>
        <v>弾き語り</v>
      </c>
      <c r="W959" s="13">
        <f t="shared" si="44"/>
        <v>6038</v>
      </c>
      <c r="X959" s="12" t="str">
        <f>_xlfn.XLOOKUP($B959,M_YT_LIVE!$A:$A,M_YT_LIVE!$D:$D)</f>
        <v>https://www.youtube.com/live/tbPnXY8S_GQ?si=8PkFk0wPDIc_uL_n</v>
      </c>
      <c r="Z959" s="16" t="str">
        <f>HYPERLINK($X959&amp;SUBSTITUTE(マスタ!$C$3,"XXXXX",$W959))</f>
        <v>https://www.youtube.com/live/tbPnXY8S_GQ?si=8PkFk0wPDIc_uL_n&amp;t=6038s</v>
      </c>
      <c r="AA959" s="12" t="str">
        <f t="shared" si="45"/>
        <v>ryo(supercell) feat.初音ミクメルト</v>
      </c>
    </row>
    <row r="960" spans="1:27" x14ac:dyDescent="0.4">
      <c r="A960" s="14">
        <f t="shared" si="46"/>
        <v>959</v>
      </c>
      <c r="B960" s="14">
        <v>125</v>
      </c>
      <c r="C960" s="21" t="s">
        <v>2149</v>
      </c>
      <c r="D960" s="14" t="s">
        <v>80</v>
      </c>
      <c r="E960" s="14" t="s">
        <v>81</v>
      </c>
      <c r="G960" s="1" t="str">
        <f>_xlfn.XLOOKUP(B960,M_YT_LIVE!A:A,M_YT_LIVE!F:F,"ERROR",0,1)</f>
        <v>弾き語り</v>
      </c>
      <c r="W960" s="13">
        <f t="shared" si="44"/>
        <v>6491</v>
      </c>
      <c r="X960" s="12" t="str">
        <f>_xlfn.XLOOKUP($B960,M_YT_LIVE!$A:$A,M_YT_LIVE!$D:$D)</f>
        <v>https://www.youtube.com/live/tbPnXY8S_GQ?si=8PkFk0wPDIc_uL_n</v>
      </c>
      <c r="Z960" s="16" t="str">
        <f>HYPERLINK($X960&amp;SUBSTITUTE(マスタ!$C$3,"XXXXX",$W960))</f>
        <v>https://www.youtube.com/live/tbPnXY8S_GQ?si=8PkFk0wPDIc_uL_n&amp;t=6491s</v>
      </c>
      <c r="AA960" s="12" t="str">
        <f t="shared" si="45"/>
        <v>じん(自然の敵P) feat.IA想像フォレスト</v>
      </c>
    </row>
    <row r="961" spans="1:27" x14ac:dyDescent="0.4">
      <c r="A961" s="14">
        <f t="shared" si="46"/>
        <v>960</v>
      </c>
      <c r="B961" s="14">
        <v>126</v>
      </c>
      <c r="C961" s="21" t="s">
        <v>2152</v>
      </c>
      <c r="D961" s="14" t="s">
        <v>155</v>
      </c>
      <c r="E961" s="14" t="s">
        <v>156</v>
      </c>
      <c r="G961" s="1" t="str">
        <f>_xlfn.XLOOKUP(B961,M_YT_LIVE!A:A,M_YT_LIVE!F:F,"ERROR",0,1)</f>
        <v>弾き語り</v>
      </c>
      <c r="W961" s="13">
        <f t="shared" si="44"/>
        <v>408</v>
      </c>
      <c r="X961" s="12" t="str">
        <f>_xlfn.XLOOKUP($B961,M_YT_LIVE!$A:$A,M_YT_LIVE!$D:$D)</f>
        <v>https://www.youtube.com/live/3sDTyQ9hCDg?si=pXcH4WBWdJUgF-zq</v>
      </c>
      <c r="Z961" s="16" t="str">
        <f>HYPERLINK($X961&amp;SUBSTITUTE(マスタ!$C$3,"XXXXX",$W961))</f>
        <v>https://www.youtube.com/live/3sDTyQ9hCDg?si=pXcH4WBWdJUgF-zq&amp;t=408s</v>
      </c>
      <c r="AA961" s="12" t="str">
        <f t="shared" si="45"/>
        <v>DECO*27 feat.GUMI弱虫モンブラン</v>
      </c>
    </row>
    <row r="962" spans="1:27" x14ac:dyDescent="0.4">
      <c r="A962" s="14">
        <f t="shared" si="46"/>
        <v>961</v>
      </c>
      <c r="B962" s="14">
        <v>126</v>
      </c>
      <c r="C962" s="21" t="s">
        <v>2153</v>
      </c>
      <c r="D962" s="14" t="s">
        <v>1508</v>
      </c>
      <c r="E962" s="14" t="s">
        <v>112</v>
      </c>
      <c r="G962" s="1" t="str">
        <f>_xlfn.XLOOKUP(B962,M_YT_LIVE!A:A,M_YT_LIVE!F:F,"ERROR",0,1)</f>
        <v>弾き語り</v>
      </c>
      <c r="W962" s="13">
        <f t="shared" si="44"/>
        <v>975</v>
      </c>
      <c r="X962" s="12" t="str">
        <f>_xlfn.XLOOKUP($B962,M_YT_LIVE!$A:$A,M_YT_LIVE!$D:$D)</f>
        <v>https://www.youtube.com/live/3sDTyQ9hCDg?si=pXcH4WBWdJUgF-zq</v>
      </c>
      <c r="Z962" s="16" t="str">
        <f>HYPERLINK($X962&amp;SUBSTITUTE(マスタ!$C$3,"XXXXX",$W962))</f>
        <v>https://www.youtube.com/live/3sDTyQ9hCDg?si=pXcH4WBWdJUgF-zq&amp;t=975s</v>
      </c>
      <c r="AA962" s="12" t="str">
        <f t="shared" si="45"/>
        <v>DECO*27 feat.初音ミクリバーシブル・キャンペーン</v>
      </c>
    </row>
    <row r="963" spans="1:27" x14ac:dyDescent="0.4">
      <c r="A963" s="14">
        <f t="shared" si="46"/>
        <v>962</v>
      </c>
      <c r="B963" s="14">
        <v>126</v>
      </c>
      <c r="C963" s="21" t="s">
        <v>2154</v>
      </c>
      <c r="D963" s="14" t="s">
        <v>2155</v>
      </c>
      <c r="E963" s="14" t="s">
        <v>2156</v>
      </c>
      <c r="G963" s="1" t="str">
        <f>_xlfn.XLOOKUP(B963,M_YT_LIVE!A:A,M_YT_LIVE!F:F,"ERROR",0,1)</f>
        <v>弾き語り</v>
      </c>
      <c r="W963" s="13">
        <f t="shared" si="44"/>
        <v>1395.0000000000002</v>
      </c>
      <c r="X963" s="12" t="str">
        <f>_xlfn.XLOOKUP($B963,M_YT_LIVE!$A:$A,M_YT_LIVE!$D:$D)</f>
        <v>https://www.youtube.com/live/3sDTyQ9hCDg?si=pXcH4WBWdJUgF-zq</v>
      </c>
      <c r="Z963" s="16" t="str">
        <f>HYPERLINK($X963&amp;SUBSTITUTE(マスタ!$C$3,"XXXXX",$W963))</f>
        <v>https://www.youtube.com/live/3sDTyQ9hCDg?si=pXcH4WBWdJUgF-zq&amp;t=1395s</v>
      </c>
      <c r="AA963" s="12" t="str">
        <f t="shared" si="45"/>
        <v>GRe4N BOYZ愛唄</v>
      </c>
    </row>
    <row r="964" spans="1:27" x14ac:dyDescent="0.4">
      <c r="A964" s="14">
        <f t="shared" si="46"/>
        <v>963</v>
      </c>
      <c r="B964" s="14">
        <v>126</v>
      </c>
      <c r="C964" s="21" t="s">
        <v>594</v>
      </c>
      <c r="D964" s="14" t="s">
        <v>1016</v>
      </c>
      <c r="E964" s="14" t="s">
        <v>1017</v>
      </c>
      <c r="G964" s="1" t="str">
        <f>_xlfn.XLOOKUP(B964,M_YT_LIVE!A:A,M_YT_LIVE!F:F,"ERROR",0,1)</f>
        <v>弾き語り</v>
      </c>
      <c r="W964" s="13">
        <f t="shared" ref="W964:W1027" si="47">TIMEVALUE($C964)*86400</f>
        <v>1955</v>
      </c>
      <c r="X964" s="12" t="str">
        <f>_xlfn.XLOOKUP($B964,M_YT_LIVE!$A:$A,M_YT_LIVE!$D:$D)</f>
        <v>https://www.youtube.com/live/3sDTyQ9hCDg?si=pXcH4WBWdJUgF-zq</v>
      </c>
      <c r="Z964" s="16" t="str">
        <f>HYPERLINK($X964&amp;SUBSTITUTE(マスタ!$C$3,"XXXXX",$W964))</f>
        <v>https://www.youtube.com/live/3sDTyQ9hCDg?si=pXcH4WBWdJUgF-zq&amp;t=1955s</v>
      </c>
      <c r="AA964" s="12" t="str">
        <f t="shared" si="45"/>
        <v>家入レオサブリナ</v>
      </c>
    </row>
    <row r="965" spans="1:27" x14ac:dyDescent="0.4">
      <c r="A965" s="14">
        <f t="shared" si="46"/>
        <v>964</v>
      </c>
      <c r="B965" s="14">
        <v>126</v>
      </c>
      <c r="C965" s="21" t="s">
        <v>2157</v>
      </c>
      <c r="D965" s="14" t="s">
        <v>2158</v>
      </c>
      <c r="E965" s="14" t="s">
        <v>1721</v>
      </c>
      <c r="G965" s="1" t="str">
        <f>_xlfn.XLOOKUP(B965,M_YT_LIVE!A:A,M_YT_LIVE!F:F,"ERROR",0,1)</f>
        <v>弾き語り</v>
      </c>
      <c r="W965" s="13">
        <f t="shared" si="47"/>
        <v>2614</v>
      </c>
      <c r="X965" s="12" t="str">
        <f>_xlfn.XLOOKUP($B965,M_YT_LIVE!$A:$A,M_YT_LIVE!$D:$D)</f>
        <v>https://www.youtube.com/live/3sDTyQ9hCDg?si=pXcH4WBWdJUgF-zq</v>
      </c>
      <c r="Z965" s="16" t="str">
        <f>HYPERLINK($X965&amp;SUBSTITUTE(マスタ!$C$3,"XXXXX",$W965))</f>
        <v>https://www.youtube.com/live/3sDTyQ9hCDg?si=pXcH4WBWdJUgF-zq&amp;t=2614s</v>
      </c>
      <c r="AA965" s="12" t="str">
        <f t="shared" ref="AA965:AA1028" si="48">TRIM(E965)&amp;TRIM(D965)</f>
        <v>嵐迷宮ラブソング (1chorus)</v>
      </c>
    </row>
    <row r="966" spans="1:27" x14ac:dyDescent="0.4">
      <c r="A966" s="14">
        <f t="shared" ref="A966:A1029" si="49">ROW()-1</f>
        <v>965</v>
      </c>
      <c r="B966" s="14">
        <v>126</v>
      </c>
      <c r="C966" s="21" t="s">
        <v>2159</v>
      </c>
      <c r="D966" s="14" t="s">
        <v>744</v>
      </c>
      <c r="E966" s="14" t="s">
        <v>742</v>
      </c>
      <c r="G966" s="1" t="str">
        <f>_xlfn.XLOOKUP(B966,M_YT_LIVE!A:A,M_YT_LIVE!F:F,"ERROR",0,1)</f>
        <v>弾き語り</v>
      </c>
      <c r="W966" s="13">
        <f t="shared" si="47"/>
        <v>2839</v>
      </c>
      <c r="X966" s="12" t="str">
        <f>_xlfn.XLOOKUP($B966,M_YT_LIVE!$A:$A,M_YT_LIVE!$D:$D)</f>
        <v>https://www.youtube.com/live/3sDTyQ9hCDg?si=pXcH4WBWdJUgF-zq</v>
      </c>
      <c r="Z966" s="16" t="str">
        <f>HYPERLINK($X966&amp;SUBSTITUTE(マスタ!$C$3,"XXXXX",$W966))</f>
        <v>https://www.youtube.com/live/3sDTyQ9hCDg?si=pXcH4WBWdJUgF-zq&amp;t=2839s</v>
      </c>
      <c r="AA966" s="12" t="str">
        <f t="shared" si="48"/>
        <v>KANA-BOON結晶星</v>
      </c>
    </row>
    <row r="967" spans="1:27" x14ac:dyDescent="0.4">
      <c r="A967" s="14">
        <f t="shared" si="49"/>
        <v>966</v>
      </c>
      <c r="B967" s="14">
        <v>126</v>
      </c>
      <c r="C967" s="21" t="s">
        <v>2160</v>
      </c>
      <c r="D967" s="14" t="s">
        <v>1395</v>
      </c>
      <c r="E967" s="14" t="s">
        <v>1396</v>
      </c>
      <c r="G967" s="1" t="str">
        <f>_xlfn.XLOOKUP(B967,M_YT_LIVE!A:A,M_YT_LIVE!F:F,"ERROR",0,1)</f>
        <v>弾き語り</v>
      </c>
      <c r="W967" s="13">
        <f t="shared" si="47"/>
        <v>3273.0000000000005</v>
      </c>
      <c r="X967" s="12" t="str">
        <f>_xlfn.XLOOKUP($B967,M_YT_LIVE!$A:$A,M_YT_LIVE!$D:$D)</f>
        <v>https://www.youtube.com/live/3sDTyQ9hCDg?si=pXcH4WBWdJUgF-zq</v>
      </c>
      <c r="Z967" s="16" t="str">
        <f>HYPERLINK($X967&amp;SUBSTITUTE(マスタ!$C$3,"XXXXX",$W967))</f>
        <v>https://www.youtube.com/live/3sDTyQ9hCDg?si=pXcH4WBWdJUgF-zq&amp;t=3273s</v>
      </c>
      <c r="AA967" s="12" t="str">
        <f t="shared" si="48"/>
        <v>三月のパンタシアピンクレモネード</v>
      </c>
    </row>
    <row r="968" spans="1:27" x14ac:dyDescent="0.4">
      <c r="A968" s="14">
        <f t="shared" si="49"/>
        <v>967</v>
      </c>
      <c r="B968" s="14">
        <v>126</v>
      </c>
      <c r="C968" s="21" t="s">
        <v>2161</v>
      </c>
      <c r="D968" s="14" t="s">
        <v>485</v>
      </c>
      <c r="E968" s="14" t="s">
        <v>208</v>
      </c>
      <c r="G968" s="1" t="str">
        <f>_xlfn.XLOOKUP(B968,M_YT_LIVE!A:A,M_YT_LIVE!F:F,"ERROR",0,1)</f>
        <v>弾き語り</v>
      </c>
      <c r="W968" s="13">
        <f t="shared" si="47"/>
        <v>3780.9999999999995</v>
      </c>
      <c r="X968" s="12" t="str">
        <f>_xlfn.XLOOKUP($B968,M_YT_LIVE!$A:$A,M_YT_LIVE!$D:$D)</f>
        <v>https://www.youtube.com/live/3sDTyQ9hCDg?si=pXcH4WBWdJUgF-zq</v>
      </c>
      <c r="Z968" s="16" t="str">
        <f>HYPERLINK($X968&amp;SUBSTITUTE(マスタ!$C$3,"XXXXX",$W968))</f>
        <v>https://www.youtube.com/live/3sDTyQ9hCDg?si=pXcH4WBWdJUgF-zq&amp;t=3781s</v>
      </c>
      <c r="AA968" s="12" t="str">
        <f t="shared" si="48"/>
        <v>supercellヒーロー</v>
      </c>
    </row>
    <row r="969" spans="1:27" x14ac:dyDescent="0.4">
      <c r="A969" s="14">
        <f t="shared" si="49"/>
        <v>968</v>
      </c>
      <c r="B969" s="14">
        <v>126</v>
      </c>
      <c r="C969" s="21" t="s">
        <v>2162</v>
      </c>
      <c r="D969" s="14" t="s">
        <v>2163</v>
      </c>
      <c r="E969" s="14" t="s">
        <v>347</v>
      </c>
      <c r="G969" s="1" t="str">
        <f>_xlfn.XLOOKUP(B969,M_YT_LIVE!A:A,M_YT_LIVE!F:F,"ERROR",0,1)</f>
        <v>弾き語り</v>
      </c>
      <c r="W969" s="13">
        <f t="shared" si="47"/>
        <v>4190</v>
      </c>
      <c r="X969" s="12" t="str">
        <f>_xlfn.XLOOKUP($B969,M_YT_LIVE!$A:$A,M_YT_LIVE!$D:$D)</f>
        <v>https://www.youtube.com/live/3sDTyQ9hCDg?si=pXcH4WBWdJUgF-zq</v>
      </c>
      <c r="Z969" s="16" t="str">
        <f>HYPERLINK($X969&amp;SUBSTITUTE(マスタ!$C$3,"XXXXX",$W969))</f>
        <v>https://www.youtube.com/live/3sDTyQ9hCDg?si=pXcH4WBWdJUgF-zq&amp;t=4190s</v>
      </c>
      <c r="AA969" s="12" t="str">
        <f t="shared" si="48"/>
        <v>幽音しの(即興)今週の予定の歌</v>
      </c>
    </row>
    <row r="970" spans="1:27" x14ac:dyDescent="0.4">
      <c r="A970" s="14">
        <f t="shared" si="49"/>
        <v>969</v>
      </c>
      <c r="B970" s="14">
        <v>127</v>
      </c>
      <c r="C970" s="21" t="s">
        <v>2166</v>
      </c>
      <c r="D970" s="14" t="s">
        <v>378</v>
      </c>
      <c r="E970" s="14" t="s">
        <v>141</v>
      </c>
      <c r="G970" s="1" t="str">
        <f>_xlfn.XLOOKUP(B970,M_YT_LIVE!A:A,M_YT_LIVE!F:F,"ERROR",0,1)</f>
        <v>弾き語り</v>
      </c>
      <c r="W970" s="13">
        <f t="shared" si="47"/>
        <v>314</v>
      </c>
      <c r="X970" s="12" t="str">
        <f>_xlfn.XLOOKUP($B970,M_YT_LIVE!$A:$A,M_YT_LIVE!$D:$D)</f>
        <v>https://www.youtube.com/live/xKwyAT6ZyDo?si=p8RkryjyMuiiNoGd</v>
      </c>
      <c r="Z970" s="16" t="str">
        <f>HYPERLINK($X970&amp;SUBSTITUTE(マスタ!$C$3,"XXXXX",$W970))</f>
        <v>https://www.youtube.com/live/xKwyAT6ZyDo?si=p8RkryjyMuiiNoGd&amp;t=314s</v>
      </c>
      <c r="AA970" s="12" t="str">
        <f t="shared" si="48"/>
        <v>ヨルシカ斜陽</v>
      </c>
    </row>
    <row r="971" spans="1:27" x14ac:dyDescent="0.4">
      <c r="A971" s="14">
        <f t="shared" si="49"/>
        <v>970</v>
      </c>
      <c r="B971" s="14">
        <v>127</v>
      </c>
      <c r="C971" s="21" t="s">
        <v>2167</v>
      </c>
      <c r="D971" s="14" t="s">
        <v>106</v>
      </c>
      <c r="E971" s="14" t="s">
        <v>460</v>
      </c>
      <c r="G971" s="1" t="str">
        <f>_xlfn.XLOOKUP(B971,M_YT_LIVE!A:A,M_YT_LIVE!F:F,"ERROR",0,1)</f>
        <v>弾き語り</v>
      </c>
      <c r="W971" s="13">
        <f t="shared" si="47"/>
        <v>674</v>
      </c>
      <c r="X971" s="12" t="str">
        <f>_xlfn.XLOOKUP($B971,M_YT_LIVE!$A:$A,M_YT_LIVE!$D:$D)</f>
        <v>https://www.youtube.com/live/xKwyAT6ZyDo?si=p8RkryjyMuiiNoGd</v>
      </c>
      <c r="Z971" s="16" t="str">
        <f>HYPERLINK($X971&amp;SUBSTITUTE(マスタ!$C$3,"XXXXX",$W971))</f>
        <v>https://www.youtube.com/live/xKwyAT6ZyDo?si=p8RkryjyMuiiNoGd&amp;t=674s</v>
      </c>
      <c r="AA971" s="12" t="str">
        <f t="shared" si="48"/>
        <v>バルーン(須田景凪) feat.flowerレディーレ</v>
      </c>
    </row>
    <row r="972" spans="1:27" x14ac:dyDescent="0.4">
      <c r="A972" s="14">
        <f t="shared" si="49"/>
        <v>971</v>
      </c>
      <c r="B972" s="14">
        <v>127</v>
      </c>
      <c r="C972" s="21" t="s">
        <v>2168</v>
      </c>
      <c r="D972" s="14" t="s">
        <v>2169</v>
      </c>
      <c r="E972" s="14" t="s">
        <v>460</v>
      </c>
      <c r="G972" s="1" t="str">
        <f>_xlfn.XLOOKUP(B972,M_YT_LIVE!A:A,M_YT_LIVE!F:F,"ERROR",0,1)</f>
        <v>弾き語り</v>
      </c>
      <c r="W972" s="13">
        <f t="shared" si="47"/>
        <v>1025</v>
      </c>
      <c r="X972" s="12" t="str">
        <f>_xlfn.XLOOKUP($B972,M_YT_LIVE!$A:$A,M_YT_LIVE!$D:$D)</f>
        <v>https://www.youtube.com/live/xKwyAT6ZyDo?si=p8RkryjyMuiiNoGd</v>
      </c>
      <c r="Z972" s="16" t="str">
        <f>HYPERLINK($X972&amp;SUBSTITUTE(マスタ!$C$3,"XXXXX",$W972))</f>
        <v>https://www.youtube.com/live/xKwyAT6ZyDo?si=p8RkryjyMuiiNoGd&amp;t=1025s</v>
      </c>
      <c r="AA972" s="12" t="str">
        <f t="shared" si="48"/>
        <v>バルーン(須田景凪) feat.flower雨とペトラ</v>
      </c>
    </row>
    <row r="973" spans="1:27" x14ac:dyDescent="0.4">
      <c r="A973" s="14">
        <f t="shared" si="49"/>
        <v>972</v>
      </c>
      <c r="B973" s="14">
        <v>127</v>
      </c>
      <c r="C973" s="21" t="s">
        <v>2170</v>
      </c>
      <c r="D973" s="14" t="s">
        <v>266</v>
      </c>
      <c r="E973" s="14" t="s">
        <v>460</v>
      </c>
      <c r="G973" s="1" t="str">
        <f>_xlfn.XLOOKUP(B973,M_YT_LIVE!A:A,M_YT_LIVE!F:F,"ERROR",0,1)</f>
        <v>弾き語り</v>
      </c>
      <c r="W973" s="13">
        <f t="shared" si="47"/>
        <v>1398</v>
      </c>
      <c r="X973" s="12" t="str">
        <f>_xlfn.XLOOKUP($B973,M_YT_LIVE!$A:$A,M_YT_LIVE!$D:$D)</f>
        <v>https://www.youtube.com/live/xKwyAT6ZyDo?si=p8RkryjyMuiiNoGd</v>
      </c>
      <c r="Z973" s="16" t="str">
        <f>HYPERLINK($X973&amp;SUBSTITUTE(マスタ!$C$3,"XXXXX",$W973))</f>
        <v>https://www.youtube.com/live/xKwyAT6ZyDo?si=p8RkryjyMuiiNoGd&amp;t=1398s</v>
      </c>
      <c r="AA973" s="12" t="str">
        <f t="shared" si="48"/>
        <v>バルーン(須田景凪) feat.flowerシャルル</v>
      </c>
    </row>
    <row r="974" spans="1:27" x14ac:dyDescent="0.4">
      <c r="A974" s="14">
        <f t="shared" si="49"/>
        <v>973</v>
      </c>
      <c r="B974" s="14">
        <v>127</v>
      </c>
      <c r="C974" s="21" t="s">
        <v>542</v>
      </c>
      <c r="D974" s="14" t="s">
        <v>459</v>
      </c>
      <c r="E974" s="14" t="s">
        <v>460</v>
      </c>
      <c r="G974" s="1" t="str">
        <f>_xlfn.XLOOKUP(B974,M_YT_LIVE!A:A,M_YT_LIVE!F:F,"ERROR",0,1)</f>
        <v>弾き語り</v>
      </c>
      <c r="W974" s="13">
        <f t="shared" si="47"/>
        <v>1777</v>
      </c>
      <c r="X974" s="12" t="str">
        <f>_xlfn.XLOOKUP($B974,M_YT_LIVE!$A:$A,M_YT_LIVE!$D:$D)</f>
        <v>https://www.youtube.com/live/xKwyAT6ZyDo?si=p8RkryjyMuiiNoGd</v>
      </c>
      <c r="Z974" s="16" t="str">
        <f>HYPERLINK($X974&amp;SUBSTITUTE(マスタ!$C$3,"XXXXX",$W974))</f>
        <v>https://www.youtube.com/live/xKwyAT6ZyDo?si=p8RkryjyMuiiNoGd&amp;t=1777s</v>
      </c>
      <c r="AA974" s="12" t="str">
        <f t="shared" si="48"/>
        <v>バルーン(須田景凪) feat.flower花瓶に触れた</v>
      </c>
    </row>
    <row r="975" spans="1:27" x14ac:dyDescent="0.4">
      <c r="A975" s="14">
        <f t="shared" si="49"/>
        <v>974</v>
      </c>
      <c r="B975" s="14">
        <v>127</v>
      </c>
      <c r="C975" s="21" t="s">
        <v>2171</v>
      </c>
      <c r="D975" s="14" t="s">
        <v>204</v>
      </c>
      <c r="E975" s="14" t="s">
        <v>205</v>
      </c>
      <c r="G975" s="1" t="str">
        <f>_xlfn.XLOOKUP(B975,M_YT_LIVE!A:A,M_YT_LIVE!F:F,"ERROR",0,1)</f>
        <v>弾き語り</v>
      </c>
      <c r="W975" s="13">
        <f t="shared" si="47"/>
        <v>2107</v>
      </c>
      <c r="X975" s="12" t="str">
        <f>_xlfn.XLOOKUP($B975,M_YT_LIVE!$A:$A,M_YT_LIVE!$D:$D)</f>
        <v>https://www.youtube.com/live/xKwyAT6ZyDo?si=p8RkryjyMuiiNoGd</v>
      </c>
      <c r="Z975" s="16" t="str">
        <f>HYPERLINK($X975&amp;SUBSTITUTE(マスタ!$C$3,"XXXXX",$W975))</f>
        <v>https://www.youtube.com/live/xKwyAT6ZyDo?si=p8RkryjyMuiiNoGd&amp;t=2107s</v>
      </c>
      <c r="AA975" s="12" t="str">
        <f t="shared" si="48"/>
        <v>164P feat.GUMI天ノ弱</v>
      </c>
    </row>
    <row r="976" spans="1:27" x14ac:dyDescent="0.4">
      <c r="A976" s="14">
        <f t="shared" si="49"/>
        <v>975</v>
      </c>
      <c r="B976" s="14">
        <v>127</v>
      </c>
      <c r="C976" s="21" t="s">
        <v>2172</v>
      </c>
      <c r="D976" s="14" t="s">
        <v>120</v>
      </c>
      <c r="E976" s="14" t="s">
        <v>118</v>
      </c>
      <c r="G976" s="1" t="str">
        <f>_xlfn.XLOOKUP(B976,M_YT_LIVE!A:A,M_YT_LIVE!F:F,"ERROR",0,1)</f>
        <v>弾き語り</v>
      </c>
      <c r="W976" s="13">
        <f t="shared" si="47"/>
        <v>2496</v>
      </c>
      <c r="X976" s="12" t="str">
        <f>_xlfn.XLOOKUP($B976,M_YT_LIVE!$A:$A,M_YT_LIVE!$D:$D)</f>
        <v>https://www.youtube.com/live/xKwyAT6ZyDo?si=p8RkryjyMuiiNoGd</v>
      </c>
      <c r="Z976" s="16" t="str">
        <f>HYPERLINK($X976&amp;SUBSTITUTE(マスタ!$C$3,"XXXXX",$W976))</f>
        <v>https://www.youtube.com/live/xKwyAT6ZyDo?si=p8RkryjyMuiiNoGd&amp;t=2496s</v>
      </c>
      <c r="AA976" s="12" t="str">
        <f t="shared" si="48"/>
        <v>Orangestar feat.初音ミクアスノヨゾラ哨戒班</v>
      </c>
    </row>
    <row r="977" spans="1:27" x14ac:dyDescent="0.4">
      <c r="A977" s="14">
        <f t="shared" si="49"/>
        <v>976</v>
      </c>
      <c r="B977" s="14">
        <v>127</v>
      </c>
      <c r="C977" s="21" t="s">
        <v>2173</v>
      </c>
      <c r="D977" s="14" t="s">
        <v>109</v>
      </c>
      <c r="E977" s="14" t="s">
        <v>44</v>
      </c>
      <c r="G977" s="1" t="str">
        <f>_xlfn.XLOOKUP(B977,M_YT_LIVE!A:A,M_YT_LIVE!F:F,"ERROR",0,1)</f>
        <v>弾き語り</v>
      </c>
      <c r="W977" s="13">
        <f t="shared" si="47"/>
        <v>2792</v>
      </c>
      <c r="X977" s="12" t="str">
        <f>_xlfn.XLOOKUP($B977,M_YT_LIVE!$A:$A,M_YT_LIVE!$D:$D)</f>
        <v>https://www.youtube.com/live/xKwyAT6ZyDo?si=p8RkryjyMuiiNoGd</v>
      </c>
      <c r="Z977" s="16" t="str">
        <f>HYPERLINK($X977&amp;SUBSTITUTE(マスタ!$C$3,"XXXXX",$W977))</f>
        <v>https://www.youtube.com/live/xKwyAT6ZyDo?si=p8RkryjyMuiiNoGd&amp;t=2792s</v>
      </c>
      <c r="AA977" s="12" t="str">
        <f t="shared" si="48"/>
        <v>メル feat.初音ミク翡翠のまち</v>
      </c>
    </row>
    <row r="978" spans="1:27" x14ac:dyDescent="0.4">
      <c r="A978" s="14">
        <f t="shared" si="49"/>
        <v>977</v>
      </c>
      <c r="B978" s="14">
        <v>127</v>
      </c>
      <c r="C978" s="21" t="s">
        <v>2174</v>
      </c>
      <c r="D978" s="14" t="s">
        <v>33</v>
      </c>
      <c r="E978" s="14" t="s">
        <v>44</v>
      </c>
      <c r="G978" s="1" t="str">
        <f>_xlfn.XLOOKUP(B978,M_YT_LIVE!A:A,M_YT_LIVE!F:F,"ERROR",0,1)</f>
        <v>弾き語り</v>
      </c>
      <c r="W978" s="13">
        <f t="shared" si="47"/>
        <v>3144</v>
      </c>
      <c r="X978" s="12" t="str">
        <f>_xlfn.XLOOKUP($B978,M_YT_LIVE!$A:$A,M_YT_LIVE!$D:$D)</f>
        <v>https://www.youtube.com/live/xKwyAT6ZyDo?si=p8RkryjyMuiiNoGd</v>
      </c>
      <c r="Z978" s="16" t="str">
        <f>HYPERLINK($X978&amp;SUBSTITUTE(マスタ!$C$3,"XXXXX",$W978))</f>
        <v>https://www.youtube.com/live/xKwyAT6ZyDo?si=p8RkryjyMuiiNoGd&amp;t=3144s</v>
      </c>
      <c r="AA978" s="12" t="str">
        <f t="shared" si="48"/>
        <v>メル feat.初音ミクさようなら、花泥棒さん</v>
      </c>
    </row>
    <row r="979" spans="1:27" x14ac:dyDescent="0.4">
      <c r="A979" s="14">
        <f t="shared" si="49"/>
        <v>978</v>
      </c>
      <c r="B979" s="14">
        <v>127</v>
      </c>
      <c r="C979" s="21" t="s">
        <v>2175</v>
      </c>
      <c r="D979" s="14" t="s">
        <v>31</v>
      </c>
      <c r="E979" s="14" t="s">
        <v>1046</v>
      </c>
      <c r="G979" s="1" t="str">
        <f>_xlfn.XLOOKUP(B979,M_YT_LIVE!A:A,M_YT_LIVE!F:F,"ERROR",0,1)</f>
        <v>弾き語り</v>
      </c>
      <c r="W979" s="13">
        <f t="shared" si="47"/>
        <v>3500</v>
      </c>
      <c r="X979" s="12" t="str">
        <f>_xlfn.XLOOKUP($B979,M_YT_LIVE!$A:$A,M_YT_LIVE!$D:$D)</f>
        <v>https://www.youtube.com/live/xKwyAT6ZyDo?si=p8RkryjyMuiiNoGd</v>
      </c>
      <c r="Z979" s="16" t="str">
        <f>HYPERLINK($X979&amp;SUBSTITUTE(マスタ!$C$3,"XXXXX",$W979))</f>
        <v>https://www.youtube.com/live/xKwyAT6ZyDo?si=p8RkryjyMuiiNoGd&amp;t=3500s</v>
      </c>
      <c r="AA979" s="12" t="str">
        <f t="shared" si="48"/>
        <v>メル feat.IAプラトニック・ラヴ</v>
      </c>
    </row>
    <row r="980" spans="1:27" x14ac:dyDescent="0.4">
      <c r="A980" s="14">
        <f t="shared" si="49"/>
        <v>979</v>
      </c>
      <c r="B980" s="14">
        <v>127</v>
      </c>
      <c r="C980" s="21" t="s">
        <v>2176</v>
      </c>
      <c r="D980" s="14" t="s">
        <v>512</v>
      </c>
      <c r="E980" s="14" t="s">
        <v>528</v>
      </c>
      <c r="G980" s="1" t="str">
        <f>_xlfn.XLOOKUP(B980,M_YT_LIVE!A:A,M_YT_LIVE!F:F,"ERROR",0,1)</f>
        <v>弾き語り</v>
      </c>
      <c r="W980" s="13">
        <f t="shared" si="47"/>
        <v>3823.0000000000005</v>
      </c>
      <c r="X980" s="12" t="str">
        <f>_xlfn.XLOOKUP($B980,M_YT_LIVE!$A:$A,M_YT_LIVE!$D:$D)</f>
        <v>https://www.youtube.com/live/xKwyAT6ZyDo?si=p8RkryjyMuiiNoGd</v>
      </c>
      <c r="Z980" s="16" t="str">
        <f>HYPERLINK($X980&amp;SUBSTITUTE(マスタ!$C$3,"XXXXX",$W980))</f>
        <v>https://www.youtube.com/live/xKwyAT6ZyDo?si=p8RkryjyMuiiNoGd&amp;t=3823s</v>
      </c>
      <c r="AA980" s="12" t="str">
        <f t="shared" si="48"/>
        <v>みきとP feat.MAYU夕立のりぼん</v>
      </c>
    </row>
    <row r="981" spans="1:27" x14ac:dyDescent="0.4">
      <c r="A981" s="14">
        <f t="shared" si="49"/>
        <v>980</v>
      </c>
      <c r="B981" s="14">
        <v>127</v>
      </c>
      <c r="C981" s="21" t="s">
        <v>2177</v>
      </c>
      <c r="D981" s="14" t="s">
        <v>149</v>
      </c>
      <c r="E981" s="14" t="s">
        <v>150</v>
      </c>
      <c r="G981" s="1" t="str">
        <f>_xlfn.XLOOKUP(B981,M_YT_LIVE!A:A,M_YT_LIVE!F:F,"ERROR",0,1)</f>
        <v>弾き語り</v>
      </c>
      <c r="W981" s="13">
        <f t="shared" si="47"/>
        <v>4195</v>
      </c>
      <c r="X981" s="12" t="str">
        <f>_xlfn.XLOOKUP($B981,M_YT_LIVE!$A:$A,M_YT_LIVE!$D:$D)</f>
        <v>https://www.youtube.com/live/xKwyAT6ZyDo?si=p8RkryjyMuiiNoGd</v>
      </c>
      <c r="Z981" s="16" t="str">
        <f>HYPERLINK($X981&amp;SUBSTITUTE(マスタ!$C$3,"XXXXX",$W981))</f>
        <v>https://www.youtube.com/live/xKwyAT6ZyDo?si=p8RkryjyMuiiNoGd&amp;t=4195s</v>
      </c>
      <c r="AA981" s="12" t="str">
        <f t="shared" si="48"/>
        <v>みきとP feat.初音ミク少女レイ</v>
      </c>
    </row>
    <row r="982" spans="1:27" x14ac:dyDescent="0.4">
      <c r="A982" s="14">
        <f t="shared" si="49"/>
        <v>981</v>
      </c>
      <c r="B982" s="14">
        <v>127</v>
      </c>
      <c r="C982" s="21" t="s">
        <v>2178</v>
      </c>
      <c r="D982" s="14" t="s">
        <v>707</v>
      </c>
      <c r="E982" s="14" t="s">
        <v>708</v>
      </c>
      <c r="G982" s="1" t="str">
        <f>_xlfn.XLOOKUP(B982,M_YT_LIVE!A:A,M_YT_LIVE!F:F,"ERROR",0,1)</f>
        <v>弾き語り</v>
      </c>
      <c r="W982" s="13">
        <f t="shared" si="47"/>
        <v>4627</v>
      </c>
      <c r="X982" s="12" t="str">
        <f>_xlfn.XLOOKUP($B982,M_YT_LIVE!$A:$A,M_YT_LIVE!$D:$D)</f>
        <v>https://www.youtube.com/live/xKwyAT6ZyDo?si=p8RkryjyMuiiNoGd</v>
      </c>
      <c r="Z982" s="16" t="str">
        <f>HYPERLINK($X982&amp;SUBSTITUTE(マスタ!$C$3,"XXXXX",$W982))</f>
        <v>https://www.youtube.com/live/xKwyAT6ZyDo?si=p8RkryjyMuiiNoGd&amp;t=4627s</v>
      </c>
      <c r="AA982" s="12" t="str">
        <f t="shared" si="48"/>
        <v>halyosy feat.鏡音レンFire◎Flower</v>
      </c>
    </row>
    <row r="983" spans="1:27" x14ac:dyDescent="0.4">
      <c r="A983" s="14">
        <f t="shared" si="49"/>
        <v>982</v>
      </c>
      <c r="B983" s="14">
        <v>127</v>
      </c>
      <c r="C983" s="21" t="s">
        <v>2179</v>
      </c>
      <c r="D983" s="14" t="s">
        <v>454</v>
      </c>
      <c r="E983" s="14" t="s">
        <v>455</v>
      </c>
      <c r="G983" s="1" t="str">
        <f>_xlfn.XLOOKUP(B983,M_YT_LIVE!A:A,M_YT_LIVE!F:F,"ERROR",0,1)</f>
        <v>弾き語り</v>
      </c>
      <c r="W983" s="13">
        <f t="shared" si="47"/>
        <v>5082</v>
      </c>
      <c r="X983" s="12" t="str">
        <f>_xlfn.XLOOKUP($B983,M_YT_LIVE!$A:$A,M_YT_LIVE!$D:$D)</f>
        <v>https://www.youtube.com/live/xKwyAT6ZyDo?si=p8RkryjyMuiiNoGd</v>
      </c>
      <c r="Z983" s="16" t="str">
        <f>HYPERLINK($X983&amp;SUBSTITUTE(マスタ!$C$3,"XXXXX",$W983))</f>
        <v>https://www.youtube.com/live/xKwyAT6ZyDo?si=p8RkryjyMuiiNoGd&amp;t=5082s</v>
      </c>
      <c r="AA983" s="12" t="str">
        <f t="shared" si="48"/>
        <v>ささくれ。P feat.初音ミクハロー、プラネット。</v>
      </c>
    </row>
    <row r="984" spans="1:27" x14ac:dyDescent="0.4">
      <c r="A984" s="14">
        <f t="shared" si="49"/>
        <v>983</v>
      </c>
      <c r="B984" s="14">
        <v>127</v>
      </c>
      <c r="C984" s="21" t="s">
        <v>1456</v>
      </c>
      <c r="D984" s="14" t="s">
        <v>2180</v>
      </c>
      <c r="E984" s="14" t="s">
        <v>2181</v>
      </c>
      <c r="G984" s="1" t="str">
        <f>_xlfn.XLOOKUP(B984,M_YT_LIVE!A:A,M_YT_LIVE!F:F,"ERROR",0,1)</f>
        <v>弾き語り</v>
      </c>
      <c r="W984" s="13">
        <f t="shared" si="47"/>
        <v>5540</v>
      </c>
      <c r="X984" s="12" t="str">
        <f>_xlfn.XLOOKUP($B984,M_YT_LIVE!$A:$A,M_YT_LIVE!$D:$D)</f>
        <v>https://www.youtube.com/live/xKwyAT6ZyDo?si=p8RkryjyMuiiNoGd</v>
      </c>
      <c r="Z984" s="16" t="str">
        <f>HYPERLINK($X984&amp;SUBSTITUTE(マスタ!$C$3,"XXXXX",$W984))</f>
        <v>https://www.youtube.com/live/xKwyAT6ZyDo?si=p8RkryjyMuiiNoGd&amp;t=5540s</v>
      </c>
      <c r="AA984" s="12" t="str">
        <f t="shared" si="48"/>
        <v>Junky feat.鏡音リントゥインクル</v>
      </c>
    </row>
    <row r="985" spans="1:27" x14ac:dyDescent="0.4">
      <c r="A985" s="14">
        <f t="shared" si="49"/>
        <v>984</v>
      </c>
      <c r="B985" s="14">
        <v>129</v>
      </c>
      <c r="C985" s="21" t="s">
        <v>2186</v>
      </c>
      <c r="D985" s="14" t="s">
        <v>176</v>
      </c>
      <c r="E985" s="14" t="s">
        <v>177</v>
      </c>
      <c r="G985" s="1" t="str">
        <f>_xlfn.XLOOKUP(B985,M_YT_LIVE!A:A,M_YT_LIVE!F:F,"ERROR",0,1)</f>
        <v>弾き語り</v>
      </c>
      <c r="W985" s="13">
        <f t="shared" si="47"/>
        <v>326</v>
      </c>
      <c r="X985" s="12" t="str">
        <f>_xlfn.XLOOKUP($B985,M_YT_LIVE!$A:$A,M_YT_LIVE!$D:$D)</f>
        <v>https://www.youtube.com/live/RXbt0OmMVe8?si=zUTwr5vQz3aflRD3</v>
      </c>
      <c r="Z985" s="16" t="str">
        <f>HYPERLINK($X985&amp;SUBSTITUTE(マスタ!$C$3,"XXXXX",$W985))</f>
        <v>https://www.youtube.com/live/RXbt0OmMVe8?si=zUTwr5vQz3aflRD3&amp;t=326s</v>
      </c>
      <c r="AA985" s="12" t="str">
        <f t="shared" si="48"/>
        <v>Saucy Dogシンデレラボーイ</v>
      </c>
    </row>
    <row r="986" spans="1:27" x14ac:dyDescent="0.4">
      <c r="A986" s="14">
        <f t="shared" si="49"/>
        <v>985</v>
      </c>
      <c r="B986" s="14">
        <v>129</v>
      </c>
      <c r="C986" s="21" t="s">
        <v>2187</v>
      </c>
      <c r="D986" s="14" t="s">
        <v>2188</v>
      </c>
      <c r="E986" s="14" t="s">
        <v>2189</v>
      </c>
      <c r="G986" s="1" t="str">
        <f>_xlfn.XLOOKUP(B986,M_YT_LIVE!A:A,M_YT_LIVE!F:F,"ERROR",0,1)</f>
        <v>弾き語り</v>
      </c>
      <c r="W986" s="13">
        <f t="shared" si="47"/>
        <v>758</v>
      </c>
      <c r="X986" s="12" t="str">
        <f>_xlfn.XLOOKUP($B986,M_YT_LIVE!$A:$A,M_YT_LIVE!$D:$D)</f>
        <v>https://www.youtube.com/live/RXbt0OmMVe8?si=zUTwr5vQz3aflRD3</v>
      </c>
      <c r="Z986" s="16" t="str">
        <f>HYPERLINK($X986&amp;SUBSTITUTE(マスタ!$C$3,"XXXXX",$W986))</f>
        <v>https://www.youtube.com/live/RXbt0OmMVe8?si=zUTwr5vQz3aflRD3&amp;t=758s</v>
      </c>
      <c r="AA986" s="12" t="str">
        <f t="shared" si="48"/>
        <v>コレサワたばこ</v>
      </c>
    </row>
    <row r="987" spans="1:27" x14ac:dyDescent="0.4">
      <c r="A987" s="14">
        <f t="shared" si="49"/>
        <v>986</v>
      </c>
      <c r="B987" s="14">
        <v>129</v>
      </c>
      <c r="C987" s="21" t="s">
        <v>2190</v>
      </c>
      <c r="D987" s="14" t="s">
        <v>536</v>
      </c>
      <c r="E987" s="14" t="s">
        <v>537</v>
      </c>
      <c r="G987" s="1" t="str">
        <f>_xlfn.XLOOKUP(B987,M_YT_LIVE!A:A,M_YT_LIVE!F:F,"ERROR",0,1)</f>
        <v>弾き語り</v>
      </c>
      <c r="W987" s="13">
        <f t="shared" si="47"/>
        <v>1279</v>
      </c>
      <c r="X987" s="12" t="str">
        <f>_xlfn.XLOOKUP($B987,M_YT_LIVE!$A:$A,M_YT_LIVE!$D:$D)</f>
        <v>https://www.youtube.com/live/RXbt0OmMVe8?si=zUTwr5vQz3aflRD3</v>
      </c>
      <c r="Z987" s="16" t="str">
        <f>HYPERLINK($X987&amp;SUBSTITUTE(マスタ!$C$3,"XXXXX",$W987))</f>
        <v>https://www.youtube.com/live/RXbt0OmMVe8?si=zUTwr5vQz3aflRD3&amp;t=1279s</v>
      </c>
      <c r="AA987" s="12" t="str">
        <f t="shared" si="48"/>
        <v>tuki.晩餐歌</v>
      </c>
    </row>
    <row r="988" spans="1:27" x14ac:dyDescent="0.4">
      <c r="A988" s="14">
        <f t="shared" si="49"/>
        <v>987</v>
      </c>
      <c r="B988" s="14">
        <v>129</v>
      </c>
      <c r="C988" s="21" t="s">
        <v>1373</v>
      </c>
      <c r="D988" s="14" t="s">
        <v>87</v>
      </c>
      <c r="E988" s="14" t="s">
        <v>88</v>
      </c>
      <c r="G988" s="1" t="str">
        <f>_xlfn.XLOOKUP(B988,M_YT_LIVE!A:A,M_YT_LIVE!F:F,"ERROR",0,1)</f>
        <v>弾き語り</v>
      </c>
      <c r="W988" s="13">
        <f t="shared" si="47"/>
        <v>1686</v>
      </c>
      <c r="X988" s="12" t="str">
        <f>_xlfn.XLOOKUP($B988,M_YT_LIVE!$A:$A,M_YT_LIVE!$D:$D)</f>
        <v>https://www.youtube.com/live/RXbt0OmMVe8?si=zUTwr5vQz3aflRD3</v>
      </c>
      <c r="Z988" s="16" t="str">
        <f>HYPERLINK($X988&amp;SUBSTITUTE(マスタ!$C$3,"XXXXX",$W988))</f>
        <v>https://www.youtube.com/live/RXbt0OmMVe8?si=zUTwr5vQz3aflRD3&amp;t=1686s</v>
      </c>
      <c r="AA988" s="12" t="str">
        <f t="shared" si="48"/>
        <v>美波カワキヲアメク</v>
      </c>
    </row>
    <row r="989" spans="1:27" x14ac:dyDescent="0.4">
      <c r="A989" s="14">
        <f t="shared" si="49"/>
        <v>988</v>
      </c>
      <c r="B989" s="14">
        <v>129</v>
      </c>
      <c r="C989" s="21" t="s">
        <v>1814</v>
      </c>
      <c r="D989" s="14" t="s">
        <v>593</v>
      </c>
      <c r="E989" s="14" t="s">
        <v>65</v>
      </c>
      <c r="G989" s="1" t="str">
        <f>_xlfn.XLOOKUP(B989,M_YT_LIVE!A:A,M_YT_LIVE!F:F,"ERROR",0,1)</f>
        <v>弾き語り</v>
      </c>
      <c r="W989" s="13">
        <f t="shared" si="47"/>
        <v>2160</v>
      </c>
      <c r="X989" s="12" t="str">
        <f>_xlfn.XLOOKUP($B989,M_YT_LIVE!$A:$A,M_YT_LIVE!$D:$D)</f>
        <v>https://www.youtube.com/live/RXbt0OmMVe8?si=zUTwr5vQz3aflRD3</v>
      </c>
      <c r="Z989" s="16" t="str">
        <f>HYPERLINK($X989&amp;SUBSTITUTE(マスタ!$C$3,"XXXXX",$W989))</f>
        <v>https://www.youtube.com/live/RXbt0OmMVe8?si=zUTwr5vQz3aflRD3&amp;t=2160s</v>
      </c>
      <c r="AA989" s="12" t="str">
        <f t="shared" si="48"/>
        <v>R Sound Design feat.初音ミク帝国少女</v>
      </c>
    </row>
    <row r="990" spans="1:27" x14ac:dyDescent="0.4">
      <c r="A990" s="14">
        <f t="shared" si="49"/>
        <v>989</v>
      </c>
      <c r="B990" s="14">
        <v>129</v>
      </c>
      <c r="C990" s="21" t="s">
        <v>2191</v>
      </c>
      <c r="D990" s="14" t="s">
        <v>2192</v>
      </c>
      <c r="E990" s="14" t="s">
        <v>2193</v>
      </c>
      <c r="G990" s="1" t="str">
        <f>_xlfn.XLOOKUP(B990,M_YT_LIVE!A:A,M_YT_LIVE!F:F,"ERROR",0,1)</f>
        <v>弾き語り</v>
      </c>
      <c r="W990" s="13">
        <f t="shared" si="47"/>
        <v>2663</v>
      </c>
      <c r="X990" s="12" t="str">
        <f>_xlfn.XLOOKUP($B990,M_YT_LIVE!$A:$A,M_YT_LIVE!$D:$D)</f>
        <v>https://www.youtube.com/live/RXbt0OmMVe8?si=zUTwr5vQz3aflRD3</v>
      </c>
      <c r="Z990" s="16" t="str">
        <f>HYPERLINK($X990&amp;SUBSTITUTE(マスタ!$C$3,"XXXXX",$W990))</f>
        <v>https://www.youtube.com/live/RXbt0OmMVe8?si=zUTwr5vQz3aflRD3&amp;t=2663s</v>
      </c>
      <c r="AA990" s="12" t="str">
        <f t="shared" si="48"/>
        <v>めざめP feat.初音ミクうそつき</v>
      </c>
    </row>
    <row r="991" spans="1:27" x14ac:dyDescent="0.4">
      <c r="A991" s="14">
        <f t="shared" si="49"/>
        <v>990</v>
      </c>
      <c r="B991" s="14">
        <v>129</v>
      </c>
      <c r="C991" s="21" t="s">
        <v>2194</v>
      </c>
      <c r="D991" s="14" t="s">
        <v>483</v>
      </c>
      <c r="E991" s="14" t="s">
        <v>141</v>
      </c>
      <c r="G991" s="1" t="str">
        <f>_xlfn.XLOOKUP(B991,M_YT_LIVE!A:A,M_YT_LIVE!F:F,"ERROR",0,1)</f>
        <v>弾き語り</v>
      </c>
      <c r="W991" s="13">
        <f t="shared" si="47"/>
        <v>3105.9999999999995</v>
      </c>
      <c r="X991" s="12" t="str">
        <f>_xlfn.XLOOKUP($B991,M_YT_LIVE!$A:$A,M_YT_LIVE!$D:$D)</f>
        <v>https://www.youtube.com/live/RXbt0OmMVe8?si=zUTwr5vQz3aflRD3</v>
      </c>
      <c r="Z991" s="16" t="str">
        <f>HYPERLINK($X991&amp;SUBSTITUTE(マスタ!$C$3,"XXXXX",$W991))</f>
        <v>https://www.youtube.com/live/RXbt0OmMVe8?si=zUTwr5vQz3aflRD3&amp;t=3106s</v>
      </c>
      <c r="AA991" s="12" t="str">
        <f t="shared" si="48"/>
        <v>ヨルシカアルジャーノン</v>
      </c>
    </row>
    <row r="992" spans="1:27" x14ac:dyDescent="0.4">
      <c r="A992" s="14">
        <f t="shared" si="49"/>
        <v>991</v>
      </c>
      <c r="B992" s="14">
        <v>129</v>
      </c>
      <c r="C992" s="21" t="s">
        <v>2195</v>
      </c>
      <c r="D992" s="14" t="s">
        <v>1912</v>
      </c>
      <c r="E992" s="14" t="s">
        <v>141</v>
      </c>
      <c r="G992" s="1" t="str">
        <f>_xlfn.XLOOKUP(B992,M_YT_LIVE!A:A,M_YT_LIVE!F:F,"ERROR",0,1)</f>
        <v>弾き語り</v>
      </c>
      <c r="W992" s="13">
        <f t="shared" si="47"/>
        <v>3624</v>
      </c>
      <c r="X992" s="12" t="str">
        <f>_xlfn.XLOOKUP($B992,M_YT_LIVE!$A:$A,M_YT_LIVE!$D:$D)</f>
        <v>https://www.youtube.com/live/RXbt0OmMVe8?si=zUTwr5vQz3aflRD3</v>
      </c>
      <c r="Z992" s="16" t="str">
        <f>HYPERLINK($X992&amp;SUBSTITUTE(マスタ!$C$3,"XXXXX",$W992))</f>
        <v>https://www.youtube.com/live/RXbt0OmMVe8?si=zUTwr5vQz3aflRD3&amp;t=3624s</v>
      </c>
      <c r="AA992" s="12" t="str">
        <f t="shared" si="48"/>
        <v>ヨルシカ忘れてください</v>
      </c>
    </row>
    <row r="993" spans="1:27" x14ac:dyDescent="0.4">
      <c r="A993" s="14">
        <f t="shared" si="49"/>
        <v>992</v>
      </c>
      <c r="B993" s="14">
        <v>129</v>
      </c>
      <c r="C993" s="21" t="s">
        <v>2196</v>
      </c>
      <c r="D993" s="14" t="s">
        <v>232</v>
      </c>
      <c r="E993" s="14" t="s">
        <v>141</v>
      </c>
      <c r="G993" s="1" t="str">
        <f>_xlfn.XLOOKUP(B993,M_YT_LIVE!A:A,M_YT_LIVE!F:F,"ERROR",0,1)</f>
        <v>弾き語り</v>
      </c>
      <c r="W993" s="13">
        <f t="shared" si="47"/>
        <v>3990</v>
      </c>
      <c r="X993" s="12" t="str">
        <f>_xlfn.XLOOKUP($B993,M_YT_LIVE!$A:$A,M_YT_LIVE!$D:$D)</f>
        <v>https://www.youtube.com/live/RXbt0OmMVe8?si=zUTwr5vQz3aflRD3</v>
      </c>
      <c r="Z993" s="16" t="str">
        <f>HYPERLINK($X993&amp;SUBSTITUTE(マスタ!$C$3,"XXXXX",$W993))</f>
        <v>https://www.youtube.com/live/RXbt0OmMVe8?si=zUTwr5vQz3aflRD3&amp;t=3990s</v>
      </c>
      <c r="AA993" s="12" t="str">
        <f t="shared" si="48"/>
        <v>ヨルシカチノカテ</v>
      </c>
    </row>
    <row r="994" spans="1:27" x14ac:dyDescent="0.4">
      <c r="A994" s="14">
        <f t="shared" si="49"/>
        <v>993</v>
      </c>
      <c r="B994" s="14">
        <v>129</v>
      </c>
      <c r="C994" s="21" t="s">
        <v>2197</v>
      </c>
      <c r="D994" s="14" t="s">
        <v>140</v>
      </c>
      <c r="E994" s="14" t="s">
        <v>141</v>
      </c>
      <c r="G994" s="1" t="str">
        <f>_xlfn.XLOOKUP(B994,M_YT_LIVE!A:A,M_YT_LIVE!F:F,"ERROR",0,1)</f>
        <v>弾き語り</v>
      </c>
      <c r="W994" s="13">
        <f t="shared" si="47"/>
        <v>4423</v>
      </c>
      <c r="X994" s="12" t="str">
        <f>_xlfn.XLOOKUP($B994,M_YT_LIVE!$A:$A,M_YT_LIVE!$D:$D)</f>
        <v>https://www.youtube.com/live/RXbt0OmMVe8?si=zUTwr5vQz3aflRD3</v>
      </c>
      <c r="Z994" s="16" t="str">
        <f>HYPERLINK($X994&amp;SUBSTITUTE(マスタ!$C$3,"XXXXX",$W994))</f>
        <v>https://www.youtube.com/live/RXbt0OmMVe8?si=zUTwr5vQz3aflRD3&amp;t=4423s</v>
      </c>
      <c r="AA994" s="12" t="str">
        <f t="shared" si="48"/>
        <v>ヨルシカ靴の花火</v>
      </c>
    </row>
    <row r="995" spans="1:27" x14ac:dyDescent="0.4">
      <c r="A995" s="14">
        <f t="shared" si="49"/>
        <v>994</v>
      </c>
      <c r="B995" s="14">
        <v>129</v>
      </c>
      <c r="C995" s="21" t="s">
        <v>2198</v>
      </c>
      <c r="D995" s="14" t="s">
        <v>202</v>
      </c>
      <c r="E995" s="14" t="s">
        <v>141</v>
      </c>
      <c r="G995" s="1" t="str">
        <f>_xlfn.XLOOKUP(B995,M_YT_LIVE!A:A,M_YT_LIVE!F:F,"ERROR",0,1)</f>
        <v>弾き語り</v>
      </c>
      <c r="W995" s="13">
        <f t="shared" si="47"/>
        <v>4845</v>
      </c>
      <c r="X995" s="12" t="str">
        <f>_xlfn.XLOOKUP($B995,M_YT_LIVE!$A:$A,M_YT_LIVE!$D:$D)</f>
        <v>https://www.youtube.com/live/RXbt0OmMVe8?si=zUTwr5vQz3aflRD3</v>
      </c>
      <c r="Z995" s="16" t="str">
        <f>HYPERLINK($X995&amp;SUBSTITUTE(マスタ!$C$3,"XXXXX",$W995))</f>
        <v>https://www.youtube.com/live/RXbt0OmMVe8?si=zUTwr5vQz3aflRD3&amp;t=4845s</v>
      </c>
      <c r="AA995" s="12" t="str">
        <f t="shared" si="48"/>
        <v>ヨルシカノーチラス</v>
      </c>
    </row>
    <row r="996" spans="1:27" x14ac:dyDescent="0.4">
      <c r="A996" s="14">
        <f t="shared" si="49"/>
        <v>995</v>
      </c>
      <c r="B996" s="14">
        <v>129</v>
      </c>
      <c r="C996" s="21" t="s">
        <v>2199</v>
      </c>
      <c r="D996" s="14" t="s">
        <v>207</v>
      </c>
      <c r="E996" s="14" t="s">
        <v>208</v>
      </c>
      <c r="G996" s="1" t="str">
        <f>_xlfn.XLOOKUP(B996,M_YT_LIVE!A:A,M_YT_LIVE!F:F,"ERROR",0,1)</f>
        <v>弾き語り</v>
      </c>
      <c r="W996" s="13">
        <f t="shared" si="47"/>
        <v>5245</v>
      </c>
      <c r="X996" s="12" t="str">
        <f>_xlfn.XLOOKUP($B996,M_YT_LIVE!$A:$A,M_YT_LIVE!$D:$D)</f>
        <v>https://www.youtube.com/live/RXbt0OmMVe8?si=zUTwr5vQz3aflRD3</v>
      </c>
      <c r="Z996" s="16" t="str">
        <f>HYPERLINK($X996&amp;SUBSTITUTE(マスタ!$C$3,"XXXXX",$W996))</f>
        <v>https://www.youtube.com/live/RXbt0OmMVe8?si=zUTwr5vQz3aflRD3&amp;t=5245s</v>
      </c>
      <c r="AA996" s="12" t="str">
        <f t="shared" si="48"/>
        <v>supercellPerfect Day</v>
      </c>
    </row>
    <row r="997" spans="1:27" x14ac:dyDescent="0.4">
      <c r="A997" s="14">
        <f t="shared" si="49"/>
        <v>996</v>
      </c>
      <c r="B997" s="14">
        <v>129</v>
      </c>
      <c r="C997" s="21" t="s">
        <v>2200</v>
      </c>
      <c r="D997" s="14" t="s">
        <v>307</v>
      </c>
      <c r="E997" s="14" t="s">
        <v>208</v>
      </c>
      <c r="G997" s="1" t="str">
        <f>_xlfn.XLOOKUP(B997,M_YT_LIVE!A:A,M_YT_LIVE!F:F,"ERROR",0,1)</f>
        <v>弾き語り</v>
      </c>
      <c r="W997" s="13">
        <f t="shared" si="47"/>
        <v>5659.9999999999991</v>
      </c>
      <c r="X997" s="12" t="str">
        <f>_xlfn.XLOOKUP($B997,M_YT_LIVE!$A:$A,M_YT_LIVE!$D:$D)</f>
        <v>https://www.youtube.com/live/RXbt0OmMVe8?si=zUTwr5vQz3aflRD3</v>
      </c>
      <c r="Z997" s="16" t="str">
        <f>HYPERLINK($X997&amp;SUBSTITUTE(マスタ!$C$3,"XXXXX",$W997))</f>
        <v>https://www.youtube.com/live/RXbt0OmMVe8?si=zUTwr5vQz3aflRD3&amp;t=5660s</v>
      </c>
      <c r="AA997" s="12" t="str">
        <f t="shared" si="48"/>
        <v>supercellうたかた花火</v>
      </c>
    </row>
    <row r="998" spans="1:27" x14ac:dyDescent="0.4">
      <c r="A998" s="14">
        <f t="shared" si="49"/>
        <v>997</v>
      </c>
      <c r="B998" s="14">
        <v>129</v>
      </c>
      <c r="C998" s="21" t="s">
        <v>2201</v>
      </c>
      <c r="D998" s="14" t="s">
        <v>310</v>
      </c>
      <c r="E998" s="14" t="s">
        <v>208</v>
      </c>
      <c r="G998" s="1" t="str">
        <f>_xlfn.XLOOKUP(B998,M_YT_LIVE!A:A,M_YT_LIVE!F:F,"ERROR",0,1)</f>
        <v>弾き語り</v>
      </c>
      <c r="W998" s="13">
        <f t="shared" si="47"/>
        <v>6258</v>
      </c>
      <c r="X998" s="12" t="str">
        <f>_xlfn.XLOOKUP($B998,M_YT_LIVE!$A:$A,M_YT_LIVE!$D:$D)</f>
        <v>https://www.youtube.com/live/RXbt0OmMVe8?si=zUTwr5vQz3aflRD3</v>
      </c>
      <c r="Z998" s="16" t="str">
        <f>HYPERLINK($X998&amp;SUBSTITUTE(マスタ!$C$3,"XXXXX",$W998))</f>
        <v>https://www.youtube.com/live/RXbt0OmMVe8?si=zUTwr5vQz3aflRD3&amp;t=6258s</v>
      </c>
      <c r="AA998" s="12" t="str">
        <f t="shared" si="48"/>
        <v>supercellさよならメモリーズ</v>
      </c>
    </row>
    <row r="999" spans="1:27" x14ac:dyDescent="0.4">
      <c r="A999" s="14">
        <f t="shared" si="49"/>
        <v>998</v>
      </c>
      <c r="B999" s="14">
        <v>131</v>
      </c>
      <c r="C999" s="21" t="s">
        <v>2206</v>
      </c>
      <c r="D999" s="14" t="s">
        <v>227</v>
      </c>
      <c r="E999" s="14" t="s">
        <v>228</v>
      </c>
      <c r="G999" s="1" t="str">
        <f>_xlfn.XLOOKUP(B999,M_YT_LIVE!A:A,M_YT_LIVE!F:F,"ERROR",0,1)</f>
        <v>弾き語り</v>
      </c>
      <c r="W999" s="13">
        <f t="shared" si="47"/>
        <v>313</v>
      </c>
      <c r="X999" s="12" t="str">
        <f>_xlfn.XLOOKUP($B999,M_YT_LIVE!$A:$A,M_YT_LIVE!$D:$D)</f>
        <v>https://www.youtube.com/live/TLhHmBIm5rI?si=VIh-Mx1TlTgHASX4</v>
      </c>
      <c r="Z999" s="16" t="str">
        <f>HYPERLINK($X999&amp;SUBSTITUTE(マスタ!$C$3,"XXXXX",$W999))</f>
        <v>https://www.youtube.com/live/TLhHmBIm5rI?si=VIh-Mx1TlTgHASX4&amp;t=313s</v>
      </c>
      <c r="AA999" s="12" t="str">
        <f t="shared" si="48"/>
        <v>ずっと真夜中でいいのに。Dear Mr 「F」</v>
      </c>
    </row>
    <row r="1000" spans="1:27" x14ac:dyDescent="0.4">
      <c r="A1000" s="14">
        <f t="shared" si="49"/>
        <v>999</v>
      </c>
      <c r="B1000" s="14">
        <v>131</v>
      </c>
      <c r="C1000" s="21" t="s">
        <v>1371</v>
      </c>
      <c r="D1000" s="14" t="s">
        <v>97</v>
      </c>
      <c r="E1000" s="14" t="s">
        <v>98</v>
      </c>
      <c r="G1000" s="1" t="str">
        <f>_xlfn.XLOOKUP(B1000,M_YT_LIVE!A:A,M_YT_LIVE!F:F,"ERROR",0,1)</f>
        <v>弾き語り</v>
      </c>
      <c r="W1000" s="13">
        <f t="shared" si="47"/>
        <v>847</v>
      </c>
      <c r="X1000" s="12" t="str">
        <f>_xlfn.XLOOKUP($B1000,M_YT_LIVE!$A:$A,M_YT_LIVE!$D:$D)</f>
        <v>https://www.youtube.com/live/TLhHmBIm5rI?si=VIh-Mx1TlTgHASX4</v>
      </c>
      <c r="Z1000" s="16" t="str">
        <f>HYPERLINK($X1000&amp;SUBSTITUTE(マスタ!$C$3,"XXXXX",$W1000))</f>
        <v>https://www.youtube.com/live/TLhHmBIm5rI?si=VIh-Mx1TlTgHASX4&amp;t=847s</v>
      </c>
      <c r="AA1000" s="12" t="str">
        <f t="shared" si="48"/>
        <v>Dixie Flatline feat.巡音ルカJust Be Friends</v>
      </c>
    </row>
    <row r="1001" spans="1:27" x14ac:dyDescent="0.4">
      <c r="A1001" s="14">
        <f t="shared" si="49"/>
        <v>1000</v>
      </c>
      <c r="B1001" s="14">
        <v>131</v>
      </c>
      <c r="C1001" s="21" t="s">
        <v>2207</v>
      </c>
      <c r="D1001" s="14" t="s">
        <v>591</v>
      </c>
      <c r="E1001" s="14" t="s">
        <v>338</v>
      </c>
      <c r="G1001" s="1" t="str">
        <f>_xlfn.XLOOKUP(B1001,M_YT_LIVE!A:A,M_YT_LIVE!F:F,"ERROR",0,1)</f>
        <v>弾き語り</v>
      </c>
      <c r="W1001" s="13">
        <f t="shared" si="47"/>
        <v>1497.9999999999998</v>
      </c>
      <c r="X1001" s="12" t="str">
        <f>_xlfn.XLOOKUP($B1001,M_YT_LIVE!$A:$A,M_YT_LIVE!$D:$D)</f>
        <v>https://www.youtube.com/live/TLhHmBIm5rI?si=VIh-Mx1TlTgHASX4</v>
      </c>
      <c r="Z1001" s="16" t="str">
        <f>HYPERLINK($X1001&amp;SUBSTITUTE(マスタ!$C$3,"XXXXX",$W1001))</f>
        <v>https://www.youtube.com/live/TLhHmBIm5rI?si=VIh-Mx1TlTgHASX4&amp;t=1498s</v>
      </c>
      <c r="AA1001" s="12" t="str">
        <f t="shared" si="48"/>
        <v>さユりフラレガイガール</v>
      </c>
    </row>
    <row r="1002" spans="1:27" x14ac:dyDescent="0.4">
      <c r="A1002" s="14">
        <f t="shared" si="49"/>
        <v>1001</v>
      </c>
      <c r="B1002" s="14">
        <v>131</v>
      </c>
      <c r="C1002" s="21" t="s">
        <v>2208</v>
      </c>
      <c r="D1002" s="14" t="s">
        <v>2209</v>
      </c>
      <c r="E1002" s="14" t="s">
        <v>2210</v>
      </c>
      <c r="G1002" s="1" t="str">
        <f>_xlfn.XLOOKUP(B1002,M_YT_LIVE!A:A,M_YT_LIVE!F:F,"ERROR",0,1)</f>
        <v>弾き語り</v>
      </c>
      <c r="W1002" s="13">
        <f t="shared" si="47"/>
        <v>2116</v>
      </c>
      <c r="X1002" s="12" t="str">
        <f>_xlfn.XLOOKUP($B1002,M_YT_LIVE!$A:$A,M_YT_LIVE!$D:$D)</f>
        <v>https://www.youtube.com/live/TLhHmBIm5rI?si=VIh-Mx1TlTgHASX4</v>
      </c>
      <c r="Z1002" s="16" t="str">
        <f>HYPERLINK($X1002&amp;SUBSTITUTE(マスタ!$C$3,"XXXXX",$W1002))</f>
        <v>https://www.youtube.com/live/TLhHmBIm5rI?si=VIh-Mx1TlTgHASX4&amp;t=2116s</v>
      </c>
      <c r="AA1002" s="12" t="str">
        <f t="shared" si="48"/>
        <v>supercell feat.初音ミク初めての恋が終わる時</v>
      </c>
    </row>
    <row r="1003" spans="1:27" x14ac:dyDescent="0.4">
      <c r="A1003" s="14">
        <f t="shared" si="49"/>
        <v>1002</v>
      </c>
      <c r="B1003" s="14">
        <v>131</v>
      </c>
      <c r="C1003" s="21" t="s">
        <v>2211</v>
      </c>
      <c r="D1003" s="14" t="s">
        <v>302</v>
      </c>
      <c r="E1003" s="14" t="s">
        <v>303</v>
      </c>
      <c r="G1003" s="1" t="str">
        <f>_xlfn.XLOOKUP(B1003,M_YT_LIVE!A:A,M_YT_LIVE!F:F,"ERROR",0,1)</f>
        <v>弾き語り</v>
      </c>
      <c r="W1003" s="13">
        <f t="shared" si="47"/>
        <v>2624</v>
      </c>
      <c r="X1003" s="12" t="str">
        <f>_xlfn.XLOOKUP($B1003,M_YT_LIVE!$A:$A,M_YT_LIVE!$D:$D)</f>
        <v>https://www.youtube.com/live/TLhHmBIm5rI?si=VIh-Mx1TlTgHASX4</v>
      </c>
      <c r="Z1003" s="16" t="str">
        <f>HYPERLINK($X1003&amp;SUBSTITUTE(マスタ!$C$3,"XXXXX",$W1003))</f>
        <v>https://www.youtube.com/live/TLhHmBIm5rI?si=VIh-Mx1TlTgHASX4&amp;t=2624s</v>
      </c>
      <c r="AA1003" s="12" t="str">
        <f t="shared" si="48"/>
        <v>Kemu feat.Gumi地球最後の告白を</v>
      </c>
    </row>
    <row r="1004" spans="1:27" x14ac:dyDescent="0.4">
      <c r="A1004" s="14">
        <f t="shared" si="49"/>
        <v>1003</v>
      </c>
      <c r="B1004" s="14">
        <v>131</v>
      </c>
      <c r="C1004" s="21" t="s">
        <v>2212</v>
      </c>
      <c r="D1004" s="14" t="s">
        <v>326</v>
      </c>
      <c r="E1004" s="14" t="s">
        <v>327</v>
      </c>
      <c r="G1004" s="1" t="str">
        <f>_xlfn.XLOOKUP(B1004,M_YT_LIVE!A:A,M_YT_LIVE!F:F,"ERROR",0,1)</f>
        <v>弾き語り</v>
      </c>
      <c r="W1004" s="13">
        <f t="shared" si="47"/>
        <v>3139</v>
      </c>
      <c r="X1004" s="12" t="str">
        <f>_xlfn.XLOOKUP($B1004,M_YT_LIVE!$A:$A,M_YT_LIVE!$D:$D)</f>
        <v>https://www.youtube.com/live/TLhHmBIm5rI?si=VIh-Mx1TlTgHASX4</v>
      </c>
      <c r="Z1004" s="16" t="str">
        <f>HYPERLINK($X1004&amp;SUBSTITUTE(マスタ!$C$3,"XXXXX",$W1004))</f>
        <v>https://www.youtube.com/live/TLhHmBIm5rI?si=VIh-Mx1TlTgHASX4&amp;t=3139s</v>
      </c>
      <c r="AA1004" s="12" t="str">
        <f t="shared" si="48"/>
        <v>レミオロメン粉雪</v>
      </c>
    </row>
    <row r="1005" spans="1:27" x14ac:dyDescent="0.4">
      <c r="A1005" s="14">
        <f t="shared" si="49"/>
        <v>1004</v>
      </c>
      <c r="B1005" s="14">
        <v>131</v>
      </c>
      <c r="C1005" s="21" t="s">
        <v>2213</v>
      </c>
      <c r="D1005" s="14" t="s">
        <v>2214</v>
      </c>
      <c r="E1005" s="14" t="s">
        <v>2215</v>
      </c>
      <c r="G1005" s="1" t="str">
        <f>_xlfn.XLOOKUP(B1005,M_YT_LIVE!A:A,M_YT_LIVE!F:F,"ERROR",0,1)</f>
        <v>弾き語り</v>
      </c>
      <c r="W1005" s="13">
        <f t="shared" si="47"/>
        <v>3645.0000000000005</v>
      </c>
      <c r="X1005" s="12" t="str">
        <f>_xlfn.XLOOKUP($B1005,M_YT_LIVE!$A:$A,M_YT_LIVE!$D:$D)</f>
        <v>https://www.youtube.com/live/TLhHmBIm5rI?si=VIh-Mx1TlTgHASX4</v>
      </c>
      <c r="Z1005" s="16" t="str">
        <f>HYPERLINK($X1005&amp;SUBSTITUTE(マスタ!$C$3,"XXXXX",$W1005))</f>
        <v>https://www.youtube.com/live/TLhHmBIm5rI?si=VIh-Mx1TlTgHASX4&amp;t=3645s</v>
      </c>
      <c r="AA1005" s="12" t="str">
        <f t="shared" si="48"/>
        <v>桑田佳祐白い恋人達</v>
      </c>
    </row>
    <row r="1006" spans="1:27" x14ac:dyDescent="0.4">
      <c r="A1006" s="14">
        <f t="shared" si="49"/>
        <v>1005</v>
      </c>
      <c r="B1006" s="14">
        <v>131</v>
      </c>
      <c r="C1006" s="21" t="s">
        <v>2216</v>
      </c>
      <c r="D1006" s="14" t="s">
        <v>2217</v>
      </c>
      <c r="E1006" s="14" t="s">
        <v>2218</v>
      </c>
      <c r="G1006" s="1" t="str">
        <f>_xlfn.XLOOKUP(B1006,M_YT_LIVE!A:A,M_YT_LIVE!F:F,"ERROR",0,1)</f>
        <v>弾き語り</v>
      </c>
      <c r="W1006" s="13">
        <f t="shared" si="47"/>
        <v>4200</v>
      </c>
      <c r="X1006" s="12" t="str">
        <f>_xlfn.XLOOKUP($B1006,M_YT_LIVE!$A:$A,M_YT_LIVE!$D:$D)</f>
        <v>https://www.youtube.com/live/TLhHmBIm5rI?si=VIh-Mx1TlTgHASX4</v>
      </c>
      <c r="Z1006" s="16" t="str">
        <f>HYPERLINK($X1006&amp;SUBSTITUTE(マスタ!$C$3,"XXXXX",$W1006))</f>
        <v>https://www.youtube.com/live/TLhHmBIm5rI?si=VIh-Mx1TlTgHASX4&amp;t=4200s</v>
      </c>
      <c r="AA1006" s="12" t="str">
        <f t="shared" si="48"/>
        <v>keeno feat.初音ミクglow</v>
      </c>
    </row>
    <row r="1007" spans="1:27" x14ac:dyDescent="0.4">
      <c r="A1007" s="14">
        <f t="shared" si="49"/>
        <v>1006</v>
      </c>
      <c r="B1007" s="14">
        <v>131</v>
      </c>
      <c r="C1007" s="21" t="s">
        <v>2219</v>
      </c>
      <c r="D1007" s="14" t="s">
        <v>637</v>
      </c>
      <c r="E1007" s="14" t="s">
        <v>135</v>
      </c>
      <c r="G1007" s="1" t="str">
        <f>_xlfn.XLOOKUP(B1007,M_YT_LIVE!A:A,M_YT_LIVE!F:F,"ERROR",0,1)</f>
        <v>弾き語り</v>
      </c>
      <c r="W1007" s="13">
        <f t="shared" si="47"/>
        <v>4765</v>
      </c>
      <c r="X1007" s="12" t="str">
        <f>_xlfn.XLOOKUP($B1007,M_YT_LIVE!$A:$A,M_YT_LIVE!$D:$D)</f>
        <v>https://www.youtube.com/live/TLhHmBIm5rI?si=VIh-Mx1TlTgHASX4</v>
      </c>
      <c r="Z1007" s="16" t="str">
        <f>HYPERLINK($X1007&amp;SUBSTITUTE(マスタ!$C$3,"XXXXX",$W1007))</f>
        <v>https://www.youtube.com/live/TLhHmBIm5rI?si=VIh-Mx1TlTgHASX4&amp;t=4765s</v>
      </c>
      <c r="AA1007" s="12" t="str">
        <f t="shared" si="48"/>
        <v>EGOISTAll Alone With You</v>
      </c>
    </row>
    <row r="1008" spans="1:27" x14ac:dyDescent="0.4">
      <c r="A1008" s="14">
        <f t="shared" si="49"/>
        <v>1007</v>
      </c>
      <c r="B1008" s="14">
        <v>131</v>
      </c>
      <c r="C1008" s="21" t="s">
        <v>2220</v>
      </c>
      <c r="D1008" s="14" t="s">
        <v>2221</v>
      </c>
      <c r="E1008" s="14" t="s">
        <v>135</v>
      </c>
      <c r="G1008" s="1" t="str">
        <f>_xlfn.XLOOKUP(B1008,M_YT_LIVE!A:A,M_YT_LIVE!F:F,"ERROR",0,1)</f>
        <v>弾き語り</v>
      </c>
      <c r="W1008" s="13">
        <f t="shared" si="47"/>
        <v>5258</v>
      </c>
      <c r="X1008" s="12" t="str">
        <f>_xlfn.XLOOKUP($B1008,M_YT_LIVE!$A:$A,M_YT_LIVE!$D:$D)</f>
        <v>https://www.youtube.com/live/TLhHmBIm5rI?si=VIh-Mx1TlTgHASX4</v>
      </c>
      <c r="Z1008" s="16" t="str">
        <f>HYPERLINK($X1008&amp;SUBSTITUTE(マスタ!$C$3,"XXXXX",$W1008))</f>
        <v>https://www.youtube.com/live/TLhHmBIm5rI?si=VIh-Mx1TlTgHASX4&amp;t=5258s</v>
      </c>
      <c r="AA1008" s="12" t="str">
        <f t="shared" si="48"/>
        <v>EGOISTDepartures ～あなたにおくるアイの歌～</v>
      </c>
    </row>
    <row r="1009" spans="1:27" x14ac:dyDescent="0.4">
      <c r="A1009" s="14">
        <f t="shared" si="49"/>
        <v>1008</v>
      </c>
      <c r="B1009" s="14">
        <v>131</v>
      </c>
      <c r="C1009" s="21" t="s">
        <v>2222</v>
      </c>
      <c r="D1009" s="14" t="s">
        <v>234</v>
      </c>
      <c r="E1009" s="14" t="s">
        <v>135</v>
      </c>
      <c r="G1009" s="1" t="str">
        <f>_xlfn.XLOOKUP(B1009,M_YT_LIVE!A:A,M_YT_LIVE!F:F,"ERROR",0,1)</f>
        <v>弾き語り</v>
      </c>
      <c r="W1009" s="13">
        <f t="shared" si="47"/>
        <v>5674.9999999999991</v>
      </c>
      <c r="X1009" s="12" t="str">
        <f>_xlfn.XLOOKUP($B1009,M_YT_LIVE!$A:$A,M_YT_LIVE!$D:$D)</f>
        <v>https://www.youtube.com/live/TLhHmBIm5rI?si=VIh-Mx1TlTgHASX4</v>
      </c>
      <c r="Z1009" s="16" t="str">
        <f>HYPERLINK($X1009&amp;SUBSTITUTE(マスタ!$C$3,"XXXXX",$W1009))</f>
        <v>https://www.youtube.com/live/TLhHmBIm5rI?si=VIh-Mx1TlTgHASX4&amp;t=5675s</v>
      </c>
      <c r="AA1009" s="12" t="str">
        <f t="shared" si="48"/>
        <v>EGOISTPlanetes</v>
      </c>
    </row>
    <row r="1010" spans="1:27" x14ac:dyDescent="0.4">
      <c r="A1010" s="14">
        <f t="shared" si="49"/>
        <v>1009</v>
      </c>
      <c r="B1010" s="14">
        <v>131</v>
      </c>
      <c r="C1010" s="21" t="s">
        <v>2223</v>
      </c>
      <c r="D1010" s="14" t="s">
        <v>194</v>
      </c>
      <c r="E1010" s="14" t="s">
        <v>195</v>
      </c>
      <c r="G1010" s="1" t="str">
        <f>_xlfn.XLOOKUP(B1010,M_YT_LIVE!A:A,M_YT_LIVE!F:F,"ERROR",0,1)</f>
        <v>弾き語り</v>
      </c>
      <c r="W1010" s="13">
        <f t="shared" si="47"/>
        <v>6186.0000000000009</v>
      </c>
      <c r="X1010" s="12" t="str">
        <f>_xlfn.XLOOKUP($B1010,M_YT_LIVE!$A:$A,M_YT_LIVE!$D:$D)</f>
        <v>https://www.youtube.com/live/TLhHmBIm5rI?si=VIh-Mx1TlTgHASX4</v>
      </c>
      <c r="Z1010" s="16" t="str">
        <f>HYPERLINK($X1010&amp;SUBSTITUTE(マスタ!$C$3,"XXXXX",$W1010))</f>
        <v>https://www.youtube.com/live/TLhHmBIm5rI?si=VIh-Mx1TlTgHASX4&amp;t=6186s</v>
      </c>
      <c r="AA1010" s="12" t="str">
        <f t="shared" si="48"/>
        <v>やなぎなぎユキトキ</v>
      </c>
    </row>
    <row r="1011" spans="1:27" x14ac:dyDescent="0.4">
      <c r="A1011" s="14">
        <f t="shared" si="49"/>
        <v>1010</v>
      </c>
      <c r="B1011" s="14">
        <v>131</v>
      </c>
      <c r="C1011" s="21" t="s">
        <v>2224</v>
      </c>
      <c r="D1011" s="14" t="s">
        <v>1397</v>
      </c>
      <c r="E1011" s="14" t="s">
        <v>2225</v>
      </c>
      <c r="G1011" s="1" t="str">
        <f>_xlfn.XLOOKUP(B1011,M_YT_LIVE!A:A,M_YT_LIVE!F:F,"ERROR",0,1)</f>
        <v>弾き語り</v>
      </c>
      <c r="W1011" s="13">
        <f t="shared" si="47"/>
        <v>6696</v>
      </c>
      <c r="X1011" s="12" t="str">
        <f>_xlfn.XLOOKUP($B1011,M_YT_LIVE!$A:$A,M_YT_LIVE!$D:$D)</f>
        <v>https://www.youtube.com/live/TLhHmBIm5rI?si=VIh-Mx1TlTgHASX4</v>
      </c>
      <c r="Z1011" s="16" t="str">
        <f>HYPERLINK($X1011&amp;SUBSTITUTE(マスタ!$C$3,"XXXXX",$W1011))</f>
        <v>https://www.youtube.com/live/TLhHmBIm5rI?si=VIh-Mx1TlTgHASX4&amp;t=6696s</v>
      </c>
      <c r="AA1011" s="12" t="str">
        <f t="shared" si="48"/>
        <v>［Alexandros］SNOW SOUND</v>
      </c>
    </row>
    <row r="1012" spans="1:27" x14ac:dyDescent="0.4">
      <c r="A1012" s="14">
        <f t="shared" si="49"/>
        <v>1011</v>
      </c>
      <c r="B1012" s="14">
        <v>131</v>
      </c>
      <c r="C1012" s="21" t="s">
        <v>2226</v>
      </c>
      <c r="D1012" s="14" t="s">
        <v>114</v>
      </c>
      <c r="E1012" s="14" t="s">
        <v>115</v>
      </c>
      <c r="G1012" s="1" t="str">
        <f>_xlfn.XLOOKUP(B1012,M_YT_LIVE!A:A,M_YT_LIVE!F:F,"ERROR",0,1)</f>
        <v>弾き語り</v>
      </c>
      <c r="W1012" s="13">
        <f t="shared" si="47"/>
        <v>7114</v>
      </c>
      <c r="X1012" s="12" t="str">
        <f>_xlfn.XLOOKUP($B1012,M_YT_LIVE!$A:$A,M_YT_LIVE!$D:$D)</f>
        <v>https://www.youtube.com/live/TLhHmBIm5rI?si=VIh-Mx1TlTgHASX4</v>
      </c>
      <c r="Z1012" s="16" t="str">
        <f>HYPERLINK($X1012&amp;SUBSTITUTE(マスタ!$C$3,"XXXXX",$W1012))</f>
        <v>https://www.youtube.com/live/TLhHmBIm5rI?si=VIh-Mx1TlTgHASX4&amp;t=7114s</v>
      </c>
      <c r="AA1012" s="12" t="str">
        <f t="shared" si="48"/>
        <v>ジミーサムP feat.初音ミクCalc.</v>
      </c>
    </row>
    <row r="1013" spans="1:27" x14ac:dyDescent="0.4">
      <c r="A1013" s="14">
        <f t="shared" si="49"/>
        <v>1012</v>
      </c>
      <c r="B1013" s="14">
        <v>131</v>
      </c>
      <c r="C1013" s="21" t="s">
        <v>2227</v>
      </c>
      <c r="D1013" s="14" t="s">
        <v>165</v>
      </c>
      <c r="E1013" s="14" t="s">
        <v>118</v>
      </c>
      <c r="G1013" s="1" t="str">
        <f>_xlfn.XLOOKUP(B1013,M_YT_LIVE!A:A,M_YT_LIVE!F:F,"ERROR",0,1)</f>
        <v>弾き語り</v>
      </c>
      <c r="W1013" s="13">
        <f t="shared" si="47"/>
        <v>7513</v>
      </c>
      <c r="X1013" s="12" t="str">
        <f>_xlfn.XLOOKUP($B1013,M_YT_LIVE!$A:$A,M_YT_LIVE!$D:$D)</f>
        <v>https://www.youtube.com/live/TLhHmBIm5rI?si=VIh-Mx1TlTgHASX4</v>
      </c>
      <c r="Z1013" s="16" t="str">
        <f>HYPERLINK($X1013&amp;SUBSTITUTE(マスタ!$C$3,"XXXXX",$W1013))</f>
        <v>https://www.youtube.com/live/TLhHmBIm5rI?si=VIh-Mx1TlTgHASX4&amp;t=7513s</v>
      </c>
      <c r="AA1013" s="12" t="str">
        <f t="shared" si="48"/>
        <v>Orangestar feat.初音ミク回る空うさぎ</v>
      </c>
    </row>
    <row r="1014" spans="1:27" x14ac:dyDescent="0.4">
      <c r="A1014" s="14">
        <f t="shared" si="49"/>
        <v>1013</v>
      </c>
      <c r="B1014" s="14">
        <v>132</v>
      </c>
      <c r="C1014" s="21" t="s">
        <v>2206</v>
      </c>
      <c r="D1014" s="14" t="s">
        <v>2042</v>
      </c>
      <c r="E1014" s="14" t="s">
        <v>138</v>
      </c>
      <c r="G1014" s="1" t="str">
        <f>_xlfn.XLOOKUP(B1014,M_YT_LIVE!A:A,M_YT_LIVE!F:F,"ERROR",0,1)</f>
        <v>弾き語り</v>
      </c>
      <c r="W1014" s="13">
        <f t="shared" si="47"/>
        <v>313</v>
      </c>
      <c r="X1014" s="12" t="str">
        <f>_xlfn.XLOOKUP($B1014,M_YT_LIVE!$A:$A,M_YT_LIVE!$D:$D)</f>
        <v>https://www.youtube.com/live/svcUFFcJrHE?si=j83cuHNyk6QwuYkQ</v>
      </c>
      <c r="Z1014" s="16" t="str">
        <f>HYPERLINK($X1014&amp;SUBSTITUTE(マスタ!$C$3,"XXXXX",$W1014))</f>
        <v>https://www.youtube.com/live/svcUFFcJrHE?si=j83cuHNyk6QwuYkQ&amp;t=313s</v>
      </c>
      <c r="AA1014" s="12" t="str">
        <f t="shared" si="48"/>
        <v>ポルカドットスティングレイ阿吽</v>
      </c>
    </row>
    <row r="1015" spans="1:27" x14ac:dyDescent="0.4">
      <c r="A1015" s="14">
        <f t="shared" si="49"/>
        <v>1014</v>
      </c>
      <c r="B1015" s="14">
        <v>132</v>
      </c>
      <c r="C1015" s="21" t="s">
        <v>2230</v>
      </c>
      <c r="D1015" s="14" t="s">
        <v>1833</v>
      </c>
      <c r="E1015" s="14" t="s">
        <v>138</v>
      </c>
      <c r="G1015" s="1" t="str">
        <f>_xlfn.XLOOKUP(B1015,M_YT_LIVE!A:A,M_YT_LIVE!F:F,"ERROR",0,1)</f>
        <v>弾き語り</v>
      </c>
      <c r="W1015" s="13">
        <f t="shared" si="47"/>
        <v>679.99999999999989</v>
      </c>
      <c r="X1015" s="12" t="str">
        <f>_xlfn.XLOOKUP($B1015,M_YT_LIVE!$A:$A,M_YT_LIVE!$D:$D)</f>
        <v>https://www.youtube.com/live/svcUFFcJrHE?si=j83cuHNyk6QwuYkQ</v>
      </c>
      <c r="Z1015" s="16" t="str">
        <f>HYPERLINK($X1015&amp;SUBSTITUTE(マスタ!$C$3,"XXXXX",$W1015))</f>
        <v>https://www.youtube.com/live/svcUFFcJrHE?si=j83cuHNyk6QwuYkQ&amp;t=680s</v>
      </c>
      <c r="AA1015" s="12" t="str">
        <f t="shared" si="48"/>
        <v>ポルカドットスティングレイ化身</v>
      </c>
    </row>
    <row r="1016" spans="1:27" x14ac:dyDescent="0.4">
      <c r="A1016" s="14">
        <f t="shared" si="49"/>
        <v>1015</v>
      </c>
      <c r="B1016" s="14">
        <v>132</v>
      </c>
      <c r="C1016" s="21" t="s">
        <v>2231</v>
      </c>
      <c r="D1016" s="14" t="s">
        <v>363</v>
      </c>
      <c r="E1016" s="14" t="s">
        <v>298</v>
      </c>
      <c r="G1016" s="1" t="str">
        <f>_xlfn.XLOOKUP(B1016,M_YT_LIVE!A:A,M_YT_LIVE!F:F,"ERROR",0,1)</f>
        <v>弾き語り</v>
      </c>
      <c r="W1016" s="13">
        <f t="shared" si="47"/>
        <v>1038</v>
      </c>
      <c r="X1016" s="12" t="str">
        <f>_xlfn.XLOOKUP($B1016,M_YT_LIVE!$A:$A,M_YT_LIVE!$D:$D)</f>
        <v>https://www.youtube.com/live/svcUFFcJrHE?si=j83cuHNyk6QwuYkQ</v>
      </c>
      <c r="Z1016" s="16" t="str">
        <f>HYPERLINK($X1016&amp;SUBSTITUTE(マスタ!$C$3,"XXXXX",$W1016))</f>
        <v>https://www.youtube.com/live/svcUFFcJrHE?si=j83cuHNyk6QwuYkQ&amp;t=1038s</v>
      </c>
      <c r="AA1016" s="12" t="str">
        <f t="shared" si="48"/>
        <v>あいみょんハルノヒ</v>
      </c>
    </row>
    <row r="1017" spans="1:27" x14ac:dyDescent="0.4">
      <c r="A1017" s="14">
        <f t="shared" si="49"/>
        <v>1016</v>
      </c>
      <c r="B1017" s="14">
        <v>132</v>
      </c>
      <c r="C1017" s="21" t="s">
        <v>2232</v>
      </c>
      <c r="D1017" s="14" t="s">
        <v>199</v>
      </c>
      <c r="E1017" s="14" t="s">
        <v>200</v>
      </c>
      <c r="G1017" s="1" t="str">
        <f>_xlfn.XLOOKUP(B1017,M_YT_LIVE!A:A,M_YT_LIVE!F:F,"ERROR",0,1)</f>
        <v>弾き語り</v>
      </c>
      <c r="W1017" s="13">
        <f t="shared" si="47"/>
        <v>1565</v>
      </c>
      <c r="X1017" s="12" t="str">
        <f>_xlfn.XLOOKUP($B1017,M_YT_LIVE!$A:$A,M_YT_LIVE!$D:$D)</f>
        <v>https://www.youtube.com/live/svcUFFcJrHE?si=j83cuHNyk6QwuYkQ</v>
      </c>
      <c r="Z1017" s="16" t="str">
        <f>HYPERLINK($X1017&amp;SUBSTITUTE(マスタ!$C$3,"XXXXX",$W1017))</f>
        <v>https://www.youtube.com/live/svcUFFcJrHE?si=j83cuHNyk6QwuYkQ&amp;t=1565s</v>
      </c>
      <c r="AA1017" s="12" t="str">
        <f t="shared" si="48"/>
        <v>緑黄色社会sabotage</v>
      </c>
    </row>
    <row r="1018" spans="1:27" x14ac:dyDescent="0.4">
      <c r="A1018" s="14">
        <f t="shared" si="49"/>
        <v>1017</v>
      </c>
      <c r="B1018" s="14">
        <v>132</v>
      </c>
      <c r="C1018" s="21" t="s">
        <v>2233</v>
      </c>
      <c r="D1018" s="14" t="s">
        <v>2234</v>
      </c>
      <c r="E1018" s="14" t="s">
        <v>183</v>
      </c>
      <c r="G1018" s="1" t="str">
        <f>_xlfn.XLOOKUP(B1018,M_YT_LIVE!A:A,M_YT_LIVE!F:F,"ERROR",0,1)</f>
        <v>弾き語り</v>
      </c>
      <c r="W1018" s="13">
        <f t="shared" si="47"/>
        <v>1978</v>
      </c>
      <c r="X1018" s="12" t="str">
        <f>_xlfn.XLOOKUP($B1018,M_YT_LIVE!$A:$A,M_YT_LIVE!$D:$D)</f>
        <v>https://www.youtube.com/live/svcUFFcJrHE?si=j83cuHNyk6QwuYkQ</v>
      </c>
      <c r="Z1018" s="16" t="str">
        <f>HYPERLINK($X1018&amp;SUBSTITUTE(マスタ!$C$3,"XXXXX",$W1018))</f>
        <v>https://www.youtube.com/live/svcUFFcJrHE?si=j83cuHNyk6QwuYkQ&amp;t=1978s</v>
      </c>
      <c r="AA1018" s="12" t="str">
        <f t="shared" si="48"/>
        <v>クリープハイプ寝癖</v>
      </c>
    </row>
    <row r="1019" spans="1:27" x14ac:dyDescent="0.4">
      <c r="A1019" s="14">
        <f t="shared" si="49"/>
        <v>1018</v>
      </c>
      <c r="B1019" s="14">
        <v>132</v>
      </c>
      <c r="C1019" s="21" t="s">
        <v>2235</v>
      </c>
      <c r="D1019" s="14" t="s">
        <v>29</v>
      </c>
      <c r="E1019" s="14" t="s">
        <v>183</v>
      </c>
      <c r="G1019" s="1" t="str">
        <f>_xlfn.XLOOKUP(B1019,M_YT_LIVE!A:A,M_YT_LIVE!F:F,"ERROR",0,1)</f>
        <v>弾き語り</v>
      </c>
      <c r="W1019" s="13">
        <f t="shared" si="47"/>
        <v>2448</v>
      </c>
      <c r="X1019" s="12" t="str">
        <f>_xlfn.XLOOKUP($B1019,M_YT_LIVE!$A:$A,M_YT_LIVE!$D:$D)</f>
        <v>https://www.youtube.com/live/svcUFFcJrHE?si=j83cuHNyk6QwuYkQ</v>
      </c>
      <c r="Z1019" s="16" t="str">
        <f>HYPERLINK($X1019&amp;SUBSTITUTE(マスタ!$C$3,"XXXXX",$W1019))</f>
        <v>https://www.youtube.com/live/svcUFFcJrHE?si=j83cuHNyk6QwuYkQ&amp;t=2448s</v>
      </c>
      <c r="AA1019" s="12" t="str">
        <f t="shared" si="48"/>
        <v>クリープハイプ憂、燦々</v>
      </c>
    </row>
    <row r="1020" spans="1:27" x14ac:dyDescent="0.4">
      <c r="A1020" s="14">
        <f t="shared" si="49"/>
        <v>1019</v>
      </c>
      <c r="B1020" s="14">
        <v>132</v>
      </c>
      <c r="C1020" s="21" t="s">
        <v>1154</v>
      </c>
      <c r="D1020" s="14" t="s">
        <v>1035</v>
      </c>
      <c r="E1020" s="14" t="s">
        <v>1036</v>
      </c>
      <c r="G1020" s="1" t="str">
        <f>_xlfn.XLOOKUP(B1020,M_YT_LIVE!A:A,M_YT_LIVE!F:F,"ERROR",0,1)</f>
        <v>弾き語り</v>
      </c>
      <c r="W1020" s="13">
        <f t="shared" si="47"/>
        <v>2951</v>
      </c>
      <c r="X1020" s="12" t="str">
        <f>_xlfn.XLOOKUP($B1020,M_YT_LIVE!$A:$A,M_YT_LIVE!$D:$D)</f>
        <v>https://www.youtube.com/live/svcUFFcJrHE?si=j83cuHNyk6QwuYkQ</v>
      </c>
      <c r="Z1020" s="16" t="str">
        <f>HYPERLINK($X1020&amp;SUBSTITUTE(マスタ!$C$3,"XXXXX",$W1020))</f>
        <v>https://www.youtube.com/live/svcUFFcJrHE?si=j83cuHNyk6QwuYkQ&amp;t=2951s</v>
      </c>
      <c r="AA1020" s="12" t="str">
        <f t="shared" si="48"/>
        <v>Ayase feat.初音ミク幽霊東京</v>
      </c>
    </row>
    <row r="1021" spans="1:27" x14ac:dyDescent="0.4">
      <c r="A1021" s="14">
        <f t="shared" si="49"/>
        <v>1020</v>
      </c>
      <c r="B1021" s="14">
        <v>132</v>
      </c>
      <c r="C1021" s="21" t="s">
        <v>2236</v>
      </c>
      <c r="D1021" s="14" t="s">
        <v>829</v>
      </c>
      <c r="E1021" s="14" t="s">
        <v>208</v>
      </c>
      <c r="G1021" s="1" t="str">
        <f>_xlfn.XLOOKUP(B1021,M_YT_LIVE!A:A,M_YT_LIVE!F:F,"ERROR",0,1)</f>
        <v>弾き語り</v>
      </c>
      <c r="W1021" s="13">
        <f t="shared" si="47"/>
        <v>3455</v>
      </c>
      <c r="X1021" s="12" t="str">
        <f>_xlfn.XLOOKUP($B1021,M_YT_LIVE!$A:$A,M_YT_LIVE!$D:$D)</f>
        <v>https://www.youtube.com/live/svcUFFcJrHE?si=j83cuHNyk6QwuYkQ</v>
      </c>
      <c r="Z1021" s="16" t="str">
        <f>HYPERLINK($X1021&amp;SUBSTITUTE(マスタ!$C$3,"XXXXX",$W1021))</f>
        <v>https://www.youtube.com/live/svcUFFcJrHE?si=j83cuHNyk6QwuYkQ&amp;t=3455s</v>
      </c>
      <c r="AA1021" s="12" t="str">
        <f t="shared" si="48"/>
        <v>supercellLove&amp;Roll</v>
      </c>
    </row>
    <row r="1022" spans="1:27" x14ac:dyDescent="0.4">
      <c r="A1022" s="14">
        <f t="shared" si="49"/>
        <v>1021</v>
      </c>
      <c r="B1022" s="14">
        <v>132</v>
      </c>
      <c r="C1022" s="21" t="s">
        <v>2237</v>
      </c>
      <c r="D1022" s="14" t="s">
        <v>789</v>
      </c>
      <c r="E1022" s="14" t="s">
        <v>790</v>
      </c>
      <c r="G1022" s="1" t="str">
        <f>_xlfn.XLOOKUP(B1022,M_YT_LIVE!A:A,M_YT_LIVE!F:F,"ERROR",0,1)</f>
        <v>弾き語り</v>
      </c>
      <c r="W1022" s="13">
        <f t="shared" si="47"/>
        <v>3892.0000000000005</v>
      </c>
      <c r="X1022" s="12" t="str">
        <f>_xlfn.XLOOKUP($B1022,M_YT_LIVE!$A:$A,M_YT_LIVE!$D:$D)</f>
        <v>https://www.youtube.com/live/svcUFFcJrHE?si=j83cuHNyk6QwuYkQ</v>
      </c>
      <c r="Z1022" s="16" t="str">
        <f>HYPERLINK($X1022&amp;SUBSTITUTE(マスタ!$C$3,"XXXXX",$W1022))</f>
        <v>https://www.youtube.com/live/svcUFFcJrHE?si=j83cuHNyk6QwuYkQ&amp;t=3892s</v>
      </c>
      <c r="AA1022" s="12" t="str">
        <f t="shared" si="48"/>
        <v>CHiCO with HoneyWorksカヌレ</v>
      </c>
    </row>
    <row r="1023" spans="1:27" x14ac:dyDescent="0.4">
      <c r="A1023" s="14">
        <f t="shared" si="49"/>
        <v>1022</v>
      </c>
      <c r="B1023" s="14">
        <v>132</v>
      </c>
      <c r="C1023" s="21" t="s">
        <v>2238</v>
      </c>
      <c r="D1023" s="14" t="s">
        <v>312</v>
      </c>
      <c r="E1023" s="14" t="s">
        <v>208</v>
      </c>
      <c r="G1023" s="1" t="str">
        <f>_xlfn.XLOOKUP(B1023,M_YT_LIVE!A:A,M_YT_LIVE!F:F,"ERROR",0,1)</f>
        <v>弾き語り</v>
      </c>
      <c r="W1023" s="13">
        <f t="shared" si="47"/>
        <v>4350</v>
      </c>
      <c r="X1023" s="12" t="str">
        <f>_xlfn.XLOOKUP($B1023,M_YT_LIVE!$A:$A,M_YT_LIVE!$D:$D)</f>
        <v>https://www.youtube.com/live/svcUFFcJrHE?si=j83cuHNyk6QwuYkQ</v>
      </c>
      <c r="Z1023" s="16" t="str">
        <f>HYPERLINK($X1023&amp;SUBSTITUTE(マスタ!$C$3,"XXXXX",$W1023))</f>
        <v>https://www.youtube.com/live/svcUFFcJrHE?si=j83cuHNyk6QwuYkQ&amp;t=4350s</v>
      </c>
      <c r="AA1023" s="12" t="str">
        <f t="shared" si="48"/>
        <v>supercellリルモア</v>
      </c>
    </row>
    <row r="1024" spans="1:27" x14ac:dyDescent="0.4">
      <c r="A1024" s="14">
        <f t="shared" si="49"/>
        <v>1023</v>
      </c>
      <c r="B1024" s="14">
        <v>132</v>
      </c>
      <c r="C1024" s="21" t="s">
        <v>2239</v>
      </c>
      <c r="D1024" s="14" t="s">
        <v>1457</v>
      </c>
      <c r="E1024" s="14" t="s">
        <v>1193</v>
      </c>
      <c r="G1024" s="1" t="str">
        <f>_xlfn.XLOOKUP(B1024,M_YT_LIVE!A:A,M_YT_LIVE!F:F,"ERROR",0,1)</f>
        <v>弾き語り</v>
      </c>
      <c r="W1024" s="13">
        <f t="shared" si="47"/>
        <v>4906</v>
      </c>
      <c r="X1024" s="12" t="str">
        <f>_xlfn.XLOOKUP($B1024,M_YT_LIVE!$A:$A,M_YT_LIVE!$D:$D)</f>
        <v>https://www.youtube.com/live/svcUFFcJrHE?si=j83cuHNyk6QwuYkQ</v>
      </c>
      <c r="Z1024" s="16" t="str">
        <f>HYPERLINK($X1024&amp;SUBSTITUTE(マスタ!$C$3,"XXXXX",$W1024))</f>
        <v>https://www.youtube.com/live/svcUFFcJrHE?si=j83cuHNyk6QwuYkQ&amp;t=4906s</v>
      </c>
      <c r="AA1024" s="12" t="str">
        <f t="shared" si="48"/>
        <v>サカナクションミュージック</v>
      </c>
    </row>
    <row r="1025" spans="1:27" x14ac:dyDescent="0.4">
      <c r="A1025" s="14">
        <f t="shared" si="49"/>
        <v>1024</v>
      </c>
      <c r="B1025" s="14">
        <v>132</v>
      </c>
      <c r="C1025" s="21" t="s">
        <v>2240</v>
      </c>
      <c r="D1025" s="14" t="s">
        <v>831</v>
      </c>
      <c r="E1025" s="14" t="s">
        <v>832</v>
      </c>
      <c r="G1025" s="1" t="str">
        <f>_xlfn.XLOOKUP(B1025,M_YT_LIVE!A:A,M_YT_LIVE!F:F,"ERROR",0,1)</f>
        <v>弾き語り</v>
      </c>
      <c r="W1025" s="13">
        <f t="shared" si="47"/>
        <v>5583</v>
      </c>
      <c r="X1025" s="12" t="str">
        <f>_xlfn.XLOOKUP($B1025,M_YT_LIVE!$A:$A,M_YT_LIVE!$D:$D)</f>
        <v>https://www.youtube.com/live/svcUFFcJrHE?si=j83cuHNyk6QwuYkQ</v>
      </c>
      <c r="Z1025" s="16" t="str">
        <f>HYPERLINK($X1025&amp;SUBSTITUTE(マスタ!$C$3,"XXXXX",$W1025))</f>
        <v>https://www.youtube.com/live/svcUFFcJrHE?si=j83cuHNyk6QwuYkQ&amp;t=5583s</v>
      </c>
      <c r="AA1025" s="12" t="str">
        <f t="shared" si="48"/>
        <v>ryo feat.chellyGreat distance</v>
      </c>
    </row>
    <row r="1026" spans="1:27" x14ac:dyDescent="0.4">
      <c r="A1026" s="14">
        <f t="shared" si="49"/>
        <v>1025</v>
      </c>
      <c r="B1026" s="14">
        <v>132</v>
      </c>
      <c r="C1026" s="21" t="s">
        <v>2241</v>
      </c>
      <c r="D1026" s="14" t="s">
        <v>1697</v>
      </c>
      <c r="E1026" s="14" t="s">
        <v>1698</v>
      </c>
      <c r="G1026" s="1" t="str">
        <f>_xlfn.XLOOKUP(B1026,M_YT_LIVE!A:A,M_YT_LIVE!F:F,"ERROR",0,1)</f>
        <v>弾き語り</v>
      </c>
      <c r="W1026" s="13">
        <f t="shared" si="47"/>
        <v>6446</v>
      </c>
      <c r="X1026" s="12" t="str">
        <f>_xlfn.XLOOKUP($B1026,M_YT_LIVE!$A:$A,M_YT_LIVE!$D:$D)</f>
        <v>https://www.youtube.com/live/svcUFFcJrHE?si=j83cuHNyk6QwuYkQ</v>
      </c>
      <c r="Z1026" s="16" t="str">
        <f>HYPERLINK($X1026&amp;SUBSTITUTE(マスタ!$C$3,"XXXXX",$W1026))</f>
        <v>https://www.youtube.com/live/svcUFFcJrHE?si=j83cuHNyk6QwuYkQ&amp;t=6446s</v>
      </c>
      <c r="AA1026" s="12" t="str">
        <f t="shared" si="48"/>
        <v>AKINO創聖のアクエリオン</v>
      </c>
    </row>
    <row r="1027" spans="1:27" x14ac:dyDescent="0.4">
      <c r="A1027" s="14">
        <f t="shared" si="49"/>
        <v>1026</v>
      </c>
      <c r="B1027" s="14">
        <v>132</v>
      </c>
      <c r="C1027" s="21" t="s">
        <v>2242</v>
      </c>
      <c r="D1027" s="14" t="s">
        <v>751</v>
      </c>
      <c r="E1027" s="14" t="s">
        <v>183</v>
      </c>
      <c r="G1027" s="1" t="str">
        <f>_xlfn.XLOOKUP(B1027,M_YT_LIVE!A:A,M_YT_LIVE!F:F,"ERROR",0,1)</f>
        <v>弾き語り</v>
      </c>
      <c r="W1027" s="13">
        <f t="shared" si="47"/>
        <v>6931</v>
      </c>
      <c r="X1027" s="12" t="str">
        <f>_xlfn.XLOOKUP($B1027,M_YT_LIVE!$A:$A,M_YT_LIVE!$D:$D)</f>
        <v>https://www.youtube.com/live/svcUFFcJrHE?si=j83cuHNyk6QwuYkQ</v>
      </c>
      <c r="Z1027" s="16" t="str">
        <f>HYPERLINK($X1027&amp;SUBSTITUTE(マスタ!$C$3,"XXXXX",$W1027))</f>
        <v>https://www.youtube.com/live/svcUFFcJrHE?si=j83cuHNyk6QwuYkQ&amp;t=6931s</v>
      </c>
      <c r="AA1027" s="12" t="str">
        <f t="shared" si="48"/>
        <v>クリープハイプ社会の窓</v>
      </c>
    </row>
    <row r="1028" spans="1:27" x14ac:dyDescent="0.4">
      <c r="A1028" s="14">
        <f t="shared" si="49"/>
        <v>1027</v>
      </c>
      <c r="B1028" s="14">
        <v>134</v>
      </c>
      <c r="C1028" s="21" t="s">
        <v>2247</v>
      </c>
      <c r="D1028" s="14" t="s">
        <v>71</v>
      </c>
      <c r="E1028" s="14" t="s">
        <v>72</v>
      </c>
      <c r="G1028" s="1" t="str">
        <f>_xlfn.XLOOKUP(B1028,M_YT_LIVE!A:A,M_YT_LIVE!F:F,"ERROR",0,1)</f>
        <v>弾き語り</v>
      </c>
      <c r="W1028" s="13">
        <f t="shared" ref="W1028:W1091" si="50">TIMEVALUE($C1028)*86400</f>
        <v>229</v>
      </c>
      <c r="X1028" s="12" t="str">
        <f>_xlfn.XLOOKUP($B1028,M_YT_LIVE!$A:$A,M_YT_LIVE!$D:$D)</f>
        <v>https://www.youtube.com/live/0AqoHfYD46E?si=mWOedgt9iLzf5zoc</v>
      </c>
      <c r="Z1028" s="16" t="str">
        <f>HYPERLINK($X1028&amp;SUBSTITUTE(マスタ!$C$3,"XXXXX",$W1028))</f>
        <v>https://www.youtube.com/live/0AqoHfYD46E?si=mWOedgt9iLzf5zoc&amp;t=229s</v>
      </c>
      <c r="AA1028" s="12" t="str">
        <f t="shared" si="48"/>
        <v>優里ドライフラワー</v>
      </c>
    </row>
    <row r="1029" spans="1:27" x14ac:dyDescent="0.4">
      <c r="A1029" s="14">
        <f t="shared" si="49"/>
        <v>1028</v>
      </c>
      <c r="B1029" s="14">
        <v>134</v>
      </c>
      <c r="C1029" s="21" t="s">
        <v>2248</v>
      </c>
      <c r="D1029" s="14" t="s">
        <v>1427</v>
      </c>
      <c r="E1029" s="14" t="s">
        <v>228</v>
      </c>
      <c r="G1029" s="1" t="str">
        <f>_xlfn.XLOOKUP(B1029,M_YT_LIVE!A:A,M_YT_LIVE!F:F,"ERROR",0,1)</f>
        <v>弾き語り</v>
      </c>
      <c r="W1029" s="13">
        <f t="shared" si="50"/>
        <v>731</v>
      </c>
      <c r="X1029" s="12" t="str">
        <f>_xlfn.XLOOKUP($B1029,M_YT_LIVE!$A:$A,M_YT_LIVE!$D:$D)</f>
        <v>https://www.youtube.com/live/0AqoHfYD46E?si=mWOedgt9iLzf5zoc</v>
      </c>
      <c r="Z1029" s="16" t="str">
        <f>HYPERLINK($X1029&amp;SUBSTITUTE(マスタ!$C$3,"XXXXX",$W1029))</f>
        <v>https://www.youtube.com/live/0AqoHfYD46E?si=mWOedgt9iLzf5zoc&amp;t=731s</v>
      </c>
      <c r="AA1029" s="12" t="str">
        <f t="shared" ref="AA1029:AA1092" si="51">TRIM(E1029)&amp;TRIM(D1029)</f>
        <v>ずっと真夜中でいいのに。Ham</v>
      </c>
    </row>
    <row r="1030" spans="1:27" x14ac:dyDescent="0.4">
      <c r="A1030" s="14">
        <f t="shared" ref="A1030:A1093" si="52">ROW()-1</f>
        <v>1029</v>
      </c>
      <c r="B1030" s="14">
        <v>134</v>
      </c>
      <c r="C1030" s="21" t="s">
        <v>2249</v>
      </c>
      <c r="D1030" s="14" t="s">
        <v>602</v>
      </c>
      <c r="E1030" s="14" t="s">
        <v>603</v>
      </c>
      <c r="G1030" s="1" t="str">
        <f>_xlfn.XLOOKUP(B1030,M_YT_LIVE!A:A,M_YT_LIVE!F:F,"ERROR",0,1)</f>
        <v>弾き語り</v>
      </c>
      <c r="W1030" s="13">
        <f t="shared" si="50"/>
        <v>1125</v>
      </c>
      <c r="X1030" s="12" t="str">
        <f>_xlfn.XLOOKUP($B1030,M_YT_LIVE!$A:$A,M_YT_LIVE!$D:$D)</f>
        <v>https://www.youtube.com/live/0AqoHfYD46E?si=mWOedgt9iLzf5zoc</v>
      </c>
      <c r="Z1030" s="16" t="str">
        <f>HYPERLINK($X1030&amp;SUBSTITUTE(マスタ!$C$3,"XXXXX",$W1030))</f>
        <v>https://www.youtube.com/live/0AqoHfYD46E?si=mWOedgt9iLzf5zoc&amp;t=1125s</v>
      </c>
      <c r="AA1030" s="12" t="str">
        <f t="shared" si="51"/>
        <v>茅原実里境界の彼方</v>
      </c>
    </row>
    <row r="1031" spans="1:27" x14ac:dyDescent="0.4">
      <c r="A1031" s="14">
        <f t="shared" si="52"/>
        <v>1030</v>
      </c>
      <c r="B1031" s="14">
        <v>134</v>
      </c>
      <c r="C1031" s="21" t="s">
        <v>2250</v>
      </c>
      <c r="D1031" s="14" t="s">
        <v>770</v>
      </c>
      <c r="E1031" s="14" t="s">
        <v>771</v>
      </c>
      <c r="G1031" s="1" t="str">
        <f>_xlfn.XLOOKUP(B1031,M_YT_LIVE!A:A,M_YT_LIVE!F:F,"ERROR",0,1)</f>
        <v>弾き語り</v>
      </c>
      <c r="W1031" s="13">
        <f t="shared" si="50"/>
        <v>1582</v>
      </c>
      <c r="X1031" s="12" t="str">
        <f>_xlfn.XLOOKUP($B1031,M_YT_LIVE!$A:$A,M_YT_LIVE!$D:$D)</f>
        <v>https://www.youtube.com/live/0AqoHfYD46E?si=mWOedgt9iLzf5zoc</v>
      </c>
      <c r="Z1031" s="16" t="str">
        <f>HYPERLINK($X1031&amp;SUBSTITUTE(マスタ!$C$3,"XXXXX",$W1031))</f>
        <v>https://www.youtube.com/live/0AqoHfYD46E?si=mWOedgt9iLzf5zoc&amp;t=1582s</v>
      </c>
      <c r="AA1031" s="12" t="str">
        <f t="shared" si="51"/>
        <v>(K)NoW_NAMEHarvest</v>
      </c>
    </row>
    <row r="1032" spans="1:27" x14ac:dyDescent="0.4">
      <c r="A1032" s="14">
        <f t="shared" si="52"/>
        <v>1031</v>
      </c>
      <c r="B1032" s="14">
        <v>134</v>
      </c>
      <c r="C1032" s="21" t="s">
        <v>2251</v>
      </c>
      <c r="D1032" s="14" t="s">
        <v>624</v>
      </c>
      <c r="E1032" s="14" t="s">
        <v>625</v>
      </c>
      <c r="G1032" s="1" t="str">
        <f>_xlfn.XLOOKUP(B1032,M_YT_LIVE!A:A,M_YT_LIVE!F:F,"ERROR",0,1)</f>
        <v>弾き語り</v>
      </c>
      <c r="W1032" s="13">
        <f t="shared" si="50"/>
        <v>2004</v>
      </c>
      <c r="X1032" s="12" t="str">
        <f>_xlfn.XLOOKUP($B1032,M_YT_LIVE!$A:$A,M_YT_LIVE!$D:$D)</f>
        <v>https://www.youtube.com/live/0AqoHfYD46E?si=mWOedgt9iLzf5zoc</v>
      </c>
      <c r="Z1032" s="16" t="str">
        <f>HYPERLINK($X1032&amp;SUBSTITUTE(マスタ!$C$3,"XXXXX",$W1032))</f>
        <v>https://www.youtube.com/live/0AqoHfYD46E?si=mWOedgt9iLzf5zoc&amp;t=2004s</v>
      </c>
      <c r="AA1032" s="12" t="str">
        <f t="shared" si="51"/>
        <v>Rayebb and flow</v>
      </c>
    </row>
    <row r="1033" spans="1:27" x14ac:dyDescent="0.4">
      <c r="A1033" s="14">
        <f t="shared" si="52"/>
        <v>1032</v>
      </c>
      <c r="B1033" s="14">
        <v>134</v>
      </c>
      <c r="C1033" s="21" t="s">
        <v>2252</v>
      </c>
      <c r="D1033" s="14" t="s">
        <v>2253</v>
      </c>
      <c r="E1033" s="14" t="s">
        <v>135</v>
      </c>
      <c r="G1033" s="1" t="str">
        <f>_xlfn.XLOOKUP(B1033,M_YT_LIVE!A:A,M_YT_LIVE!F:F,"ERROR",0,1)</f>
        <v>弾き語り</v>
      </c>
      <c r="W1033" s="13">
        <f t="shared" si="50"/>
        <v>2405</v>
      </c>
      <c r="X1033" s="12" t="str">
        <f>_xlfn.XLOOKUP($B1033,M_YT_LIVE!$A:$A,M_YT_LIVE!$D:$D)</f>
        <v>https://www.youtube.com/live/0AqoHfYD46E?si=mWOedgt9iLzf5zoc</v>
      </c>
      <c r="Z1033" s="16" t="str">
        <f>HYPERLINK($X1033&amp;SUBSTITUTE(マスタ!$C$3,"XXXXX",$W1033))</f>
        <v>https://www.youtube.com/live/0AqoHfYD46E?si=mWOedgt9iLzf5zoc&amp;t=2405s</v>
      </c>
      <c r="AA1033" s="12" t="str">
        <f t="shared" si="51"/>
        <v>EGOISTエウテルペ</v>
      </c>
    </row>
    <row r="1034" spans="1:27" x14ac:dyDescent="0.4">
      <c r="A1034" s="14">
        <f t="shared" si="52"/>
        <v>1033</v>
      </c>
      <c r="B1034" s="14">
        <v>134</v>
      </c>
      <c r="C1034" s="21" t="s">
        <v>2254</v>
      </c>
      <c r="D1034" s="14" t="s">
        <v>2255</v>
      </c>
      <c r="E1034" s="14" t="s">
        <v>1450</v>
      </c>
      <c r="G1034" s="1" t="str">
        <f>_xlfn.XLOOKUP(B1034,M_YT_LIVE!A:A,M_YT_LIVE!F:F,"ERROR",0,1)</f>
        <v>弾き語り</v>
      </c>
      <c r="W1034" s="13">
        <f t="shared" si="50"/>
        <v>2749.0000000000005</v>
      </c>
      <c r="X1034" s="12" t="str">
        <f>_xlfn.XLOOKUP($B1034,M_YT_LIVE!$A:$A,M_YT_LIVE!$D:$D)</f>
        <v>https://www.youtube.com/live/0AqoHfYD46E?si=mWOedgt9iLzf5zoc</v>
      </c>
      <c r="Z1034" s="16" t="str">
        <f>HYPERLINK($X1034&amp;SUBSTITUTE(マスタ!$C$3,"XXXXX",$W1034))</f>
        <v>https://www.youtube.com/live/0AqoHfYD46E?si=mWOedgt9iLzf5zoc&amp;t=2749s</v>
      </c>
      <c r="AA1034" s="12" t="str">
        <f t="shared" si="51"/>
        <v>とあ feat.初音ミクツギハギスタッカート</v>
      </c>
    </row>
    <row r="1035" spans="1:27" x14ac:dyDescent="0.4">
      <c r="A1035" s="14">
        <f t="shared" si="52"/>
        <v>1034</v>
      </c>
      <c r="B1035" s="14">
        <v>134</v>
      </c>
      <c r="C1035" s="21" t="s">
        <v>2256</v>
      </c>
      <c r="D1035" s="14" t="s">
        <v>1811</v>
      </c>
      <c r="E1035" s="14" t="s">
        <v>1193</v>
      </c>
      <c r="G1035" s="1" t="str">
        <f>_xlfn.XLOOKUP(B1035,M_YT_LIVE!A:A,M_YT_LIVE!F:F,"ERROR",0,1)</f>
        <v>弾き語り</v>
      </c>
      <c r="W1035" s="13">
        <f t="shared" si="50"/>
        <v>3126</v>
      </c>
      <c r="X1035" s="12" t="str">
        <f>_xlfn.XLOOKUP($B1035,M_YT_LIVE!$A:$A,M_YT_LIVE!$D:$D)</f>
        <v>https://www.youtube.com/live/0AqoHfYD46E?si=mWOedgt9iLzf5zoc</v>
      </c>
      <c r="Z1035" s="16" t="str">
        <f>HYPERLINK($X1035&amp;SUBSTITUTE(マスタ!$C$3,"XXXXX",$W1035))</f>
        <v>https://www.youtube.com/live/0AqoHfYD46E?si=mWOedgt9iLzf5zoc&amp;t=3126s</v>
      </c>
      <c r="AA1035" s="12" t="str">
        <f t="shared" si="51"/>
        <v>サカナクショングッドバイ</v>
      </c>
    </row>
    <row r="1036" spans="1:27" x14ac:dyDescent="0.4">
      <c r="A1036" s="14">
        <f t="shared" si="52"/>
        <v>1035</v>
      </c>
      <c r="B1036" s="14">
        <v>134</v>
      </c>
      <c r="C1036" s="21" t="s">
        <v>2257</v>
      </c>
      <c r="D1036" s="14" t="s">
        <v>2258</v>
      </c>
      <c r="E1036" s="14" t="s">
        <v>1396</v>
      </c>
      <c r="G1036" s="1" t="str">
        <f>_xlfn.XLOOKUP(B1036,M_YT_LIVE!A:A,M_YT_LIVE!F:F,"ERROR",0,1)</f>
        <v>弾き語り</v>
      </c>
      <c r="W1036" s="13">
        <f t="shared" si="50"/>
        <v>3584</v>
      </c>
      <c r="X1036" s="12" t="str">
        <f>_xlfn.XLOOKUP($B1036,M_YT_LIVE!$A:$A,M_YT_LIVE!$D:$D)</f>
        <v>https://www.youtube.com/live/0AqoHfYD46E?si=mWOedgt9iLzf5zoc</v>
      </c>
      <c r="Z1036" s="16" t="str">
        <f>HYPERLINK($X1036&amp;SUBSTITUTE(マスタ!$C$3,"XXXXX",$W1036))</f>
        <v>https://www.youtube.com/live/0AqoHfYD46E?si=mWOedgt9iLzf5zoc&amp;t=3584s</v>
      </c>
      <c r="AA1036" s="12" t="str">
        <f t="shared" si="51"/>
        <v>三月のパンタシア街路、ライトの灯りだけ</v>
      </c>
    </row>
    <row r="1037" spans="1:27" x14ac:dyDescent="0.4">
      <c r="A1037" s="14">
        <f t="shared" si="52"/>
        <v>1036</v>
      </c>
      <c r="B1037" s="14">
        <v>134</v>
      </c>
      <c r="C1037" s="21" t="s">
        <v>2259</v>
      </c>
      <c r="D1037" s="14" t="s">
        <v>2260</v>
      </c>
      <c r="E1037" s="14" t="s">
        <v>547</v>
      </c>
      <c r="G1037" s="1" t="str">
        <f>_xlfn.XLOOKUP(B1037,M_YT_LIVE!A:A,M_YT_LIVE!F:F,"ERROR",0,1)</f>
        <v>弾き語り</v>
      </c>
      <c r="W1037" s="13">
        <f t="shared" si="50"/>
        <v>3975.0000000000005</v>
      </c>
      <c r="X1037" s="12" t="str">
        <f>_xlfn.XLOOKUP($B1037,M_YT_LIVE!$A:$A,M_YT_LIVE!$D:$D)</f>
        <v>https://www.youtube.com/live/0AqoHfYD46E?si=mWOedgt9iLzf5zoc</v>
      </c>
      <c r="Z1037" s="16" t="str">
        <f>HYPERLINK($X1037&amp;SUBSTITUTE(マスタ!$C$3,"XXXXX",$W1037))</f>
        <v>https://www.youtube.com/live/0AqoHfYD46E?si=mWOedgt9iLzf5zoc&amp;t=3975s</v>
      </c>
      <c r="AA1037" s="12" t="str">
        <f t="shared" si="51"/>
        <v>米津玄師vivi</v>
      </c>
    </row>
    <row r="1038" spans="1:27" x14ac:dyDescent="0.4">
      <c r="A1038" s="14">
        <f t="shared" si="52"/>
        <v>1037</v>
      </c>
      <c r="B1038" s="14">
        <v>134</v>
      </c>
      <c r="C1038" s="21" t="s">
        <v>1500</v>
      </c>
      <c r="D1038" s="14" t="s">
        <v>318</v>
      </c>
      <c r="E1038" s="14" t="s">
        <v>1759</v>
      </c>
      <c r="G1038" s="1" t="str">
        <f>_xlfn.XLOOKUP(B1038,M_YT_LIVE!A:A,M_YT_LIVE!F:F,"ERROR",0,1)</f>
        <v>弾き語り</v>
      </c>
      <c r="W1038" s="13">
        <f t="shared" si="50"/>
        <v>4486</v>
      </c>
      <c r="X1038" s="12" t="str">
        <f>_xlfn.XLOOKUP($B1038,M_YT_LIVE!$A:$A,M_YT_LIVE!$D:$D)</f>
        <v>https://www.youtube.com/live/0AqoHfYD46E?si=mWOedgt9iLzf5zoc</v>
      </c>
      <c r="Z1038" s="16" t="str">
        <f>HYPERLINK($X1038&amp;SUBSTITUTE(マスタ!$C$3,"XXXXX",$W1038))</f>
        <v>https://www.youtube.com/live/0AqoHfYD46E?si=mWOedgt9iLzf5zoc&amp;t=4486s</v>
      </c>
      <c r="AA1038" s="12" t="str">
        <f t="shared" si="51"/>
        <v>じん feat.IA少年ブレイヴ</v>
      </c>
    </row>
    <row r="1039" spans="1:27" x14ac:dyDescent="0.4">
      <c r="A1039" s="14">
        <f t="shared" si="52"/>
        <v>1038</v>
      </c>
      <c r="B1039" s="14">
        <v>134</v>
      </c>
      <c r="C1039" s="21" t="s">
        <v>2261</v>
      </c>
      <c r="D1039" s="14" t="s">
        <v>2262</v>
      </c>
      <c r="E1039" s="14" t="s">
        <v>2263</v>
      </c>
      <c r="G1039" s="1" t="str">
        <f>_xlfn.XLOOKUP(B1039,M_YT_LIVE!A:A,M_YT_LIVE!F:F,"ERROR",0,1)</f>
        <v>弾き語り</v>
      </c>
      <c r="W1039" s="13">
        <f t="shared" si="50"/>
        <v>4942</v>
      </c>
      <c r="X1039" s="12" t="str">
        <f>_xlfn.XLOOKUP($B1039,M_YT_LIVE!$A:$A,M_YT_LIVE!$D:$D)</f>
        <v>https://www.youtube.com/live/0AqoHfYD46E?si=mWOedgt9iLzf5zoc</v>
      </c>
      <c r="Z1039" s="16" t="str">
        <f>HYPERLINK($X1039&amp;SUBSTITUTE(マスタ!$C$3,"XXXXX",$W1039))</f>
        <v>https://www.youtube.com/live/0AqoHfYD46E?si=mWOedgt9iLzf5zoc&amp;t=4942s</v>
      </c>
      <c r="AA1039" s="12" t="str">
        <f t="shared" si="51"/>
        <v>じん feat.初音ミク失想ワアド</v>
      </c>
    </row>
    <row r="1040" spans="1:27" x14ac:dyDescent="0.4">
      <c r="A1040" s="14">
        <f t="shared" si="52"/>
        <v>1039</v>
      </c>
      <c r="B1040" s="14">
        <v>134</v>
      </c>
      <c r="C1040" s="21" t="s">
        <v>2264</v>
      </c>
      <c r="D1040" s="14" t="s">
        <v>1544</v>
      </c>
      <c r="E1040" s="14" t="s">
        <v>125</v>
      </c>
      <c r="G1040" s="1" t="str">
        <f>_xlfn.XLOOKUP(B1040,M_YT_LIVE!A:A,M_YT_LIVE!F:F,"ERROR",0,1)</f>
        <v>弾き語り</v>
      </c>
      <c r="W1040" s="13">
        <f t="shared" si="50"/>
        <v>5454</v>
      </c>
      <c r="X1040" s="12" t="str">
        <f>_xlfn.XLOOKUP($B1040,M_YT_LIVE!$A:$A,M_YT_LIVE!$D:$D)</f>
        <v>https://www.youtube.com/live/0AqoHfYD46E?si=mWOedgt9iLzf5zoc</v>
      </c>
      <c r="Z1040" s="16" t="str">
        <f>HYPERLINK($X1040&amp;SUBSTITUTE(マスタ!$C$3,"XXXXX",$W1040))</f>
        <v>https://www.youtube.com/live/0AqoHfYD46E?si=mWOedgt9iLzf5zoc&amp;t=5454s</v>
      </c>
      <c r="AA1040" s="12" t="str">
        <f t="shared" si="51"/>
        <v>Orangestar feat.IAノクティルーカ</v>
      </c>
    </row>
    <row r="1041" spans="1:27" x14ac:dyDescent="0.4">
      <c r="A1041" s="14">
        <f t="shared" si="52"/>
        <v>1040</v>
      </c>
      <c r="B1041" s="14">
        <v>134</v>
      </c>
      <c r="C1041" s="21" t="s">
        <v>2265</v>
      </c>
      <c r="D1041" s="14" t="s">
        <v>1837</v>
      </c>
      <c r="E1041" s="14" t="s">
        <v>547</v>
      </c>
      <c r="G1041" s="1" t="str">
        <f>_xlfn.XLOOKUP(B1041,M_YT_LIVE!A:A,M_YT_LIVE!F:F,"ERROR",0,1)</f>
        <v>弾き語り</v>
      </c>
      <c r="W1041" s="13">
        <f t="shared" si="50"/>
        <v>5903</v>
      </c>
      <c r="X1041" s="12" t="str">
        <f>_xlfn.XLOOKUP($B1041,M_YT_LIVE!$A:$A,M_YT_LIVE!$D:$D)</f>
        <v>https://www.youtube.com/live/0AqoHfYD46E?si=mWOedgt9iLzf5zoc</v>
      </c>
      <c r="Z1041" s="16" t="str">
        <f>HYPERLINK($X1041&amp;SUBSTITUTE(マスタ!$C$3,"XXXXX",$W1041))</f>
        <v>https://www.youtube.com/live/0AqoHfYD46E?si=mWOedgt9iLzf5zoc&amp;t=5903s</v>
      </c>
      <c r="AA1041" s="12" t="str">
        <f t="shared" si="51"/>
        <v>米津玄師春雷</v>
      </c>
    </row>
    <row r="1042" spans="1:27" x14ac:dyDescent="0.4">
      <c r="A1042" s="14">
        <f t="shared" si="52"/>
        <v>1041</v>
      </c>
      <c r="B1042" s="14">
        <v>134</v>
      </c>
      <c r="C1042" s="21" t="s">
        <v>2266</v>
      </c>
      <c r="D1042" s="14" t="s">
        <v>470</v>
      </c>
      <c r="E1042" s="14" t="s">
        <v>118</v>
      </c>
      <c r="G1042" s="1" t="str">
        <f>_xlfn.XLOOKUP(B1042,M_YT_LIVE!A:A,M_YT_LIVE!F:F,"ERROR",0,1)</f>
        <v>弾き語り</v>
      </c>
      <c r="W1042" s="13">
        <f t="shared" si="50"/>
        <v>6424</v>
      </c>
      <c r="X1042" s="12" t="str">
        <f>_xlfn.XLOOKUP($B1042,M_YT_LIVE!$A:$A,M_YT_LIVE!$D:$D)</f>
        <v>https://www.youtube.com/live/0AqoHfYD46E?si=mWOedgt9iLzf5zoc</v>
      </c>
      <c r="Z1042" s="16" t="str">
        <f>HYPERLINK($X1042&amp;SUBSTITUTE(マスタ!$C$3,"XXXXX",$W1042))</f>
        <v>https://www.youtube.com/live/0AqoHfYD46E?si=mWOedgt9iLzf5zoc&amp;t=6424s</v>
      </c>
      <c r="AA1042" s="12" t="str">
        <f t="shared" si="51"/>
        <v>Orangestar feat.初音ミク霽れを待つ</v>
      </c>
    </row>
    <row r="1043" spans="1:27" x14ac:dyDescent="0.4">
      <c r="A1043" s="14">
        <f t="shared" si="52"/>
        <v>1042</v>
      </c>
      <c r="B1043" s="14">
        <v>134</v>
      </c>
      <c r="C1043" s="21" t="s">
        <v>1581</v>
      </c>
      <c r="D1043" s="14" t="s">
        <v>2267</v>
      </c>
      <c r="E1043" s="14" t="s">
        <v>84</v>
      </c>
      <c r="G1043" s="1" t="str">
        <f>_xlfn.XLOOKUP(B1043,M_YT_LIVE!A:A,M_YT_LIVE!F:F,"ERROR",0,1)</f>
        <v>弾き語り</v>
      </c>
      <c r="W1043" s="13">
        <f t="shared" si="50"/>
        <v>6858.9999999999991</v>
      </c>
      <c r="X1043" s="12" t="str">
        <f>_xlfn.XLOOKUP($B1043,M_YT_LIVE!$A:$A,M_YT_LIVE!$D:$D)</f>
        <v>https://www.youtube.com/live/0AqoHfYD46E?si=mWOedgt9iLzf5zoc</v>
      </c>
      <c r="Z1043" s="16" t="str">
        <f>HYPERLINK($X1043&amp;SUBSTITUTE(マスタ!$C$3,"XXXXX",$W1043))</f>
        <v>https://www.youtube.com/live/0AqoHfYD46E?si=mWOedgt9iLzf5zoc&amp;t=6859s</v>
      </c>
      <c r="AA1043" s="12" t="str">
        <f t="shared" si="51"/>
        <v>木村弓いつも何度でも</v>
      </c>
    </row>
    <row r="1044" spans="1:27" x14ac:dyDescent="0.4">
      <c r="A1044" s="14">
        <f t="shared" si="52"/>
        <v>1043</v>
      </c>
      <c r="B1044" s="14">
        <v>135</v>
      </c>
      <c r="C1044" s="21" t="s">
        <v>2270</v>
      </c>
      <c r="D1044" s="14" t="s">
        <v>2271</v>
      </c>
      <c r="E1044" s="14" t="s">
        <v>2272</v>
      </c>
      <c r="G1044" s="1" t="str">
        <f>_xlfn.XLOOKUP(B1044,M_YT_LIVE!A:A,M_YT_LIVE!F:F,"ERROR",0,1)</f>
        <v>弾き語り</v>
      </c>
      <c r="W1044" s="13">
        <f t="shared" si="50"/>
        <v>307</v>
      </c>
      <c r="X1044" s="12" t="str">
        <f>_xlfn.XLOOKUP($B1044,M_YT_LIVE!$A:$A,M_YT_LIVE!$D:$D)</f>
        <v>https://www.youtube.com/live/xp0K3WVssKY?si=LZW-N2O4nOZbWeQk</v>
      </c>
      <c r="Z1044" s="16" t="str">
        <f>HYPERLINK($X1044&amp;SUBSTITUTE(マスタ!$C$3,"XXXXX",$W1044))</f>
        <v>https://www.youtube.com/live/xp0K3WVssKY?si=LZW-N2O4nOZbWeQk&amp;t=307s</v>
      </c>
      <c r="AA1044" s="12" t="str">
        <f t="shared" si="51"/>
        <v>Back numberクリスマスソング</v>
      </c>
    </row>
    <row r="1045" spans="1:27" x14ac:dyDescent="0.4">
      <c r="A1045" s="14">
        <f t="shared" si="52"/>
        <v>1044</v>
      </c>
      <c r="B1045" s="14">
        <v>135</v>
      </c>
      <c r="C1045" s="21" t="s">
        <v>2273</v>
      </c>
      <c r="D1045" s="14" t="s">
        <v>2274</v>
      </c>
      <c r="E1045" s="14" t="s">
        <v>2275</v>
      </c>
      <c r="G1045" s="1" t="str">
        <f>_xlfn.XLOOKUP(B1045,M_YT_LIVE!A:A,M_YT_LIVE!F:F,"ERROR",0,1)</f>
        <v>弾き語り</v>
      </c>
      <c r="W1045" s="13">
        <f t="shared" si="50"/>
        <v>745</v>
      </c>
      <c r="X1045" s="12" t="str">
        <f>_xlfn.XLOOKUP($B1045,M_YT_LIVE!$A:$A,M_YT_LIVE!$D:$D)</f>
        <v>https://www.youtube.com/live/xp0K3WVssKY?si=LZW-N2O4nOZbWeQk</v>
      </c>
      <c r="Z1045" s="16" t="str">
        <f>HYPERLINK($X1045&amp;SUBSTITUTE(マスタ!$C$3,"XXXXX",$W1045))</f>
        <v>https://www.youtube.com/live/xp0K3WVssKY?si=LZW-N2O4nOZbWeQk&amp;t=745s</v>
      </c>
      <c r="AA1045" s="12" t="str">
        <f t="shared" si="51"/>
        <v>田中星児etc…あわてんぼうのサンタクロース</v>
      </c>
    </row>
    <row r="1046" spans="1:27" x14ac:dyDescent="0.4">
      <c r="A1046" s="14">
        <f t="shared" si="52"/>
        <v>1045</v>
      </c>
      <c r="B1046" s="14">
        <v>135</v>
      </c>
      <c r="C1046" s="21" t="s">
        <v>1442</v>
      </c>
      <c r="D1046" s="14" t="s">
        <v>2276</v>
      </c>
      <c r="E1046" s="14" t="s">
        <v>2277</v>
      </c>
      <c r="G1046" s="1" t="str">
        <f>_xlfn.XLOOKUP(B1046,M_YT_LIVE!A:A,M_YT_LIVE!F:F,"ERROR",0,1)</f>
        <v>弾き語り</v>
      </c>
      <c r="W1046" s="13">
        <f t="shared" si="50"/>
        <v>1212</v>
      </c>
      <c r="X1046" s="12" t="str">
        <f>_xlfn.XLOOKUP($B1046,M_YT_LIVE!$A:$A,M_YT_LIVE!$D:$D)</f>
        <v>https://www.youtube.com/live/xp0K3WVssKY?si=LZW-N2O4nOZbWeQk</v>
      </c>
      <c r="Z1046" s="16" t="str">
        <f>HYPERLINK($X1046&amp;SUBSTITUTE(マスタ!$C$3,"XXXXX",$W1046))</f>
        <v>https://www.youtube.com/live/xp0K3WVssKY?si=LZW-N2O4nOZbWeQk&amp;t=1212s</v>
      </c>
      <c r="AA1046" s="12" t="str">
        <f t="shared" si="51"/>
        <v>James Lord Pierpontジングルベル</v>
      </c>
    </row>
    <row r="1047" spans="1:27" x14ac:dyDescent="0.4">
      <c r="A1047" s="14">
        <f t="shared" si="52"/>
        <v>1046</v>
      </c>
      <c r="B1047" s="14">
        <v>135</v>
      </c>
      <c r="C1047" s="21" t="s">
        <v>2278</v>
      </c>
      <c r="D1047" s="23" t="s">
        <v>2293</v>
      </c>
      <c r="E1047" s="14" t="s">
        <v>57</v>
      </c>
      <c r="G1047" s="1" t="str">
        <f>_xlfn.XLOOKUP(B1047,M_YT_LIVE!A:A,M_YT_LIVE!F:F,"ERROR",0,1)</f>
        <v>弾き語り</v>
      </c>
      <c r="W1047" s="13">
        <f t="shared" si="50"/>
        <v>1420</v>
      </c>
      <c r="X1047" s="12" t="str">
        <f>_xlfn.XLOOKUP($B1047,M_YT_LIVE!$A:$A,M_YT_LIVE!$D:$D)</f>
        <v>https://www.youtube.com/live/xp0K3WVssKY?si=LZW-N2O4nOZbWeQk</v>
      </c>
      <c r="Z1047" s="16" t="str">
        <f>HYPERLINK($X1047&amp;SUBSTITUTE(マスタ!$C$3,"XXXXX",$W1047))</f>
        <v>https://www.youtube.com/live/xp0K3WVssKY?si=LZW-N2O4nOZbWeQk&amp;t=1420s</v>
      </c>
      <c r="AA1047" s="12" t="str">
        <f t="shared" si="51"/>
        <v>羊文学1999</v>
      </c>
    </row>
    <row r="1048" spans="1:27" x14ac:dyDescent="0.4">
      <c r="A1048" s="14">
        <f t="shared" si="52"/>
        <v>1047</v>
      </c>
      <c r="B1048" s="14">
        <v>135</v>
      </c>
      <c r="C1048" s="21" t="s">
        <v>2279</v>
      </c>
      <c r="D1048" s="14" t="s">
        <v>39</v>
      </c>
      <c r="E1048" s="14" t="s">
        <v>276</v>
      </c>
      <c r="G1048" s="1" t="str">
        <f>_xlfn.XLOOKUP(B1048,M_YT_LIVE!A:A,M_YT_LIVE!F:F,"ERROR",0,1)</f>
        <v>弾き語り</v>
      </c>
      <c r="W1048" s="13">
        <f t="shared" si="50"/>
        <v>1817</v>
      </c>
      <c r="X1048" s="12" t="str">
        <f>_xlfn.XLOOKUP($B1048,M_YT_LIVE!$A:$A,M_YT_LIVE!$D:$D)</f>
        <v>https://www.youtube.com/live/xp0K3WVssKY?si=LZW-N2O4nOZbWeQk</v>
      </c>
      <c r="Z1048" s="16" t="str">
        <f>HYPERLINK($X1048&amp;SUBSTITUTE(マスタ!$C$3,"XXXXX",$W1048))</f>
        <v>https://www.youtube.com/live/xp0K3WVssKY?si=LZW-N2O4nOZbWeQk&amp;t=1817s</v>
      </c>
      <c r="AA1048" s="12" t="str">
        <f t="shared" si="51"/>
        <v>YUICHE.R.RY</v>
      </c>
    </row>
    <row r="1049" spans="1:27" x14ac:dyDescent="0.4">
      <c r="A1049" s="14">
        <f t="shared" si="52"/>
        <v>1048</v>
      </c>
      <c r="B1049" s="14">
        <v>135</v>
      </c>
      <c r="C1049" s="21" t="s">
        <v>2280</v>
      </c>
      <c r="D1049" s="14" t="s">
        <v>61</v>
      </c>
      <c r="E1049" s="14" t="s">
        <v>276</v>
      </c>
      <c r="G1049" s="1" t="str">
        <f>_xlfn.XLOOKUP(B1049,M_YT_LIVE!A:A,M_YT_LIVE!F:F,"ERROR",0,1)</f>
        <v>弾き語り</v>
      </c>
      <c r="W1049" s="13">
        <f t="shared" si="50"/>
        <v>2211</v>
      </c>
      <c r="X1049" s="12" t="str">
        <f>_xlfn.XLOOKUP($B1049,M_YT_LIVE!$A:$A,M_YT_LIVE!$D:$D)</f>
        <v>https://www.youtube.com/live/xp0K3WVssKY?si=LZW-N2O4nOZbWeQk</v>
      </c>
      <c r="Z1049" s="16" t="str">
        <f>HYPERLINK($X1049&amp;SUBSTITUTE(マスタ!$C$3,"XXXXX",$W1049))</f>
        <v>https://www.youtube.com/live/xp0K3WVssKY?si=LZW-N2O4nOZbWeQk&amp;t=2211s</v>
      </c>
      <c r="AA1049" s="12" t="str">
        <f t="shared" si="51"/>
        <v>YUILaugh away</v>
      </c>
    </row>
    <row r="1050" spans="1:27" x14ac:dyDescent="0.4">
      <c r="A1050" s="14">
        <f t="shared" si="52"/>
        <v>1049</v>
      </c>
      <c r="B1050" s="14">
        <v>135</v>
      </c>
      <c r="C1050" s="21" t="s">
        <v>2281</v>
      </c>
      <c r="D1050" s="14" t="s">
        <v>185</v>
      </c>
      <c r="E1050" s="14" t="s">
        <v>186</v>
      </c>
      <c r="G1050" s="1" t="str">
        <f>_xlfn.XLOOKUP(B1050,M_YT_LIVE!A:A,M_YT_LIVE!F:F,"ERROR",0,1)</f>
        <v>弾き語り</v>
      </c>
      <c r="W1050" s="13">
        <f t="shared" si="50"/>
        <v>2625</v>
      </c>
      <c r="X1050" s="12" t="str">
        <f>_xlfn.XLOOKUP($B1050,M_YT_LIVE!$A:$A,M_YT_LIVE!$D:$D)</f>
        <v>https://www.youtube.com/live/xp0K3WVssKY?si=LZW-N2O4nOZbWeQk</v>
      </c>
      <c r="Z1050" s="16" t="str">
        <f>HYPERLINK($X1050&amp;SUBSTITUTE(マスタ!$C$3,"XXXXX",$W1050))</f>
        <v>https://www.youtube.com/live/xp0K3WVssKY?si=LZW-N2O4nOZbWeQk&amp;t=2625s</v>
      </c>
      <c r="AA1050" s="12" t="str">
        <f t="shared" si="51"/>
        <v>YUI for 雨音薫Good-bye days</v>
      </c>
    </row>
    <row r="1051" spans="1:27" x14ac:dyDescent="0.4">
      <c r="A1051" s="14">
        <f t="shared" si="52"/>
        <v>1050</v>
      </c>
      <c r="B1051" s="14">
        <v>135</v>
      </c>
      <c r="C1051" s="21" t="s">
        <v>2282</v>
      </c>
      <c r="D1051" s="14" t="s">
        <v>2283</v>
      </c>
      <c r="E1051" s="14" t="s">
        <v>2284</v>
      </c>
      <c r="G1051" s="1" t="str">
        <f>_xlfn.XLOOKUP(B1051,M_YT_LIVE!A:A,M_YT_LIVE!F:F,"ERROR",0,1)</f>
        <v>弾き語り</v>
      </c>
      <c r="W1051" s="13">
        <f t="shared" si="50"/>
        <v>3059</v>
      </c>
      <c r="X1051" s="12" t="str">
        <f>_xlfn.XLOOKUP($B1051,M_YT_LIVE!$A:$A,M_YT_LIVE!$D:$D)</f>
        <v>https://www.youtube.com/live/xp0K3WVssKY?si=LZW-N2O4nOZbWeQk</v>
      </c>
      <c r="Z1051" s="16" t="str">
        <f>HYPERLINK($X1051&amp;SUBSTITUTE(マスタ!$C$3,"XXXXX",$W1051))</f>
        <v>https://www.youtube.com/live/xp0K3WVssKY?si=LZW-N2O4nOZbWeQk&amp;t=3059s</v>
      </c>
      <c r="AA1051" s="12" t="str">
        <f t="shared" si="51"/>
        <v>秦基博ひまわりの約束</v>
      </c>
    </row>
    <row r="1052" spans="1:27" x14ac:dyDescent="0.4">
      <c r="A1052" s="14">
        <f t="shared" si="52"/>
        <v>1051</v>
      </c>
      <c r="B1052" s="14">
        <v>135</v>
      </c>
      <c r="C1052" s="21" t="s">
        <v>2285</v>
      </c>
      <c r="D1052" s="14" t="s">
        <v>1650</v>
      </c>
      <c r="E1052" s="14" t="s">
        <v>260</v>
      </c>
      <c r="G1052" s="1" t="str">
        <f>_xlfn.XLOOKUP(B1052,M_YT_LIVE!A:A,M_YT_LIVE!F:F,"ERROR",0,1)</f>
        <v>弾き語り</v>
      </c>
      <c r="W1052" s="13">
        <f t="shared" si="50"/>
        <v>3526</v>
      </c>
      <c r="X1052" s="12" t="str">
        <f>_xlfn.XLOOKUP($B1052,M_YT_LIVE!$A:$A,M_YT_LIVE!$D:$D)</f>
        <v>https://www.youtube.com/live/xp0K3WVssKY?si=LZW-N2O4nOZbWeQk</v>
      </c>
      <c r="Z1052" s="16" t="str">
        <f>HYPERLINK($X1052&amp;SUBSTITUTE(マスタ!$C$3,"XXXXX",$W1052))</f>
        <v>https://www.youtube.com/live/xp0K3WVssKY?si=LZW-N2O4nOZbWeQk&amp;t=3526s</v>
      </c>
      <c r="AA1052" s="12" t="str">
        <f t="shared" si="51"/>
        <v>Official髭男dismPretender</v>
      </c>
    </row>
    <row r="1053" spans="1:27" x14ac:dyDescent="0.4">
      <c r="A1053" s="14">
        <f t="shared" si="52"/>
        <v>1052</v>
      </c>
      <c r="B1053" s="14">
        <v>135</v>
      </c>
      <c r="C1053" s="21" t="s">
        <v>2286</v>
      </c>
      <c r="D1053" s="14" t="s">
        <v>1185</v>
      </c>
      <c r="E1053" s="14" t="s">
        <v>742</v>
      </c>
      <c r="G1053" s="1" t="str">
        <f>_xlfn.XLOOKUP(B1053,M_YT_LIVE!A:A,M_YT_LIVE!F:F,"ERROR",0,1)</f>
        <v>弾き語り</v>
      </c>
      <c r="W1053" s="13">
        <f t="shared" si="50"/>
        <v>4095</v>
      </c>
      <c r="X1053" s="12" t="str">
        <f>_xlfn.XLOOKUP($B1053,M_YT_LIVE!$A:$A,M_YT_LIVE!$D:$D)</f>
        <v>https://www.youtube.com/live/xp0K3WVssKY?si=LZW-N2O4nOZbWeQk</v>
      </c>
      <c r="Z1053" s="16" t="str">
        <f>HYPERLINK($X1053&amp;SUBSTITUTE(マスタ!$C$3,"XXXXX",$W1053))</f>
        <v>https://www.youtube.com/live/xp0K3WVssKY?si=LZW-N2O4nOZbWeQk&amp;t=4095s</v>
      </c>
      <c r="AA1053" s="12" t="str">
        <f t="shared" si="51"/>
        <v>KANA-BOONシルエット</v>
      </c>
    </row>
    <row r="1054" spans="1:27" x14ac:dyDescent="0.4">
      <c r="A1054" s="14">
        <f t="shared" si="52"/>
        <v>1053</v>
      </c>
      <c r="B1054" s="14">
        <v>135</v>
      </c>
      <c r="C1054" s="21" t="s">
        <v>2287</v>
      </c>
      <c r="D1054" s="14" t="s">
        <v>851</v>
      </c>
      <c r="E1054" s="14" t="s">
        <v>847</v>
      </c>
      <c r="G1054" s="1" t="str">
        <f>_xlfn.XLOOKUP(B1054,M_YT_LIVE!A:A,M_YT_LIVE!F:F,"ERROR",0,1)</f>
        <v>弾き語り</v>
      </c>
      <c r="W1054" s="13">
        <f t="shared" si="50"/>
        <v>4453</v>
      </c>
      <c r="X1054" s="12" t="str">
        <f>_xlfn.XLOOKUP($B1054,M_YT_LIVE!$A:$A,M_YT_LIVE!$D:$D)</f>
        <v>https://www.youtube.com/live/xp0K3WVssKY?si=LZW-N2O4nOZbWeQk</v>
      </c>
      <c r="Z1054" s="16" t="str">
        <f>HYPERLINK($X1054&amp;SUBSTITUTE(マスタ!$C$3,"XXXXX",$W1054))</f>
        <v>https://www.youtube.com/live/xp0K3WVssKY?si=LZW-N2O4nOZbWeQk&amp;t=4453s</v>
      </c>
      <c r="AA1054" s="12" t="str">
        <f t="shared" si="51"/>
        <v>スキマスイッチ奏</v>
      </c>
    </row>
    <row r="1055" spans="1:27" x14ac:dyDescent="0.4">
      <c r="A1055" s="14">
        <f t="shared" si="52"/>
        <v>1054</v>
      </c>
      <c r="B1055" s="14">
        <v>135</v>
      </c>
      <c r="C1055" s="21" t="s">
        <v>2288</v>
      </c>
      <c r="D1055" s="14" t="s">
        <v>849</v>
      </c>
      <c r="E1055" s="14" t="s">
        <v>847</v>
      </c>
      <c r="G1055" s="1" t="str">
        <f>_xlfn.XLOOKUP(B1055,M_YT_LIVE!A:A,M_YT_LIVE!F:F,"ERROR",0,1)</f>
        <v>弾き語り</v>
      </c>
      <c r="W1055" s="13">
        <f t="shared" si="50"/>
        <v>4884</v>
      </c>
      <c r="X1055" s="12" t="str">
        <f>_xlfn.XLOOKUP($B1055,M_YT_LIVE!$A:$A,M_YT_LIVE!$D:$D)</f>
        <v>https://www.youtube.com/live/xp0K3WVssKY?si=LZW-N2O4nOZbWeQk</v>
      </c>
      <c r="Z1055" s="16" t="str">
        <f>HYPERLINK($X1055&amp;SUBSTITUTE(マスタ!$C$3,"XXXXX",$W1055))</f>
        <v>https://www.youtube.com/live/xp0K3WVssKY?si=LZW-N2O4nOZbWeQk&amp;t=4884s</v>
      </c>
      <c r="AA1055" s="12" t="str">
        <f t="shared" si="51"/>
        <v>スキマスイッチ全力少年</v>
      </c>
    </row>
    <row r="1056" spans="1:27" x14ac:dyDescent="0.4">
      <c r="A1056" s="14">
        <f t="shared" si="52"/>
        <v>1055</v>
      </c>
      <c r="B1056" s="14">
        <v>135</v>
      </c>
      <c r="C1056" s="21" t="s">
        <v>2289</v>
      </c>
      <c r="D1056" s="14" t="s">
        <v>2143</v>
      </c>
      <c r="E1056" s="14" t="s">
        <v>847</v>
      </c>
      <c r="G1056" s="1" t="str">
        <f>_xlfn.XLOOKUP(B1056,M_YT_LIVE!A:A,M_YT_LIVE!F:F,"ERROR",0,1)</f>
        <v>弾き語り</v>
      </c>
      <c r="W1056" s="13">
        <f t="shared" si="50"/>
        <v>5393</v>
      </c>
      <c r="X1056" s="12" t="str">
        <f>_xlfn.XLOOKUP($B1056,M_YT_LIVE!$A:$A,M_YT_LIVE!$D:$D)</f>
        <v>https://www.youtube.com/live/xp0K3WVssKY?si=LZW-N2O4nOZbWeQk</v>
      </c>
      <c r="Z1056" s="16" t="str">
        <f>HYPERLINK($X1056&amp;SUBSTITUTE(マスタ!$C$3,"XXXXX",$W1056))</f>
        <v>https://www.youtube.com/live/xp0K3WVssKY?si=LZW-N2O4nOZbWeQk&amp;t=5393s</v>
      </c>
      <c r="AA1056" s="12" t="str">
        <f t="shared" si="51"/>
        <v>スキマスイッチアイスクリーム シンドローム</v>
      </c>
    </row>
    <row r="1057" spans="1:27" x14ac:dyDescent="0.4">
      <c r="A1057" s="14">
        <f t="shared" si="52"/>
        <v>1056</v>
      </c>
      <c r="B1057" s="14">
        <v>135</v>
      </c>
      <c r="C1057" s="21" t="s">
        <v>2290</v>
      </c>
      <c r="D1057" s="14" t="s">
        <v>622</v>
      </c>
      <c r="E1057" s="14" t="s">
        <v>2291</v>
      </c>
      <c r="G1057" s="1" t="str">
        <f>_xlfn.XLOOKUP(B1057,M_YT_LIVE!A:A,M_YT_LIVE!F:F,"ERROR",0,1)</f>
        <v>弾き語り</v>
      </c>
      <c r="W1057" s="13">
        <f t="shared" si="50"/>
        <v>5892</v>
      </c>
      <c r="X1057" s="12" t="str">
        <f>_xlfn.XLOOKUP($B1057,M_YT_LIVE!$A:$A,M_YT_LIVE!$D:$D)</f>
        <v>https://www.youtube.com/live/xp0K3WVssKY?si=LZW-N2O4nOZbWeQk</v>
      </c>
      <c r="Z1057" s="16" t="str">
        <f>HYPERLINK($X1057&amp;SUBSTITUTE(マスタ!$C$3,"XXXXX",$W1057))</f>
        <v>https://www.youtube.com/live/xp0K3WVssKY?si=LZW-N2O4nOZbWeQk&amp;t=5892s</v>
      </c>
      <c r="AA1057" s="12" t="str">
        <f t="shared" si="51"/>
        <v>シェリル・ノームstarring May'nダイアモンドクレバス</v>
      </c>
    </row>
    <row r="1058" spans="1:27" x14ac:dyDescent="0.4">
      <c r="A1058" s="14">
        <f t="shared" si="52"/>
        <v>1057</v>
      </c>
      <c r="B1058" s="14">
        <v>135</v>
      </c>
      <c r="C1058" s="21" t="s">
        <v>2292</v>
      </c>
      <c r="D1058" s="14" t="s">
        <v>1483</v>
      </c>
      <c r="E1058" s="14" t="s">
        <v>924</v>
      </c>
      <c r="G1058" s="1" t="str">
        <f>_xlfn.XLOOKUP(B1058,M_YT_LIVE!A:A,M_YT_LIVE!F:F,"ERROR",0,1)</f>
        <v>弾き語り</v>
      </c>
      <c r="W1058" s="13">
        <f t="shared" si="50"/>
        <v>6427</v>
      </c>
      <c r="X1058" s="12" t="str">
        <f>_xlfn.XLOOKUP($B1058,M_YT_LIVE!$A:$A,M_YT_LIVE!$D:$D)</f>
        <v>https://www.youtube.com/live/xp0K3WVssKY?si=LZW-N2O4nOZbWeQk</v>
      </c>
      <c r="Z1058" s="16" t="str">
        <f>HYPERLINK($X1058&amp;SUBSTITUTE(マスタ!$C$3,"XXXXX",$W1058))</f>
        <v>https://www.youtube.com/live/xp0K3WVssKY?si=LZW-N2O4nOZbWeQk&amp;t=6427s</v>
      </c>
      <c r="AA1058" s="12" t="str">
        <f t="shared" si="51"/>
        <v>幽音しのFrom now on</v>
      </c>
    </row>
    <row r="1059" spans="1:27" x14ac:dyDescent="0.4">
      <c r="A1059" s="14">
        <f t="shared" si="52"/>
        <v>1058</v>
      </c>
      <c r="B1059" s="14">
        <v>137</v>
      </c>
      <c r="C1059" s="21" t="s">
        <v>1588</v>
      </c>
      <c r="D1059" s="14" t="s">
        <v>2297</v>
      </c>
      <c r="E1059" s="14" t="s">
        <v>716</v>
      </c>
      <c r="G1059" s="1" t="str">
        <f>_xlfn.XLOOKUP(B1059,M_YT_LIVE!A:A,M_YT_LIVE!F:F,"ERROR",0,1)</f>
        <v>弾き語り</v>
      </c>
      <c r="W1059" s="13">
        <f t="shared" si="50"/>
        <v>367</v>
      </c>
      <c r="X1059" s="12" t="str">
        <f>_xlfn.XLOOKUP($B1059,M_YT_LIVE!$A:$A,M_YT_LIVE!$D:$D)</f>
        <v>https://www.youtube.com/live/OColkUKqs90?si=u_QJLT5Paxmg4Fbl</v>
      </c>
      <c r="Z1059" s="16" t="str">
        <f>HYPERLINK($X1059&amp;SUBSTITUTE(マスタ!$C$3,"XXXXX",$W1059))</f>
        <v>https://www.youtube.com/live/OColkUKqs90?si=u_QJLT5Paxmg4Fbl&amp;t=367s</v>
      </c>
      <c r="AA1059" s="12" t="str">
        <f t="shared" si="51"/>
        <v>RADWIMPS正解</v>
      </c>
    </row>
    <row r="1060" spans="1:27" x14ac:dyDescent="0.4">
      <c r="A1060" s="14">
        <f t="shared" si="52"/>
        <v>1059</v>
      </c>
      <c r="B1060" s="14">
        <v>137</v>
      </c>
      <c r="C1060" s="21" t="s">
        <v>1149</v>
      </c>
      <c r="D1060" s="14" t="s">
        <v>2298</v>
      </c>
      <c r="E1060" s="14" t="s">
        <v>716</v>
      </c>
      <c r="G1060" s="1" t="str">
        <f>_xlfn.XLOOKUP(B1060,M_YT_LIVE!A:A,M_YT_LIVE!F:F,"ERROR",0,1)</f>
        <v>弾き語り</v>
      </c>
      <c r="W1060" s="13">
        <f t="shared" si="50"/>
        <v>1240</v>
      </c>
      <c r="X1060" s="12" t="str">
        <f>_xlfn.XLOOKUP($B1060,M_YT_LIVE!$A:$A,M_YT_LIVE!$D:$D)</f>
        <v>https://www.youtube.com/live/OColkUKqs90?si=u_QJLT5Paxmg4Fbl</v>
      </c>
      <c r="Z1060" s="16" t="str">
        <f>HYPERLINK($X1060&amp;SUBSTITUTE(マスタ!$C$3,"XXXXX",$W1060))</f>
        <v>https://www.youtube.com/live/OColkUKqs90?si=u_QJLT5Paxmg4Fbl&amp;t=1240s</v>
      </c>
      <c r="AA1060" s="12" t="str">
        <f t="shared" si="51"/>
        <v>RADWIMPSそっけない</v>
      </c>
    </row>
    <row r="1061" spans="1:27" x14ac:dyDescent="0.4">
      <c r="A1061" s="14">
        <f t="shared" si="52"/>
        <v>1060</v>
      </c>
      <c r="B1061" s="14">
        <v>137</v>
      </c>
      <c r="C1061" s="21" t="s">
        <v>2299</v>
      </c>
      <c r="D1061" s="14" t="s">
        <v>2300</v>
      </c>
      <c r="E1061" s="14" t="s">
        <v>716</v>
      </c>
      <c r="G1061" s="1" t="str">
        <f>_xlfn.XLOOKUP(B1061,M_YT_LIVE!A:A,M_YT_LIVE!F:F,"ERROR",0,1)</f>
        <v>弾き語り</v>
      </c>
      <c r="W1061" s="13">
        <f t="shared" si="50"/>
        <v>1972</v>
      </c>
      <c r="X1061" s="12" t="str">
        <f>_xlfn.XLOOKUP($B1061,M_YT_LIVE!$A:$A,M_YT_LIVE!$D:$D)</f>
        <v>https://www.youtube.com/live/OColkUKqs90?si=u_QJLT5Paxmg4Fbl</v>
      </c>
      <c r="Z1061" s="16" t="str">
        <f>HYPERLINK($X1061&amp;SUBSTITUTE(マスタ!$C$3,"XXXXX",$W1061))</f>
        <v>https://www.youtube.com/live/OColkUKqs90?si=u_QJLT5Paxmg4Fbl&amp;t=1972s</v>
      </c>
      <c r="AA1061" s="12" t="str">
        <f t="shared" si="51"/>
        <v>RADWIMPSおしゃかしゃま</v>
      </c>
    </row>
    <row r="1062" spans="1:27" x14ac:dyDescent="0.4">
      <c r="A1062" s="14">
        <f t="shared" si="52"/>
        <v>1061</v>
      </c>
      <c r="B1062" s="14">
        <v>137</v>
      </c>
      <c r="C1062" s="21" t="s">
        <v>2301</v>
      </c>
      <c r="D1062" s="14" t="s">
        <v>1454</v>
      </c>
      <c r="E1062" s="14" t="s">
        <v>716</v>
      </c>
      <c r="G1062" s="1" t="str">
        <f>_xlfn.XLOOKUP(B1062,M_YT_LIVE!A:A,M_YT_LIVE!F:F,"ERROR",0,1)</f>
        <v>弾き語り</v>
      </c>
      <c r="W1062" s="13">
        <f t="shared" si="50"/>
        <v>2870</v>
      </c>
      <c r="X1062" s="12" t="str">
        <f>_xlfn.XLOOKUP($B1062,M_YT_LIVE!$A:$A,M_YT_LIVE!$D:$D)</f>
        <v>https://www.youtube.com/live/OColkUKqs90?si=u_QJLT5Paxmg4Fbl</v>
      </c>
      <c r="Z1062" s="16" t="str">
        <f>HYPERLINK($X1062&amp;SUBSTITUTE(マスタ!$C$3,"XXXXX",$W1062))</f>
        <v>https://www.youtube.com/live/OColkUKqs90?si=u_QJLT5Paxmg4Fbl&amp;t=2870s</v>
      </c>
      <c r="AA1062" s="12" t="str">
        <f t="shared" si="51"/>
        <v>RADWIMPS夢灯篭</v>
      </c>
    </row>
    <row r="1063" spans="1:27" x14ac:dyDescent="0.4">
      <c r="A1063" s="14">
        <f t="shared" si="52"/>
        <v>1062</v>
      </c>
      <c r="B1063" s="14">
        <v>137</v>
      </c>
      <c r="C1063" s="21" t="s">
        <v>2302</v>
      </c>
      <c r="D1063" s="14" t="s">
        <v>1194</v>
      </c>
      <c r="E1063" s="14" t="s">
        <v>716</v>
      </c>
      <c r="G1063" s="1" t="str">
        <f>_xlfn.XLOOKUP(B1063,M_YT_LIVE!A:A,M_YT_LIVE!F:F,"ERROR",0,1)</f>
        <v>弾き語り</v>
      </c>
      <c r="W1063" s="13">
        <f t="shared" si="50"/>
        <v>3169</v>
      </c>
      <c r="X1063" s="12" t="str">
        <f>_xlfn.XLOOKUP($B1063,M_YT_LIVE!$A:$A,M_YT_LIVE!$D:$D)</f>
        <v>https://www.youtube.com/live/OColkUKqs90?si=u_QJLT5Paxmg4Fbl</v>
      </c>
      <c r="Z1063" s="16" t="str">
        <f>HYPERLINK($X1063&amp;SUBSTITUTE(マスタ!$C$3,"XXXXX",$W1063))</f>
        <v>https://www.youtube.com/live/OColkUKqs90?si=u_QJLT5Paxmg4Fbl&amp;t=3169s</v>
      </c>
      <c r="AA1063" s="12" t="str">
        <f t="shared" si="51"/>
        <v>RADWIMPS前前前世</v>
      </c>
    </row>
    <row r="1064" spans="1:27" x14ac:dyDescent="0.4">
      <c r="A1064" s="14">
        <f t="shared" si="52"/>
        <v>1063</v>
      </c>
      <c r="B1064" s="14">
        <v>137</v>
      </c>
      <c r="C1064" s="21" t="s">
        <v>2303</v>
      </c>
      <c r="D1064" s="14" t="s">
        <v>1557</v>
      </c>
      <c r="E1064" s="14" t="s">
        <v>716</v>
      </c>
      <c r="G1064" s="1" t="str">
        <f>_xlfn.XLOOKUP(B1064,M_YT_LIVE!A:A,M_YT_LIVE!F:F,"ERROR",0,1)</f>
        <v>弾き語り</v>
      </c>
      <c r="W1064" s="13">
        <f t="shared" si="50"/>
        <v>3648</v>
      </c>
      <c r="X1064" s="12" t="str">
        <f>_xlfn.XLOOKUP($B1064,M_YT_LIVE!$A:$A,M_YT_LIVE!$D:$D)</f>
        <v>https://www.youtube.com/live/OColkUKqs90?si=u_QJLT5Paxmg4Fbl</v>
      </c>
      <c r="Z1064" s="16" t="str">
        <f>HYPERLINK($X1064&amp;SUBSTITUTE(マスタ!$C$3,"XXXXX",$W1064))</f>
        <v>https://www.youtube.com/live/OColkUKqs90?si=u_QJLT5Paxmg4Fbl&amp;t=3648s</v>
      </c>
      <c r="AA1064" s="12" t="str">
        <f t="shared" si="51"/>
        <v>RADWIMPSスパークル</v>
      </c>
    </row>
    <row r="1065" spans="1:27" x14ac:dyDescent="0.4">
      <c r="A1065" s="14">
        <f t="shared" si="52"/>
        <v>1064</v>
      </c>
      <c r="B1065" s="14">
        <v>137</v>
      </c>
      <c r="C1065" s="21" t="s">
        <v>833</v>
      </c>
      <c r="D1065" s="14" t="s">
        <v>715</v>
      </c>
      <c r="E1065" s="14" t="s">
        <v>716</v>
      </c>
      <c r="G1065" s="1" t="str">
        <f>_xlfn.XLOOKUP(B1065,M_YT_LIVE!A:A,M_YT_LIVE!F:F,"ERROR",0,1)</f>
        <v>弾き語り</v>
      </c>
      <c r="W1065" s="13">
        <f t="shared" si="50"/>
        <v>4245</v>
      </c>
      <c r="X1065" s="12" t="str">
        <f>_xlfn.XLOOKUP($B1065,M_YT_LIVE!$A:$A,M_YT_LIVE!$D:$D)</f>
        <v>https://www.youtube.com/live/OColkUKqs90?si=u_QJLT5Paxmg4Fbl</v>
      </c>
      <c r="Z1065" s="16" t="str">
        <f>HYPERLINK($X1065&amp;SUBSTITUTE(マスタ!$C$3,"XXXXX",$W1065))</f>
        <v>https://www.youtube.com/live/OColkUKqs90?si=u_QJLT5Paxmg4Fbl&amp;t=4245s</v>
      </c>
      <c r="AA1065" s="12" t="str">
        <f t="shared" si="51"/>
        <v>RADWIMPSなんでもないや</v>
      </c>
    </row>
    <row r="1066" spans="1:27" x14ac:dyDescent="0.4">
      <c r="A1066" s="14">
        <f t="shared" si="52"/>
        <v>1065</v>
      </c>
      <c r="B1066" s="14">
        <v>140</v>
      </c>
      <c r="C1066" s="21" t="s">
        <v>2311</v>
      </c>
      <c r="D1066" s="14" t="s">
        <v>2312</v>
      </c>
      <c r="E1066" s="14" t="s">
        <v>2313</v>
      </c>
      <c r="G1066" s="1" t="str">
        <f>_xlfn.XLOOKUP(B1066,M_YT_LIVE!A:A,M_YT_LIVE!F:F,"ERROR",0,1)</f>
        <v>弾き語り</v>
      </c>
      <c r="W1066" s="13">
        <f t="shared" si="50"/>
        <v>299</v>
      </c>
      <c r="X1066" s="12" t="str">
        <f>_xlfn.XLOOKUP($B1066,M_YT_LIVE!$A:$A,M_YT_LIVE!$D:$D)</f>
        <v>https://www.youtube.com/live/MRm5RirWRTc?si=-La1GXnNoxw2IMQH</v>
      </c>
      <c r="Z1066" s="16" t="str">
        <f>HYPERLINK($X1066&amp;SUBSTITUTE(マスタ!$C$3,"XXXXX",$W1066))</f>
        <v>https://www.youtube.com/live/MRm5RirWRTc?si=-La1GXnNoxw2IMQH&amp;t=299s</v>
      </c>
      <c r="AA1066" s="12" t="str">
        <f t="shared" si="51"/>
        <v>神戸孝夫(日本)サンタが街にやってくる</v>
      </c>
    </row>
    <row r="1067" spans="1:27" x14ac:dyDescent="0.4">
      <c r="A1067" s="14">
        <f t="shared" si="52"/>
        <v>1066</v>
      </c>
      <c r="B1067" s="14">
        <v>140</v>
      </c>
      <c r="C1067" s="21" t="s">
        <v>405</v>
      </c>
      <c r="D1067" s="14" t="s">
        <v>2188</v>
      </c>
      <c r="E1067" s="14" t="s">
        <v>2189</v>
      </c>
      <c r="G1067" s="1" t="str">
        <f>_xlfn.XLOOKUP(B1067,M_YT_LIVE!A:A,M_YT_LIVE!F:F,"ERROR",0,1)</f>
        <v>弾き語り</v>
      </c>
      <c r="W1067" s="13">
        <f t="shared" si="50"/>
        <v>677.00000000000011</v>
      </c>
      <c r="X1067" s="12" t="str">
        <f>_xlfn.XLOOKUP($B1067,M_YT_LIVE!$A:$A,M_YT_LIVE!$D:$D)</f>
        <v>https://www.youtube.com/live/MRm5RirWRTc?si=-La1GXnNoxw2IMQH</v>
      </c>
      <c r="Z1067" s="16" t="str">
        <f>HYPERLINK($X1067&amp;SUBSTITUTE(マスタ!$C$3,"XXXXX",$W1067))</f>
        <v>https://www.youtube.com/live/MRm5RirWRTc?si=-La1GXnNoxw2IMQH&amp;t=677s</v>
      </c>
      <c r="AA1067" s="12" t="str">
        <f t="shared" si="51"/>
        <v>コレサワたばこ</v>
      </c>
    </row>
    <row r="1068" spans="1:27" x14ac:dyDescent="0.4">
      <c r="A1068" s="14">
        <f t="shared" si="52"/>
        <v>1067</v>
      </c>
      <c r="B1068" s="14">
        <v>140</v>
      </c>
      <c r="C1068" s="21" t="s">
        <v>2314</v>
      </c>
      <c r="D1068" s="14" t="s">
        <v>29</v>
      </c>
      <c r="E1068" s="14" t="s">
        <v>183</v>
      </c>
      <c r="G1068" s="1" t="str">
        <f>_xlfn.XLOOKUP(B1068,M_YT_LIVE!A:A,M_YT_LIVE!F:F,"ERROR",0,1)</f>
        <v>弾き語り</v>
      </c>
      <c r="W1068" s="13">
        <f t="shared" si="50"/>
        <v>1716</v>
      </c>
      <c r="X1068" s="12" t="str">
        <f>_xlfn.XLOOKUP($B1068,M_YT_LIVE!$A:$A,M_YT_LIVE!$D:$D)</f>
        <v>https://www.youtube.com/live/MRm5RirWRTc?si=-La1GXnNoxw2IMQH</v>
      </c>
      <c r="Z1068" s="16" t="str">
        <f>HYPERLINK($X1068&amp;SUBSTITUTE(マスタ!$C$3,"XXXXX",$W1068))</f>
        <v>https://www.youtube.com/live/MRm5RirWRTc?si=-La1GXnNoxw2IMQH&amp;t=1716s</v>
      </c>
      <c r="AA1068" s="12" t="str">
        <f t="shared" si="51"/>
        <v>クリープハイプ憂、燦々</v>
      </c>
    </row>
    <row r="1069" spans="1:27" x14ac:dyDescent="0.4">
      <c r="A1069" s="14">
        <f t="shared" si="52"/>
        <v>1068</v>
      </c>
      <c r="B1069" s="14">
        <v>140</v>
      </c>
      <c r="C1069" s="21" t="s">
        <v>2315</v>
      </c>
      <c r="D1069" s="14" t="s">
        <v>1672</v>
      </c>
      <c r="E1069" s="14" t="s">
        <v>790</v>
      </c>
      <c r="G1069" s="1" t="str">
        <f>_xlfn.XLOOKUP(B1069,M_YT_LIVE!A:A,M_YT_LIVE!F:F,"ERROR",0,1)</f>
        <v>弾き語り</v>
      </c>
      <c r="W1069" s="13">
        <f t="shared" si="50"/>
        <v>2201</v>
      </c>
      <c r="X1069" s="12" t="str">
        <f>_xlfn.XLOOKUP($B1069,M_YT_LIVE!$A:$A,M_YT_LIVE!$D:$D)</f>
        <v>https://www.youtube.com/live/MRm5RirWRTc?si=-La1GXnNoxw2IMQH</v>
      </c>
      <c r="Z1069" s="16" t="str">
        <f>HYPERLINK($X1069&amp;SUBSTITUTE(マスタ!$C$3,"XXXXX",$W1069))</f>
        <v>https://www.youtube.com/live/MRm5RirWRTc?si=-La1GXnNoxw2IMQH&amp;t=2201s</v>
      </c>
      <c r="AA1069" s="12" t="str">
        <f t="shared" si="51"/>
        <v>CHiCO with HoneyWorks世界は恋に落ちている</v>
      </c>
    </row>
    <row r="1070" spans="1:27" x14ac:dyDescent="0.4">
      <c r="A1070" s="14">
        <f t="shared" si="52"/>
        <v>1069</v>
      </c>
      <c r="B1070" s="14">
        <v>140</v>
      </c>
      <c r="C1070" s="21" t="s">
        <v>2316</v>
      </c>
      <c r="D1070" s="14" t="s">
        <v>2317</v>
      </c>
      <c r="E1070" s="14" t="s">
        <v>2318</v>
      </c>
      <c r="G1070" s="1" t="str">
        <f>_xlfn.XLOOKUP(B1070,M_YT_LIVE!A:A,M_YT_LIVE!F:F,"ERROR",0,1)</f>
        <v>弾き語り</v>
      </c>
      <c r="W1070" s="13">
        <f t="shared" si="50"/>
        <v>2722.0000000000005</v>
      </c>
      <c r="X1070" s="12" t="str">
        <f>_xlfn.XLOOKUP($B1070,M_YT_LIVE!$A:$A,M_YT_LIVE!$D:$D)</f>
        <v>https://www.youtube.com/live/MRm5RirWRTc?si=-La1GXnNoxw2IMQH</v>
      </c>
      <c r="Z1070" s="16" t="str">
        <f>HYPERLINK($X1070&amp;SUBSTITUTE(マスタ!$C$3,"XXXXX",$W1070))</f>
        <v>https://www.youtube.com/live/MRm5RirWRTc?si=-La1GXnNoxw2IMQH&amp;t=2722s</v>
      </c>
      <c r="AA1070" s="12" t="str">
        <f t="shared" si="51"/>
        <v>想太 feat.歌愛ユキいかないで</v>
      </c>
    </row>
    <row r="1071" spans="1:27" x14ac:dyDescent="0.4">
      <c r="A1071" s="14">
        <f t="shared" si="52"/>
        <v>1070</v>
      </c>
      <c r="B1071" s="14">
        <v>140</v>
      </c>
      <c r="C1071" s="21" t="s">
        <v>2319</v>
      </c>
      <c r="D1071" s="14" t="s">
        <v>2276</v>
      </c>
      <c r="E1071" s="14" t="s">
        <v>2277</v>
      </c>
      <c r="G1071" s="1" t="str">
        <f>_xlfn.XLOOKUP(B1071,M_YT_LIVE!A:A,M_YT_LIVE!F:F,"ERROR",0,1)</f>
        <v>弾き語り</v>
      </c>
      <c r="W1071" s="13">
        <f t="shared" si="50"/>
        <v>3093.0000000000005</v>
      </c>
      <c r="X1071" s="12" t="str">
        <f>_xlfn.XLOOKUP($B1071,M_YT_LIVE!$A:$A,M_YT_LIVE!$D:$D)</f>
        <v>https://www.youtube.com/live/MRm5RirWRTc?si=-La1GXnNoxw2IMQH</v>
      </c>
      <c r="Z1071" s="16" t="str">
        <f>HYPERLINK($X1071&amp;SUBSTITUTE(マスタ!$C$3,"XXXXX",$W1071))</f>
        <v>https://www.youtube.com/live/MRm5RirWRTc?si=-La1GXnNoxw2IMQH&amp;t=3093s</v>
      </c>
      <c r="AA1071" s="12" t="str">
        <f t="shared" si="51"/>
        <v>James Lord Pierpontジングルベル</v>
      </c>
    </row>
    <row r="1072" spans="1:27" x14ac:dyDescent="0.4">
      <c r="A1072" s="14">
        <f t="shared" si="52"/>
        <v>1071</v>
      </c>
      <c r="B1072" s="14">
        <v>140</v>
      </c>
      <c r="C1072" s="21" t="s">
        <v>2320</v>
      </c>
      <c r="D1072" s="14" t="s">
        <v>2321</v>
      </c>
      <c r="E1072" s="14" t="s">
        <v>2322</v>
      </c>
      <c r="G1072" s="1" t="str">
        <f>_xlfn.XLOOKUP(B1072,M_YT_LIVE!A:A,M_YT_LIVE!F:F,"ERROR",0,1)</f>
        <v>弾き語り</v>
      </c>
      <c r="W1072" s="13">
        <f t="shared" si="50"/>
        <v>3367.9999999999995</v>
      </c>
      <c r="X1072" s="12" t="str">
        <f>_xlfn.XLOOKUP($B1072,M_YT_LIVE!$A:$A,M_YT_LIVE!$D:$D)</f>
        <v>https://www.youtube.com/live/MRm5RirWRTc?si=-La1GXnNoxw2IMQH</v>
      </c>
      <c r="Z1072" s="16" t="str">
        <f>HYPERLINK($X1072&amp;SUBSTITUTE(マスタ!$C$3,"XXXXX",$W1072))</f>
        <v>https://www.youtube.com/live/MRm5RirWRTc?si=-La1GXnNoxw2IMQH&amp;t=3368s</v>
      </c>
      <c r="AA1072" s="12" t="str">
        <f t="shared" si="51"/>
        <v>瀧廉太郎お正月</v>
      </c>
    </row>
    <row r="1073" spans="1:27" x14ac:dyDescent="0.4">
      <c r="A1073" s="14">
        <f t="shared" si="52"/>
        <v>1072</v>
      </c>
      <c r="B1073" s="14">
        <v>140</v>
      </c>
      <c r="C1073" s="21" t="s">
        <v>2323</v>
      </c>
      <c r="D1073" s="14" t="s">
        <v>2324</v>
      </c>
      <c r="E1073" s="14" t="s">
        <v>2325</v>
      </c>
      <c r="G1073" s="1" t="str">
        <f>_xlfn.XLOOKUP(B1073,M_YT_LIVE!A:A,M_YT_LIVE!F:F,"ERROR",0,1)</f>
        <v>弾き語り</v>
      </c>
      <c r="W1073" s="13">
        <f t="shared" si="50"/>
        <v>3805</v>
      </c>
      <c r="X1073" s="12" t="str">
        <f>_xlfn.XLOOKUP($B1073,M_YT_LIVE!$A:$A,M_YT_LIVE!$D:$D)</f>
        <v>https://www.youtube.com/live/MRm5RirWRTc?si=-La1GXnNoxw2IMQH</v>
      </c>
      <c r="Z1073" s="16" t="str">
        <f>HYPERLINK($X1073&amp;SUBSTITUTE(マスタ!$C$3,"XXXXX",$W1073))</f>
        <v>https://www.youtube.com/live/MRm5RirWRTc?si=-La1GXnNoxw2IMQH&amp;t=3805s</v>
      </c>
      <c r="AA1073" s="12" t="str">
        <f t="shared" si="51"/>
        <v>Rudolph the Red-Nosed Reindeer赤鼻のトナカイ</v>
      </c>
    </row>
    <row r="1074" spans="1:27" x14ac:dyDescent="0.4">
      <c r="A1074" s="14">
        <f t="shared" si="52"/>
        <v>1073</v>
      </c>
      <c r="B1074" s="14">
        <v>140</v>
      </c>
      <c r="C1074" s="21" t="s">
        <v>2326</v>
      </c>
      <c r="D1074" s="14" t="s">
        <v>326</v>
      </c>
      <c r="E1074" s="14" t="s">
        <v>327</v>
      </c>
      <c r="G1074" s="1" t="str">
        <f>_xlfn.XLOOKUP(B1074,M_YT_LIVE!A:A,M_YT_LIVE!F:F,"ERROR",0,1)</f>
        <v>弾き語り</v>
      </c>
      <c r="W1074" s="13">
        <f t="shared" si="50"/>
        <v>4914</v>
      </c>
      <c r="X1074" s="12" t="str">
        <f>_xlfn.XLOOKUP($B1074,M_YT_LIVE!$A:$A,M_YT_LIVE!$D:$D)</f>
        <v>https://www.youtube.com/live/MRm5RirWRTc?si=-La1GXnNoxw2IMQH</v>
      </c>
      <c r="Z1074" s="16" t="str">
        <f>HYPERLINK($X1074&amp;SUBSTITUTE(マスタ!$C$3,"XXXXX",$W1074))</f>
        <v>https://www.youtube.com/live/MRm5RirWRTc?si=-La1GXnNoxw2IMQH&amp;t=4914s</v>
      </c>
      <c r="AA1074" s="12" t="str">
        <f t="shared" si="51"/>
        <v>レミオロメン粉雪</v>
      </c>
    </row>
    <row r="1075" spans="1:27" x14ac:dyDescent="0.4">
      <c r="A1075" s="14">
        <f t="shared" si="52"/>
        <v>1074</v>
      </c>
      <c r="B1075" s="14">
        <v>140</v>
      </c>
      <c r="C1075" s="21" t="s">
        <v>2327</v>
      </c>
      <c r="D1075" s="14" t="s">
        <v>2321</v>
      </c>
      <c r="E1075" s="14" t="s">
        <v>2322</v>
      </c>
      <c r="G1075" s="1" t="str">
        <f>_xlfn.XLOOKUP(B1075,M_YT_LIVE!A:A,M_YT_LIVE!F:F,"ERROR",0,1)</f>
        <v>弾き語り</v>
      </c>
      <c r="W1075" s="13">
        <f t="shared" si="50"/>
        <v>5411</v>
      </c>
      <c r="X1075" s="12" t="str">
        <f>_xlfn.XLOOKUP($B1075,M_YT_LIVE!$A:$A,M_YT_LIVE!$D:$D)</f>
        <v>https://www.youtube.com/live/MRm5RirWRTc?si=-La1GXnNoxw2IMQH</v>
      </c>
      <c r="Z1075" s="16" t="str">
        <f>HYPERLINK($X1075&amp;SUBSTITUTE(マスタ!$C$3,"XXXXX",$W1075))</f>
        <v>https://www.youtube.com/live/MRm5RirWRTc?si=-La1GXnNoxw2IMQH&amp;t=5411s</v>
      </c>
      <c r="AA1075" s="12" t="str">
        <f t="shared" si="51"/>
        <v>瀧廉太郎お正月</v>
      </c>
    </row>
    <row r="1076" spans="1:27" x14ac:dyDescent="0.4">
      <c r="A1076" s="14">
        <f t="shared" si="52"/>
        <v>1075</v>
      </c>
      <c r="B1076" s="14">
        <v>141</v>
      </c>
      <c r="C1076" s="21" t="s">
        <v>535</v>
      </c>
      <c r="D1076" s="14" t="s">
        <v>179</v>
      </c>
      <c r="E1076" s="14" t="s">
        <v>180</v>
      </c>
      <c r="G1076" s="1" t="str">
        <f>_xlfn.XLOOKUP(B1076,M_YT_LIVE!A:A,M_YT_LIVE!F:F,"ERROR",0,1)</f>
        <v>弾き語り</v>
      </c>
      <c r="W1076" s="13">
        <f t="shared" si="50"/>
        <v>272</v>
      </c>
      <c r="X1076" s="12" t="str">
        <f>_xlfn.XLOOKUP($B1076,M_YT_LIVE!$A:$A,M_YT_LIVE!$D:$D)</f>
        <v>https://www.youtube.com/live/oAyJDZdA6tE?si=2WnKccc2rn5H72au</v>
      </c>
      <c r="Z1076" s="16" t="str">
        <f>HYPERLINK($X1076&amp;SUBSTITUTE(マスタ!$C$3,"XXXXX",$W1076))</f>
        <v>https://www.youtube.com/live/oAyJDZdA6tE?si=2WnKccc2rn5H72au&amp;t=272s</v>
      </c>
      <c r="AA1076" s="12" t="str">
        <f t="shared" si="51"/>
        <v>40mP feat.初音ミクからくりピエロ</v>
      </c>
    </row>
    <row r="1077" spans="1:27" x14ac:dyDescent="0.4">
      <c r="A1077" s="14">
        <f t="shared" si="52"/>
        <v>1076</v>
      </c>
      <c r="B1077" s="14">
        <v>141</v>
      </c>
      <c r="C1077" s="21" t="s">
        <v>960</v>
      </c>
      <c r="D1077" s="14" t="s">
        <v>155</v>
      </c>
      <c r="E1077" s="14" t="s">
        <v>156</v>
      </c>
      <c r="G1077" s="1" t="str">
        <f>_xlfn.XLOOKUP(B1077,M_YT_LIVE!A:A,M_YT_LIVE!F:F,"ERROR",0,1)</f>
        <v>弾き語り</v>
      </c>
      <c r="W1077" s="13">
        <f t="shared" si="50"/>
        <v>758.99999999999989</v>
      </c>
      <c r="X1077" s="12" t="str">
        <f>_xlfn.XLOOKUP($B1077,M_YT_LIVE!$A:$A,M_YT_LIVE!$D:$D)</f>
        <v>https://www.youtube.com/live/oAyJDZdA6tE?si=2WnKccc2rn5H72au</v>
      </c>
      <c r="Z1077" s="16" t="str">
        <f>HYPERLINK($X1077&amp;SUBSTITUTE(マスタ!$C$3,"XXXXX",$W1077))</f>
        <v>https://www.youtube.com/live/oAyJDZdA6tE?si=2WnKccc2rn5H72au&amp;t=759s</v>
      </c>
      <c r="AA1077" s="12" t="str">
        <f t="shared" si="51"/>
        <v>DECO*27 feat.GUMI弱虫モンブラン</v>
      </c>
    </row>
    <row r="1078" spans="1:27" x14ac:dyDescent="0.4">
      <c r="A1078" s="14">
        <f t="shared" si="52"/>
        <v>1077</v>
      </c>
      <c r="B1078" s="14">
        <v>141</v>
      </c>
      <c r="C1078" s="21" t="s">
        <v>2330</v>
      </c>
      <c r="D1078" s="14" t="s">
        <v>109</v>
      </c>
      <c r="E1078" s="14" t="s">
        <v>44</v>
      </c>
      <c r="G1078" s="1" t="str">
        <f>_xlfn.XLOOKUP(B1078,M_YT_LIVE!A:A,M_YT_LIVE!F:F,"ERROR",0,1)</f>
        <v>弾き語り</v>
      </c>
      <c r="W1078" s="13">
        <f t="shared" si="50"/>
        <v>1165</v>
      </c>
      <c r="X1078" s="12" t="str">
        <f>_xlfn.XLOOKUP($B1078,M_YT_LIVE!$A:$A,M_YT_LIVE!$D:$D)</f>
        <v>https://www.youtube.com/live/oAyJDZdA6tE?si=2WnKccc2rn5H72au</v>
      </c>
      <c r="Z1078" s="16" t="str">
        <f>HYPERLINK($X1078&amp;SUBSTITUTE(マスタ!$C$3,"XXXXX",$W1078))</f>
        <v>https://www.youtube.com/live/oAyJDZdA6tE?si=2WnKccc2rn5H72au&amp;t=1165s</v>
      </c>
      <c r="AA1078" s="12" t="str">
        <f t="shared" si="51"/>
        <v>メル feat.初音ミク翡翠のまち</v>
      </c>
    </row>
    <row r="1079" spans="1:27" x14ac:dyDescent="0.4">
      <c r="A1079" s="14">
        <f t="shared" si="52"/>
        <v>1078</v>
      </c>
      <c r="B1079" s="14">
        <v>141</v>
      </c>
      <c r="C1079" s="21" t="s">
        <v>2331</v>
      </c>
      <c r="D1079" s="14" t="s">
        <v>906</v>
      </c>
      <c r="E1079" s="14" t="s">
        <v>150</v>
      </c>
      <c r="G1079" s="1" t="str">
        <f>_xlfn.XLOOKUP(B1079,M_YT_LIVE!A:A,M_YT_LIVE!F:F,"ERROR",0,1)</f>
        <v>弾き語り</v>
      </c>
      <c r="W1079" s="13">
        <f t="shared" si="50"/>
        <v>1493</v>
      </c>
      <c r="X1079" s="12" t="str">
        <f>_xlfn.XLOOKUP($B1079,M_YT_LIVE!$A:$A,M_YT_LIVE!$D:$D)</f>
        <v>https://www.youtube.com/live/oAyJDZdA6tE?si=2WnKccc2rn5H72au</v>
      </c>
      <c r="Z1079" s="16" t="str">
        <f>HYPERLINK($X1079&amp;SUBSTITUTE(マスタ!$C$3,"XXXXX",$W1079))</f>
        <v>https://www.youtube.com/live/oAyJDZdA6tE?si=2WnKccc2rn5H72au&amp;t=1493s</v>
      </c>
      <c r="AA1079" s="12" t="str">
        <f t="shared" si="51"/>
        <v>みきとP feat.初音ミク小夜子</v>
      </c>
    </row>
    <row r="1080" spans="1:27" x14ac:dyDescent="0.4">
      <c r="A1080" s="14">
        <f t="shared" si="52"/>
        <v>1079</v>
      </c>
      <c r="B1080" s="14">
        <v>141</v>
      </c>
      <c r="C1080" s="21" t="s">
        <v>2332</v>
      </c>
      <c r="D1080" s="14" t="s">
        <v>908</v>
      </c>
      <c r="E1080" s="14" t="s">
        <v>150</v>
      </c>
      <c r="G1080" s="1" t="str">
        <f>_xlfn.XLOOKUP(B1080,M_YT_LIVE!A:A,M_YT_LIVE!F:F,"ERROR",0,1)</f>
        <v>弾き語り</v>
      </c>
      <c r="W1080" s="13">
        <f t="shared" si="50"/>
        <v>1923</v>
      </c>
      <c r="X1080" s="12" t="str">
        <f>_xlfn.XLOOKUP($B1080,M_YT_LIVE!$A:$A,M_YT_LIVE!$D:$D)</f>
        <v>https://www.youtube.com/live/oAyJDZdA6tE?si=2WnKccc2rn5H72au</v>
      </c>
      <c r="Z1080" s="16" t="str">
        <f>HYPERLINK($X1080&amp;SUBSTITUTE(マスタ!$C$3,"XXXXX",$W1080))</f>
        <v>https://www.youtube.com/live/oAyJDZdA6tE?si=2WnKccc2rn5H72au&amp;t=1923s</v>
      </c>
      <c r="AA1080" s="12" t="str">
        <f t="shared" si="51"/>
        <v>みきとP feat.初音ミクサリシノハラ</v>
      </c>
    </row>
    <row r="1081" spans="1:27" x14ac:dyDescent="0.4">
      <c r="A1081" s="14">
        <f t="shared" si="52"/>
        <v>1080</v>
      </c>
      <c r="B1081" s="14">
        <v>141</v>
      </c>
      <c r="C1081" s="21" t="s">
        <v>2333</v>
      </c>
      <c r="D1081" s="14" t="s">
        <v>146</v>
      </c>
      <c r="E1081" s="14" t="s">
        <v>147</v>
      </c>
      <c r="G1081" s="1" t="str">
        <f>_xlfn.XLOOKUP(B1081,M_YT_LIVE!A:A,M_YT_LIVE!F:F,"ERROR",0,1)</f>
        <v>弾き語り</v>
      </c>
      <c r="W1081" s="13">
        <f t="shared" si="50"/>
        <v>2364</v>
      </c>
      <c r="X1081" s="12" t="str">
        <f>_xlfn.XLOOKUP($B1081,M_YT_LIVE!$A:$A,M_YT_LIVE!$D:$D)</f>
        <v>https://www.youtube.com/live/oAyJDZdA6tE?si=2WnKccc2rn5H72au</v>
      </c>
      <c r="Z1081" s="16" t="str">
        <f>HYPERLINK($X1081&amp;SUBSTITUTE(マスタ!$C$3,"XXXXX",$W1081))</f>
        <v>https://www.youtube.com/live/oAyJDZdA6tE?si=2WnKccc2rn5H72au&amp;t=2364s</v>
      </c>
      <c r="AA1081" s="12" t="str">
        <f t="shared" si="51"/>
        <v>ジミーサムP feat.初音ミク＆巡音ルカ(コーラス)from Y to Y</v>
      </c>
    </row>
    <row r="1082" spans="1:27" x14ac:dyDescent="0.4">
      <c r="A1082" s="14">
        <f t="shared" si="52"/>
        <v>1081</v>
      </c>
      <c r="B1082" s="14">
        <v>141</v>
      </c>
      <c r="C1082" s="21" t="s">
        <v>2334</v>
      </c>
      <c r="D1082" s="14" t="s">
        <v>2217</v>
      </c>
      <c r="E1082" s="14" t="s">
        <v>2218</v>
      </c>
      <c r="G1082" s="1" t="str">
        <f>_xlfn.XLOOKUP(B1082,M_YT_LIVE!A:A,M_YT_LIVE!F:F,"ERROR",0,1)</f>
        <v>弾き語り</v>
      </c>
      <c r="W1082" s="13">
        <f t="shared" si="50"/>
        <v>2819</v>
      </c>
      <c r="X1082" s="12" t="str">
        <f>_xlfn.XLOOKUP($B1082,M_YT_LIVE!$A:$A,M_YT_LIVE!$D:$D)</f>
        <v>https://www.youtube.com/live/oAyJDZdA6tE?si=2WnKccc2rn5H72au</v>
      </c>
      <c r="Z1082" s="16" t="str">
        <f>HYPERLINK($X1082&amp;SUBSTITUTE(マスタ!$C$3,"XXXXX",$W1082))</f>
        <v>https://www.youtube.com/live/oAyJDZdA6tE?si=2WnKccc2rn5H72au&amp;t=2819s</v>
      </c>
      <c r="AA1082" s="12" t="str">
        <f t="shared" si="51"/>
        <v>keeno feat.初音ミクglow</v>
      </c>
    </row>
    <row r="1083" spans="1:27" x14ac:dyDescent="0.4">
      <c r="A1083" s="14">
        <f t="shared" si="52"/>
        <v>1082</v>
      </c>
      <c r="B1083" s="14">
        <v>141</v>
      </c>
      <c r="C1083" s="21" t="s">
        <v>2335</v>
      </c>
      <c r="D1083" s="14" t="s">
        <v>266</v>
      </c>
      <c r="E1083" s="14" t="s">
        <v>2336</v>
      </c>
      <c r="G1083" s="1" t="str">
        <f>_xlfn.XLOOKUP(B1083,M_YT_LIVE!A:A,M_YT_LIVE!F:F,"ERROR",0,1)</f>
        <v>弾き語り</v>
      </c>
      <c r="W1083" s="13">
        <f t="shared" si="50"/>
        <v>3369.0000000000005</v>
      </c>
      <c r="X1083" s="12" t="str">
        <f>_xlfn.XLOOKUP($B1083,M_YT_LIVE!$A:$A,M_YT_LIVE!$D:$D)</f>
        <v>https://www.youtube.com/live/oAyJDZdA6tE?si=2WnKccc2rn5H72au</v>
      </c>
      <c r="Z1083" s="16" t="str">
        <f>HYPERLINK($X1083&amp;SUBSTITUTE(マスタ!$C$3,"XXXXX",$W1083))</f>
        <v>https://www.youtube.com/live/oAyJDZdA6tE?si=2WnKccc2rn5H72au&amp;t=3369s</v>
      </c>
      <c r="AA1083" s="12" t="str">
        <f t="shared" si="51"/>
        <v>バルーン(須田景凪)feat.flowerシャルル</v>
      </c>
    </row>
    <row r="1084" spans="1:27" x14ac:dyDescent="0.4">
      <c r="A1084" s="14">
        <f t="shared" si="52"/>
        <v>1083</v>
      </c>
      <c r="B1084" s="14">
        <v>141</v>
      </c>
      <c r="C1084" s="21" t="s">
        <v>2337</v>
      </c>
      <c r="D1084" s="14" t="s">
        <v>197</v>
      </c>
      <c r="E1084" s="14" t="s">
        <v>125</v>
      </c>
      <c r="G1084" s="1" t="str">
        <f>_xlfn.XLOOKUP(B1084,M_YT_LIVE!A:A,M_YT_LIVE!F:F,"ERROR",0,1)</f>
        <v>弾き語り</v>
      </c>
      <c r="W1084" s="13">
        <f t="shared" si="50"/>
        <v>3825</v>
      </c>
      <c r="X1084" s="12" t="str">
        <f>_xlfn.XLOOKUP($B1084,M_YT_LIVE!$A:$A,M_YT_LIVE!$D:$D)</f>
        <v>https://www.youtube.com/live/oAyJDZdA6tE?si=2WnKccc2rn5H72au</v>
      </c>
      <c r="Z1084" s="16" t="str">
        <f>HYPERLINK($X1084&amp;SUBSTITUTE(マスタ!$C$3,"XXXXX",$W1084))</f>
        <v>https://www.youtube.com/live/oAyJDZdA6tE?si=2WnKccc2rn5H72au&amp;t=3825s</v>
      </c>
      <c r="AA1084" s="12" t="str">
        <f t="shared" si="51"/>
        <v>Orangestar feat.IADAYBREAK FRONTLINE</v>
      </c>
    </row>
    <row r="1085" spans="1:27" x14ac:dyDescent="0.4">
      <c r="A1085" s="14">
        <f t="shared" si="52"/>
        <v>1084</v>
      </c>
      <c r="B1085" s="14">
        <v>141</v>
      </c>
      <c r="C1085" s="21" t="s">
        <v>2338</v>
      </c>
      <c r="D1085" s="14" t="s">
        <v>163</v>
      </c>
      <c r="E1085" s="14" t="s">
        <v>125</v>
      </c>
      <c r="G1085" s="1" t="str">
        <f>_xlfn.XLOOKUP(B1085,M_YT_LIVE!A:A,M_YT_LIVE!F:F,"ERROR",0,1)</f>
        <v>弾き語り</v>
      </c>
      <c r="W1085" s="13">
        <f t="shared" si="50"/>
        <v>4170</v>
      </c>
      <c r="X1085" s="12" t="str">
        <f>_xlfn.XLOOKUP($B1085,M_YT_LIVE!$A:$A,M_YT_LIVE!$D:$D)</f>
        <v>https://www.youtube.com/live/oAyJDZdA6tE?si=2WnKccc2rn5H72au</v>
      </c>
      <c r="Z1085" s="16" t="str">
        <f>HYPERLINK($X1085&amp;SUBSTITUTE(マスタ!$C$3,"XXXXX",$W1085))</f>
        <v>https://www.youtube.com/live/oAyJDZdA6tE?si=2WnKccc2rn5H72au&amp;t=4170s</v>
      </c>
      <c r="AA1085" s="12" t="str">
        <f t="shared" si="51"/>
        <v>Orangestar feat.IAAlice in 冷凍庫</v>
      </c>
    </row>
    <row r="1086" spans="1:27" x14ac:dyDescent="0.4">
      <c r="A1086" s="14">
        <f t="shared" si="52"/>
        <v>1085</v>
      </c>
      <c r="B1086" s="14">
        <v>141</v>
      </c>
      <c r="C1086" s="21" t="s">
        <v>2115</v>
      </c>
      <c r="D1086" s="14" t="s">
        <v>300</v>
      </c>
      <c r="E1086" s="14" t="s">
        <v>125</v>
      </c>
      <c r="G1086" s="1" t="str">
        <f>_xlfn.XLOOKUP(B1086,M_YT_LIVE!A:A,M_YT_LIVE!F:F,"ERROR",0,1)</f>
        <v>弾き語り</v>
      </c>
      <c r="W1086" s="13">
        <f t="shared" si="50"/>
        <v>4536</v>
      </c>
      <c r="X1086" s="12" t="str">
        <f>_xlfn.XLOOKUP($B1086,M_YT_LIVE!$A:$A,M_YT_LIVE!$D:$D)</f>
        <v>https://www.youtube.com/live/oAyJDZdA6tE?si=2WnKccc2rn5H72au</v>
      </c>
      <c r="Z1086" s="16" t="str">
        <f>HYPERLINK($X1086&amp;SUBSTITUTE(マスタ!$C$3,"XXXXX",$W1086))</f>
        <v>https://www.youtube.com/live/oAyJDZdA6tE?si=2WnKccc2rn5H72au&amp;t=4536s</v>
      </c>
      <c r="AA1086" s="12" t="str">
        <f t="shared" si="51"/>
        <v>Orangestar feat.IAHenceforth</v>
      </c>
    </row>
    <row r="1087" spans="1:27" x14ac:dyDescent="0.4">
      <c r="A1087" s="14">
        <f t="shared" si="52"/>
        <v>1086</v>
      </c>
      <c r="B1087" s="14">
        <v>141</v>
      </c>
      <c r="C1087" s="21" t="s">
        <v>2339</v>
      </c>
      <c r="D1087" s="14" t="s">
        <v>204</v>
      </c>
      <c r="E1087" s="14" t="s">
        <v>205</v>
      </c>
      <c r="G1087" s="1" t="str">
        <f>_xlfn.XLOOKUP(B1087,M_YT_LIVE!A:A,M_YT_LIVE!F:F,"ERROR",0,1)</f>
        <v>弾き語り</v>
      </c>
      <c r="W1087" s="13">
        <f t="shared" si="50"/>
        <v>4960</v>
      </c>
      <c r="X1087" s="12" t="str">
        <f>_xlfn.XLOOKUP($B1087,M_YT_LIVE!$A:$A,M_YT_LIVE!$D:$D)</f>
        <v>https://www.youtube.com/live/oAyJDZdA6tE?si=2WnKccc2rn5H72au</v>
      </c>
      <c r="Z1087" s="16" t="str">
        <f>HYPERLINK($X1087&amp;SUBSTITUTE(マスタ!$C$3,"XXXXX",$W1087))</f>
        <v>https://www.youtube.com/live/oAyJDZdA6tE?si=2WnKccc2rn5H72au&amp;t=4960s</v>
      </c>
      <c r="AA1087" s="12" t="str">
        <f t="shared" si="51"/>
        <v>164P feat.GUMI天ノ弱</v>
      </c>
    </row>
    <row r="1088" spans="1:27" x14ac:dyDescent="0.4">
      <c r="A1088" s="14">
        <f t="shared" si="52"/>
        <v>1087</v>
      </c>
      <c r="B1088" s="14">
        <v>141</v>
      </c>
      <c r="C1088" s="21" t="s">
        <v>2340</v>
      </c>
      <c r="D1088" s="14" t="s">
        <v>149</v>
      </c>
      <c r="E1088" s="14" t="s">
        <v>150</v>
      </c>
      <c r="G1088" s="1" t="str">
        <f>_xlfn.XLOOKUP(B1088,M_YT_LIVE!A:A,M_YT_LIVE!F:F,"ERROR",0,1)</f>
        <v>弾き語り</v>
      </c>
      <c r="W1088" s="13">
        <f t="shared" si="50"/>
        <v>5341</v>
      </c>
      <c r="X1088" s="12" t="str">
        <f>_xlfn.XLOOKUP($B1088,M_YT_LIVE!$A:$A,M_YT_LIVE!$D:$D)</f>
        <v>https://www.youtube.com/live/oAyJDZdA6tE?si=2WnKccc2rn5H72au</v>
      </c>
      <c r="Z1088" s="16" t="str">
        <f>HYPERLINK($X1088&amp;SUBSTITUTE(マスタ!$C$3,"XXXXX",$W1088))</f>
        <v>https://www.youtube.com/live/oAyJDZdA6tE?si=2WnKccc2rn5H72au&amp;t=5341s</v>
      </c>
      <c r="AA1088" s="12" t="str">
        <f t="shared" si="51"/>
        <v>みきとP feat.初音ミク少女レイ</v>
      </c>
    </row>
    <row r="1089" spans="1:27" x14ac:dyDescent="0.4">
      <c r="A1089" s="14">
        <f t="shared" si="52"/>
        <v>1088</v>
      </c>
      <c r="B1089" s="14">
        <v>141</v>
      </c>
      <c r="C1089" s="21" t="s">
        <v>2341</v>
      </c>
      <c r="D1089" s="14" t="s">
        <v>433</v>
      </c>
      <c r="E1089" s="14" t="s">
        <v>180</v>
      </c>
      <c r="G1089" s="1" t="str">
        <f>_xlfn.XLOOKUP(B1089,M_YT_LIVE!A:A,M_YT_LIVE!F:F,"ERROR",0,1)</f>
        <v>弾き語り</v>
      </c>
      <c r="W1089" s="13">
        <f t="shared" si="50"/>
        <v>5804</v>
      </c>
      <c r="X1089" s="12" t="str">
        <f>_xlfn.XLOOKUP($B1089,M_YT_LIVE!$A:$A,M_YT_LIVE!$D:$D)</f>
        <v>https://www.youtube.com/live/oAyJDZdA6tE?si=2WnKccc2rn5H72au</v>
      </c>
      <c r="Z1089" s="16" t="str">
        <f>HYPERLINK($X1089&amp;SUBSTITUTE(マスタ!$C$3,"XXXXX",$W1089))</f>
        <v>https://www.youtube.com/live/oAyJDZdA6tE?si=2WnKccc2rn5H72au&amp;t=5804s</v>
      </c>
      <c r="AA1089" s="12" t="str">
        <f t="shared" si="51"/>
        <v>40mP feat.初音ミク恋愛裁判</v>
      </c>
    </row>
    <row r="1090" spans="1:27" x14ac:dyDescent="0.4">
      <c r="A1090" s="14">
        <f t="shared" si="52"/>
        <v>1089</v>
      </c>
      <c r="B1090" s="14">
        <v>141</v>
      </c>
      <c r="C1090" s="21" t="s">
        <v>2342</v>
      </c>
      <c r="D1090" s="14" t="s">
        <v>1468</v>
      </c>
      <c r="E1090" s="14" t="s">
        <v>1469</v>
      </c>
      <c r="G1090" s="1" t="str">
        <f>_xlfn.XLOOKUP(B1090,M_YT_LIVE!A:A,M_YT_LIVE!F:F,"ERROR",0,1)</f>
        <v>弾き語り</v>
      </c>
      <c r="W1090" s="13">
        <f t="shared" si="50"/>
        <v>6179</v>
      </c>
      <c r="X1090" s="12" t="str">
        <f>_xlfn.XLOOKUP($B1090,M_YT_LIVE!$A:$A,M_YT_LIVE!$D:$D)</f>
        <v>https://www.youtube.com/live/oAyJDZdA6tE?si=2WnKccc2rn5H72au</v>
      </c>
      <c r="Z1090" s="16" t="str">
        <f>HYPERLINK($X1090&amp;SUBSTITUTE(マスタ!$C$3,"XXXXX",$W1090))</f>
        <v>https://www.youtube.com/live/oAyJDZdA6tE?si=2WnKccc2rn5H72au&amp;t=6179s</v>
      </c>
      <c r="AA1090" s="12" t="str">
        <f t="shared" si="51"/>
        <v>TOKOTOKO feat.GUMI夜もすがら君想ふ</v>
      </c>
    </row>
    <row r="1091" spans="1:27" x14ac:dyDescent="0.4">
      <c r="A1091" s="14">
        <f t="shared" si="52"/>
        <v>1090</v>
      </c>
      <c r="B1091" s="14">
        <v>141</v>
      </c>
      <c r="C1091" s="21" t="s">
        <v>2343</v>
      </c>
      <c r="D1091" s="14" t="s">
        <v>1445</v>
      </c>
      <c r="E1091" s="14" t="s">
        <v>1446</v>
      </c>
      <c r="G1091" s="1" t="str">
        <f>_xlfn.XLOOKUP(B1091,M_YT_LIVE!A:A,M_YT_LIVE!F:F,"ERROR",0,1)</f>
        <v>弾き語り</v>
      </c>
      <c r="W1091" s="13">
        <f t="shared" si="50"/>
        <v>6663</v>
      </c>
      <c r="X1091" s="12" t="str">
        <f>_xlfn.XLOOKUP($B1091,M_YT_LIVE!$A:$A,M_YT_LIVE!$D:$D)</f>
        <v>https://www.youtube.com/live/oAyJDZdA6tE?si=2WnKccc2rn5H72au</v>
      </c>
      <c r="Z1091" s="16" t="str">
        <f>HYPERLINK($X1091&amp;SUBSTITUTE(マスタ!$C$3,"XXXXX",$W1091))</f>
        <v>https://www.youtube.com/live/oAyJDZdA6tE?si=2WnKccc2rn5H72au&amp;t=6663s</v>
      </c>
      <c r="AA1091" s="12" t="str">
        <f t="shared" si="51"/>
        <v>蝶々P feat.GUMI心做し</v>
      </c>
    </row>
    <row r="1092" spans="1:27" x14ac:dyDescent="0.4">
      <c r="A1092" s="14">
        <f t="shared" si="52"/>
        <v>1091</v>
      </c>
      <c r="B1092" s="14">
        <v>141</v>
      </c>
      <c r="C1092" s="21" t="s">
        <v>2344</v>
      </c>
      <c r="D1092" s="14" t="s">
        <v>224</v>
      </c>
      <c r="E1092" s="14" t="s">
        <v>225</v>
      </c>
      <c r="G1092" s="1" t="str">
        <f>_xlfn.XLOOKUP(B1092,M_YT_LIVE!A:A,M_YT_LIVE!F:F,"ERROR",0,1)</f>
        <v>弾き語り</v>
      </c>
      <c r="W1092" s="13">
        <f t="shared" ref="W1092:W1155" si="53">TIMEVALUE($C1092)*86400</f>
        <v>7199</v>
      </c>
      <c r="X1092" s="12" t="str">
        <f>_xlfn.XLOOKUP($B1092,M_YT_LIVE!$A:$A,M_YT_LIVE!$D:$D)</f>
        <v>https://www.youtube.com/live/oAyJDZdA6tE?si=2WnKccc2rn5H72au</v>
      </c>
      <c r="Z1092" s="16" t="str">
        <f>HYPERLINK($X1092&amp;SUBSTITUTE(マスタ!$C$3,"XXXXX",$W1092))</f>
        <v>https://www.youtube.com/live/oAyJDZdA6tE?si=2WnKccc2rn5H72au&amp;t=7199s</v>
      </c>
      <c r="AA1092" s="12" t="str">
        <f t="shared" si="51"/>
        <v>ryo(supercell) feat.初音ミクメルト</v>
      </c>
    </row>
    <row r="1093" spans="1:27" x14ac:dyDescent="0.4">
      <c r="A1093" s="14">
        <f t="shared" si="52"/>
        <v>1092</v>
      </c>
      <c r="B1093" s="14">
        <v>142</v>
      </c>
      <c r="C1093" s="21" t="s">
        <v>2347</v>
      </c>
      <c r="D1093" s="14" t="s">
        <v>71</v>
      </c>
      <c r="E1093" s="14" t="s">
        <v>72</v>
      </c>
      <c r="G1093" s="1" t="str">
        <f>_xlfn.XLOOKUP(B1093,M_YT_LIVE!A:A,M_YT_LIVE!F:F,"ERROR",0,1)</f>
        <v>弾き語り</v>
      </c>
      <c r="W1093" s="13">
        <f t="shared" si="53"/>
        <v>328</v>
      </c>
      <c r="X1093" s="12" t="str">
        <f>_xlfn.XLOOKUP($B1093,M_YT_LIVE!$A:$A,M_YT_LIVE!$D:$D)</f>
        <v>https://www.youtube.com/live/-LFW7tNdmHY?si=GPUnndjVLQ00wOIS</v>
      </c>
      <c r="Z1093" s="16" t="str">
        <f>HYPERLINK($X1093&amp;SUBSTITUTE(マスタ!$C$3,"XXXXX",$W1093))</f>
        <v>https://www.youtube.com/live/-LFW7tNdmHY?si=GPUnndjVLQ00wOIS&amp;t=328s</v>
      </c>
      <c r="AA1093" s="12" t="str">
        <f t="shared" ref="AA1093:AA1156" si="54">TRIM(E1093)&amp;TRIM(D1093)</f>
        <v>優里ドライフラワー</v>
      </c>
    </row>
    <row r="1094" spans="1:27" x14ac:dyDescent="0.4">
      <c r="A1094" s="14">
        <f t="shared" ref="A1094:A1157" si="55">ROW()-1</f>
        <v>1093</v>
      </c>
      <c r="B1094" s="14">
        <v>142</v>
      </c>
      <c r="C1094" s="21" t="s">
        <v>2348</v>
      </c>
      <c r="D1094" s="14" t="s">
        <v>29</v>
      </c>
      <c r="E1094" s="14" t="s">
        <v>183</v>
      </c>
      <c r="G1094" s="1" t="str">
        <f>_xlfn.XLOOKUP(B1094,M_YT_LIVE!A:A,M_YT_LIVE!F:F,"ERROR",0,1)</f>
        <v>弾き語り</v>
      </c>
      <c r="W1094" s="13">
        <f t="shared" si="53"/>
        <v>858.99999999999989</v>
      </c>
      <c r="X1094" s="12" t="str">
        <f>_xlfn.XLOOKUP($B1094,M_YT_LIVE!$A:$A,M_YT_LIVE!$D:$D)</f>
        <v>https://www.youtube.com/live/-LFW7tNdmHY?si=GPUnndjVLQ00wOIS</v>
      </c>
      <c r="Z1094" s="16" t="str">
        <f>HYPERLINK($X1094&amp;SUBSTITUTE(マスタ!$C$3,"XXXXX",$W1094))</f>
        <v>https://www.youtube.com/live/-LFW7tNdmHY?si=GPUnndjVLQ00wOIS&amp;t=859s</v>
      </c>
      <c r="AA1094" s="12" t="str">
        <f t="shared" si="54"/>
        <v>クリープハイプ憂、燦々</v>
      </c>
    </row>
    <row r="1095" spans="1:27" x14ac:dyDescent="0.4">
      <c r="A1095" s="14">
        <f t="shared" si="55"/>
        <v>1094</v>
      </c>
      <c r="B1095" s="14">
        <v>142</v>
      </c>
      <c r="C1095" s="21" t="s">
        <v>2170</v>
      </c>
      <c r="D1095" s="14" t="s">
        <v>64</v>
      </c>
      <c r="E1095" s="14" t="s">
        <v>65</v>
      </c>
      <c r="G1095" s="1" t="str">
        <f>_xlfn.XLOOKUP(B1095,M_YT_LIVE!A:A,M_YT_LIVE!F:F,"ERROR",0,1)</f>
        <v>弾き語り</v>
      </c>
      <c r="W1095" s="13">
        <f t="shared" si="53"/>
        <v>1398</v>
      </c>
      <c r="X1095" s="12" t="str">
        <f>_xlfn.XLOOKUP($B1095,M_YT_LIVE!$A:$A,M_YT_LIVE!$D:$D)</f>
        <v>https://www.youtube.com/live/-LFW7tNdmHY?si=GPUnndjVLQ00wOIS</v>
      </c>
      <c r="Z1095" s="16" t="str">
        <f>HYPERLINK($X1095&amp;SUBSTITUTE(マスタ!$C$3,"XXXXX",$W1095))</f>
        <v>https://www.youtube.com/live/-LFW7tNdmHY?si=GPUnndjVLQ00wOIS&amp;t=1398s</v>
      </c>
      <c r="AA1095" s="12" t="str">
        <f t="shared" si="54"/>
        <v>R Sound Design feat.初音ミクflos</v>
      </c>
    </row>
    <row r="1096" spans="1:27" x14ac:dyDescent="0.4">
      <c r="A1096" s="14">
        <f t="shared" si="55"/>
        <v>1095</v>
      </c>
      <c r="B1096" s="14">
        <v>142</v>
      </c>
      <c r="C1096" s="21" t="s">
        <v>2349</v>
      </c>
      <c r="D1096" s="14" t="s">
        <v>202</v>
      </c>
      <c r="E1096" s="14" t="s">
        <v>141</v>
      </c>
      <c r="G1096" s="1" t="str">
        <f>_xlfn.XLOOKUP(B1096,M_YT_LIVE!A:A,M_YT_LIVE!F:F,"ERROR",0,1)</f>
        <v>弾き語り</v>
      </c>
      <c r="W1096" s="13">
        <f t="shared" si="53"/>
        <v>1838</v>
      </c>
      <c r="X1096" s="12" t="str">
        <f>_xlfn.XLOOKUP($B1096,M_YT_LIVE!$A:$A,M_YT_LIVE!$D:$D)</f>
        <v>https://www.youtube.com/live/-LFW7tNdmHY?si=GPUnndjVLQ00wOIS</v>
      </c>
      <c r="Z1096" s="16" t="str">
        <f>HYPERLINK($X1096&amp;SUBSTITUTE(マスタ!$C$3,"XXXXX",$W1096))</f>
        <v>https://www.youtube.com/live/-LFW7tNdmHY?si=GPUnndjVLQ00wOIS&amp;t=1838s</v>
      </c>
      <c r="AA1096" s="12" t="str">
        <f t="shared" si="54"/>
        <v>ヨルシカノーチラス</v>
      </c>
    </row>
    <row r="1097" spans="1:27" x14ac:dyDescent="0.4">
      <c r="A1097" s="14">
        <f t="shared" si="55"/>
        <v>1096</v>
      </c>
      <c r="B1097" s="14">
        <v>142</v>
      </c>
      <c r="C1097" s="21" t="s">
        <v>2350</v>
      </c>
      <c r="D1097" s="14" t="s">
        <v>19</v>
      </c>
      <c r="E1097" s="14" t="s">
        <v>20</v>
      </c>
      <c r="G1097" s="1" t="str">
        <f>_xlfn.XLOOKUP(B1097,M_YT_LIVE!A:A,M_YT_LIVE!F:F,"ERROR",0,1)</f>
        <v>弾き語り</v>
      </c>
      <c r="W1097" s="13">
        <f t="shared" si="53"/>
        <v>2224</v>
      </c>
      <c r="X1097" s="12" t="str">
        <f>_xlfn.XLOOKUP($B1097,M_YT_LIVE!$A:$A,M_YT_LIVE!$D:$D)</f>
        <v>https://www.youtube.com/live/-LFW7tNdmHY?si=GPUnndjVLQ00wOIS</v>
      </c>
      <c r="Z1097" s="16" t="str">
        <f>HYPERLINK($X1097&amp;SUBSTITUTE(マスタ!$C$3,"XXXXX",$W1097))</f>
        <v>https://www.youtube.com/live/-LFW7tNdmHY?si=GPUnndjVLQ00wOIS&amp;t=2224s</v>
      </c>
      <c r="AA1097" s="12" t="str">
        <f t="shared" si="54"/>
        <v>Vaundy怪獣の花唄</v>
      </c>
    </row>
    <row r="1098" spans="1:27" x14ac:dyDescent="0.4">
      <c r="A1098" s="14">
        <f t="shared" si="55"/>
        <v>1097</v>
      </c>
      <c r="B1098" s="14">
        <v>142</v>
      </c>
      <c r="C1098" s="21" t="s">
        <v>2351</v>
      </c>
      <c r="D1098" s="14" t="s">
        <v>143</v>
      </c>
      <c r="E1098" s="14" t="s">
        <v>144</v>
      </c>
      <c r="G1098" s="1" t="str">
        <f>_xlfn.XLOOKUP(B1098,M_YT_LIVE!A:A,M_YT_LIVE!F:F,"ERROR",0,1)</f>
        <v>弾き語り</v>
      </c>
      <c r="W1098" s="13">
        <f t="shared" si="53"/>
        <v>2649</v>
      </c>
      <c r="X1098" s="12" t="str">
        <f>_xlfn.XLOOKUP($B1098,M_YT_LIVE!$A:$A,M_YT_LIVE!$D:$D)</f>
        <v>https://www.youtube.com/live/-LFW7tNdmHY?si=GPUnndjVLQ00wOIS</v>
      </c>
      <c r="Z1098" s="16" t="str">
        <f>HYPERLINK($X1098&amp;SUBSTITUTE(マスタ!$C$3,"XXXXX",$W1098))</f>
        <v>https://www.youtube.com/live/-LFW7tNdmHY?si=GPUnndjVLQ00wOIS&amp;t=2649s</v>
      </c>
      <c r="AA1098" s="12" t="str">
        <f t="shared" si="54"/>
        <v>マカロニえんぴつブルーベリー・ナイツ</v>
      </c>
    </row>
    <row r="1099" spans="1:27" x14ac:dyDescent="0.4">
      <c r="A1099" s="14">
        <f t="shared" si="55"/>
        <v>1098</v>
      </c>
      <c r="B1099" s="14">
        <v>142</v>
      </c>
      <c r="C1099" s="21" t="s">
        <v>2352</v>
      </c>
      <c r="D1099" s="14" t="s">
        <v>56</v>
      </c>
      <c r="E1099" s="14" t="s">
        <v>57</v>
      </c>
      <c r="G1099" s="1" t="str">
        <f>_xlfn.XLOOKUP(B1099,M_YT_LIVE!A:A,M_YT_LIVE!F:F,"ERROR",0,1)</f>
        <v>弾き語り</v>
      </c>
      <c r="W1099" s="13">
        <f t="shared" si="53"/>
        <v>3136</v>
      </c>
      <c r="X1099" s="12" t="str">
        <f>_xlfn.XLOOKUP($B1099,M_YT_LIVE!$A:$A,M_YT_LIVE!$D:$D)</f>
        <v>https://www.youtube.com/live/-LFW7tNdmHY?si=GPUnndjVLQ00wOIS</v>
      </c>
      <c r="Z1099" s="16" t="str">
        <f>HYPERLINK($X1099&amp;SUBSTITUTE(マスタ!$C$3,"XXXXX",$W1099))</f>
        <v>https://www.youtube.com/live/-LFW7tNdmHY?si=GPUnndjVLQ00wOIS&amp;t=3136s</v>
      </c>
      <c r="AA1099" s="12" t="str">
        <f t="shared" si="54"/>
        <v>羊文学more than words</v>
      </c>
    </row>
    <row r="1100" spans="1:27" x14ac:dyDescent="0.4">
      <c r="A1100" s="14">
        <f t="shared" si="55"/>
        <v>1099</v>
      </c>
      <c r="B1100" s="14">
        <v>142</v>
      </c>
      <c r="C1100" s="21" t="s">
        <v>2353</v>
      </c>
      <c r="D1100" s="14" t="s">
        <v>185</v>
      </c>
      <c r="E1100" s="14" t="s">
        <v>186</v>
      </c>
      <c r="G1100" s="1" t="str">
        <f>_xlfn.XLOOKUP(B1100,M_YT_LIVE!A:A,M_YT_LIVE!F:F,"ERROR",0,1)</f>
        <v>弾き語り</v>
      </c>
      <c r="W1100" s="13">
        <f t="shared" si="53"/>
        <v>3715</v>
      </c>
      <c r="X1100" s="12" t="str">
        <f>_xlfn.XLOOKUP($B1100,M_YT_LIVE!$A:$A,M_YT_LIVE!$D:$D)</f>
        <v>https://www.youtube.com/live/-LFW7tNdmHY?si=GPUnndjVLQ00wOIS</v>
      </c>
      <c r="Z1100" s="16" t="str">
        <f>HYPERLINK($X1100&amp;SUBSTITUTE(マスタ!$C$3,"XXXXX",$W1100))</f>
        <v>https://www.youtube.com/live/-LFW7tNdmHY?si=GPUnndjVLQ00wOIS&amp;t=3715s</v>
      </c>
      <c r="AA1100" s="12" t="str">
        <f t="shared" si="54"/>
        <v>YUI for 雨音薫Good-bye days</v>
      </c>
    </row>
    <row r="1101" spans="1:27" x14ac:dyDescent="0.4">
      <c r="A1101" s="14">
        <f t="shared" si="55"/>
        <v>1100</v>
      </c>
      <c r="B1101" s="14">
        <v>142</v>
      </c>
      <c r="C1101" s="21" t="s">
        <v>2354</v>
      </c>
      <c r="D1101" s="14" t="s">
        <v>80</v>
      </c>
      <c r="E1101" s="14" t="s">
        <v>81</v>
      </c>
      <c r="G1101" s="1" t="str">
        <f>_xlfn.XLOOKUP(B1101,M_YT_LIVE!A:A,M_YT_LIVE!F:F,"ERROR",0,1)</f>
        <v>弾き語り</v>
      </c>
      <c r="W1101" s="13">
        <f t="shared" si="53"/>
        <v>4044.0000000000005</v>
      </c>
      <c r="X1101" s="12" t="str">
        <f>_xlfn.XLOOKUP($B1101,M_YT_LIVE!$A:$A,M_YT_LIVE!$D:$D)</f>
        <v>https://www.youtube.com/live/-LFW7tNdmHY?si=GPUnndjVLQ00wOIS</v>
      </c>
      <c r="Z1101" s="16" t="str">
        <f>HYPERLINK($X1101&amp;SUBSTITUTE(マスタ!$C$3,"XXXXX",$W1101))</f>
        <v>https://www.youtube.com/live/-LFW7tNdmHY?si=GPUnndjVLQ00wOIS&amp;t=4044s</v>
      </c>
      <c r="AA1101" s="12" t="str">
        <f t="shared" si="54"/>
        <v>じん(自然の敵P) feat.IA想像フォレスト</v>
      </c>
    </row>
    <row r="1102" spans="1:27" x14ac:dyDescent="0.4">
      <c r="A1102" s="14">
        <f t="shared" si="55"/>
        <v>1101</v>
      </c>
      <c r="B1102" s="14">
        <v>142</v>
      </c>
      <c r="C1102" s="21" t="s">
        <v>2355</v>
      </c>
      <c r="D1102" s="14" t="s">
        <v>370</v>
      </c>
      <c r="E1102" s="14" t="s">
        <v>208</v>
      </c>
      <c r="G1102" s="1" t="str">
        <f>_xlfn.XLOOKUP(B1102,M_YT_LIVE!A:A,M_YT_LIVE!F:F,"ERROR",0,1)</f>
        <v>弾き語り</v>
      </c>
      <c r="W1102" s="13">
        <f t="shared" si="53"/>
        <v>4653</v>
      </c>
      <c r="X1102" s="12" t="str">
        <f>_xlfn.XLOOKUP($B1102,M_YT_LIVE!$A:$A,M_YT_LIVE!$D:$D)</f>
        <v>https://www.youtube.com/live/-LFW7tNdmHY?si=GPUnndjVLQ00wOIS</v>
      </c>
      <c r="Z1102" s="16" t="str">
        <f>HYPERLINK($X1102&amp;SUBSTITUTE(マスタ!$C$3,"XXXXX",$W1102))</f>
        <v>https://www.youtube.com/live/-LFW7tNdmHY?si=GPUnndjVLQ00wOIS&amp;t=4653s</v>
      </c>
      <c r="AA1102" s="12" t="str">
        <f t="shared" si="54"/>
        <v>supercellMy Dearest</v>
      </c>
    </row>
    <row r="1103" spans="1:27" x14ac:dyDescent="0.4">
      <c r="A1103" s="14">
        <f t="shared" si="55"/>
        <v>1102</v>
      </c>
      <c r="B1103" s="14">
        <v>142</v>
      </c>
      <c r="C1103" s="21" t="s">
        <v>2356</v>
      </c>
      <c r="D1103" s="14" t="s">
        <v>1483</v>
      </c>
      <c r="E1103" s="14" t="s">
        <v>924</v>
      </c>
      <c r="G1103" s="1" t="str">
        <f>_xlfn.XLOOKUP(B1103,M_YT_LIVE!A:A,M_YT_LIVE!F:F,"ERROR",0,1)</f>
        <v>弾き語り</v>
      </c>
      <c r="W1103" s="13">
        <f t="shared" si="53"/>
        <v>5296</v>
      </c>
      <c r="X1103" s="12" t="str">
        <f>_xlfn.XLOOKUP($B1103,M_YT_LIVE!$A:$A,M_YT_LIVE!$D:$D)</f>
        <v>https://www.youtube.com/live/-LFW7tNdmHY?si=GPUnndjVLQ00wOIS</v>
      </c>
      <c r="Z1103" s="16" t="str">
        <f>HYPERLINK($X1103&amp;SUBSTITUTE(マスタ!$C$3,"XXXXX",$W1103))</f>
        <v>https://www.youtube.com/live/-LFW7tNdmHY?si=GPUnndjVLQ00wOIS&amp;t=5296s</v>
      </c>
      <c r="AA1103" s="12" t="str">
        <f t="shared" si="54"/>
        <v>幽音しのFrom now on</v>
      </c>
    </row>
    <row r="1104" spans="1:27" x14ac:dyDescent="0.4">
      <c r="A1104" s="14">
        <f t="shared" si="55"/>
        <v>1103</v>
      </c>
      <c r="B1104" s="14">
        <v>142</v>
      </c>
      <c r="C1104" s="21" t="s">
        <v>2342</v>
      </c>
      <c r="D1104" s="14" t="s">
        <v>2357</v>
      </c>
      <c r="E1104" s="14" t="s">
        <v>347</v>
      </c>
      <c r="G1104" s="1" t="str">
        <f>_xlfn.XLOOKUP(B1104,M_YT_LIVE!A:A,M_YT_LIVE!F:F,"ERROR",0,1)</f>
        <v>弾き語り</v>
      </c>
      <c r="W1104" s="13">
        <f t="shared" si="53"/>
        <v>6179</v>
      </c>
      <c r="X1104" s="12" t="str">
        <f>_xlfn.XLOOKUP($B1104,M_YT_LIVE!$A:$A,M_YT_LIVE!$D:$D)</f>
        <v>https://www.youtube.com/live/-LFW7tNdmHY?si=GPUnndjVLQ00wOIS</v>
      </c>
      <c r="Z1104" s="16" t="str">
        <f>HYPERLINK($X1104&amp;SUBSTITUTE(マスタ!$C$3,"XXXXX",$W1104))</f>
        <v>https://www.youtube.com/live/-LFW7tNdmHY?si=GPUnndjVLQ00wOIS&amp;t=6179s</v>
      </c>
      <c r="AA1104" s="12" t="str">
        <f t="shared" si="54"/>
        <v>幽音しの(即興)来年も一緒だよ！</v>
      </c>
    </row>
    <row r="1105" spans="1:27" x14ac:dyDescent="0.4">
      <c r="A1105" s="14">
        <f t="shared" si="55"/>
        <v>1104</v>
      </c>
      <c r="B1105" s="14">
        <v>144</v>
      </c>
      <c r="C1105" s="18" t="s">
        <v>2364</v>
      </c>
      <c r="D1105" s="14" t="s">
        <v>2368</v>
      </c>
      <c r="E1105" s="14" t="s">
        <v>1477</v>
      </c>
      <c r="G1105" s="30" t="s">
        <v>2365</v>
      </c>
      <c r="W1105" s="13">
        <f t="shared" si="53"/>
        <v>1598</v>
      </c>
      <c r="X1105" s="12" t="str">
        <f>_xlfn.XLOOKUP($B1105,M_YT_LIVE!$A:$A,M_YT_LIVE!$D:$D)</f>
        <v>https://www.youtube.com/live/CRuz_3IGzcI?si=4zCSejhZNR_9LYe8</v>
      </c>
      <c r="Z1105" s="16" t="str">
        <f>HYPERLINK($X1105&amp;SUBSTITUTE(マスタ!$C$3,"XXXXX",$W1105))</f>
        <v>https://www.youtube.com/live/CRuz_3IGzcI?si=4zCSejhZNR_9LYe8&amp;t=1598s</v>
      </c>
      <c r="AA1105" s="12" t="str">
        <f t="shared" si="54"/>
        <v>Mrs. GREEN APPLE feat.井上苑子点描の唄(1chorus)</v>
      </c>
    </row>
    <row r="1106" spans="1:27" x14ac:dyDescent="0.4">
      <c r="A1106" s="14">
        <f t="shared" si="55"/>
        <v>1105</v>
      </c>
      <c r="B1106" s="14">
        <v>144</v>
      </c>
      <c r="C1106" s="18" t="s">
        <v>2367</v>
      </c>
      <c r="D1106" s="14" t="s">
        <v>2369</v>
      </c>
      <c r="E1106" s="14" t="s">
        <v>573</v>
      </c>
      <c r="G1106" s="30" t="s">
        <v>2366</v>
      </c>
      <c r="W1106" s="13">
        <f t="shared" si="53"/>
        <v>1675</v>
      </c>
      <c r="X1106" s="12" t="str">
        <f>_xlfn.XLOOKUP($B1106,M_YT_LIVE!$A:$A,M_YT_LIVE!$D:$D)</f>
        <v>https://www.youtube.com/live/CRuz_3IGzcI?si=4zCSejhZNR_9LYe8</v>
      </c>
      <c r="Z1106" s="16" t="str">
        <f>HYPERLINK($X1106&amp;SUBSTITUTE(マスタ!$C$3,"XXXXX",$W1106))</f>
        <v>https://www.youtube.com/live/CRuz_3IGzcI?si=4zCSejhZNR_9LYe8&amp;t=1675s</v>
      </c>
      <c r="AA1106" s="12" t="str">
        <f t="shared" si="54"/>
        <v>なきそ feat.歌愛ユキド屑(1chorus)</v>
      </c>
    </row>
    <row r="1107" spans="1:27" x14ac:dyDescent="0.4">
      <c r="A1107" s="14">
        <f t="shared" si="55"/>
        <v>1106</v>
      </c>
      <c r="B1107" s="14">
        <v>145</v>
      </c>
      <c r="C1107" s="21" t="s">
        <v>2371</v>
      </c>
      <c r="D1107" s="14" t="s">
        <v>2370</v>
      </c>
      <c r="E1107" s="14" t="s">
        <v>2372</v>
      </c>
      <c r="G1107" s="1" t="str">
        <f>_xlfn.XLOOKUP(B1107,M_YT_LIVE!A:A,M_YT_LIVE!F:F,"ERROR",0,1)</f>
        <v>他</v>
      </c>
      <c r="W1107" s="13">
        <f t="shared" si="53"/>
        <v>2018</v>
      </c>
      <c r="X1107" s="12" t="str">
        <f>_xlfn.XLOOKUP($B1107,M_YT_LIVE!$A:$A,M_YT_LIVE!$D:$D)</f>
        <v>https://www.youtube.com/live/IJunTLDD7I0?si=lhLUIzdM_Rtfr1c2</v>
      </c>
      <c r="Z1107" s="16" t="str">
        <f>HYPERLINK($X1107&amp;SUBSTITUTE(マスタ!$C$3,"XXXXX",$W1107))</f>
        <v>https://www.youtube.com/live/IJunTLDD7I0?si=lhLUIzdM_Rtfr1c2&amp;t=2018s</v>
      </c>
      <c r="AA1107" s="12" t="str">
        <f t="shared" si="54"/>
        <v>ダンディさん(幽音しの(即興))レッツダンディ</v>
      </c>
    </row>
    <row r="1108" spans="1:27" x14ac:dyDescent="0.4">
      <c r="A1108" s="14">
        <f t="shared" si="55"/>
        <v>1107</v>
      </c>
      <c r="B1108" s="14">
        <v>147</v>
      </c>
      <c r="C1108" s="21" t="s">
        <v>1868</v>
      </c>
      <c r="D1108" s="14" t="s">
        <v>443</v>
      </c>
      <c r="E1108" s="14" t="s">
        <v>441</v>
      </c>
      <c r="G1108" s="1" t="str">
        <f>_xlfn.XLOOKUP(B1108,M_YT_LIVE!A:A,M_YT_LIVE!F:F,"ERROR",0,1)</f>
        <v>弾き語り</v>
      </c>
      <c r="W1108" s="13">
        <f t="shared" si="53"/>
        <v>320</v>
      </c>
      <c r="X1108" s="12" t="str">
        <f>_xlfn.XLOOKUP($B1108,M_YT_LIVE!$A:$A,M_YT_LIVE!$D:$D)</f>
        <v>https://www.youtube.com/live/ivps1kBiaZY?si=JYr8YoP36SUYaFiy</v>
      </c>
      <c r="Z1108" s="16" t="str">
        <f>HYPERLINK($X1108&amp;SUBSTITUTE(マスタ!$C$3,"XXXXX",$W1108))</f>
        <v>https://www.youtube.com/live/ivps1kBiaZY?si=JYr8YoP36SUYaFiy&amp;t=320s</v>
      </c>
      <c r="AA1108" s="12" t="str">
        <f t="shared" si="54"/>
        <v>梅とら feat. 巡音ルカ&amp;初音ミク&amp;GUMI&amp;IA&amp;鏡音リン威風堂々</v>
      </c>
    </row>
    <row r="1109" spans="1:27" x14ac:dyDescent="0.4">
      <c r="A1109" s="14">
        <f t="shared" si="55"/>
        <v>1108</v>
      </c>
      <c r="B1109" s="14">
        <v>147</v>
      </c>
      <c r="C1109" s="21" t="s">
        <v>2377</v>
      </c>
      <c r="D1109" s="14" t="s">
        <v>2378</v>
      </c>
      <c r="E1109" s="14" t="s">
        <v>2379</v>
      </c>
      <c r="G1109" s="1" t="str">
        <f>_xlfn.XLOOKUP(B1109,M_YT_LIVE!A:A,M_YT_LIVE!F:F,"ERROR",0,1)</f>
        <v>弾き語り</v>
      </c>
      <c r="W1109" s="13">
        <f t="shared" si="53"/>
        <v>640</v>
      </c>
      <c r="X1109" s="12" t="str">
        <f>_xlfn.XLOOKUP($B1109,M_YT_LIVE!$A:$A,M_YT_LIVE!$D:$D)</f>
        <v>https://www.youtube.com/live/ivps1kBiaZY?si=JYr8YoP36SUYaFiy</v>
      </c>
      <c r="Z1109" s="16" t="str">
        <f>HYPERLINK($X1109&amp;SUBSTITUTE(マスタ!$C$3,"XXXXX",$W1109))</f>
        <v>https://www.youtube.com/live/ivps1kBiaZY?si=JYr8YoP36SUYaFiy&amp;t=640s</v>
      </c>
      <c r="AA1109" s="12" t="str">
        <f t="shared" si="54"/>
        <v>れるりり&amp;もじゃ feat .鏡音リン聖槍爆裂ボーイ</v>
      </c>
    </row>
    <row r="1110" spans="1:27" x14ac:dyDescent="0.4">
      <c r="A1110" s="14">
        <f t="shared" si="55"/>
        <v>1109</v>
      </c>
      <c r="B1110" s="14">
        <v>147</v>
      </c>
      <c r="C1110" s="21" t="s">
        <v>2380</v>
      </c>
      <c r="D1110" s="14" t="s">
        <v>1747</v>
      </c>
      <c r="E1110" s="14" t="s">
        <v>1748</v>
      </c>
      <c r="G1110" s="1" t="str">
        <f>_xlfn.XLOOKUP(B1110,M_YT_LIVE!A:A,M_YT_LIVE!F:F,"ERROR",0,1)</f>
        <v>弾き語り</v>
      </c>
      <c r="W1110" s="13">
        <f t="shared" si="53"/>
        <v>989</v>
      </c>
      <c r="X1110" s="12" t="str">
        <f>_xlfn.XLOOKUP($B1110,M_YT_LIVE!$A:$A,M_YT_LIVE!$D:$D)</f>
        <v>https://www.youtube.com/live/ivps1kBiaZY?si=JYr8YoP36SUYaFiy</v>
      </c>
      <c r="Z1110" s="16" t="str">
        <f>HYPERLINK($X1110&amp;SUBSTITUTE(マスタ!$C$3,"XXXXX",$W1110))</f>
        <v>https://www.youtube.com/live/ivps1kBiaZY?si=JYr8YoP36SUYaFiy&amp;t=989s</v>
      </c>
      <c r="AA1110" s="12" t="str">
        <f t="shared" si="54"/>
        <v>れるりり feat.GUMIヤミタイガール</v>
      </c>
    </row>
    <row r="1111" spans="1:27" x14ac:dyDescent="0.4">
      <c r="A1111" s="14">
        <f t="shared" si="55"/>
        <v>1110</v>
      </c>
      <c r="B1111" s="14">
        <v>147</v>
      </c>
      <c r="C1111" s="21" t="s">
        <v>2381</v>
      </c>
      <c r="D1111" s="14" t="s">
        <v>2382</v>
      </c>
      <c r="E1111" s="14" t="s">
        <v>2383</v>
      </c>
      <c r="G1111" s="1" t="str">
        <f>_xlfn.XLOOKUP(B1111,M_YT_LIVE!A:A,M_YT_LIVE!F:F,"ERROR",0,1)</f>
        <v>弾き語り</v>
      </c>
      <c r="W1111" s="13">
        <f t="shared" si="53"/>
        <v>1369</v>
      </c>
      <c r="X1111" s="12" t="str">
        <f>_xlfn.XLOOKUP($B1111,M_YT_LIVE!$A:$A,M_YT_LIVE!$D:$D)</f>
        <v>https://www.youtube.com/live/ivps1kBiaZY?si=JYr8YoP36SUYaFiy</v>
      </c>
      <c r="Z1111" s="16" t="str">
        <f>HYPERLINK($X1111&amp;SUBSTITUTE(マスタ!$C$3,"XXXXX",$W1111))</f>
        <v>https://www.youtube.com/live/ivps1kBiaZY?si=JYr8YoP36SUYaFiy&amp;t=1369s</v>
      </c>
      <c r="AA1111" s="12" t="str">
        <f t="shared" si="54"/>
        <v>ギガ&amp;q*Left feat.GUMIMasked bitcH</v>
      </c>
    </row>
    <row r="1112" spans="1:27" x14ac:dyDescent="0.4">
      <c r="A1112" s="14">
        <f t="shared" si="55"/>
        <v>1111</v>
      </c>
      <c r="B1112" s="14">
        <v>147</v>
      </c>
      <c r="C1112" s="21" t="s">
        <v>2384</v>
      </c>
      <c r="D1112" s="14" t="s">
        <v>1750</v>
      </c>
      <c r="E1112" s="14" t="s">
        <v>1751</v>
      </c>
      <c r="G1112" s="1" t="str">
        <f>_xlfn.XLOOKUP(B1112,M_YT_LIVE!A:A,M_YT_LIVE!F:F,"ERROR",0,1)</f>
        <v>弾き語り</v>
      </c>
      <c r="W1112" s="13">
        <f t="shared" si="53"/>
        <v>1700</v>
      </c>
      <c r="X1112" s="12" t="str">
        <f>_xlfn.XLOOKUP($B1112,M_YT_LIVE!$A:$A,M_YT_LIVE!$D:$D)</f>
        <v>https://www.youtube.com/live/ivps1kBiaZY?si=JYr8YoP36SUYaFiy</v>
      </c>
      <c r="Z1112" s="16" t="str">
        <f>HYPERLINK($X1112&amp;SUBSTITUTE(マスタ!$C$3,"XXXXX",$W1112))</f>
        <v>https://www.youtube.com/live/ivps1kBiaZY?si=JYr8YoP36SUYaFiy&amp;t=1700s</v>
      </c>
      <c r="AA1112" s="12" t="str">
        <f t="shared" si="54"/>
        <v>蝶々P feat.初音ミクえ？あぁ、そう。</v>
      </c>
    </row>
    <row r="1113" spans="1:27" x14ac:dyDescent="0.4">
      <c r="A1113" s="14">
        <f t="shared" si="55"/>
        <v>1112</v>
      </c>
      <c r="B1113" s="14">
        <v>147</v>
      </c>
      <c r="C1113" s="21" t="s">
        <v>2385</v>
      </c>
      <c r="D1113" s="14" t="s">
        <v>2386</v>
      </c>
      <c r="E1113" s="14" t="s">
        <v>2387</v>
      </c>
      <c r="G1113" s="1" t="str">
        <f>_xlfn.XLOOKUP(B1113,M_YT_LIVE!A:A,M_YT_LIVE!F:F,"ERROR",0,1)</f>
        <v>弾き語り</v>
      </c>
      <c r="W1113" s="13">
        <f t="shared" si="53"/>
        <v>2089</v>
      </c>
      <c r="X1113" s="12" t="str">
        <f>_xlfn.XLOOKUP($B1113,M_YT_LIVE!$A:$A,M_YT_LIVE!$D:$D)</f>
        <v>https://www.youtube.com/live/ivps1kBiaZY?si=JYr8YoP36SUYaFiy</v>
      </c>
      <c r="Z1113" s="16" t="str">
        <f>HYPERLINK($X1113&amp;SUBSTITUTE(マスタ!$C$3,"XXXXX",$W1113))</f>
        <v>https://www.youtube.com/live/ivps1kBiaZY?si=JYr8YoP36SUYaFiy&amp;t=2089s</v>
      </c>
      <c r="AA1113" s="12" t="str">
        <f t="shared" si="54"/>
        <v>みきとP feat.GUMIバレリーコ</v>
      </c>
    </row>
    <row r="1114" spans="1:27" x14ac:dyDescent="0.4">
      <c r="A1114" s="14">
        <f t="shared" si="55"/>
        <v>1113</v>
      </c>
      <c r="B1114" s="14">
        <v>147</v>
      </c>
      <c r="C1114" s="21" t="s">
        <v>2388</v>
      </c>
      <c r="D1114" s="14" t="s">
        <v>512</v>
      </c>
      <c r="E1114" s="14" t="s">
        <v>528</v>
      </c>
      <c r="G1114" s="1" t="str">
        <f>_xlfn.XLOOKUP(B1114,M_YT_LIVE!A:A,M_YT_LIVE!F:F,"ERROR",0,1)</f>
        <v>弾き語り</v>
      </c>
      <c r="W1114" s="13">
        <f t="shared" si="53"/>
        <v>2480</v>
      </c>
      <c r="X1114" s="12" t="str">
        <f>_xlfn.XLOOKUP($B1114,M_YT_LIVE!$A:$A,M_YT_LIVE!$D:$D)</f>
        <v>https://www.youtube.com/live/ivps1kBiaZY?si=JYr8YoP36SUYaFiy</v>
      </c>
      <c r="Z1114" s="16" t="str">
        <f>HYPERLINK($X1114&amp;SUBSTITUTE(マスタ!$C$3,"XXXXX",$W1114))</f>
        <v>https://www.youtube.com/live/ivps1kBiaZY?si=JYr8YoP36SUYaFiy&amp;t=2480s</v>
      </c>
      <c r="AA1114" s="12" t="str">
        <f t="shared" si="54"/>
        <v>みきとP feat.MAYU夕立のりぼん</v>
      </c>
    </row>
    <row r="1115" spans="1:27" x14ac:dyDescent="0.4">
      <c r="A1115" s="14">
        <f t="shared" si="55"/>
        <v>1114</v>
      </c>
      <c r="B1115" s="14">
        <v>147</v>
      </c>
      <c r="C1115" s="21" t="s">
        <v>2389</v>
      </c>
      <c r="D1115" s="14" t="s">
        <v>440</v>
      </c>
      <c r="E1115" s="14" t="s">
        <v>441</v>
      </c>
      <c r="G1115" s="1" t="str">
        <f>_xlfn.XLOOKUP(B1115,M_YT_LIVE!A:A,M_YT_LIVE!F:F,"ERROR",0,1)</f>
        <v>弾き語り</v>
      </c>
      <c r="W1115" s="13">
        <f t="shared" si="53"/>
        <v>2985</v>
      </c>
      <c r="X1115" s="12" t="str">
        <f>_xlfn.XLOOKUP($B1115,M_YT_LIVE!$A:$A,M_YT_LIVE!$D:$D)</f>
        <v>https://www.youtube.com/live/ivps1kBiaZY?si=JYr8YoP36SUYaFiy</v>
      </c>
      <c r="Z1115" s="16" t="str">
        <f>HYPERLINK($X1115&amp;SUBSTITUTE(マスタ!$C$3,"XXXXX",$W1115))</f>
        <v>https://www.youtube.com/live/ivps1kBiaZY?si=JYr8YoP36SUYaFiy&amp;t=2985s</v>
      </c>
      <c r="AA1115" s="12" t="str">
        <f t="shared" si="54"/>
        <v>梅とら feat. 巡音ルカ&amp;初音ミク&amp;GUMI&amp;IA&amp;鏡音リン虎視眈々</v>
      </c>
    </row>
    <row r="1116" spans="1:27" x14ac:dyDescent="0.4">
      <c r="A1116" s="14">
        <f t="shared" si="55"/>
        <v>1115</v>
      </c>
      <c r="B1116" s="14">
        <v>147</v>
      </c>
      <c r="C1116" s="21" t="s">
        <v>2390</v>
      </c>
      <c r="D1116" s="14" t="s">
        <v>2391</v>
      </c>
      <c r="E1116" s="14" t="s">
        <v>112</v>
      </c>
      <c r="G1116" s="1" t="str">
        <f>_xlfn.XLOOKUP(B1116,M_YT_LIVE!A:A,M_YT_LIVE!F:F,"ERROR",0,1)</f>
        <v>弾き語り</v>
      </c>
      <c r="W1116" s="13">
        <f t="shared" si="53"/>
        <v>3722</v>
      </c>
      <c r="X1116" s="12" t="str">
        <f>_xlfn.XLOOKUP($B1116,M_YT_LIVE!$A:$A,M_YT_LIVE!$D:$D)</f>
        <v>https://www.youtube.com/live/ivps1kBiaZY?si=JYr8YoP36SUYaFiy</v>
      </c>
      <c r="Z1116" s="16" t="str">
        <f>HYPERLINK($X1116&amp;SUBSTITUTE(マスタ!$C$3,"XXXXX",$W1116))</f>
        <v>https://www.youtube.com/live/ivps1kBiaZY?si=JYr8YoP36SUYaFiy&amp;t=3722s</v>
      </c>
      <c r="AA1116" s="12" t="str">
        <f t="shared" si="54"/>
        <v>DECO*27 feat.初音ミクモニタリング</v>
      </c>
    </row>
    <row r="1117" spans="1:27" x14ac:dyDescent="0.4">
      <c r="A1117" s="14">
        <f t="shared" si="55"/>
        <v>1116</v>
      </c>
      <c r="B1117" s="14">
        <v>147</v>
      </c>
      <c r="C1117" s="21" t="s">
        <v>2392</v>
      </c>
      <c r="D1117" s="14" t="s">
        <v>572</v>
      </c>
      <c r="E1117" s="14" t="s">
        <v>573</v>
      </c>
      <c r="G1117" s="1" t="str">
        <f>_xlfn.XLOOKUP(B1117,M_YT_LIVE!A:A,M_YT_LIVE!F:F,"ERROR",0,1)</f>
        <v>弾き語り</v>
      </c>
      <c r="W1117" s="13">
        <f t="shared" si="53"/>
        <v>4172</v>
      </c>
      <c r="X1117" s="12" t="str">
        <f>_xlfn.XLOOKUP($B1117,M_YT_LIVE!$A:$A,M_YT_LIVE!$D:$D)</f>
        <v>https://www.youtube.com/live/ivps1kBiaZY?si=JYr8YoP36SUYaFiy</v>
      </c>
      <c r="Z1117" s="16" t="str">
        <f>HYPERLINK($X1117&amp;SUBSTITUTE(マスタ!$C$3,"XXXXX",$W1117))</f>
        <v>https://www.youtube.com/live/ivps1kBiaZY?si=JYr8YoP36SUYaFiy&amp;t=4172s</v>
      </c>
      <c r="AA1117" s="12" t="str">
        <f t="shared" si="54"/>
        <v>なきそ feat.歌愛ユキド屑</v>
      </c>
    </row>
    <row r="1118" spans="1:27" x14ac:dyDescent="0.4">
      <c r="A1118" s="14">
        <f t="shared" si="55"/>
        <v>1117</v>
      </c>
      <c r="B1118" s="14">
        <v>147</v>
      </c>
      <c r="C1118" s="21" t="s">
        <v>2393</v>
      </c>
      <c r="D1118" s="14" t="s">
        <v>1579</v>
      </c>
      <c r="E1118" s="14" t="s">
        <v>1580</v>
      </c>
      <c r="G1118" s="1" t="str">
        <f>_xlfn.XLOOKUP(B1118,M_YT_LIVE!A:A,M_YT_LIVE!F:F,"ERROR",0,1)</f>
        <v>弾き語り</v>
      </c>
      <c r="W1118" s="13">
        <f t="shared" si="53"/>
        <v>4479</v>
      </c>
      <c r="X1118" s="12" t="str">
        <f>_xlfn.XLOOKUP($B1118,M_YT_LIVE!$A:$A,M_YT_LIVE!$D:$D)</f>
        <v>https://www.youtube.com/live/ivps1kBiaZY?si=JYr8YoP36SUYaFiy</v>
      </c>
      <c r="Z1118" s="16" t="str">
        <f>HYPERLINK($X1118&amp;SUBSTITUTE(マスタ!$C$3,"XXXXX",$W1118))</f>
        <v>https://www.youtube.com/live/ivps1kBiaZY?si=JYr8YoP36SUYaFiy&amp;t=4479s</v>
      </c>
      <c r="AA1118" s="12" t="str">
        <f t="shared" si="54"/>
        <v>25時、ナイトコードで。×KAITO化けの花</v>
      </c>
    </row>
    <row r="1119" spans="1:27" x14ac:dyDescent="0.4">
      <c r="A1119" s="14">
        <f t="shared" si="55"/>
        <v>1118</v>
      </c>
      <c r="B1119" s="14">
        <v>147</v>
      </c>
      <c r="C1119" s="21" t="s">
        <v>2394</v>
      </c>
      <c r="D1119" s="14" t="s">
        <v>1768</v>
      </c>
      <c r="E1119" s="14" t="s">
        <v>1769</v>
      </c>
      <c r="G1119" s="1" t="str">
        <f>_xlfn.XLOOKUP(B1119,M_YT_LIVE!A:A,M_YT_LIVE!F:F,"ERROR",0,1)</f>
        <v>弾き語り</v>
      </c>
      <c r="W1119" s="13">
        <f t="shared" si="53"/>
        <v>4900</v>
      </c>
      <c r="X1119" s="12" t="str">
        <f>_xlfn.XLOOKUP($B1119,M_YT_LIVE!$A:$A,M_YT_LIVE!$D:$D)</f>
        <v>https://www.youtube.com/live/ivps1kBiaZY?si=JYr8YoP36SUYaFiy</v>
      </c>
      <c r="Z1119" s="16" t="str">
        <f>HYPERLINK($X1119&amp;SUBSTITUTE(マスタ!$C$3,"XXXXX",$W1119))</f>
        <v>https://www.youtube.com/live/ivps1kBiaZY?si=JYr8YoP36SUYaFiy&amp;t=4900s</v>
      </c>
      <c r="AA1119" s="12" t="str">
        <f t="shared" si="54"/>
        <v>いよわ feat.可不きゅうくらりん</v>
      </c>
    </row>
    <row r="1120" spans="1:27" x14ac:dyDescent="0.4">
      <c r="A1120" s="14">
        <f t="shared" si="55"/>
        <v>1119</v>
      </c>
      <c r="B1120" s="14">
        <v>147</v>
      </c>
      <c r="C1120" s="21" t="s">
        <v>2395</v>
      </c>
      <c r="D1120" s="14" t="s">
        <v>2396</v>
      </c>
      <c r="E1120" s="14" t="s">
        <v>112</v>
      </c>
      <c r="G1120" s="1" t="str">
        <f>_xlfn.XLOOKUP(B1120,M_YT_LIVE!A:A,M_YT_LIVE!F:F,"ERROR",0,1)</f>
        <v>弾き語り</v>
      </c>
      <c r="W1120" s="13">
        <f t="shared" si="53"/>
        <v>5656</v>
      </c>
      <c r="X1120" s="12" t="str">
        <f>_xlfn.XLOOKUP($B1120,M_YT_LIVE!$A:$A,M_YT_LIVE!$D:$D)</f>
        <v>https://www.youtube.com/live/ivps1kBiaZY?si=JYr8YoP36SUYaFiy</v>
      </c>
      <c r="Z1120" s="16" t="str">
        <f>HYPERLINK($X1120&amp;SUBSTITUTE(マスタ!$C$3,"XXXXX",$W1120))</f>
        <v>https://www.youtube.com/live/ivps1kBiaZY?si=JYr8YoP36SUYaFiy&amp;t=5656s</v>
      </c>
      <c r="AA1120" s="12" t="str">
        <f t="shared" si="54"/>
        <v>DECO*27 feat.初音ミク乙女解剖</v>
      </c>
    </row>
    <row r="1121" spans="1:27" x14ac:dyDescent="0.4">
      <c r="A1121" s="14">
        <f t="shared" si="55"/>
        <v>1120</v>
      </c>
      <c r="B1121" s="14">
        <v>148</v>
      </c>
      <c r="C1121" s="21" t="s">
        <v>2399</v>
      </c>
      <c r="D1121" s="14" t="s">
        <v>363</v>
      </c>
      <c r="E1121" s="14" t="s">
        <v>298</v>
      </c>
      <c r="G1121" s="1" t="str">
        <f>_xlfn.XLOOKUP(B1121,M_YT_LIVE!A:A,M_YT_LIVE!F:F,"ERROR",0,1)</f>
        <v>弾き語り</v>
      </c>
      <c r="W1121" s="13">
        <f t="shared" si="53"/>
        <v>260</v>
      </c>
      <c r="X1121" s="12" t="str">
        <f>_xlfn.XLOOKUP($B1121,M_YT_LIVE!$A:$A,M_YT_LIVE!$D:$D)</f>
        <v>https://www.youtube.com/live/eoOU4nEz4Yk?si=whVwZgpMk4twa4IR</v>
      </c>
      <c r="Z1121" s="16" t="str">
        <f>HYPERLINK($X1121&amp;SUBSTITUTE(マスタ!$C$3,"XXXXX",$W1121))</f>
        <v>https://www.youtube.com/live/eoOU4nEz4Yk?si=whVwZgpMk4twa4IR&amp;t=260s</v>
      </c>
      <c r="AA1121" s="12" t="str">
        <f t="shared" si="54"/>
        <v>あいみょんハルノヒ</v>
      </c>
    </row>
    <row r="1122" spans="1:27" x14ac:dyDescent="0.4">
      <c r="A1122" s="14">
        <f t="shared" si="55"/>
        <v>1121</v>
      </c>
      <c r="B1122" s="14">
        <v>148</v>
      </c>
      <c r="C1122" s="21" t="s">
        <v>2400</v>
      </c>
      <c r="D1122" s="14" t="s">
        <v>2260</v>
      </c>
      <c r="E1122" s="14" t="s">
        <v>547</v>
      </c>
      <c r="G1122" s="1" t="str">
        <f>_xlfn.XLOOKUP(B1122,M_YT_LIVE!A:A,M_YT_LIVE!F:F,"ERROR",0,1)</f>
        <v>弾き語り</v>
      </c>
      <c r="W1122" s="13">
        <f t="shared" si="53"/>
        <v>820.99999999999989</v>
      </c>
      <c r="X1122" s="12" t="str">
        <f>_xlfn.XLOOKUP($B1122,M_YT_LIVE!$A:$A,M_YT_LIVE!$D:$D)</f>
        <v>https://www.youtube.com/live/eoOU4nEz4Yk?si=whVwZgpMk4twa4IR</v>
      </c>
      <c r="Z1122" s="16" t="str">
        <f>HYPERLINK($X1122&amp;SUBSTITUTE(マスタ!$C$3,"XXXXX",$W1122))</f>
        <v>https://www.youtube.com/live/eoOU4nEz4Yk?si=whVwZgpMk4twa4IR&amp;t=821s</v>
      </c>
      <c r="AA1122" s="12" t="str">
        <f t="shared" si="54"/>
        <v>米津玄師vivi</v>
      </c>
    </row>
    <row r="1123" spans="1:27" x14ac:dyDescent="0.4">
      <c r="A1123" s="14">
        <f t="shared" si="55"/>
        <v>1122</v>
      </c>
      <c r="B1123" s="14">
        <v>148</v>
      </c>
      <c r="C1123" s="21" t="s">
        <v>962</v>
      </c>
      <c r="D1123" s="14" t="s">
        <v>968</v>
      </c>
      <c r="E1123" s="14" t="s">
        <v>547</v>
      </c>
      <c r="G1123" s="1" t="str">
        <f>_xlfn.XLOOKUP(B1123,M_YT_LIVE!A:A,M_YT_LIVE!F:F,"ERROR",0,1)</f>
        <v>弾き語り</v>
      </c>
      <c r="W1123" s="13">
        <f t="shared" si="53"/>
        <v>1275</v>
      </c>
      <c r="X1123" s="12" t="str">
        <f>_xlfn.XLOOKUP($B1123,M_YT_LIVE!$A:$A,M_YT_LIVE!$D:$D)</f>
        <v>https://www.youtube.com/live/eoOU4nEz4Yk?si=whVwZgpMk4twa4IR</v>
      </c>
      <c r="Z1123" s="16" t="str">
        <f>HYPERLINK($X1123&amp;SUBSTITUTE(マスタ!$C$3,"XXXXX",$W1123))</f>
        <v>https://www.youtube.com/live/eoOU4nEz4Yk?si=whVwZgpMk4twa4IR&amp;t=1275s</v>
      </c>
      <c r="AA1123" s="12" t="str">
        <f t="shared" si="54"/>
        <v>米津玄師Lemon</v>
      </c>
    </row>
    <row r="1124" spans="1:27" x14ac:dyDescent="0.4">
      <c r="A1124" s="14">
        <f t="shared" si="55"/>
        <v>1123</v>
      </c>
      <c r="B1124" s="14">
        <v>148</v>
      </c>
      <c r="C1124" s="21" t="s">
        <v>2401</v>
      </c>
      <c r="D1124" s="14" t="s">
        <v>1476</v>
      </c>
      <c r="E1124" s="14" t="s">
        <v>1477</v>
      </c>
      <c r="G1124" s="1" t="str">
        <f>_xlfn.XLOOKUP(B1124,M_YT_LIVE!A:A,M_YT_LIVE!F:F,"ERROR",0,1)</f>
        <v>弾き語り</v>
      </c>
      <c r="W1124" s="13">
        <f t="shared" si="53"/>
        <v>1733.0000000000002</v>
      </c>
      <c r="X1124" s="12" t="str">
        <f>_xlfn.XLOOKUP($B1124,M_YT_LIVE!$A:$A,M_YT_LIVE!$D:$D)</f>
        <v>https://www.youtube.com/live/eoOU4nEz4Yk?si=whVwZgpMk4twa4IR</v>
      </c>
      <c r="Z1124" s="16" t="str">
        <f>HYPERLINK($X1124&amp;SUBSTITUTE(マスタ!$C$3,"XXXXX",$W1124))</f>
        <v>https://www.youtube.com/live/eoOU4nEz4Yk?si=whVwZgpMk4twa4IR&amp;t=1733s</v>
      </c>
      <c r="AA1124" s="12" t="str">
        <f t="shared" si="54"/>
        <v>Mrs. GREEN APPLE feat.井上苑子点描の唄</v>
      </c>
    </row>
    <row r="1125" spans="1:27" x14ac:dyDescent="0.4">
      <c r="A1125" s="14">
        <f t="shared" si="55"/>
        <v>1124</v>
      </c>
      <c r="B1125" s="14">
        <v>148</v>
      </c>
      <c r="C1125" s="21" t="s">
        <v>2280</v>
      </c>
      <c r="D1125" s="14" t="s">
        <v>1912</v>
      </c>
      <c r="E1125" s="14" t="s">
        <v>141</v>
      </c>
      <c r="G1125" s="1" t="str">
        <f>_xlfn.XLOOKUP(B1125,M_YT_LIVE!A:A,M_YT_LIVE!F:F,"ERROR",0,1)</f>
        <v>弾き語り</v>
      </c>
      <c r="W1125" s="13">
        <f t="shared" si="53"/>
        <v>2211</v>
      </c>
      <c r="X1125" s="12" t="str">
        <f>_xlfn.XLOOKUP($B1125,M_YT_LIVE!$A:$A,M_YT_LIVE!$D:$D)</f>
        <v>https://www.youtube.com/live/eoOU4nEz4Yk?si=whVwZgpMk4twa4IR</v>
      </c>
      <c r="Z1125" s="16" t="str">
        <f>HYPERLINK($X1125&amp;SUBSTITUTE(マスタ!$C$3,"XXXXX",$W1125))</f>
        <v>https://www.youtube.com/live/eoOU4nEz4Yk?si=whVwZgpMk4twa4IR&amp;t=2211s</v>
      </c>
      <c r="AA1125" s="12" t="str">
        <f t="shared" si="54"/>
        <v>ヨルシカ忘れてください</v>
      </c>
    </row>
    <row r="1126" spans="1:27" x14ac:dyDescent="0.4">
      <c r="A1126" s="14">
        <f t="shared" si="55"/>
        <v>1125</v>
      </c>
      <c r="B1126" s="14">
        <v>148</v>
      </c>
      <c r="C1126" s="21" t="s">
        <v>2402</v>
      </c>
      <c r="D1126" s="14" t="s">
        <v>1656</v>
      </c>
      <c r="E1126" s="14" t="s">
        <v>72</v>
      </c>
      <c r="G1126" s="1" t="str">
        <f>_xlfn.XLOOKUP(B1126,M_YT_LIVE!A:A,M_YT_LIVE!F:F,"ERROR",0,1)</f>
        <v>弾き語り</v>
      </c>
      <c r="W1126" s="13">
        <f t="shared" si="53"/>
        <v>2609</v>
      </c>
      <c r="X1126" s="12" t="str">
        <f>_xlfn.XLOOKUP($B1126,M_YT_LIVE!$A:$A,M_YT_LIVE!$D:$D)</f>
        <v>https://www.youtube.com/live/eoOU4nEz4Yk?si=whVwZgpMk4twa4IR</v>
      </c>
      <c r="Z1126" s="16" t="str">
        <f>HYPERLINK($X1126&amp;SUBSTITUTE(マスタ!$C$3,"XXXXX",$W1126))</f>
        <v>https://www.youtube.com/live/eoOU4nEz4Yk?si=whVwZgpMk4twa4IR&amp;t=2609s</v>
      </c>
      <c r="AA1126" s="12" t="str">
        <f t="shared" si="54"/>
        <v>優里ベテルギウス</v>
      </c>
    </row>
    <row r="1127" spans="1:27" x14ac:dyDescent="0.4">
      <c r="A1127" s="14">
        <f t="shared" si="55"/>
        <v>1126</v>
      </c>
      <c r="B1127" s="14">
        <v>148</v>
      </c>
      <c r="C1127" s="21" t="s">
        <v>2403</v>
      </c>
      <c r="D1127" s="14" t="s">
        <v>2188</v>
      </c>
      <c r="E1127" s="14" t="s">
        <v>2189</v>
      </c>
      <c r="G1127" s="1" t="str">
        <f>_xlfn.XLOOKUP(B1127,M_YT_LIVE!A:A,M_YT_LIVE!F:F,"ERROR",0,1)</f>
        <v>弾き語り</v>
      </c>
      <c r="W1127" s="13">
        <f t="shared" si="53"/>
        <v>3008</v>
      </c>
      <c r="X1127" s="12" t="str">
        <f>_xlfn.XLOOKUP($B1127,M_YT_LIVE!$A:$A,M_YT_LIVE!$D:$D)</f>
        <v>https://www.youtube.com/live/eoOU4nEz4Yk?si=whVwZgpMk4twa4IR</v>
      </c>
      <c r="Z1127" s="16" t="str">
        <f>HYPERLINK($X1127&amp;SUBSTITUTE(マスタ!$C$3,"XXXXX",$W1127))</f>
        <v>https://www.youtube.com/live/eoOU4nEz4Yk?si=whVwZgpMk4twa4IR&amp;t=3008s</v>
      </c>
      <c r="AA1127" s="12" t="str">
        <f t="shared" si="54"/>
        <v>コレサワたばこ</v>
      </c>
    </row>
    <row r="1128" spans="1:27" x14ac:dyDescent="0.4">
      <c r="A1128" s="14">
        <f t="shared" si="55"/>
        <v>1127</v>
      </c>
      <c r="B1128" s="14">
        <v>148</v>
      </c>
      <c r="C1128" s="21" t="s">
        <v>151</v>
      </c>
      <c r="D1128" s="14" t="s">
        <v>851</v>
      </c>
      <c r="E1128" s="14" t="s">
        <v>847</v>
      </c>
      <c r="G1128" s="1" t="str">
        <f>_xlfn.XLOOKUP(B1128,M_YT_LIVE!A:A,M_YT_LIVE!F:F,"ERROR",0,1)</f>
        <v>弾き語り</v>
      </c>
      <c r="W1128" s="13">
        <f t="shared" si="53"/>
        <v>3425</v>
      </c>
      <c r="X1128" s="12" t="str">
        <f>_xlfn.XLOOKUP($B1128,M_YT_LIVE!$A:$A,M_YT_LIVE!$D:$D)</f>
        <v>https://www.youtube.com/live/eoOU4nEz4Yk?si=whVwZgpMk4twa4IR</v>
      </c>
      <c r="Z1128" s="16" t="str">
        <f>HYPERLINK($X1128&amp;SUBSTITUTE(マスタ!$C$3,"XXXXX",$W1128))</f>
        <v>https://www.youtube.com/live/eoOU4nEz4Yk?si=whVwZgpMk4twa4IR&amp;t=3425s</v>
      </c>
      <c r="AA1128" s="12" t="str">
        <f t="shared" si="54"/>
        <v>スキマスイッチ奏</v>
      </c>
    </row>
    <row r="1129" spans="1:27" x14ac:dyDescent="0.4">
      <c r="A1129" s="14">
        <f t="shared" si="55"/>
        <v>1128</v>
      </c>
      <c r="B1129" s="14">
        <v>148</v>
      </c>
      <c r="C1129" s="21" t="s">
        <v>1157</v>
      </c>
      <c r="D1129" s="14" t="s">
        <v>35</v>
      </c>
      <c r="E1129" s="14" t="s">
        <v>20</v>
      </c>
      <c r="G1129" s="1" t="str">
        <f>_xlfn.XLOOKUP(B1129,M_YT_LIVE!A:A,M_YT_LIVE!F:F,"ERROR",0,1)</f>
        <v>弾き語り</v>
      </c>
      <c r="W1129" s="13">
        <f t="shared" si="53"/>
        <v>3930</v>
      </c>
      <c r="X1129" s="12" t="str">
        <f>_xlfn.XLOOKUP($B1129,M_YT_LIVE!$A:$A,M_YT_LIVE!$D:$D)</f>
        <v>https://www.youtube.com/live/eoOU4nEz4Yk?si=whVwZgpMk4twa4IR</v>
      </c>
      <c r="Z1129" s="16" t="str">
        <f>HYPERLINK($X1129&amp;SUBSTITUTE(マスタ!$C$3,"XXXXX",$W1129))</f>
        <v>https://www.youtube.com/live/eoOU4nEz4Yk?si=whVwZgpMk4twa4IR&amp;t=3930s</v>
      </c>
      <c r="AA1129" s="12" t="str">
        <f t="shared" si="54"/>
        <v>Vaundy踊り子</v>
      </c>
    </row>
    <row r="1130" spans="1:27" x14ac:dyDescent="0.4">
      <c r="A1130" s="14">
        <f t="shared" si="55"/>
        <v>1129</v>
      </c>
      <c r="B1130" s="14">
        <v>149</v>
      </c>
      <c r="C1130" s="21" t="s">
        <v>2409</v>
      </c>
      <c r="D1130" s="14" t="s">
        <v>675</v>
      </c>
      <c r="E1130" s="14" t="s">
        <v>2406</v>
      </c>
      <c r="G1130" s="1" t="str">
        <f>_xlfn.XLOOKUP(B1130,M_YT_LIVE!A:A,M_YT_LIVE!F:F,"ERROR",0,1)</f>
        <v>他</v>
      </c>
      <c r="W1130" s="13">
        <f t="shared" si="53"/>
        <v>53</v>
      </c>
      <c r="X1130" s="12" t="str">
        <f>_xlfn.XLOOKUP($B1130,M_YT_LIVE!$A:$A,M_YT_LIVE!$D:$D)</f>
        <v>https://www.youtube.com/live/TQC6YXjwtgA?si=BdfZ9GrSmS7Xrso8</v>
      </c>
      <c r="Z1130" s="16" t="str">
        <f>HYPERLINK($X1130&amp;SUBSTITUTE(マスタ!$C$3,"XXXXX",$W1130))</f>
        <v>https://www.youtube.com/live/TQC6YXjwtgA?si=BdfZ9GrSmS7Xrso8&amp;t=53s</v>
      </c>
      <c r="AA1130" s="12" t="str">
        <f t="shared" si="54"/>
        <v>ランカ・リー＝中島愛星間飛行</v>
      </c>
    </row>
    <row r="1131" spans="1:27" x14ac:dyDescent="0.4">
      <c r="A1131" s="14">
        <f t="shared" si="55"/>
        <v>1130</v>
      </c>
      <c r="B1131" s="14">
        <v>149</v>
      </c>
      <c r="C1131" s="21" t="s">
        <v>2410</v>
      </c>
      <c r="D1131" s="14" t="s">
        <v>2407</v>
      </c>
      <c r="E1131" s="14" t="s">
        <v>2408</v>
      </c>
      <c r="G1131" s="1" t="str">
        <f>_xlfn.XLOOKUP(B1131,M_YT_LIVE!A:A,M_YT_LIVE!F:F,"ERROR",0,1)</f>
        <v>他</v>
      </c>
      <c r="W1131" s="13">
        <f t="shared" si="53"/>
        <v>302</v>
      </c>
      <c r="X1131" s="12" t="str">
        <f>_xlfn.XLOOKUP($B1131,M_YT_LIVE!$A:$A,M_YT_LIVE!$D:$D)</f>
        <v>https://www.youtube.com/live/TQC6YXjwtgA?si=BdfZ9GrSmS7Xrso8</v>
      </c>
      <c r="Z1131" s="16" t="str">
        <f>HYPERLINK($X1131&amp;SUBSTITUTE(マスタ!$C$3,"XXXXX",$W1131))</f>
        <v>https://www.youtube.com/live/TQC6YXjwtgA?si=BdfZ9GrSmS7Xrso8&amp;t=302s</v>
      </c>
      <c r="AA1131" s="12" t="str">
        <f t="shared" si="54"/>
        <v>れるりり神のまにまに</v>
      </c>
    </row>
    <row r="1132" spans="1:27" x14ac:dyDescent="0.4">
      <c r="A1132" s="14">
        <f t="shared" si="55"/>
        <v>1131</v>
      </c>
      <c r="B1132" s="14">
        <v>149</v>
      </c>
      <c r="C1132" s="21" t="s">
        <v>2411</v>
      </c>
      <c r="D1132" s="14" t="s">
        <v>326</v>
      </c>
      <c r="E1132" s="14" t="s">
        <v>327</v>
      </c>
      <c r="G1132" s="1" t="str">
        <f>_xlfn.XLOOKUP(B1132,M_YT_LIVE!A:A,M_YT_LIVE!F:F,"ERROR",0,1)</f>
        <v>他</v>
      </c>
      <c r="W1132" s="13">
        <f t="shared" si="53"/>
        <v>792</v>
      </c>
      <c r="X1132" s="12" t="str">
        <f>_xlfn.XLOOKUP($B1132,M_YT_LIVE!$A:$A,M_YT_LIVE!$D:$D)</f>
        <v>https://www.youtube.com/live/TQC6YXjwtgA?si=BdfZ9GrSmS7Xrso8</v>
      </c>
      <c r="Z1132" s="16" t="str">
        <f>HYPERLINK($X1132&amp;SUBSTITUTE(マスタ!$C$3,"XXXXX",$W1132))</f>
        <v>https://www.youtube.com/live/TQC6YXjwtgA?si=BdfZ9GrSmS7Xrso8&amp;t=792s</v>
      </c>
      <c r="AA1132" s="12" t="str">
        <f t="shared" si="54"/>
        <v>レミオロメン粉雪</v>
      </c>
    </row>
    <row r="1133" spans="1:27" x14ac:dyDescent="0.4">
      <c r="A1133" s="14">
        <f t="shared" si="55"/>
        <v>1132</v>
      </c>
      <c r="B1133" s="14">
        <v>149</v>
      </c>
      <c r="C1133" s="21" t="s">
        <v>2412</v>
      </c>
      <c r="D1133" s="14" t="s">
        <v>194</v>
      </c>
      <c r="E1133" s="14" t="s">
        <v>195</v>
      </c>
      <c r="G1133" s="1" t="str">
        <f>_xlfn.XLOOKUP(B1133,M_YT_LIVE!A:A,M_YT_LIVE!F:F,"ERROR",0,1)</f>
        <v>他</v>
      </c>
      <c r="W1133" s="13">
        <f t="shared" si="53"/>
        <v>1201</v>
      </c>
      <c r="X1133" s="12" t="str">
        <f>_xlfn.XLOOKUP($B1133,M_YT_LIVE!$A:$A,M_YT_LIVE!$D:$D)</f>
        <v>https://www.youtube.com/live/TQC6YXjwtgA?si=BdfZ9GrSmS7Xrso8</v>
      </c>
      <c r="Z1133" s="16" t="str">
        <f>HYPERLINK($X1133&amp;SUBSTITUTE(マスタ!$C$3,"XXXXX",$W1133))</f>
        <v>https://www.youtube.com/live/TQC6YXjwtgA?si=BdfZ9GrSmS7Xrso8&amp;t=1201s</v>
      </c>
      <c r="AA1133" s="12" t="str">
        <f t="shared" si="54"/>
        <v>やなぎなぎユキトキ</v>
      </c>
    </row>
    <row r="1134" spans="1:27" x14ac:dyDescent="0.4">
      <c r="A1134" s="14">
        <f t="shared" si="55"/>
        <v>1133</v>
      </c>
      <c r="B1134" s="14">
        <v>149</v>
      </c>
      <c r="C1134" s="21" t="s">
        <v>2413</v>
      </c>
      <c r="D1134" s="14" t="s">
        <v>1483</v>
      </c>
      <c r="E1134" s="14" t="s">
        <v>924</v>
      </c>
      <c r="G1134" s="1" t="str">
        <f>_xlfn.XLOOKUP(B1134,M_YT_LIVE!A:A,M_YT_LIVE!F:F,"ERROR",0,1)</f>
        <v>他</v>
      </c>
      <c r="W1134" s="13">
        <f t="shared" si="53"/>
        <v>1537</v>
      </c>
      <c r="X1134" s="12" t="str">
        <f>_xlfn.XLOOKUP($B1134,M_YT_LIVE!$A:$A,M_YT_LIVE!$D:$D)</f>
        <v>https://www.youtube.com/live/TQC6YXjwtgA?si=BdfZ9GrSmS7Xrso8</v>
      </c>
      <c r="Z1134" s="16" t="str">
        <f>HYPERLINK($X1134&amp;SUBSTITUTE(マスタ!$C$3,"XXXXX",$W1134))</f>
        <v>https://www.youtube.com/live/TQC6YXjwtgA?si=BdfZ9GrSmS7Xrso8&amp;t=1537s</v>
      </c>
      <c r="AA1134" s="12" t="str">
        <f t="shared" si="54"/>
        <v>幽音しのFrom now on</v>
      </c>
    </row>
    <row r="1135" spans="1:27" x14ac:dyDescent="0.4">
      <c r="A1135" s="14">
        <f t="shared" si="55"/>
        <v>1134</v>
      </c>
      <c r="B1135" s="14">
        <v>151</v>
      </c>
      <c r="C1135" s="21" t="s">
        <v>2418</v>
      </c>
      <c r="D1135" s="14" t="s">
        <v>2126</v>
      </c>
      <c r="E1135" s="14" t="s">
        <v>730</v>
      </c>
      <c r="G1135" s="1" t="str">
        <f>_xlfn.XLOOKUP(B1135,M_YT_LIVE!A:A,M_YT_LIVE!F:F,"ERROR",0,1)</f>
        <v>弾き語り</v>
      </c>
      <c r="W1135" s="13">
        <f t="shared" si="53"/>
        <v>264</v>
      </c>
      <c r="X1135" s="12" t="str">
        <f>_xlfn.XLOOKUP($B1135,M_YT_LIVE!$A:$A,M_YT_LIVE!$D:$D)</f>
        <v>https://www.youtube.com/live/PeAN2eEh-ug?si=Q76LwLkKs-5oX2lF</v>
      </c>
      <c r="Z1135" s="16" t="str">
        <f>HYPERLINK($X1135&amp;SUBSTITUTE(マスタ!$C$3,"XXXXX",$W1135))</f>
        <v>https://www.youtube.com/live/PeAN2eEh-ug?si=Q76LwLkKs-5oX2lF&amp;t=264s</v>
      </c>
      <c r="AA1135" s="12" t="str">
        <f t="shared" si="54"/>
        <v>Mrs. GREEN APPLEWanteD! WanteD!</v>
      </c>
    </row>
    <row r="1136" spans="1:27" x14ac:dyDescent="0.4">
      <c r="A1136" s="14">
        <f t="shared" si="55"/>
        <v>1135</v>
      </c>
      <c r="B1136" s="14">
        <v>151</v>
      </c>
      <c r="C1136" s="21" t="s">
        <v>2419</v>
      </c>
      <c r="D1136" s="14" t="s">
        <v>242</v>
      </c>
      <c r="E1136" s="14" t="s">
        <v>20</v>
      </c>
      <c r="G1136" s="1" t="str">
        <f>_xlfn.XLOOKUP(B1136,M_YT_LIVE!A:A,M_YT_LIVE!F:F,"ERROR",0,1)</f>
        <v>弾き語り</v>
      </c>
      <c r="W1136" s="13">
        <f t="shared" si="53"/>
        <v>626</v>
      </c>
      <c r="X1136" s="12" t="str">
        <f>_xlfn.XLOOKUP($B1136,M_YT_LIVE!$A:$A,M_YT_LIVE!$D:$D)</f>
        <v>https://www.youtube.com/live/PeAN2eEh-ug?si=Q76LwLkKs-5oX2lF</v>
      </c>
      <c r="Z1136" s="16" t="str">
        <f>HYPERLINK($X1136&amp;SUBSTITUTE(マスタ!$C$3,"XXXXX",$W1136))</f>
        <v>https://www.youtube.com/live/PeAN2eEh-ug?si=Q76LwLkKs-5oX2lF&amp;t=626s</v>
      </c>
      <c r="AA1136" s="12" t="str">
        <f t="shared" si="54"/>
        <v>Vaundy花占い</v>
      </c>
    </row>
    <row r="1137" spans="1:27" x14ac:dyDescent="0.4">
      <c r="A1137" s="14">
        <f t="shared" si="55"/>
        <v>1136</v>
      </c>
      <c r="B1137" s="14">
        <v>151</v>
      </c>
      <c r="C1137" s="21" t="s">
        <v>2055</v>
      </c>
      <c r="D1137" s="14" t="s">
        <v>1194</v>
      </c>
      <c r="E1137" s="14" t="s">
        <v>716</v>
      </c>
      <c r="G1137" s="1" t="str">
        <f>_xlfn.XLOOKUP(B1137,M_YT_LIVE!A:A,M_YT_LIVE!F:F,"ERROR",0,1)</f>
        <v>弾き語り</v>
      </c>
      <c r="W1137" s="13">
        <f t="shared" si="53"/>
        <v>1083</v>
      </c>
      <c r="X1137" s="12" t="str">
        <f>_xlfn.XLOOKUP($B1137,M_YT_LIVE!$A:$A,M_YT_LIVE!$D:$D)</f>
        <v>https://www.youtube.com/live/PeAN2eEh-ug?si=Q76LwLkKs-5oX2lF</v>
      </c>
      <c r="Z1137" s="16" t="str">
        <f>HYPERLINK($X1137&amp;SUBSTITUTE(マスタ!$C$3,"XXXXX",$W1137))</f>
        <v>https://www.youtube.com/live/PeAN2eEh-ug?si=Q76LwLkKs-5oX2lF&amp;t=1083s</v>
      </c>
      <c r="AA1137" s="12" t="str">
        <f t="shared" si="54"/>
        <v>RADWIMPS前前前世</v>
      </c>
    </row>
    <row r="1138" spans="1:27" x14ac:dyDescent="0.4">
      <c r="A1138" s="14">
        <f t="shared" si="55"/>
        <v>1137</v>
      </c>
      <c r="B1138" s="14">
        <v>151</v>
      </c>
      <c r="C1138" s="21" t="s">
        <v>2420</v>
      </c>
      <c r="D1138" s="14" t="s">
        <v>1025</v>
      </c>
      <c r="E1138" s="14" t="s">
        <v>1026</v>
      </c>
      <c r="G1138" s="1" t="str">
        <f>_xlfn.XLOOKUP(B1138,M_YT_LIVE!A:A,M_YT_LIVE!F:F,"ERROR",0,1)</f>
        <v>弾き語り</v>
      </c>
      <c r="W1138" s="13">
        <f t="shared" si="53"/>
        <v>1513</v>
      </c>
      <c r="X1138" s="12" t="str">
        <f>_xlfn.XLOOKUP($B1138,M_YT_LIVE!$A:$A,M_YT_LIVE!$D:$D)</f>
        <v>https://www.youtube.com/live/PeAN2eEh-ug?si=Q76LwLkKs-5oX2lF</v>
      </c>
      <c r="Z1138" s="16" t="str">
        <f>HYPERLINK($X1138&amp;SUBSTITUTE(マスタ!$C$3,"XXXXX",$W1138))</f>
        <v>https://www.youtube.com/live/PeAN2eEh-ug?si=Q76LwLkKs-5oX2lF&amp;t=1513s</v>
      </c>
      <c r="AA1138" s="12" t="str">
        <f t="shared" si="54"/>
        <v>BUMP OF CHICKEN天体観測</v>
      </c>
    </row>
    <row r="1139" spans="1:27" x14ac:dyDescent="0.4">
      <c r="A1139" s="14">
        <f t="shared" si="55"/>
        <v>1138</v>
      </c>
      <c r="B1139" s="14">
        <v>151</v>
      </c>
      <c r="C1139" s="21" t="s">
        <v>500</v>
      </c>
      <c r="D1139" s="14" t="s">
        <v>2421</v>
      </c>
      <c r="E1139" s="14" t="s">
        <v>1193</v>
      </c>
      <c r="G1139" s="1" t="str">
        <f>_xlfn.XLOOKUP(B1139,M_YT_LIVE!A:A,M_YT_LIVE!F:F,"ERROR",0,1)</f>
        <v>弾き語り</v>
      </c>
      <c r="W1139" s="13">
        <f t="shared" si="53"/>
        <v>2050</v>
      </c>
      <c r="X1139" s="12" t="str">
        <f>_xlfn.XLOOKUP($B1139,M_YT_LIVE!$A:$A,M_YT_LIVE!$D:$D)</f>
        <v>https://www.youtube.com/live/PeAN2eEh-ug?si=Q76LwLkKs-5oX2lF</v>
      </c>
      <c r="Z1139" s="16" t="str">
        <f>HYPERLINK($X1139&amp;SUBSTITUTE(マスタ!$C$3,"XXXXX",$W1139))</f>
        <v>https://www.youtube.com/live/PeAN2eEh-ug?si=Q76LwLkKs-5oX2lF&amp;t=2050s</v>
      </c>
      <c r="AA1139" s="12" t="str">
        <f t="shared" si="54"/>
        <v>サカナクション夜の踊り子</v>
      </c>
    </row>
    <row r="1140" spans="1:27" x14ac:dyDescent="0.4">
      <c r="A1140" s="14">
        <f t="shared" si="55"/>
        <v>1139</v>
      </c>
      <c r="B1140" s="14">
        <v>151</v>
      </c>
      <c r="C1140" s="21" t="s">
        <v>2422</v>
      </c>
      <c r="D1140" s="14" t="s">
        <v>1740</v>
      </c>
      <c r="E1140" s="14" t="s">
        <v>1741</v>
      </c>
      <c r="G1140" s="1" t="str">
        <f>_xlfn.XLOOKUP(B1140,M_YT_LIVE!A:A,M_YT_LIVE!F:F,"ERROR",0,1)</f>
        <v>弾き語り</v>
      </c>
      <c r="W1140" s="13">
        <f t="shared" si="53"/>
        <v>2464</v>
      </c>
      <c r="X1140" s="12" t="str">
        <f>_xlfn.XLOOKUP($B1140,M_YT_LIVE!$A:$A,M_YT_LIVE!$D:$D)</f>
        <v>https://www.youtube.com/live/PeAN2eEh-ug?si=Q76LwLkKs-5oX2lF</v>
      </c>
      <c r="Z1140" s="16" t="str">
        <f>HYPERLINK($X1140&amp;SUBSTITUTE(マスタ!$C$3,"XXXXX",$W1140))</f>
        <v>https://www.youtube.com/live/PeAN2eEh-ug?si=Q76LwLkKs-5oX2lF&amp;t=2464s</v>
      </c>
      <c r="AA1140" s="12" t="str">
        <f t="shared" si="54"/>
        <v>Mr.ChildrenHANABI</v>
      </c>
    </row>
    <row r="1141" spans="1:27" x14ac:dyDescent="0.4">
      <c r="A1141" s="14">
        <f t="shared" si="55"/>
        <v>1140</v>
      </c>
      <c r="B1141" s="14">
        <v>151</v>
      </c>
      <c r="C1141" s="21" t="s">
        <v>2423</v>
      </c>
      <c r="D1141" s="14" t="s">
        <v>1729</v>
      </c>
      <c r="E1141" s="14" t="s">
        <v>1851</v>
      </c>
      <c r="G1141" s="1" t="str">
        <f>_xlfn.XLOOKUP(B1141,M_YT_LIVE!A:A,M_YT_LIVE!F:F,"ERROR",0,1)</f>
        <v>弾き語り</v>
      </c>
      <c r="W1141" s="13">
        <f t="shared" si="53"/>
        <v>2930</v>
      </c>
      <c r="X1141" s="12" t="str">
        <f>_xlfn.XLOOKUP($B1141,M_YT_LIVE!$A:$A,M_YT_LIVE!$D:$D)</f>
        <v>https://www.youtube.com/live/PeAN2eEh-ug?si=Q76LwLkKs-5oX2lF</v>
      </c>
      <c r="Z1141" s="16" t="str">
        <f>HYPERLINK($X1141&amp;SUBSTITUTE(マスタ!$C$3,"XXXXX",$W1141))</f>
        <v>https://www.youtube.com/live/PeAN2eEh-ug?si=Q76LwLkKs-5oX2lF&amp;t=2930s</v>
      </c>
      <c r="AA1141" s="12" t="str">
        <f t="shared" si="54"/>
        <v>flumpool君に届け</v>
      </c>
    </row>
    <row r="1142" spans="1:27" x14ac:dyDescent="0.4">
      <c r="A1142" s="14">
        <f t="shared" si="55"/>
        <v>1141</v>
      </c>
      <c r="B1142" s="14">
        <v>151</v>
      </c>
      <c r="C1142" s="21" t="s">
        <v>2424</v>
      </c>
      <c r="D1142" s="14" t="s">
        <v>259</v>
      </c>
      <c r="E1142" s="14" t="s">
        <v>260</v>
      </c>
      <c r="G1142" s="1" t="str">
        <f>_xlfn.XLOOKUP(B1142,M_YT_LIVE!A:A,M_YT_LIVE!F:F,"ERROR",0,1)</f>
        <v>弾き語り</v>
      </c>
      <c r="W1142" s="13">
        <f t="shared" si="53"/>
        <v>3325</v>
      </c>
      <c r="X1142" s="12" t="str">
        <f>_xlfn.XLOOKUP($B1142,M_YT_LIVE!$A:$A,M_YT_LIVE!$D:$D)</f>
        <v>https://www.youtube.com/live/PeAN2eEh-ug?si=Q76LwLkKs-5oX2lF</v>
      </c>
      <c r="Z1142" s="16" t="str">
        <f>HYPERLINK($X1142&amp;SUBSTITUTE(マスタ!$C$3,"XXXXX",$W1142))</f>
        <v>https://www.youtube.com/live/PeAN2eEh-ug?si=Q76LwLkKs-5oX2lF&amp;t=3325s</v>
      </c>
      <c r="AA1142" s="12" t="str">
        <f t="shared" si="54"/>
        <v>Official髭男dismノーダウト</v>
      </c>
    </row>
    <row r="1143" spans="1:27" x14ac:dyDescent="0.4">
      <c r="A1143" s="14">
        <f t="shared" si="55"/>
        <v>1142</v>
      </c>
      <c r="B1143" s="14">
        <v>151</v>
      </c>
      <c r="C1143" s="21" t="s">
        <v>2390</v>
      </c>
      <c r="D1143" s="14" t="s">
        <v>340</v>
      </c>
      <c r="E1143" s="14" t="s">
        <v>2425</v>
      </c>
      <c r="G1143" s="1" t="str">
        <f>_xlfn.XLOOKUP(B1143,M_YT_LIVE!A:A,M_YT_LIVE!F:F,"ERROR",0,1)</f>
        <v>弾き語り</v>
      </c>
      <c r="W1143" s="13">
        <f t="shared" si="53"/>
        <v>3722</v>
      </c>
      <c r="X1143" s="12" t="str">
        <f>_xlfn.XLOOKUP($B1143,M_YT_LIVE!$A:$A,M_YT_LIVE!$D:$D)</f>
        <v>https://www.youtube.com/live/PeAN2eEh-ug?si=Q76LwLkKs-5oX2lF</v>
      </c>
      <c r="Z1143" s="16" t="str">
        <f>HYPERLINK($X1143&amp;SUBSTITUTE(マスタ!$C$3,"XXXXX",$W1143))</f>
        <v>https://www.youtube.com/live/PeAN2eEh-ug?si=Q76LwLkKs-5oX2lF&amp;t=3722s</v>
      </c>
      <c r="AA1143" s="12" t="str">
        <f t="shared" si="54"/>
        <v>TK from 凛として時雨unravel</v>
      </c>
    </row>
    <row r="1144" spans="1:27" x14ac:dyDescent="0.4">
      <c r="A1144" s="14">
        <f t="shared" si="55"/>
        <v>1143</v>
      </c>
      <c r="B1144" s="14">
        <v>151</v>
      </c>
      <c r="C1144" s="21" t="s">
        <v>2426</v>
      </c>
      <c r="D1144" s="14" t="s">
        <v>176</v>
      </c>
      <c r="E1144" s="14" t="s">
        <v>177</v>
      </c>
      <c r="G1144" s="1" t="str">
        <f>_xlfn.XLOOKUP(B1144,M_YT_LIVE!A:A,M_YT_LIVE!F:F,"ERROR",0,1)</f>
        <v>弾き語り</v>
      </c>
      <c r="W1144" s="13">
        <f t="shared" si="53"/>
        <v>4198</v>
      </c>
      <c r="X1144" s="12" t="str">
        <f>_xlfn.XLOOKUP($B1144,M_YT_LIVE!$A:$A,M_YT_LIVE!$D:$D)</f>
        <v>https://www.youtube.com/live/PeAN2eEh-ug?si=Q76LwLkKs-5oX2lF</v>
      </c>
      <c r="Z1144" s="16" t="str">
        <f>HYPERLINK($X1144&amp;SUBSTITUTE(マスタ!$C$3,"XXXXX",$W1144))</f>
        <v>https://www.youtube.com/live/PeAN2eEh-ug?si=Q76LwLkKs-5oX2lF&amp;t=4198s</v>
      </c>
      <c r="AA1144" s="12" t="str">
        <f t="shared" si="54"/>
        <v>Saucy Dogシンデレラボーイ</v>
      </c>
    </row>
    <row r="1145" spans="1:27" x14ac:dyDescent="0.4">
      <c r="A1145" s="14">
        <f t="shared" si="55"/>
        <v>1144</v>
      </c>
      <c r="B1145" s="14">
        <v>151</v>
      </c>
      <c r="C1145" s="21" t="s">
        <v>2427</v>
      </c>
      <c r="D1145" s="14" t="s">
        <v>2439</v>
      </c>
      <c r="E1145" s="14" t="s">
        <v>393</v>
      </c>
      <c r="G1145" s="30" t="s">
        <v>629</v>
      </c>
      <c r="W1145" s="13">
        <f t="shared" si="53"/>
        <v>4612</v>
      </c>
      <c r="X1145" s="12" t="str">
        <f>_xlfn.XLOOKUP($B1145,M_YT_LIVE!$A:$A,M_YT_LIVE!$D:$D)</f>
        <v>https://www.youtube.com/live/PeAN2eEh-ug?si=Q76LwLkKs-5oX2lF</v>
      </c>
      <c r="Z1145" s="16" t="str">
        <f>HYPERLINK($X1145&amp;SUBSTITUTE(マスタ!$C$3,"XXXXX",$W1145))</f>
        <v>https://www.youtube.com/live/PeAN2eEh-ug?si=Q76LwLkKs-5oX2lF&amp;t=4612s</v>
      </c>
      <c r="AA1145" s="12" t="str">
        <f t="shared" si="54"/>
        <v>ONE OK ROCK完全感覚Dreamer</v>
      </c>
    </row>
    <row r="1146" spans="1:27" x14ac:dyDescent="0.4">
      <c r="A1146" s="14">
        <f t="shared" si="55"/>
        <v>1145</v>
      </c>
      <c r="B1146" s="14">
        <v>151</v>
      </c>
      <c r="C1146" s="21" t="s">
        <v>2428</v>
      </c>
      <c r="D1146" s="14" t="s">
        <v>681</v>
      </c>
      <c r="E1146" s="14" t="s">
        <v>682</v>
      </c>
      <c r="G1146" s="1" t="str">
        <f>_xlfn.XLOOKUP(B1146,M_YT_LIVE!A:A,M_YT_LIVE!F:F,"ERROR",0,1)</f>
        <v>弾き語り</v>
      </c>
      <c r="W1146" s="13">
        <f t="shared" si="53"/>
        <v>5098</v>
      </c>
      <c r="X1146" s="12" t="str">
        <f>_xlfn.XLOOKUP($B1146,M_YT_LIVE!$A:$A,M_YT_LIVE!$D:$D)</f>
        <v>https://www.youtube.com/live/PeAN2eEh-ug?si=Q76LwLkKs-5oX2lF</v>
      </c>
      <c r="Z1146" s="16" t="str">
        <f>HYPERLINK($X1146&amp;SUBSTITUTE(マスタ!$C$3,"XXXXX",$W1146))</f>
        <v>https://www.youtube.com/live/PeAN2eEh-ug?si=Q76LwLkKs-5oX2lF&amp;t=5098s</v>
      </c>
      <c r="AA1146" s="12" t="str">
        <f t="shared" si="54"/>
        <v>THE ORAL CIGARETTES狂乱 Hey Kids!!</v>
      </c>
    </row>
    <row r="1147" spans="1:27" x14ac:dyDescent="0.4">
      <c r="A1147" s="14">
        <f t="shared" si="55"/>
        <v>1146</v>
      </c>
      <c r="B1147" s="14">
        <v>151</v>
      </c>
      <c r="C1147" s="21" t="s">
        <v>2429</v>
      </c>
      <c r="D1147" s="14" t="s">
        <v>2430</v>
      </c>
      <c r="E1147" s="14" t="s">
        <v>2431</v>
      </c>
      <c r="G1147" s="1" t="str">
        <f>_xlfn.XLOOKUP(B1147,M_YT_LIVE!A:A,M_YT_LIVE!F:F,"ERROR",0,1)</f>
        <v>弾き語り</v>
      </c>
      <c r="W1147" s="13">
        <f t="shared" si="53"/>
        <v>5433</v>
      </c>
      <c r="X1147" s="12" t="str">
        <f>_xlfn.XLOOKUP($B1147,M_YT_LIVE!$A:$A,M_YT_LIVE!$D:$D)</f>
        <v>https://www.youtube.com/live/PeAN2eEh-ug?si=Q76LwLkKs-5oX2lF</v>
      </c>
      <c r="Z1147" s="16" t="str">
        <f>HYPERLINK($X1147&amp;SUBSTITUTE(マスタ!$C$3,"XXXXX",$W1147))</f>
        <v>https://www.youtube.com/live/PeAN2eEh-ug?si=Q76LwLkKs-5oX2lF&amp;t=5433s</v>
      </c>
      <c r="AA1147" s="12" t="str">
        <f t="shared" si="54"/>
        <v>The BeatlesHelp! (1chorus)</v>
      </c>
    </row>
    <row r="1148" spans="1:27" x14ac:dyDescent="0.4">
      <c r="A1148" s="14">
        <f t="shared" si="55"/>
        <v>1147</v>
      </c>
      <c r="B1148" s="14">
        <v>151</v>
      </c>
      <c r="C1148" s="21" t="s">
        <v>2432</v>
      </c>
      <c r="D1148" s="14" t="s">
        <v>2433</v>
      </c>
      <c r="E1148" s="14" t="s">
        <v>2434</v>
      </c>
      <c r="G1148" s="1" t="str">
        <f>_xlfn.XLOOKUP(B1148,M_YT_LIVE!A:A,M_YT_LIVE!F:F,"ERROR",0,1)</f>
        <v>弾き語り</v>
      </c>
      <c r="W1148" s="13">
        <f t="shared" si="53"/>
        <v>5706</v>
      </c>
      <c r="X1148" s="12" t="str">
        <f>_xlfn.XLOOKUP($B1148,M_YT_LIVE!$A:$A,M_YT_LIVE!$D:$D)</f>
        <v>https://www.youtube.com/live/PeAN2eEh-ug?si=Q76LwLkKs-5oX2lF</v>
      </c>
      <c r="Z1148" s="16" t="str">
        <f>HYPERLINK($X1148&amp;SUBSTITUTE(マスタ!$C$3,"XXXXX",$W1148))</f>
        <v>https://www.youtube.com/live/PeAN2eEh-ug?si=Q76LwLkKs-5oX2lF&amp;t=5706s</v>
      </c>
      <c r="AA1148" s="12" t="str">
        <f t="shared" si="54"/>
        <v>SEKAI NO OWARIスターライトパレード</v>
      </c>
    </row>
    <row r="1149" spans="1:27" x14ac:dyDescent="0.4">
      <c r="A1149" s="14">
        <f t="shared" si="55"/>
        <v>1148</v>
      </c>
      <c r="B1149" s="14">
        <v>151</v>
      </c>
      <c r="C1149" s="21" t="s">
        <v>2435</v>
      </c>
      <c r="D1149" s="14" t="s">
        <v>2436</v>
      </c>
      <c r="E1149" s="14" t="s">
        <v>2437</v>
      </c>
      <c r="G1149" s="1" t="str">
        <f>_xlfn.XLOOKUP(B1149,M_YT_LIVE!A:A,M_YT_LIVE!F:F,"ERROR",0,1)</f>
        <v>弾き語り</v>
      </c>
      <c r="W1149" s="13">
        <f t="shared" si="53"/>
        <v>6113</v>
      </c>
      <c r="X1149" s="12" t="str">
        <f>_xlfn.XLOOKUP($B1149,M_YT_LIVE!$A:$A,M_YT_LIVE!$D:$D)</f>
        <v>https://www.youtube.com/live/PeAN2eEh-ug?si=Q76LwLkKs-5oX2lF</v>
      </c>
      <c r="Z1149" s="16" t="str">
        <f>HYPERLINK($X1149&amp;SUBSTITUTE(マスタ!$C$3,"XXXXX",$W1149))</f>
        <v>https://www.youtube.com/live/PeAN2eEh-ug?si=Q76LwLkKs-5oX2lF&amp;t=6113s</v>
      </c>
      <c r="AA1149" s="12" t="str">
        <f t="shared" si="54"/>
        <v>松平健マツケンサンバⅡ (1chorus)</v>
      </c>
    </row>
    <row r="1150" spans="1:27" x14ac:dyDescent="0.4">
      <c r="A1150" s="14">
        <f t="shared" si="55"/>
        <v>1149</v>
      </c>
      <c r="B1150" s="14">
        <v>151</v>
      </c>
      <c r="C1150" s="21" t="s">
        <v>2438</v>
      </c>
      <c r="D1150" s="14" t="s">
        <v>2436</v>
      </c>
      <c r="E1150" s="14" t="s">
        <v>2437</v>
      </c>
      <c r="G1150" s="1" t="str">
        <f>_xlfn.XLOOKUP(B1150,M_YT_LIVE!A:A,M_YT_LIVE!F:F,"ERROR",0,1)</f>
        <v>弾き語り</v>
      </c>
      <c r="W1150" s="13">
        <f t="shared" si="53"/>
        <v>6436.0000000000009</v>
      </c>
      <c r="X1150" s="12" t="str">
        <f>_xlfn.XLOOKUP($B1150,M_YT_LIVE!$A:$A,M_YT_LIVE!$D:$D)</f>
        <v>https://www.youtube.com/live/PeAN2eEh-ug?si=Q76LwLkKs-5oX2lF</v>
      </c>
      <c r="Z1150" s="16" t="str">
        <f>HYPERLINK($X1150&amp;SUBSTITUTE(マスタ!$C$3,"XXXXX",$W1150))</f>
        <v>https://www.youtube.com/live/PeAN2eEh-ug?si=Q76LwLkKs-5oX2lF&amp;t=6436s</v>
      </c>
      <c r="AA1150" s="12" t="str">
        <f t="shared" si="54"/>
        <v>松平健マツケンサンバⅡ (1chorus)</v>
      </c>
    </row>
    <row r="1151" spans="1:27" x14ac:dyDescent="0.4">
      <c r="A1151" s="14">
        <f t="shared" si="55"/>
        <v>1150</v>
      </c>
      <c r="B1151" s="14">
        <v>151</v>
      </c>
      <c r="C1151" s="21" t="s">
        <v>659</v>
      </c>
      <c r="D1151" s="14" t="s">
        <v>2440</v>
      </c>
      <c r="E1151" s="14" t="s">
        <v>2437</v>
      </c>
      <c r="G1151" s="30" t="s">
        <v>629</v>
      </c>
      <c r="W1151" s="13">
        <f t="shared" si="53"/>
        <v>6543</v>
      </c>
      <c r="X1151" s="12" t="str">
        <f>_xlfn.XLOOKUP($B1151,M_YT_LIVE!$A:$A,M_YT_LIVE!$D:$D)</f>
        <v>https://www.youtube.com/live/PeAN2eEh-ug?si=Q76LwLkKs-5oX2lF</v>
      </c>
      <c r="Z1151" s="16" t="str">
        <f>HYPERLINK($X1151&amp;SUBSTITUTE(マスタ!$C$3,"XXXXX",$W1151))</f>
        <v>https://www.youtube.com/live/PeAN2eEh-ug?si=Q76LwLkKs-5oX2lF&amp;t=6543s</v>
      </c>
      <c r="AA1151" s="12" t="str">
        <f t="shared" si="54"/>
        <v>松平健マツケンサンバⅡ (1chorus)</v>
      </c>
    </row>
    <row r="1152" spans="1:27" x14ac:dyDescent="0.4">
      <c r="A1152" s="14">
        <f t="shared" si="55"/>
        <v>1151</v>
      </c>
      <c r="B1152" s="14">
        <v>153</v>
      </c>
      <c r="C1152" s="21" t="s">
        <v>2445</v>
      </c>
      <c r="D1152" s="14" t="s">
        <v>1627</v>
      </c>
      <c r="E1152" s="14" t="s">
        <v>168</v>
      </c>
      <c r="G1152" s="1" t="str">
        <f>_xlfn.XLOOKUP(B1152,M_YT_LIVE!A:A,M_YT_LIVE!F:F,"ERROR",0,1)</f>
        <v>音源</v>
      </c>
      <c r="W1152" s="13">
        <f t="shared" si="53"/>
        <v>243.99999999999997</v>
      </c>
      <c r="X1152" s="12" t="str">
        <f>_xlfn.XLOOKUP($B1152,M_YT_LIVE!$A:$A,M_YT_LIVE!$D:$D)</f>
        <v>https://www.youtube.com/live/5WLpYh7ET8Q?si=U6vokm2OYMw3HwVF</v>
      </c>
      <c r="Z1152" s="16" t="str">
        <f>HYPERLINK($X1152&amp;SUBSTITUTE(マスタ!$C$3,"XXXXX",$W1152))</f>
        <v>https://www.youtube.com/live/5WLpYh7ET8Q?si=U6vokm2OYMw3HwVF&amp;t=244s</v>
      </c>
      <c r="AA1152" s="12" t="str">
        <f t="shared" si="54"/>
        <v>Aimer残響散歌</v>
      </c>
    </row>
    <row r="1153" spans="1:27" x14ac:dyDescent="0.4">
      <c r="A1153" s="14">
        <f t="shared" si="55"/>
        <v>1152</v>
      </c>
      <c r="B1153" s="14">
        <v>153</v>
      </c>
      <c r="C1153" s="21" t="s">
        <v>2446</v>
      </c>
      <c r="D1153" s="14" t="s">
        <v>543</v>
      </c>
      <c r="E1153" s="14" t="s">
        <v>544</v>
      </c>
      <c r="G1153" s="1" t="str">
        <f>_xlfn.XLOOKUP(B1153,M_YT_LIVE!A:A,M_YT_LIVE!F:F,"ERROR",0,1)</f>
        <v>音源</v>
      </c>
      <c r="W1153" s="13">
        <f t="shared" si="53"/>
        <v>686</v>
      </c>
      <c r="X1153" s="12" t="str">
        <f>_xlfn.XLOOKUP($B1153,M_YT_LIVE!$A:$A,M_YT_LIVE!$D:$D)</f>
        <v>https://www.youtube.com/live/5WLpYh7ET8Q?si=U6vokm2OYMw3HwVF</v>
      </c>
      <c r="Z1153" s="16" t="str">
        <f>HYPERLINK($X1153&amp;SUBSTITUTE(マスタ!$C$3,"XXXXX",$W1153))</f>
        <v>https://www.youtube.com/live/5WLpYh7ET8Q?si=U6vokm2OYMw3HwVF&amp;t=686s</v>
      </c>
      <c r="AA1153" s="12" t="str">
        <f t="shared" si="54"/>
        <v>椎名林檎丸の内サディスティック</v>
      </c>
    </row>
    <row r="1154" spans="1:27" x14ac:dyDescent="0.4">
      <c r="A1154" s="14">
        <f t="shared" si="55"/>
        <v>1153</v>
      </c>
      <c r="B1154" s="14">
        <v>153</v>
      </c>
      <c r="C1154" s="21" t="s">
        <v>102</v>
      </c>
      <c r="D1154" s="14" t="s">
        <v>2447</v>
      </c>
      <c r="E1154" s="14" t="s">
        <v>2448</v>
      </c>
      <c r="G1154" s="1" t="str">
        <f>_xlfn.XLOOKUP(B1154,M_YT_LIVE!A:A,M_YT_LIVE!F:F,"ERROR",0,1)</f>
        <v>音源</v>
      </c>
      <c r="W1154" s="13">
        <f t="shared" si="53"/>
        <v>995</v>
      </c>
      <c r="X1154" s="12" t="str">
        <f>_xlfn.XLOOKUP($B1154,M_YT_LIVE!$A:$A,M_YT_LIVE!$D:$D)</f>
        <v>https://www.youtube.com/live/5WLpYh7ET8Q?si=U6vokm2OYMw3HwVF</v>
      </c>
      <c r="Z1154" s="16" t="str">
        <f>HYPERLINK($X1154&amp;SUBSTITUTE(マスタ!$C$3,"XXXXX",$W1154))</f>
        <v>https://www.youtube.com/live/5WLpYh7ET8Q?si=U6vokm2OYMw3HwVF&amp;t=995s</v>
      </c>
      <c r="AA1154" s="12" t="str">
        <f t="shared" si="54"/>
        <v>富田伊知郎(ミラクル・ヴォウス)ヤマダ電機の歌</v>
      </c>
    </row>
    <row r="1155" spans="1:27" x14ac:dyDescent="0.4">
      <c r="A1155" s="14">
        <f t="shared" si="55"/>
        <v>1154</v>
      </c>
      <c r="B1155" s="14">
        <v>153</v>
      </c>
      <c r="C1155" s="21" t="s">
        <v>2449</v>
      </c>
      <c r="D1155" s="14" t="s">
        <v>2450</v>
      </c>
      <c r="E1155" s="14" t="s">
        <v>2451</v>
      </c>
      <c r="G1155" s="1" t="str">
        <f>_xlfn.XLOOKUP(B1155,M_YT_LIVE!A:A,M_YT_LIVE!F:F,"ERROR",0,1)</f>
        <v>音源</v>
      </c>
      <c r="W1155" s="13">
        <f t="shared" si="53"/>
        <v>1130</v>
      </c>
      <c r="X1155" s="12" t="str">
        <f>_xlfn.XLOOKUP($B1155,M_YT_LIVE!$A:$A,M_YT_LIVE!$D:$D)</f>
        <v>https://www.youtube.com/live/5WLpYh7ET8Q?si=U6vokm2OYMw3HwVF</v>
      </c>
      <c r="Z1155" s="16" t="str">
        <f>HYPERLINK($X1155&amp;SUBSTITUTE(マスタ!$C$3,"XXXXX",$W1155))</f>
        <v>https://www.youtube.com/live/5WLpYh7ET8Q?si=U6vokm2OYMw3HwVF&amp;t=1130s</v>
      </c>
      <c r="AA1155" s="12" t="str">
        <f t="shared" si="54"/>
        <v>ヨドバシカメラヨドバシカメラの歌</v>
      </c>
    </row>
    <row r="1156" spans="1:27" x14ac:dyDescent="0.4">
      <c r="A1156" s="14">
        <f t="shared" si="55"/>
        <v>1155</v>
      </c>
      <c r="B1156" s="14">
        <v>153</v>
      </c>
      <c r="C1156" s="21" t="s">
        <v>2452</v>
      </c>
      <c r="D1156" s="14" t="s">
        <v>2453</v>
      </c>
      <c r="E1156" s="14" t="s">
        <v>2454</v>
      </c>
      <c r="G1156" s="1" t="str">
        <f>_xlfn.XLOOKUP(B1156,M_YT_LIVE!A:A,M_YT_LIVE!F:F,"ERROR",0,1)</f>
        <v>音源</v>
      </c>
      <c r="W1156" s="13">
        <f t="shared" ref="W1156:W1219" si="56">TIMEVALUE($C1156)*86400</f>
        <v>1352.9999999999998</v>
      </c>
      <c r="X1156" s="12" t="str">
        <f>_xlfn.XLOOKUP($B1156,M_YT_LIVE!$A:$A,M_YT_LIVE!$D:$D)</f>
        <v>https://www.youtube.com/live/5WLpYh7ET8Q?si=U6vokm2OYMw3HwVF</v>
      </c>
      <c r="Z1156" s="16" t="str">
        <f>HYPERLINK($X1156&amp;SUBSTITUTE(マスタ!$C$3,"XXXXX",$W1156))</f>
        <v>https://www.youtube.com/live/5WLpYh7ET8Q?si=U6vokm2OYMw3HwVF&amp;t=1353s</v>
      </c>
      <c r="AA1156" s="12" t="str">
        <f t="shared" si="54"/>
        <v>田中マイミMIRACLE SHOPPING〜ドン・キホーテのテーマ〜</v>
      </c>
    </row>
    <row r="1157" spans="1:27" x14ac:dyDescent="0.4">
      <c r="A1157" s="14">
        <f t="shared" si="55"/>
        <v>1156</v>
      </c>
      <c r="B1157" s="14">
        <v>153</v>
      </c>
      <c r="C1157" s="21" t="s">
        <v>2455</v>
      </c>
      <c r="D1157" s="14" t="s">
        <v>149</v>
      </c>
      <c r="E1157" s="14" t="s">
        <v>150</v>
      </c>
      <c r="G1157" s="1" t="str">
        <f>_xlfn.XLOOKUP(B1157,M_YT_LIVE!A:A,M_YT_LIVE!F:F,"ERROR",0,1)</f>
        <v>音源</v>
      </c>
      <c r="W1157" s="13">
        <f t="shared" si="56"/>
        <v>1658</v>
      </c>
      <c r="X1157" s="12" t="str">
        <f>_xlfn.XLOOKUP($B1157,M_YT_LIVE!$A:$A,M_YT_LIVE!$D:$D)</f>
        <v>https://www.youtube.com/live/5WLpYh7ET8Q?si=U6vokm2OYMw3HwVF</v>
      </c>
      <c r="Z1157" s="16" t="str">
        <f>HYPERLINK($X1157&amp;SUBSTITUTE(マスタ!$C$3,"XXXXX",$W1157))</f>
        <v>https://www.youtube.com/live/5WLpYh7ET8Q?si=U6vokm2OYMw3HwVF&amp;t=1658s</v>
      </c>
      <c r="AA1157" s="12" t="str">
        <f t="shared" ref="AA1157:AA1201" si="57">TRIM(E1157)&amp;TRIM(D1157)</f>
        <v>みきとP feat.初音ミク少女レイ</v>
      </c>
    </row>
    <row r="1158" spans="1:27" x14ac:dyDescent="0.4">
      <c r="A1158" s="14">
        <f t="shared" ref="A1158:A1221" si="58">ROW()-1</f>
        <v>1157</v>
      </c>
      <c r="B1158" s="14">
        <v>153</v>
      </c>
      <c r="C1158" s="21" t="s">
        <v>2456</v>
      </c>
      <c r="D1158" s="14" t="s">
        <v>1524</v>
      </c>
      <c r="E1158" s="14" t="s">
        <v>273</v>
      </c>
      <c r="G1158" s="1" t="str">
        <f>_xlfn.XLOOKUP(B1158,M_YT_LIVE!A:A,M_YT_LIVE!F:F,"ERROR",0,1)</f>
        <v>音源</v>
      </c>
      <c r="W1158" s="13">
        <f t="shared" si="56"/>
        <v>2130</v>
      </c>
      <c r="X1158" s="12" t="str">
        <f>_xlfn.XLOOKUP($B1158,M_YT_LIVE!$A:$A,M_YT_LIVE!$D:$D)</f>
        <v>https://www.youtube.com/live/5WLpYh7ET8Q?si=U6vokm2OYMw3HwVF</v>
      </c>
      <c r="Z1158" s="16" t="str">
        <f>HYPERLINK($X1158&amp;SUBSTITUTE(マスタ!$C$3,"XXXXX",$W1158))</f>
        <v>https://www.youtube.com/live/5WLpYh7ET8Q?si=U6vokm2OYMw3HwVF&amp;t=2130s</v>
      </c>
      <c r="AA1158" s="12" t="str">
        <f t="shared" si="57"/>
        <v>Adoギラギラ</v>
      </c>
    </row>
    <row r="1159" spans="1:27" x14ac:dyDescent="0.4">
      <c r="A1159" s="14">
        <f t="shared" si="58"/>
        <v>1158</v>
      </c>
      <c r="B1159" s="14">
        <v>153</v>
      </c>
      <c r="C1159" s="21" t="s">
        <v>2172</v>
      </c>
      <c r="D1159" s="14" t="s">
        <v>2457</v>
      </c>
      <c r="E1159" s="14" t="s">
        <v>2458</v>
      </c>
      <c r="G1159" s="1" t="str">
        <f>_xlfn.XLOOKUP(B1159,M_YT_LIVE!A:A,M_YT_LIVE!F:F,"ERROR",0,1)</f>
        <v>音源</v>
      </c>
      <c r="W1159" s="13">
        <f t="shared" si="56"/>
        <v>2496</v>
      </c>
      <c r="X1159" s="12" t="str">
        <f>_xlfn.XLOOKUP($B1159,M_YT_LIVE!$A:$A,M_YT_LIVE!$D:$D)</f>
        <v>https://www.youtube.com/live/5WLpYh7ET8Q?si=U6vokm2OYMw3HwVF</v>
      </c>
      <c r="Z1159" s="16" t="str">
        <f>HYPERLINK($X1159&amp;SUBSTITUTE(マスタ!$C$3,"XXXXX",$W1159))</f>
        <v>https://www.youtube.com/live/5WLpYh7ET8Q?si=U6vokm2OYMw3HwVF&amp;t=2496s</v>
      </c>
      <c r="AA1159" s="12" t="str">
        <f t="shared" si="57"/>
        <v>Tani YuukiW/X/Y</v>
      </c>
    </row>
    <row r="1160" spans="1:27" x14ac:dyDescent="0.4">
      <c r="A1160" s="14">
        <f t="shared" si="58"/>
        <v>1159</v>
      </c>
      <c r="B1160" s="14">
        <v>153</v>
      </c>
      <c r="C1160" s="21" t="s">
        <v>2459</v>
      </c>
      <c r="D1160" s="14" t="s">
        <v>2460</v>
      </c>
      <c r="E1160" s="14" t="s">
        <v>667</v>
      </c>
      <c r="G1160" s="1" t="str">
        <f>_xlfn.XLOOKUP(B1160,M_YT_LIVE!A:A,M_YT_LIVE!F:F,"ERROR",0,1)</f>
        <v>音源</v>
      </c>
      <c r="W1160" s="13">
        <f t="shared" si="56"/>
        <v>2925.9999999999995</v>
      </c>
      <c r="X1160" s="12" t="str">
        <f>_xlfn.XLOOKUP($B1160,M_YT_LIVE!$A:$A,M_YT_LIVE!$D:$D)</f>
        <v>https://www.youtube.com/live/5WLpYh7ET8Q?si=U6vokm2OYMw3HwVF</v>
      </c>
      <c r="Z1160" s="16" t="str">
        <f>HYPERLINK($X1160&amp;SUBSTITUTE(マスタ!$C$3,"XXXXX",$W1160))</f>
        <v>https://www.youtube.com/live/5WLpYh7ET8Q?si=U6vokm2OYMw3HwVF&amp;t=2926s</v>
      </c>
      <c r="AA1160" s="12" t="str">
        <f t="shared" si="57"/>
        <v>UNISON SQUARE GARDENシュガーソングとビターステップ (リクエスト)</v>
      </c>
    </row>
    <row r="1161" spans="1:27" x14ac:dyDescent="0.4">
      <c r="A1161" s="14">
        <f t="shared" si="58"/>
        <v>1160</v>
      </c>
      <c r="B1161" s="14">
        <v>153</v>
      </c>
      <c r="C1161" s="21" t="s">
        <v>2461</v>
      </c>
      <c r="D1161" s="14" t="s">
        <v>1000</v>
      </c>
      <c r="E1161" s="14" t="s">
        <v>276</v>
      </c>
      <c r="G1161" s="1" t="str">
        <f>_xlfn.XLOOKUP(B1161,M_YT_LIVE!A:A,M_YT_LIVE!F:F,"ERROR",0,1)</f>
        <v>音源</v>
      </c>
      <c r="W1161" s="13">
        <f t="shared" si="56"/>
        <v>3324</v>
      </c>
      <c r="X1161" s="12" t="str">
        <f>_xlfn.XLOOKUP($B1161,M_YT_LIVE!$A:$A,M_YT_LIVE!$D:$D)</f>
        <v>https://www.youtube.com/live/5WLpYh7ET8Q?si=U6vokm2OYMw3HwVF</v>
      </c>
      <c r="Z1161" s="16" t="str">
        <f>HYPERLINK($X1161&amp;SUBSTITUTE(マスタ!$C$3,"XXXXX",$W1161))</f>
        <v>https://www.youtube.com/live/5WLpYh7ET8Q?si=U6vokm2OYMw3HwVF&amp;t=3324s</v>
      </c>
      <c r="AA1161" s="12" t="str">
        <f t="shared" si="57"/>
        <v>YUIRolling star</v>
      </c>
    </row>
    <row r="1162" spans="1:27" x14ac:dyDescent="0.4">
      <c r="A1162" s="14">
        <f t="shared" si="58"/>
        <v>1161</v>
      </c>
      <c r="B1162" s="14">
        <v>153</v>
      </c>
      <c r="C1162" s="21" t="s">
        <v>2462</v>
      </c>
      <c r="D1162" s="14" t="s">
        <v>2463</v>
      </c>
      <c r="E1162" s="14" t="s">
        <v>390</v>
      </c>
      <c r="G1162" s="1" t="str">
        <f>_xlfn.XLOOKUP(B1162,M_YT_LIVE!A:A,M_YT_LIVE!F:F,"ERROR",0,1)</f>
        <v>音源</v>
      </c>
      <c r="W1162" s="13">
        <f t="shared" si="56"/>
        <v>3615.9999999999995</v>
      </c>
      <c r="X1162" s="12" t="str">
        <f>_xlfn.XLOOKUP($B1162,M_YT_LIVE!$A:$A,M_YT_LIVE!$D:$D)</f>
        <v>https://www.youtube.com/live/5WLpYh7ET8Q?si=U6vokm2OYMw3HwVF</v>
      </c>
      <c r="Z1162" s="16" t="str">
        <f>HYPERLINK($X1162&amp;SUBSTITUTE(マスタ!$C$3,"XXXXX",$W1162))</f>
        <v>https://www.youtube.com/live/5WLpYh7ET8Q?si=U6vokm2OYMw3HwVF&amp;t=3616s</v>
      </c>
      <c r="AA1162" s="12" t="str">
        <f t="shared" si="57"/>
        <v>LiSAunlasting (Tv size)</v>
      </c>
    </row>
    <row r="1163" spans="1:27" x14ac:dyDescent="0.4">
      <c r="A1163" s="14">
        <f t="shared" si="58"/>
        <v>1162</v>
      </c>
      <c r="B1163" s="14">
        <v>153</v>
      </c>
      <c r="C1163" s="21" t="s">
        <v>2464</v>
      </c>
      <c r="D1163" s="14" t="s">
        <v>888</v>
      </c>
      <c r="E1163" s="14" t="s">
        <v>889</v>
      </c>
      <c r="G1163" s="1" t="str">
        <f>_xlfn.XLOOKUP(B1163,M_YT_LIVE!A:A,M_YT_LIVE!F:F,"ERROR",0,1)</f>
        <v>音源</v>
      </c>
      <c r="W1163" s="13">
        <f t="shared" si="56"/>
        <v>3806</v>
      </c>
      <c r="X1163" s="12" t="str">
        <f>_xlfn.XLOOKUP($B1163,M_YT_LIVE!$A:$A,M_YT_LIVE!$D:$D)</f>
        <v>https://www.youtube.com/live/5WLpYh7ET8Q?si=U6vokm2OYMw3HwVF</v>
      </c>
      <c r="Z1163" s="16" t="str">
        <f>HYPERLINK($X1163&amp;SUBSTITUTE(マスタ!$C$3,"XXXXX",$W1163))</f>
        <v>https://www.youtube.com/live/5WLpYh7ET8Q?si=U6vokm2OYMw3HwVF&amp;t=3806s</v>
      </c>
      <c r="AA1163" s="12" t="str">
        <f t="shared" si="57"/>
        <v>Superfly愛をこめて花束を</v>
      </c>
    </row>
    <row r="1164" spans="1:27" x14ac:dyDescent="0.4">
      <c r="A1164" s="14">
        <f t="shared" si="58"/>
        <v>1163</v>
      </c>
      <c r="B1164" s="14">
        <v>153</v>
      </c>
      <c r="C1164" s="21" t="s">
        <v>2426</v>
      </c>
      <c r="D1164" s="14" t="s">
        <v>1022</v>
      </c>
      <c r="E1164" s="14" t="s">
        <v>390</v>
      </c>
      <c r="G1164" s="1" t="str">
        <f>_xlfn.XLOOKUP(B1164,M_YT_LIVE!A:A,M_YT_LIVE!F:F,"ERROR",0,1)</f>
        <v>音源</v>
      </c>
      <c r="W1164" s="13">
        <f t="shared" si="56"/>
        <v>4198</v>
      </c>
      <c r="X1164" s="12" t="str">
        <f>_xlfn.XLOOKUP($B1164,M_YT_LIVE!$A:$A,M_YT_LIVE!$D:$D)</f>
        <v>https://www.youtube.com/live/5WLpYh7ET8Q?si=U6vokm2OYMw3HwVF</v>
      </c>
      <c r="Z1164" s="16" t="str">
        <f>HYPERLINK($X1164&amp;SUBSTITUTE(マスタ!$C$3,"XXXXX",$W1164))</f>
        <v>https://www.youtube.com/live/5WLpYh7ET8Q?si=U6vokm2OYMw3HwVF&amp;t=4198s</v>
      </c>
      <c r="AA1164" s="12" t="str">
        <f t="shared" si="57"/>
        <v>LiSARising Hope</v>
      </c>
    </row>
    <row r="1165" spans="1:27" x14ac:dyDescent="0.4">
      <c r="A1165" s="14">
        <f t="shared" si="58"/>
        <v>1164</v>
      </c>
      <c r="B1165" s="14">
        <v>153</v>
      </c>
      <c r="C1165" s="21" t="s">
        <v>2465</v>
      </c>
      <c r="D1165" s="14" t="s">
        <v>2466</v>
      </c>
      <c r="E1165" s="14" t="s">
        <v>966</v>
      </c>
      <c r="G1165" s="1" t="str">
        <f>_xlfn.XLOOKUP(B1165,M_YT_LIVE!A:A,M_YT_LIVE!F:F,"ERROR",0,1)</f>
        <v>音源</v>
      </c>
      <c r="W1165" s="13">
        <f t="shared" si="56"/>
        <v>4600</v>
      </c>
      <c r="X1165" s="12" t="str">
        <f>_xlfn.XLOOKUP($B1165,M_YT_LIVE!$A:$A,M_YT_LIVE!$D:$D)</f>
        <v>https://www.youtube.com/live/5WLpYh7ET8Q?si=U6vokm2OYMw3HwVF</v>
      </c>
      <c r="Z1165" s="16" t="str">
        <f>HYPERLINK($X1165&amp;SUBSTITUTE(マスタ!$C$3,"XXXXX",$W1165))</f>
        <v>https://www.youtube.com/live/5WLpYh7ET8Q?si=U6vokm2OYMw3HwVF&amp;t=4600s</v>
      </c>
      <c r="AA1165" s="12" t="str">
        <f t="shared" si="57"/>
        <v>the peggies君のせい (Tv size)</v>
      </c>
    </row>
    <row r="1166" spans="1:27" x14ac:dyDescent="0.4">
      <c r="A1166" s="14">
        <f t="shared" si="58"/>
        <v>1165</v>
      </c>
      <c r="B1166" s="14">
        <v>153</v>
      </c>
      <c r="C1166" s="21" t="s">
        <v>2467</v>
      </c>
      <c r="D1166" s="14" t="s">
        <v>2468</v>
      </c>
      <c r="E1166" s="14" t="s">
        <v>390</v>
      </c>
      <c r="G1166" s="1" t="str">
        <f>_xlfn.XLOOKUP(B1166,M_YT_LIVE!A:A,M_YT_LIVE!F:F,"ERROR",0,1)</f>
        <v>音源</v>
      </c>
      <c r="W1166" s="13">
        <f t="shared" si="56"/>
        <v>4947</v>
      </c>
      <c r="X1166" s="12" t="str">
        <f>_xlfn.XLOOKUP($B1166,M_YT_LIVE!$A:$A,M_YT_LIVE!$D:$D)</f>
        <v>https://www.youtube.com/live/5WLpYh7ET8Q?si=U6vokm2OYMw3HwVF</v>
      </c>
      <c r="Z1166" s="16" t="str">
        <f>HYPERLINK($X1166&amp;SUBSTITUTE(マスタ!$C$3,"XXXXX",$W1166))</f>
        <v>https://www.youtube.com/live/5WLpYh7ET8Q?si=U6vokm2OYMw3HwVF&amp;t=4947s</v>
      </c>
      <c r="AA1166" s="12" t="str">
        <f t="shared" si="57"/>
        <v>LiSAADAMAS</v>
      </c>
    </row>
    <row r="1167" spans="1:27" x14ac:dyDescent="0.4">
      <c r="A1167" s="14">
        <f t="shared" si="58"/>
        <v>1166</v>
      </c>
      <c r="B1167" s="14">
        <v>153</v>
      </c>
      <c r="C1167" s="21" t="s">
        <v>1728</v>
      </c>
      <c r="D1167" s="14" t="s">
        <v>611</v>
      </c>
      <c r="E1167" s="14" t="s">
        <v>390</v>
      </c>
      <c r="G1167" s="1" t="str">
        <f>_xlfn.XLOOKUP(B1167,M_YT_LIVE!A:A,M_YT_LIVE!F:F,"ERROR",0,1)</f>
        <v>音源</v>
      </c>
      <c r="W1167" s="13">
        <f t="shared" si="56"/>
        <v>5386</v>
      </c>
      <c r="X1167" s="12" t="str">
        <f>_xlfn.XLOOKUP($B1167,M_YT_LIVE!$A:$A,M_YT_LIVE!$D:$D)</f>
        <v>https://www.youtube.com/live/5WLpYh7ET8Q?si=U6vokm2OYMw3HwVF</v>
      </c>
      <c r="Z1167" s="16" t="str">
        <f>HYPERLINK($X1167&amp;SUBSTITUTE(マスタ!$C$3,"XXXXX",$W1167))</f>
        <v>https://www.youtube.com/live/5WLpYh7ET8Q?si=U6vokm2OYMw3HwVF&amp;t=5386s</v>
      </c>
      <c r="AA1167" s="12" t="str">
        <f t="shared" si="57"/>
        <v>LiSA紅蓮華</v>
      </c>
    </row>
    <row r="1168" spans="1:27" x14ac:dyDescent="0.4">
      <c r="A1168" s="14">
        <f t="shared" si="58"/>
        <v>1167</v>
      </c>
      <c r="B1168" s="14">
        <v>154</v>
      </c>
      <c r="C1168" s="21" t="s">
        <v>2471</v>
      </c>
      <c r="D1168" s="14" t="s">
        <v>67</v>
      </c>
      <c r="E1168" s="14" t="s">
        <v>20</v>
      </c>
      <c r="G1168" s="1" t="str">
        <f>_xlfn.XLOOKUP(B1168,M_YT_LIVE!A:A,M_YT_LIVE!F:F,"ERROR",0,1)</f>
        <v>弾き語り</v>
      </c>
      <c r="W1168" s="13">
        <f t="shared" si="56"/>
        <v>419</v>
      </c>
      <c r="X1168" s="12" t="str">
        <f>_xlfn.XLOOKUP($B1168,M_YT_LIVE!$A:$A,M_YT_LIVE!$D:$D)</f>
        <v>https://www.youtube.com/live/lZby81fWXVY?si=_wcXehm3GgvfsGSB</v>
      </c>
      <c r="Z1168" s="16" t="str">
        <f>HYPERLINK($X1168&amp;SUBSTITUTE(マスタ!$C$3,"XXXXX",$W1168))</f>
        <v>https://www.youtube.com/live/lZby81fWXVY?si=_wcXehm3GgvfsGSB&amp;t=419s</v>
      </c>
      <c r="AA1168" s="12" t="str">
        <f t="shared" si="57"/>
        <v>Vaundy灯火</v>
      </c>
    </row>
    <row r="1169" spans="1:27" x14ac:dyDescent="0.4">
      <c r="A1169" s="14">
        <f t="shared" si="58"/>
        <v>1168</v>
      </c>
      <c r="B1169" s="14">
        <v>154</v>
      </c>
      <c r="C1169" s="21" t="s">
        <v>2472</v>
      </c>
      <c r="D1169" s="14" t="s">
        <v>702</v>
      </c>
      <c r="E1169" s="14" t="s">
        <v>703</v>
      </c>
      <c r="G1169" s="1" t="str">
        <f>_xlfn.XLOOKUP(B1169,M_YT_LIVE!A:A,M_YT_LIVE!F:F,"ERROR",0,1)</f>
        <v>弾き語り</v>
      </c>
      <c r="W1169" s="13">
        <f t="shared" si="56"/>
        <v>778</v>
      </c>
      <c r="X1169" s="12" t="str">
        <f>_xlfn.XLOOKUP($B1169,M_YT_LIVE!$A:$A,M_YT_LIVE!$D:$D)</f>
        <v>https://www.youtube.com/live/lZby81fWXVY?si=_wcXehm3GgvfsGSB</v>
      </c>
      <c r="Z1169" s="16" t="str">
        <f>HYPERLINK($X1169&amp;SUBSTITUTE(マスタ!$C$3,"XXXXX",$W1169))</f>
        <v>https://www.youtube.com/live/lZby81fWXVY?si=_wcXehm3GgvfsGSB&amp;t=778s</v>
      </c>
      <c r="AA1169" s="12" t="str">
        <f t="shared" si="57"/>
        <v>aikomilk</v>
      </c>
    </row>
    <row r="1170" spans="1:27" x14ac:dyDescent="0.4">
      <c r="A1170" s="14">
        <f t="shared" si="58"/>
        <v>1169</v>
      </c>
      <c r="B1170" s="14">
        <v>154</v>
      </c>
      <c r="C1170" s="21" t="s">
        <v>2190</v>
      </c>
      <c r="D1170" s="14" t="s">
        <v>2473</v>
      </c>
      <c r="E1170" s="14" t="s">
        <v>924</v>
      </c>
      <c r="G1170" s="1" t="str">
        <f>_xlfn.XLOOKUP(B1170,M_YT_LIVE!A:A,M_YT_LIVE!F:F,"ERROR",0,1)</f>
        <v>弾き語り</v>
      </c>
      <c r="W1170" s="13">
        <f t="shared" si="56"/>
        <v>1279</v>
      </c>
      <c r="X1170" s="12" t="str">
        <f>_xlfn.XLOOKUP($B1170,M_YT_LIVE!$A:$A,M_YT_LIVE!$D:$D)</f>
        <v>https://www.youtube.com/live/lZby81fWXVY?si=_wcXehm3GgvfsGSB</v>
      </c>
      <c r="Z1170" s="16" t="str">
        <f>HYPERLINK($X1170&amp;SUBSTITUTE(マスタ!$C$3,"XXXXX",$W1170))</f>
        <v>https://www.youtube.com/live/lZby81fWXVY?si=_wcXehm3GgvfsGSB&amp;t=1279s</v>
      </c>
      <c r="AA1170" s="12" t="str">
        <f t="shared" si="57"/>
        <v>幽音しの久しぶりだねの歌</v>
      </c>
    </row>
    <row r="1171" spans="1:27" x14ac:dyDescent="0.4">
      <c r="A1171" s="14">
        <f t="shared" si="58"/>
        <v>1170</v>
      </c>
      <c r="B1171" s="14">
        <v>154</v>
      </c>
      <c r="C1171" s="21" t="s">
        <v>2474</v>
      </c>
      <c r="D1171" s="14" t="s">
        <v>368</v>
      </c>
      <c r="E1171" s="14" t="s">
        <v>208</v>
      </c>
      <c r="G1171" s="1" t="str">
        <f>_xlfn.XLOOKUP(B1171,M_YT_LIVE!A:A,M_YT_LIVE!F:F,"ERROR",0,1)</f>
        <v>弾き語り</v>
      </c>
      <c r="W1171" s="13">
        <f t="shared" si="56"/>
        <v>1472</v>
      </c>
      <c r="X1171" s="12" t="str">
        <f>_xlfn.XLOOKUP($B1171,M_YT_LIVE!$A:$A,M_YT_LIVE!$D:$D)</f>
        <v>https://www.youtube.com/live/lZby81fWXVY?si=_wcXehm3GgvfsGSB</v>
      </c>
      <c r="Z1171" s="16" t="str">
        <f>HYPERLINK($X1171&amp;SUBSTITUTE(マスタ!$C$3,"XXXXX",$W1171))</f>
        <v>https://www.youtube.com/live/lZby81fWXVY?si=_wcXehm3GgvfsGSB&amp;t=1472s</v>
      </c>
      <c r="AA1171" s="12" t="str">
        <f t="shared" si="57"/>
        <v>supercell星が瞬くこんな夜に</v>
      </c>
    </row>
    <row r="1172" spans="1:27" x14ac:dyDescent="0.4">
      <c r="A1172" s="14">
        <f t="shared" si="58"/>
        <v>1171</v>
      </c>
      <c r="B1172" s="14">
        <v>154</v>
      </c>
      <c r="C1172" s="21" t="s">
        <v>2475</v>
      </c>
      <c r="D1172" s="14" t="s">
        <v>312</v>
      </c>
      <c r="E1172" s="14" t="s">
        <v>208</v>
      </c>
      <c r="G1172" s="1" t="str">
        <f>_xlfn.XLOOKUP(B1172,M_YT_LIVE!A:A,M_YT_LIVE!F:F,"ERROR",0,1)</f>
        <v>弾き語り</v>
      </c>
      <c r="W1172" s="13">
        <f t="shared" si="56"/>
        <v>1830</v>
      </c>
      <c r="X1172" s="12" t="str">
        <f>_xlfn.XLOOKUP($B1172,M_YT_LIVE!$A:$A,M_YT_LIVE!$D:$D)</f>
        <v>https://www.youtube.com/live/lZby81fWXVY?si=_wcXehm3GgvfsGSB</v>
      </c>
      <c r="Z1172" s="16" t="str">
        <f>HYPERLINK($X1172&amp;SUBSTITUTE(マスタ!$C$3,"XXXXX",$W1172))</f>
        <v>https://www.youtube.com/live/lZby81fWXVY?si=_wcXehm3GgvfsGSB&amp;t=1830s</v>
      </c>
      <c r="AA1172" s="12" t="str">
        <f t="shared" si="57"/>
        <v>supercellリルモア</v>
      </c>
    </row>
    <row r="1173" spans="1:27" x14ac:dyDescent="0.4">
      <c r="A1173" s="14">
        <f t="shared" si="58"/>
        <v>1172</v>
      </c>
      <c r="B1173" s="14">
        <v>154</v>
      </c>
      <c r="C1173" s="21" t="s">
        <v>2476</v>
      </c>
      <c r="D1173" s="14" t="s">
        <v>913</v>
      </c>
      <c r="E1173" s="14" t="s">
        <v>914</v>
      </c>
      <c r="G1173" s="1" t="str">
        <f>_xlfn.XLOOKUP(B1173,M_YT_LIVE!A:A,M_YT_LIVE!F:F,"ERROR",0,1)</f>
        <v>弾き語り</v>
      </c>
      <c r="W1173" s="13">
        <f t="shared" si="56"/>
        <v>2230</v>
      </c>
      <c r="X1173" s="12" t="str">
        <f>_xlfn.XLOOKUP($B1173,M_YT_LIVE!$A:$A,M_YT_LIVE!$D:$D)</f>
        <v>https://www.youtube.com/live/lZby81fWXVY?si=_wcXehm3GgvfsGSB</v>
      </c>
      <c r="Z1173" s="16" t="str">
        <f>HYPERLINK($X1173&amp;SUBSTITUTE(マスタ!$C$3,"XXXXX",$W1173))</f>
        <v>https://www.youtube.com/live/lZby81fWXVY?si=_wcXehm3GgvfsGSB&amp;t=2230s</v>
      </c>
      <c r="AA1173" s="12" t="str">
        <f t="shared" si="57"/>
        <v>赤い公園サイダー</v>
      </c>
    </row>
    <row r="1174" spans="1:27" x14ac:dyDescent="0.4">
      <c r="A1174" s="14">
        <f t="shared" si="58"/>
        <v>1173</v>
      </c>
      <c r="B1174" s="14">
        <v>154</v>
      </c>
      <c r="C1174" s="21" t="s">
        <v>2477</v>
      </c>
      <c r="D1174" s="14" t="s">
        <v>289</v>
      </c>
      <c r="E1174" s="14" t="s">
        <v>135</v>
      </c>
      <c r="G1174" s="1" t="str">
        <f>_xlfn.XLOOKUP(B1174,M_YT_LIVE!A:A,M_YT_LIVE!F:F,"ERROR",0,1)</f>
        <v>弾き語り</v>
      </c>
      <c r="W1174" s="13">
        <f t="shared" si="56"/>
        <v>2613</v>
      </c>
      <c r="X1174" s="12" t="str">
        <f>_xlfn.XLOOKUP($B1174,M_YT_LIVE!$A:$A,M_YT_LIVE!$D:$D)</f>
        <v>https://www.youtube.com/live/lZby81fWXVY?si=_wcXehm3GgvfsGSB</v>
      </c>
      <c r="Z1174" s="16" t="str">
        <f>HYPERLINK($X1174&amp;SUBSTITUTE(マスタ!$C$3,"XXXXX",$W1174))</f>
        <v>https://www.youtube.com/live/lZby81fWXVY?si=_wcXehm3GgvfsGSB&amp;t=2613s</v>
      </c>
      <c r="AA1174" s="12" t="str">
        <f t="shared" si="57"/>
        <v>EGOIST雨、キミを連れて</v>
      </c>
    </row>
    <row r="1175" spans="1:27" x14ac:dyDescent="0.4">
      <c r="A1175" s="14">
        <f t="shared" si="58"/>
        <v>1174</v>
      </c>
      <c r="B1175" s="14">
        <v>154</v>
      </c>
      <c r="C1175" s="21" t="s">
        <v>2478</v>
      </c>
      <c r="D1175" s="14" t="s">
        <v>374</v>
      </c>
      <c r="E1175" s="14" t="s">
        <v>135</v>
      </c>
      <c r="G1175" s="1" t="str">
        <f>_xlfn.XLOOKUP(B1175,M_YT_LIVE!A:A,M_YT_LIVE!F:F,"ERROR",0,1)</f>
        <v>弾き語り</v>
      </c>
      <c r="W1175" s="13">
        <f t="shared" si="56"/>
        <v>2992</v>
      </c>
      <c r="X1175" s="12" t="str">
        <f>_xlfn.XLOOKUP($B1175,M_YT_LIVE!$A:$A,M_YT_LIVE!$D:$D)</f>
        <v>https://www.youtube.com/live/lZby81fWXVY?si=_wcXehm3GgvfsGSB</v>
      </c>
      <c r="Z1175" s="16" t="str">
        <f>HYPERLINK($X1175&amp;SUBSTITUTE(マスタ!$C$3,"XXXXX",$W1175))</f>
        <v>https://www.youtube.com/live/lZby81fWXVY?si=_wcXehm3GgvfsGSB&amp;t=2992s</v>
      </c>
      <c r="AA1175" s="12" t="str">
        <f t="shared" si="57"/>
        <v>EGOISTDepartures 〜あなたにおくるアイの歌〜</v>
      </c>
    </row>
    <row r="1176" spans="1:27" x14ac:dyDescent="0.4">
      <c r="A1176" s="14">
        <f t="shared" si="58"/>
        <v>1175</v>
      </c>
      <c r="B1176" s="14">
        <v>154</v>
      </c>
      <c r="C1176" s="21" t="s">
        <v>2479</v>
      </c>
      <c r="D1176" s="14" t="s">
        <v>134</v>
      </c>
      <c r="E1176" s="14" t="s">
        <v>135</v>
      </c>
      <c r="G1176" s="1" t="str">
        <f>_xlfn.XLOOKUP(B1176,M_YT_LIVE!A:A,M_YT_LIVE!F:F,"ERROR",0,1)</f>
        <v>弾き語り</v>
      </c>
      <c r="W1176" s="13">
        <f t="shared" si="56"/>
        <v>3355.0000000000005</v>
      </c>
      <c r="X1176" s="12" t="str">
        <f>_xlfn.XLOOKUP($B1176,M_YT_LIVE!$A:$A,M_YT_LIVE!$D:$D)</f>
        <v>https://www.youtube.com/live/lZby81fWXVY?si=_wcXehm3GgvfsGSB</v>
      </c>
      <c r="Z1176" s="16" t="str">
        <f>HYPERLINK($X1176&amp;SUBSTITUTE(マスタ!$C$3,"XXXXX",$W1176))</f>
        <v>https://www.youtube.com/live/lZby81fWXVY?si=_wcXehm3GgvfsGSB&amp;t=3355s</v>
      </c>
      <c r="AA1176" s="12" t="str">
        <f t="shared" si="57"/>
        <v>EGOISTGhost of a smile</v>
      </c>
    </row>
    <row r="1177" spans="1:27" x14ac:dyDescent="0.4">
      <c r="A1177" s="14">
        <f t="shared" si="58"/>
        <v>1176</v>
      </c>
      <c r="B1177" s="14">
        <v>154</v>
      </c>
      <c r="C1177" s="21" t="s">
        <v>2480</v>
      </c>
      <c r="D1177" s="14" t="s">
        <v>637</v>
      </c>
      <c r="E1177" s="14" t="s">
        <v>135</v>
      </c>
      <c r="G1177" s="1" t="str">
        <f>_xlfn.XLOOKUP(B1177,M_YT_LIVE!A:A,M_YT_LIVE!F:F,"ERROR",0,1)</f>
        <v>弾き語り</v>
      </c>
      <c r="W1177" s="13">
        <f t="shared" si="56"/>
        <v>3942</v>
      </c>
      <c r="X1177" s="12" t="str">
        <f>_xlfn.XLOOKUP($B1177,M_YT_LIVE!$A:$A,M_YT_LIVE!$D:$D)</f>
        <v>https://www.youtube.com/live/lZby81fWXVY?si=_wcXehm3GgvfsGSB</v>
      </c>
      <c r="Z1177" s="16" t="str">
        <f>HYPERLINK($X1177&amp;SUBSTITUTE(マスタ!$C$3,"XXXXX",$W1177))</f>
        <v>https://www.youtube.com/live/lZby81fWXVY?si=_wcXehm3GgvfsGSB&amp;t=3942s</v>
      </c>
      <c r="AA1177" s="12" t="str">
        <f t="shared" si="57"/>
        <v>EGOISTAll Alone With You</v>
      </c>
    </row>
    <row r="1178" spans="1:27" x14ac:dyDescent="0.4">
      <c r="A1178" s="14">
        <f t="shared" si="58"/>
        <v>1177</v>
      </c>
      <c r="B1178" s="14">
        <v>154</v>
      </c>
      <c r="C1178" s="21" t="s">
        <v>2481</v>
      </c>
      <c r="D1178" s="14" t="s">
        <v>218</v>
      </c>
      <c r="E1178" s="14" t="s">
        <v>208</v>
      </c>
      <c r="G1178" s="1" t="str">
        <f>_xlfn.XLOOKUP(B1178,M_YT_LIVE!A:A,M_YT_LIVE!F:F,"ERROR",0,1)</f>
        <v>弾き語り</v>
      </c>
      <c r="W1178" s="13">
        <f t="shared" si="56"/>
        <v>4425</v>
      </c>
      <c r="X1178" s="12" t="str">
        <f>_xlfn.XLOOKUP($B1178,M_YT_LIVE!$A:$A,M_YT_LIVE!$D:$D)</f>
        <v>https://www.youtube.com/live/lZby81fWXVY?si=_wcXehm3GgvfsGSB</v>
      </c>
      <c r="Z1178" s="16" t="str">
        <f>HYPERLINK($X1178&amp;SUBSTITUTE(マスタ!$C$3,"XXXXX",$W1178))</f>
        <v>https://www.youtube.com/live/lZby81fWXVY?si=_wcXehm3GgvfsGSB&amp;t=4425s</v>
      </c>
      <c r="AA1178" s="12" t="str">
        <f t="shared" si="57"/>
        <v>supercell君の知らない物語</v>
      </c>
    </row>
    <row r="1179" spans="1:27" x14ac:dyDescent="0.4">
      <c r="A1179" s="14">
        <f t="shared" si="58"/>
        <v>1178</v>
      </c>
      <c r="B1179" s="14">
        <v>154</v>
      </c>
      <c r="C1179" s="21" t="s">
        <v>2482</v>
      </c>
      <c r="D1179" s="14" t="s">
        <v>222</v>
      </c>
      <c r="E1179" s="14" t="s">
        <v>57</v>
      </c>
      <c r="G1179" s="1" t="str">
        <f>_xlfn.XLOOKUP(B1179,M_YT_LIVE!A:A,M_YT_LIVE!F:F,"ERROR",0,1)</f>
        <v>弾き語り</v>
      </c>
      <c r="W1179" s="13">
        <f t="shared" si="56"/>
        <v>4881</v>
      </c>
      <c r="X1179" s="12" t="str">
        <f>_xlfn.XLOOKUP($B1179,M_YT_LIVE!$A:$A,M_YT_LIVE!$D:$D)</f>
        <v>https://www.youtube.com/live/lZby81fWXVY?si=_wcXehm3GgvfsGSB</v>
      </c>
      <c r="Z1179" s="16" t="str">
        <f>HYPERLINK($X1179&amp;SUBSTITUTE(マスタ!$C$3,"XXXXX",$W1179))</f>
        <v>https://www.youtube.com/live/lZby81fWXVY?si=_wcXehm3GgvfsGSB&amp;t=4881s</v>
      </c>
      <c r="AA1179" s="12" t="str">
        <f t="shared" si="57"/>
        <v>羊文学光るとき</v>
      </c>
    </row>
    <row r="1180" spans="1:27" x14ac:dyDescent="0.4">
      <c r="A1180" s="14">
        <f t="shared" si="58"/>
        <v>1179</v>
      </c>
      <c r="B1180" s="14">
        <v>154</v>
      </c>
      <c r="C1180" s="21" t="s">
        <v>2483</v>
      </c>
      <c r="D1180" s="14" t="s">
        <v>1096</v>
      </c>
      <c r="E1180" s="14" t="s">
        <v>57</v>
      </c>
      <c r="G1180" s="1" t="str">
        <f>_xlfn.XLOOKUP(B1180,M_YT_LIVE!A:A,M_YT_LIVE!F:F,"ERROR",0,1)</f>
        <v>弾き語り</v>
      </c>
      <c r="W1180" s="13">
        <f t="shared" si="56"/>
        <v>5376</v>
      </c>
      <c r="X1180" s="12" t="str">
        <f>_xlfn.XLOOKUP($B1180,M_YT_LIVE!$A:$A,M_YT_LIVE!$D:$D)</f>
        <v>https://www.youtube.com/live/lZby81fWXVY?si=_wcXehm3GgvfsGSB</v>
      </c>
      <c r="Z1180" s="16" t="str">
        <f>HYPERLINK($X1180&amp;SUBSTITUTE(マスタ!$C$3,"XXXXX",$W1180))</f>
        <v>https://www.youtube.com/live/lZby81fWXVY?si=_wcXehm3GgvfsGSB&amp;t=5376s</v>
      </c>
      <c r="AA1180" s="12" t="str">
        <f t="shared" si="57"/>
        <v>羊文学永遠のブルー</v>
      </c>
    </row>
    <row r="1181" spans="1:27" x14ac:dyDescent="0.4">
      <c r="A1181" s="14">
        <f t="shared" si="58"/>
        <v>1180</v>
      </c>
      <c r="B1181" s="14">
        <v>154</v>
      </c>
      <c r="C1181" s="21" t="s">
        <v>2484</v>
      </c>
      <c r="D1181" s="14" t="s">
        <v>83</v>
      </c>
      <c r="E1181" s="14" t="s">
        <v>84</v>
      </c>
      <c r="G1181" s="1" t="str">
        <f>_xlfn.XLOOKUP(B1181,M_YT_LIVE!A:A,M_YT_LIVE!F:F,"ERROR",0,1)</f>
        <v>弾き語り</v>
      </c>
      <c r="W1181" s="13">
        <f t="shared" si="56"/>
        <v>5763</v>
      </c>
      <c r="X1181" s="12" t="str">
        <f>_xlfn.XLOOKUP($B1181,M_YT_LIVE!$A:$A,M_YT_LIVE!$D:$D)</f>
        <v>https://www.youtube.com/live/lZby81fWXVY?si=_wcXehm3GgvfsGSB</v>
      </c>
      <c r="Z1181" s="16" t="str">
        <f>HYPERLINK($X1181&amp;SUBSTITUTE(マスタ!$C$3,"XXXXX",$W1181))</f>
        <v>https://www.youtube.com/live/lZby81fWXVY?si=_wcXehm3GgvfsGSB&amp;t=5763s</v>
      </c>
      <c r="AA1181" s="12" t="str">
        <f t="shared" si="57"/>
        <v>木村弓いのちの名前</v>
      </c>
    </row>
    <row r="1182" spans="1:27" x14ac:dyDescent="0.4">
      <c r="A1182" s="14">
        <f t="shared" si="58"/>
        <v>1181</v>
      </c>
      <c r="B1182" s="14">
        <v>154</v>
      </c>
      <c r="C1182" s="21" t="s">
        <v>2485</v>
      </c>
      <c r="D1182" s="14" t="s">
        <v>477</v>
      </c>
      <c r="E1182" s="14" t="s">
        <v>478</v>
      </c>
      <c r="G1182" s="1" t="str">
        <f>_xlfn.XLOOKUP(B1182,M_YT_LIVE!A:A,M_YT_LIVE!F:F,"ERROR",0,1)</f>
        <v>弾き語り</v>
      </c>
      <c r="W1182" s="13">
        <f t="shared" si="56"/>
        <v>6276</v>
      </c>
      <c r="X1182" s="12" t="str">
        <f>_xlfn.XLOOKUP($B1182,M_YT_LIVE!$A:$A,M_YT_LIVE!$D:$D)</f>
        <v>https://www.youtube.com/live/lZby81fWXVY?si=_wcXehm3GgvfsGSB</v>
      </c>
      <c r="Z1182" s="16" t="str">
        <f>HYPERLINK($X1182&amp;SUBSTITUTE(マスタ!$C$3,"XXXXX",$W1182))</f>
        <v>https://www.youtube.com/live/lZby81fWXVY?si=_wcXehm3GgvfsGSB&amp;t=6276s</v>
      </c>
      <c r="AA1182" s="12" t="str">
        <f t="shared" si="57"/>
        <v>煮ル果実 feat.可不ナイトルール</v>
      </c>
    </row>
    <row r="1183" spans="1:27" x14ac:dyDescent="0.4">
      <c r="A1183" s="14">
        <f t="shared" si="58"/>
        <v>1182</v>
      </c>
      <c r="B1183" s="14">
        <v>154</v>
      </c>
      <c r="C1183" s="21" t="s">
        <v>2486</v>
      </c>
      <c r="D1183" s="14" t="s">
        <v>1837</v>
      </c>
      <c r="E1183" s="14" t="s">
        <v>547</v>
      </c>
      <c r="G1183" s="1" t="str">
        <f>_xlfn.XLOOKUP(B1183,M_YT_LIVE!A:A,M_YT_LIVE!F:F,"ERROR",0,1)</f>
        <v>弾き語り</v>
      </c>
      <c r="W1183" s="13">
        <f t="shared" si="56"/>
        <v>6769</v>
      </c>
      <c r="X1183" s="12" t="str">
        <f>_xlfn.XLOOKUP($B1183,M_YT_LIVE!$A:$A,M_YT_LIVE!$D:$D)</f>
        <v>https://www.youtube.com/live/lZby81fWXVY?si=_wcXehm3GgvfsGSB</v>
      </c>
      <c r="Z1183" s="16" t="str">
        <f>HYPERLINK($X1183&amp;SUBSTITUTE(マスタ!$C$3,"XXXXX",$W1183))</f>
        <v>https://www.youtube.com/live/lZby81fWXVY?si=_wcXehm3GgvfsGSB&amp;t=6769s</v>
      </c>
      <c r="AA1183" s="12" t="str">
        <f t="shared" si="57"/>
        <v>米津玄師春雷</v>
      </c>
    </row>
    <row r="1184" spans="1:27" x14ac:dyDescent="0.4">
      <c r="A1184" s="14">
        <f t="shared" si="58"/>
        <v>1183</v>
      </c>
      <c r="B1184" s="14">
        <v>155</v>
      </c>
      <c r="C1184" s="21" t="s">
        <v>2490</v>
      </c>
      <c r="D1184" s="14" t="s">
        <v>2489</v>
      </c>
      <c r="E1184" s="14" t="s">
        <v>2491</v>
      </c>
      <c r="G1184" s="1" t="str">
        <f>_xlfn.XLOOKUP(B1184,M_YT_LIVE!A:A,M_YT_LIVE!F:F,"ERROR",0,1)</f>
        <v>他</v>
      </c>
      <c r="W1184" s="13">
        <f t="shared" si="56"/>
        <v>5831</v>
      </c>
      <c r="X1184" s="12" t="str">
        <f>_xlfn.XLOOKUP($B1184,M_YT_LIVE!$A:$A,M_YT_LIVE!$D:$D)</f>
        <v>https://www.youtube.com/live/CgbUKXihteo?si=wC_GhD4UiJMSmN-2</v>
      </c>
      <c r="Z1184" s="16" t="str">
        <f>HYPERLINK($X1184&amp;SUBSTITUTE(マスタ!$C$3,"XXXXX",$W1184))</f>
        <v>https://www.youtube.com/live/CgbUKXihteo?si=wC_GhD4UiJMSmN-2&amp;t=5831s</v>
      </c>
      <c r="AA1184" s="12" t="str">
        <f t="shared" si="57"/>
        <v>幽音しの(即興)食べたいな</v>
      </c>
    </row>
    <row r="1185" spans="1:27" x14ac:dyDescent="0.4">
      <c r="A1185" s="14">
        <f t="shared" si="58"/>
        <v>1184</v>
      </c>
      <c r="B1185" s="14">
        <v>157</v>
      </c>
      <c r="C1185" s="21" t="s">
        <v>2496</v>
      </c>
      <c r="D1185" s="14" t="s">
        <v>297</v>
      </c>
      <c r="E1185" s="14" t="s">
        <v>298</v>
      </c>
      <c r="G1185" s="1" t="str">
        <f>_xlfn.XLOOKUP(B1185,M_YT_LIVE!A:A,M_YT_LIVE!F:F,"ERROR",0,1)</f>
        <v>弾き語り</v>
      </c>
      <c r="W1185" s="13">
        <f t="shared" si="56"/>
        <v>513</v>
      </c>
      <c r="X1185" s="12" t="str">
        <f>_xlfn.XLOOKUP($B1185,M_YT_LIVE!$A:$A,M_YT_LIVE!$D:$D)</f>
        <v>https://www.youtube.com/live/Bu9csWjEZX8?si=nJ9zG6seBCTHQymC</v>
      </c>
      <c r="Z1185" s="16" t="str">
        <f>HYPERLINK($X1185&amp;SUBSTITUTE(マスタ!$C$3,"XXXXX",$W1185))</f>
        <v>https://www.youtube.com/live/Bu9csWjEZX8?si=nJ9zG6seBCTHQymC&amp;t=513s</v>
      </c>
      <c r="AA1185" s="12" t="str">
        <f t="shared" si="57"/>
        <v>あいみょんマリーゴールド</v>
      </c>
    </row>
    <row r="1186" spans="1:27" x14ac:dyDescent="0.4">
      <c r="A1186" s="14">
        <f t="shared" si="58"/>
        <v>1185</v>
      </c>
      <c r="B1186" s="14">
        <v>157</v>
      </c>
      <c r="C1186" s="21" t="s">
        <v>2497</v>
      </c>
      <c r="D1186" s="14" t="s">
        <v>1474</v>
      </c>
      <c r="E1186" s="14" t="s">
        <v>141</v>
      </c>
      <c r="G1186" s="1" t="str">
        <f>_xlfn.XLOOKUP(B1186,M_YT_LIVE!A:A,M_YT_LIVE!F:F,"ERROR",0,1)</f>
        <v>弾き語り</v>
      </c>
      <c r="W1186" s="13">
        <f t="shared" si="56"/>
        <v>926</v>
      </c>
      <c r="X1186" s="12" t="str">
        <f>_xlfn.XLOOKUP($B1186,M_YT_LIVE!$A:$A,M_YT_LIVE!$D:$D)</f>
        <v>https://www.youtube.com/live/Bu9csWjEZX8?si=nJ9zG6seBCTHQymC</v>
      </c>
      <c r="Z1186" s="16" t="str">
        <f>HYPERLINK($X1186&amp;SUBSTITUTE(マスタ!$C$3,"XXXXX",$W1186))</f>
        <v>https://www.youtube.com/live/Bu9csWjEZX8?si=nJ9zG6seBCTHQymC&amp;t=926s</v>
      </c>
      <c r="AA1186" s="12" t="str">
        <f t="shared" si="57"/>
        <v>ヨルシカアポリア</v>
      </c>
    </row>
    <row r="1187" spans="1:27" x14ac:dyDescent="0.4">
      <c r="A1187" s="14">
        <f t="shared" si="58"/>
        <v>1186</v>
      </c>
      <c r="B1187" s="14">
        <v>157</v>
      </c>
      <c r="C1187" s="21" t="s">
        <v>1838</v>
      </c>
      <c r="D1187" s="14" t="s">
        <v>858</v>
      </c>
      <c r="E1187" s="14" t="s">
        <v>854</v>
      </c>
      <c r="G1187" s="1" t="str">
        <f>_xlfn.XLOOKUP(B1187,M_YT_LIVE!A:A,M_YT_LIVE!F:F,"ERROR",0,1)</f>
        <v>弾き語り</v>
      </c>
      <c r="W1187" s="13">
        <f t="shared" si="56"/>
        <v>1338</v>
      </c>
      <c r="X1187" s="12" t="str">
        <f>_xlfn.XLOOKUP($B1187,M_YT_LIVE!$A:$A,M_YT_LIVE!$D:$D)</f>
        <v>https://www.youtube.com/live/Bu9csWjEZX8?si=nJ9zG6seBCTHQymC</v>
      </c>
      <c r="Z1187" s="16" t="str">
        <f>HYPERLINK($X1187&amp;SUBSTITUTE(マスタ!$C$3,"XXXXX",$W1187))</f>
        <v>https://www.youtube.com/live/Bu9csWjEZX8?si=nJ9zG6seBCTHQymC&amp;t=1338s</v>
      </c>
      <c r="AA1187" s="12" t="str">
        <f t="shared" si="57"/>
        <v>いきものがかりブルーバード</v>
      </c>
    </row>
    <row r="1188" spans="1:27" x14ac:dyDescent="0.4">
      <c r="A1188" s="14">
        <f t="shared" si="58"/>
        <v>1187</v>
      </c>
      <c r="B1188" s="14">
        <v>157</v>
      </c>
      <c r="C1188" s="21" t="s">
        <v>2498</v>
      </c>
      <c r="D1188" s="14" t="s">
        <v>853</v>
      </c>
      <c r="E1188" s="14" t="s">
        <v>854</v>
      </c>
      <c r="G1188" s="1" t="str">
        <f>_xlfn.XLOOKUP(B1188,M_YT_LIVE!A:A,M_YT_LIVE!F:F,"ERROR",0,1)</f>
        <v>弾き語り</v>
      </c>
      <c r="W1188" s="13">
        <f t="shared" si="56"/>
        <v>1676</v>
      </c>
      <c r="X1188" s="12" t="str">
        <f>_xlfn.XLOOKUP($B1188,M_YT_LIVE!$A:$A,M_YT_LIVE!$D:$D)</f>
        <v>https://www.youtube.com/live/Bu9csWjEZX8?si=nJ9zG6seBCTHQymC</v>
      </c>
      <c r="Z1188" s="16" t="str">
        <f>HYPERLINK($X1188&amp;SUBSTITUTE(マスタ!$C$3,"XXXXX",$W1188))</f>
        <v>https://www.youtube.com/live/Bu9csWjEZX8?si=nJ9zG6seBCTHQymC&amp;t=1676s</v>
      </c>
      <c r="AA1188" s="12" t="str">
        <f t="shared" si="57"/>
        <v>いきものがかり気まぐれロマンティック</v>
      </c>
    </row>
    <row r="1189" spans="1:27" x14ac:dyDescent="0.4">
      <c r="A1189" s="14">
        <f t="shared" si="58"/>
        <v>1188</v>
      </c>
      <c r="B1189" s="14">
        <v>157</v>
      </c>
      <c r="C1189" s="21" t="s">
        <v>2499</v>
      </c>
      <c r="D1189" s="14" t="s">
        <v>167</v>
      </c>
      <c r="E1189" s="14" t="s">
        <v>168</v>
      </c>
      <c r="G1189" s="1" t="str">
        <f>_xlfn.XLOOKUP(B1189,M_YT_LIVE!A:A,M_YT_LIVE!F:F,"ERROR",0,1)</f>
        <v>弾き語り</v>
      </c>
      <c r="W1189" s="13">
        <f t="shared" si="56"/>
        <v>2100</v>
      </c>
      <c r="X1189" s="12" t="str">
        <f>_xlfn.XLOOKUP($B1189,M_YT_LIVE!$A:$A,M_YT_LIVE!$D:$D)</f>
        <v>https://www.youtube.com/live/Bu9csWjEZX8?si=nJ9zG6seBCTHQymC</v>
      </c>
      <c r="Z1189" s="16" t="str">
        <f>HYPERLINK($X1189&amp;SUBSTITUTE(マスタ!$C$3,"XXXXX",$W1189))</f>
        <v>https://www.youtube.com/live/Bu9csWjEZX8?si=nJ9zG6seBCTHQymC&amp;t=2100s</v>
      </c>
      <c r="AA1189" s="12" t="str">
        <f t="shared" si="57"/>
        <v>Aimerカタオモイ</v>
      </c>
    </row>
    <row r="1190" spans="1:27" x14ac:dyDescent="0.4">
      <c r="A1190" s="14">
        <f t="shared" si="58"/>
        <v>1189</v>
      </c>
      <c r="B1190" s="14">
        <v>157</v>
      </c>
      <c r="C1190" s="21" t="s">
        <v>2500</v>
      </c>
      <c r="D1190" s="14" t="s">
        <v>2501</v>
      </c>
      <c r="E1190" s="14" t="s">
        <v>1855</v>
      </c>
      <c r="G1190" s="1" t="str">
        <f>_xlfn.XLOOKUP(B1190,M_YT_LIVE!A:A,M_YT_LIVE!F:F,"ERROR",0,1)</f>
        <v>弾き語り</v>
      </c>
      <c r="W1190" s="13">
        <f t="shared" si="56"/>
        <v>2454</v>
      </c>
      <c r="X1190" s="12" t="str">
        <f>_xlfn.XLOOKUP($B1190,M_YT_LIVE!$A:$A,M_YT_LIVE!$D:$D)</f>
        <v>https://www.youtube.com/live/Bu9csWjEZX8?si=nJ9zG6seBCTHQymC</v>
      </c>
      <c r="Z1190" s="16" t="str">
        <f>HYPERLINK($X1190&amp;SUBSTITUTE(マスタ!$C$3,"XXXXX",$W1190))</f>
        <v>https://www.youtube.com/live/Bu9csWjEZX8?si=nJ9zG6seBCTHQymC&amp;t=2454s</v>
      </c>
      <c r="AA1190" s="12" t="str">
        <f t="shared" si="57"/>
        <v>SHISHAMO君と夏フェス</v>
      </c>
    </row>
    <row r="1191" spans="1:27" x14ac:dyDescent="0.4">
      <c r="A1191" s="14">
        <f t="shared" si="58"/>
        <v>1190</v>
      </c>
      <c r="B1191" s="14">
        <v>157</v>
      </c>
      <c r="C1191" s="21" t="s">
        <v>2502</v>
      </c>
      <c r="D1191" s="14" t="s">
        <v>2503</v>
      </c>
      <c r="E1191" s="14" t="s">
        <v>1855</v>
      </c>
      <c r="G1191" s="1" t="str">
        <f>_xlfn.XLOOKUP(B1191,M_YT_LIVE!A:A,M_YT_LIVE!F:F,"ERROR",0,1)</f>
        <v>弾き語り</v>
      </c>
      <c r="W1191" s="13">
        <f t="shared" si="56"/>
        <v>3312.9999999999995</v>
      </c>
      <c r="X1191" s="12" t="str">
        <f>_xlfn.XLOOKUP($B1191,M_YT_LIVE!$A:$A,M_YT_LIVE!$D:$D)</f>
        <v>https://www.youtube.com/live/Bu9csWjEZX8?si=nJ9zG6seBCTHQymC</v>
      </c>
      <c r="Z1191" s="16" t="str">
        <f>HYPERLINK($X1191&amp;SUBSTITUTE(マスタ!$C$3,"XXXXX",$W1191))</f>
        <v>https://www.youtube.com/live/Bu9csWjEZX8?si=nJ9zG6seBCTHQymC&amp;t=3313s</v>
      </c>
      <c r="AA1191" s="12" t="str">
        <f t="shared" si="57"/>
        <v>SHISHAMO行きたくない</v>
      </c>
    </row>
    <row r="1192" spans="1:27" x14ac:dyDescent="0.4">
      <c r="A1192" s="14">
        <f t="shared" si="58"/>
        <v>1191</v>
      </c>
      <c r="B1192" s="14">
        <v>157</v>
      </c>
      <c r="C1192" s="21" t="s">
        <v>2504</v>
      </c>
      <c r="D1192" s="14" t="s">
        <v>2505</v>
      </c>
      <c r="E1192" s="14" t="s">
        <v>1855</v>
      </c>
      <c r="G1192" s="1" t="str">
        <f>_xlfn.XLOOKUP(B1192,M_YT_LIVE!A:A,M_YT_LIVE!F:F,"ERROR",0,1)</f>
        <v>弾き語り</v>
      </c>
      <c r="W1192" s="13">
        <f t="shared" si="56"/>
        <v>3617.0000000000005</v>
      </c>
      <c r="X1192" s="12" t="str">
        <f>_xlfn.XLOOKUP($B1192,M_YT_LIVE!$A:$A,M_YT_LIVE!$D:$D)</f>
        <v>https://www.youtube.com/live/Bu9csWjEZX8?si=nJ9zG6seBCTHQymC</v>
      </c>
      <c r="Z1192" s="16" t="str">
        <f>HYPERLINK($X1192&amp;SUBSTITUTE(マスタ!$C$3,"XXXXX",$W1192))</f>
        <v>https://www.youtube.com/live/Bu9csWjEZX8?si=nJ9zG6seBCTHQymC&amp;t=3617s</v>
      </c>
      <c r="AA1192" s="12" t="str">
        <f t="shared" si="57"/>
        <v>SHISHAMO僕に彼女ができたんだ</v>
      </c>
    </row>
    <row r="1193" spans="1:27" x14ac:dyDescent="0.4">
      <c r="A1193" s="14">
        <f t="shared" si="58"/>
        <v>1192</v>
      </c>
      <c r="B1193" s="14">
        <v>157</v>
      </c>
      <c r="C1193" s="21" t="s">
        <v>2506</v>
      </c>
      <c r="D1193" s="14" t="s">
        <v>2507</v>
      </c>
      <c r="E1193" s="14" t="s">
        <v>507</v>
      </c>
      <c r="G1193" s="1" t="str">
        <f>_xlfn.XLOOKUP(B1193,M_YT_LIVE!A:A,M_YT_LIVE!F:F,"ERROR",0,1)</f>
        <v>弾き語り</v>
      </c>
      <c r="W1193" s="13">
        <f t="shared" si="56"/>
        <v>3999</v>
      </c>
      <c r="X1193" s="12" t="str">
        <f>_xlfn.XLOOKUP($B1193,M_YT_LIVE!$A:$A,M_YT_LIVE!$D:$D)</f>
        <v>https://www.youtube.com/live/Bu9csWjEZX8?si=nJ9zG6seBCTHQymC</v>
      </c>
      <c r="Z1193" s="16" t="str">
        <f>HYPERLINK($X1193&amp;SUBSTITUTE(マスタ!$C$3,"XXXXX",$W1193))</f>
        <v>https://www.youtube.com/live/Bu9csWjEZX8?si=nJ9zG6seBCTHQymC&amp;t=3999s</v>
      </c>
      <c r="AA1193" s="12" t="str">
        <f t="shared" si="57"/>
        <v>YOASOBI祝福</v>
      </c>
    </row>
    <row r="1194" spans="1:27" x14ac:dyDescent="0.4">
      <c r="A1194" s="14">
        <f t="shared" si="58"/>
        <v>1193</v>
      </c>
      <c r="B1194" s="14">
        <v>157</v>
      </c>
      <c r="C1194" s="21" t="s">
        <v>2508</v>
      </c>
      <c r="D1194" s="14" t="s">
        <v>1595</v>
      </c>
      <c r="E1194" s="14" t="s">
        <v>507</v>
      </c>
      <c r="G1194" s="1" t="str">
        <f>_xlfn.XLOOKUP(B1194,M_YT_LIVE!A:A,M_YT_LIVE!F:F,"ERROR",0,1)</f>
        <v>弾き語り</v>
      </c>
      <c r="W1194" s="13">
        <f t="shared" si="56"/>
        <v>4418</v>
      </c>
      <c r="X1194" s="12" t="str">
        <f>_xlfn.XLOOKUP($B1194,M_YT_LIVE!$A:$A,M_YT_LIVE!$D:$D)</f>
        <v>https://www.youtube.com/live/Bu9csWjEZX8?si=nJ9zG6seBCTHQymC</v>
      </c>
      <c r="Z1194" s="16" t="str">
        <f>HYPERLINK($X1194&amp;SUBSTITUTE(マスタ!$C$3,"XXXXX",$W1194))</f>
        <v>https://www.youtube.com/live/Bu9csWjEZX8?si=nJ9zG6seBCTHQymC&amp;t=4418s</v>
      </c>
      <c r="AA1194" s="12" t="str">
        <f t="shared" si="57"/>
        <v>YOASOBIハルジオン</v>
      </c>
    </row>
    <row r="1195" spans="1:27" x14ac:dyDescent="0.4">
      <c r="A1195" s="14">
        <f t="shared" si="58"/>
        <v>1194</v>
      </c>
      <c r="B1195" s="14">
        <v>157</v>
      </c>
      <c r="C1195" s="21" t="s">
        <v>2509</v>
      </c>
      <c r="D1195" s="14" t="s">
        <v>2021</v>
      </c>
      <c r="E1195" s="14" t="s">
        <v>507</v>
      </c>
      <c r="G1195" s="1" t="str">
        <f>_xlfn.XLOOKUP(B1195,M_YT_LIVE!A:A,M_YT_LIVE!F:F,"ERROR",0,1)</f>
        <v>弾き語り</v>
      </c>
      <c r="W1195" s="13">
        <f t="shared" si="56"/>
        <v>4769</v>
      </c>
      <c r="X1195" s="12" t="str">
        <f>_xlfn.XLOOKUP($B1195,M_YT_LIVE!$A:$A,M_YT_LIVE!$D:$D)</f>
        <v>https://www.youtube.com/live/Bu9csWjEZX8?si=nJ9zG6seBCTHQymC</v>
      </c>
      <c r="Z1195" s="16" t="str">
        <f>HYPERLINK($X1195&amp;SUBSTITUTE(マスタ!$C$3,"XXXXX",$W1195))</f>
        <v>https://www.youtube.com/live/Bu9csWjEZX8?si=nJ9zG6seBCTHQymC&amp;t=4769s</v>
      </c>
      <c r="AA1195" s="12" t="str">
        <f t="shared" si="57"/>
        <v>YOASOBI怪物</v>
      </c>
    </row>
    <row r="1196" spans="1:27" x14ac:dyDescent="0.4">
      <c r="A1196" s="14">
        <f t="shared" si="58"/>
        <v>1195</v>
      </c>
      <c r="B1196" s="14">
        <v>157</v>
      </c>
      <c r="C1196" s="21" t="s">
        <v>2510</v>
      </c>
      <c r="D1196" s="14" t="s">
        <v>2511</v>
      </c>
      <c r="E1196" s="14" t="s">
        <v>507</v>
      </c>
      <c r="G1196" s="1" t="str">
        <f>_xlfn.XLOOKUP(B1196,M_YT_LIVE!A:A,M_YT_LIVE!F:F,"ERROR",0,1)</f>
        <v>弾き語り</v>
      </c>
      <c r="W1196" s="13">
        <f t="shared" si="56"/>
        <v>5244</v>
      </c>
      <c r="X1196" s="12" t="str">
        <f>_xlfn.XLOOKUP($B1196,M_YT_LIVE!$A:$A,M_YT_LIVE!$D:$D)</f>
        <v>https://www.youtube.com/live/Bu9csWjEZX8?si=nJ9zG6seBCTHQymC</v>
      </c>
      <c r="Z1196" s="16" t="str">
        <f>HYPERLINK($X1196&amp;SUBSTITUTE(マスタ!$C$3,"XXXXX",$W1196))</f>
        <v>https://www.youtube.com/live/Bu9csWjEZX8?si=nJ9zG6seBCTHQymC&amp;t=5244s</v>
      </c>
      <c r="AA1196" s="12" t="str">
        <f t="shared" si="57"/>
        <v>YOASOBI大正浪漫 (1chorus)</v>
      </c>
    </row>
    <row r="1197" spans="1:27" x14ac:dyDescent="0.4">
      <c r="A1197" s="14">
        <f t="shared" si="58"/>
        <v>1196</v>
      </c>
      <c r="B1197" s="14">
        <v>157</v>
      </c>
      <c r="C1197" s="21" t="s">
        <v>2512</v>
      </c>
      <c r="D1197" s="14" t="s">
        <v>2513</v>
      </c>
      <c r="E1197" s="14" t="s">
        <v>338</v>
      </c>
      <c r="G1197" s="1" t="str">
        <f>_xlfn.XLOOKUP(B1197,M_YT_LIVE!A:A,M_YT_LIVE!F:F,"ERROR",0,1)</f>
        <v>弾き語り</v>
      </c>
      <c r="W1197" s="13">
        <f t="shared" si="56"/>
        <v>5562</v>
      </c>
      <c r="X1197" s="12" t="str">
        <f>_xlfn.XLOOKUP($B1197,M_YT_LIVE!$A:$A,M_YT_LIVE!$D:$D)</f>
        <v>https://www.youtube.com/live/Bu9csWjEZX8?si=nJ9zG6seBCTHQymC</v>
      </c>
      <c r="Z1197" s="16" t="str">
        <f>HYPERLINK($X1197&amp;SUBSTITUTE(マスタ!$C$3,"XXXXX",$W1197))</f>
        <v>https://www.youtube.com/live/Bu9csWjEZX8?si=nJ9zG6seBCTHQymC&amp;t=5562s</v>
      </c>
      <c r="AA1197" s="12" t="str">
        <f t="shared" si="57"/>
        <v>さユり花の塔</v>
      </c>
    </row>
    <row r="1198" spans="1:27" x14ac:dyDescent="0.4">
      <c r="A1198" s="14">
        <f t="shared" si="58"/>
        <v>1197</v>
      </c>
      <c r="B1198" s="14">
        <v>157</v>
      </c>
      <c r="C1198" s="21" t="s">
        <v>2514</v>
      </c>
      <c r="D1198" s="14" t="s">
        <v>589</v>
      </c>
      <c r="E1198" s="14" t="s">
        <v>338</v>
      </c>
      <c r="G1198" s="1" t="str">
        <f>_xlfn.XLOOKUP(B1198,M_YT_LIVE!A:A,M_YT_LIVE!F:F,"ERROR",0,1)</f>
        <v>弾き語り</v>
      </c>
      <c r="W1198" s="13">
        <f t="shared" si="56"/>
        <v>5912.0000000000009</v>
      </c>
      <c r="X1198" s="12" t="str">
        <f>_xlfn.XLOOKUP($B1198,M_YT_LIVE!$A:$A,M_YT_LIVE!$D:$D)</f>
        <v>https://www.youtube.com/live/Bu9csWjEZX8?si=nJ9zG6seBCTHQymC</v>
      </c>
      <c r="Z1198" s="16" t="str">
        <f>HYPERLINK($X1198&amp;SUBSTITUTE(マスタ!$C$3,"XXXXX",$W1198))</f>
        <v>https://www.youtube.com/live/Bu9csWjEZX8?si=nJ9zG6seBCTHQymC&amp;t=5912s</v>
      </c>
      <c r="AA1198" s="12" t="str">
        <f t="shared" si="57"/>
        <v>さユりミカヅキ</v>
      </c>
    </row>
    <row r="1199" spans="1:27" x14ac:dyDescent="0.4">
      <c r="A1199" s="14">
        <f t="shared" si="58"/>
        <v>1198</v>
      </c>
      <c r="B1199" s="14">
        <v>157</v>
      </c>
      <c r="C1199" s="21" t="s">
        <v>2515</v>
      </c>
      <c r="D1199" s="14" t="s">
        <v>1003</v>
      </c>
      <c r="E1199" s="14" t="s">
        <v>338</v>
      </c>
      <c r="G1199" s="1" t="str">
        <f>_xlfn.XLOOKUP(B1199,M_YT_LIVE!A:A,M_YT_LIVE!F:F,"ERROR",0,1)</f>
        <v>弾き語り</v>
      </c>
      <c r="W1199" s="13">
        <f t="shared" si="56"/>
        <v>6375</v>
      </c>
      <c r="X1199" s="12" t="str">
        <f>_xlfn.XLOOKUP($B1199,M_YT_LIVE!$A:$A,M_YT_LIVE!$D:$D)</f>
        <v>https://www.youtube.com/live/Bu9csWjEZX8?si=nJ9zG6seBCTHQymC</v>
      </c>
      <c r="Z1199" s="16" t="str">
        <f>HYPERLINK($X1199&amp;SUBSTITUTE(マスタ!$C$3,"XXXXX",$W1199))</f>
        <v>https://www.youtube.com/live/Bu9csWjEZX8?si=nJ9zG6seBCTHQymC&amp;t=6375s</v>
      </c>
      <c r="AA1199" s="12" t="str">
        <f t="shared" si="57"/>
        <v>さユり平行線</v>
      </c>
    </row>
    <row r="1200" spans="1:27" x14ac:dyDescent="0.4">
      <c r="A1200" s="14">
        <f t="shared" si="58"/>
        <v>1199</v>
      </c>
      <c r="B1200" s="14">
        <v>157</v>
      </c>
      <c r="C1200" s="21" t="s">
        <v>2516</v>
      </c>
      <c r="D1200" s="14" t="s">
        <v>351</v>
      </c>
      <c r="E1200" s="14" t="s">
        <v>192</v>
      </c>
      <c r="G1200" s="1" t="str">
        <f>_xlfn.XLOOKUP(B1200,M_YT_LIVE!A:A,M_YT_LIVE!F:F,"ERROR",0,1)</f>
        <v>弾き語り</v>
      </c>
      <c r="W1200" s="13">
        <f t="shared" si="56"/>
        <v>6961</v>
      </c>
      <c r="X1200" s="12" t="str">
        <f>_xlfn.XLOOKUP($B1200,M_YT_LIVE!$A:$A,M_YT_LIVE!$D:$D)</f>
        <v>https://www.youtube.com/live/Bu9csWjEZX8?si=nJ9zG6seBCTHQymC</v>
      </c>
      <c r="Z1200" s="16" t="str">
        <f>HYPERLINK($X1200&amp;SUBSTITUTE(マスタ!$C$3,"XXXXX",$W1200))</f>
        <v>https://www.youtube.com/live/Bu9csWjEZX8?si=nJ9zG6seBCTHQymC&amp;t=6961s</v>
      </c>
      <c r="AA1200" s="12" t="str">
        <f t="shared" si="57"/>
        <v>結束バンド忘れてやらない</v>
      </c>
    </row>
    <row r="1201" spans="1:27" x14ac:dyDescent="0.4">
      <c r="A1201" s="14">
        <f t="shared" si="58"/>
        <v>1200</v>
      </c>
      <c r="B1201" s="14">
        <v>157</v>
      </c>
      <c r="C1201" s="21" t="s">
        <v>2517</v>
      </c>
      <c r="D1201" s="14" t="s">
        <v>37</v>
      </c>
      <c r="E1201" s="14" t="s">
        <v>195</v>
      </c>
      <c r="G1201" s="1" t="str">
        <f>_xlfn.XLOOKUP(B1201,M_YT_LIVE!A:A,M_YT_LIVE!F:F,"ERROR",0,1)</f>
        <v>弾き語り</v>
      </c>
      <c r="W1201" s="13">
        <f t="shared" si="56"/>
        <v>7457</v>
      </c>
      <c r="X1201" s="12" t="str">
        <f>_xlfn.XLOOKUP($B1201,M_YT_LIVE!$A:$A,M_YT_LIVE!$D:$D)</f>
        <v>https://www.youtube.com/live/Bu9csWjEZX8?si=nJ9zG6seBCTHQymC</v>
      </c>
      <c r="Z1201" s="16" t="str">
        <f>HYPERLINK($X1201&amp;SUBSTITUTE(マスタ!$C$3,"XXXXX",$W1201))</f>
        <v>https://www.youtube.com/live/Bu9csWjEZX8?si=nJ9zG6seBCTHQymC&amp;t=7457s</v>
      </c>
      <c r="AA1201" s="12" t="str">
        <f t="shared" si="57"/>
        <v>やなぎなぎ春擬き</v>
      </c>
    </row>
    <row r="1202" spans="1:27" x14ac:dyDescent="0.4">
      <c r="A1202" s="14">
        <f t="shared" si="58"/>
        <v>1201</v>
      </c>
      <c r="B1202" s="14">
        <v>157</v>
      </c>
      <c r="C1202" s="21" t="s">
        <v>453</v>
      </c>
      <c r="D1202" s="14" t="s">
        <v>763</v>
      </c>
      <c r="E1202" s="14" t="s">
        <v>195</v>
      </c>
      <c r="G1202" s="1" t="str">
        <f>_xlfn.XLOOKUP(B1202,M_YT_LIVE!A:A,M_YT_LIVE!F:F,"ERROR",0,1)</f>
        <v>弾き語り</v>
      </c>
      <c r="W1202" s="13">
        <f t="shared" si="56"/>
        <v>7800</v>
      </c>
      <c r="X1202" s="12" t="str">
        <f>_xlfn.XLOOKUP($B1202,M_YT_LIVE!$A:$A,M_YT_LIVE!$D:$D)</f>
        <v>https://www.youtube.com/live/Bu9csWjEZX8?si=nJ9zG6seBCTHQymC</v>
      </c>
      <c r="Z1202" s="16" t="str">
        <f>HYPERLINK($X1202&amp;SUBSTITUTE(マスタ!$C$3,"XXXXX",$W1202))</f>
        <v>https://www.youtube.com/live/Bu9csWjEZX8?si=nJ9zG6seBCTHQymC&amp;t=7800s</v>
      </c>
      <c r="AA1202" s="12" t="str">
        <f t="shared" ref="AA1202:AA1265" si="59">TRIM(E1202)&amp;TRIM(D1202)</f>
        <v>やなぎなぎトコハナ</v>
      </c>
    </row>
    <row r="1203" spans="1:27" x14ac:dyDescent="0.4">
      <c r="A1203" s="14">
        <f t="shared" si="58"/>
        <v>1202</v>
      </c>
      <c r="B1203" s="14">
        <v>157</v>
      </c>
      <c r="C1203" s="21" t="s">
        <v>2518</v>
      </c>
      <c r="D1203" s="14" t="s">
        <v>765</v>
      </c>
      <c r="E1203" s="14" t="s">
        <v>195</v>
      </c>
      <c r="G1203" s="1" t="str">
        <f>_xlfn.XLOOKUP(B1203,M_YT_LIVE!A:A,M_YT_LIVE!F:F,"ERROR",0,1)</f>
        <v>弾き語り</v>
      </c>
      <c r="W1203" s="13">
        <f t="shared" si="56"/>
        <v>8165</v>
      </c>
      <c r="X1203" s="12" t="str">
        <f>_xlfn.XLOOKUP($B1203,M_YT_LIVE!$A:$A,M_YT_LIVE!$D:$D)</f>
        <v>https://www.youtube.com/live/Bu9csWjEZX8?si=nJ9zG6seBCTHQymC</v>
      </c>
      <c r="Z1203" s="16" t="str">
        <f>HYPERLINK($X1203&amp;SUBSTITUTE(マスタ!$C$3,"XXXXX",$W1203))</f>
        <v>https://www.youtube.com/live/Bu9csWjEZX8?si=nJ9zG6seBCTHQymC&amp;t=8165s</v>
      </c>
      <c r="AA1203" s="12" t="str">
        <f t="shared" si="59"/>
        <v>やなぎなぎover and over</v>
      </c>
    </row>
    <row r="1204" spans="1:27" x14ac:dyDescent="0.4">
      <c r="A1204" s="14">
        <f t="shared" si="58"/>
        <v>1203</v>
      </c>
      <c r="B1204" s="14">
        <v>157</v>
      </c>
      <c r="C1204" s="21" t="s">
        <v>2519</v>
      </c>
      <c r="D1204" s="14" t="s">
        <v>191</v>
      </c>
      <c r="E1204" s="14" t="s">
        <v>192</v>
      </c>
      <c r="G1204" s="1" t="str">
        <f>_xlfn.XLOOKUP(B1204,M_YT_LIVE!A:A,M_YT_LIVE!F:F,"ERROR",0,1)</f>
        <v>弾き語り</v>
      </c>
      <c r="W1204" s="13">
        <f t="shared" si="56"/>
        <v>8594</v>
      </c>
      <c r="X1204" s="12" t="str">
        <f>_xlfn.XLOOKUP($B1204,M_YT_LIVE!$A:$A,M_YT_LIVE!$D:$D)</f>
        <v>https://www.youtube.com/live/Bu9csWjEZX8?si=nJ9zG6seBCTHQymC</v>
      </c>
      <c r="Z1204" s="16" t="str">
        <f>HYPERLINK($X1204&amp;SUBSTITUTE(マスタ!$C$3,"XXXXX",$W1204))</f>
        <v>https://www.youtube.com/live/Bu9csWjEZX8?si=nJ9zG6seBCTHQymC&amp;t=8594s</v>
      </c>
      <c r="AA1204" s="12" t="str">
        <f t="shared" si="59"/>
        <v>結束バンド星座になれたら</v>
      </c>
    </row>
    <row r="1205" spans="1:27" x14ac:dyDescent="0.4">
      <c r="A1205" s="14">
        <f t="shared" si="58"/>
        <v>1204</v>
      </c>
      <c r="B1205" s="14">
        <v>157</v>
      </c>
      <c r="C1205" s="21" t="s">
        <v>2520</v>
      </c>
      <c r="D1205" s="14" t="s">
        <v>2407</v>
      </c>
      <c r="E1205" s="14" t="s">
        <v>2521</v>
      </c>
      <c r="G1205" s="1" t="str">
        <f>_xlfn.XLOOKUP(B1205,M_YT_LIVE!A:A,M_YT_LIVE!F:F,"ERROR",0,1)</f>
        <v>弾き語り</v>
      </c>
      <c r="W1205" s="13">
        <f t="shared" si="56"/>
        <v>9052</v>
      </c>
      <c r="X1205" s="12" t="str">
        <f>_xlfn.XLOOKUP($B1205,M_YT_LIVE!$A:$A,M_YT_LIVE!$D:$D)</f>
        <v>https://www.youtube.com/live/Bu9csWjEZX8?si=nJ9zG6seBCTHQymC</v>
      </c>
      <c r="Z1205" s="16" t="str">
        <f>HYPERLINK($X1205&amp;SUBSTITUTE(マスタ!$C$3,"XXXXX",$W1205))</f>
        <v>https://www.youtube.com/live/Bu9csWjEZX8?si=nJ9zG6seBCTHQymC&amp;t=9052s</v>
      </c>
      <c r="AA1205" s="12" t="str">
        <f t="shared" si="59"/>
        <v>れるりり feat.初音ミク＆鏡音リン&amp;GUMI神のまにまに</v>
      </c>
    </row>
    <row r="1206" spans="1:27" x14ac:dyDescent="0.4">
      <c r="A1206" s="14">
        <f t="shared" si="58"/>
        <v>1205</v>
      </c>
      <c r="B1206" s="14">
        <v>157</v>
      </c>
      <c r="C1206" s="21" t="s">
        <v>2522</v>
      </c>
      <c r="D1206" s="14" t="s">
        <v>789</v>
      </c>
      <c r="E1206" s="14" t="s">
        <v>790</v>
      </c>
      <c r="G1206" s="1" t="str">
        <f>_xlfn.XLOOKUP(B1206,M_YT_LIVE!A:A,M_YT_LIVE!F:F,"ERROR",0,1)</f>
        <v>弾き語り</v>
      </c>
      <c r="W1206" s="13">
        <f t="shared" si="56"/>
        <v>9450</v>
      </c>
      <c r="X1206" s="12" t="str">
        <f>_xlfn.XLOOKUP($B1206,M_YT_LIVE!$A:$A,M_YT_LIVE!$D:$D)</f>
        <v>https://www.youtube.com/live/Bu9csWjEZX8?si=nJ9zG6seBCTHQymC</v>
      </c>
      <c r="Z1206" s="16" t="str">
        <f>HYPERLINK($X1206&amp;SUBSTITUTE(マスタ!$C$3,"XXXXX",$W1206))</f>
        <v>https://www.youtube.com/live/Bu9csWjEZX8?si=nJ9zG6seBCTHQymC&amp;t=9450s</v>
      </c>
      <c r="AA1206" s="12" t="str">
        <f t="shared" si="59"/>
        <v>CHiCO with HoneyWorksカヌレ</v>
      </c>
    </row>
    <row r="1207" spans="1:27" x14ac:dyDescent="0.4">
      <c r="A1207" s="14">
        <f t="shared" si="58"/>
        <v>1206</v>
      </c>
      <c r="B1207" s="14">
        <v>158</v>
      </c>
      <c r="C1207" s="21" t="s">
        <v>690</v>
      </c>
      <c r="D1207" s="14" t="s">
        <v>2525</v>
      </c>
      <c r="E1207" s="14" t="s">
        <v>547</v>
      </c>
      <c r="G1207" s="1" t="str">
        <f>_xlfn.XLOOKUP(B1207,M_YT_LIVE!A:A,M_YT_LIVE!F:F,"ERROR",0,1)</f>
        <v>音源</v>
      </c>
      <c r="W1207" s="13">
        <f t="shared" si="56"/>
        <v>455</v>
      </c>
      <c r="X1207" s="12" t="str">
        <f>_xlfn.XLOOKUP($B1207,M_YT_LIVE!$A:$A,M_YT_LIVE!$D:$D)</f>
        <v>https://www.youtube.com/live/klsCzXR7fdY?si=mNcCv4SglRHHCRHx</v>
      </c>
      <c r="Z1207" s="16" t="str">
        <f>HYPERLINK($X1207&amp;SUBSTITUTE(マスタ!$C$3,"XXXXX",$W1207))</f>
        <v>https://www.youtube.com/live/klsCzXR7fdY?si=mNcCv4SglRHHCRHx&amp;t=455s</v>
      </c>
      <c r="AA1207" s="12" t="str">
        <f t="shared" si="59"/>
        <v>米津玄師IRIS OUT</v>
      </c>
    </row>
    <row r="1208" spans="1:27" x14ac:dyDescent="0.4">
      <c r="A1208" s="14">
        <f t="shared" si="58"/>
        <v>1207</v>
      </c>
      <c r="B1208" s="14">
        <v>158</v>
      </c>
      <c r="C1208" s="21" t="s">
        <v>2526</v>
      </c>
      <c r="D1208" s="14" t="s">
        <v>1185</v>
      </c>
      <c r="E1208" s="14" t="s">
        <v>742</v>
      </c>
      <c r="G1208" s="1" t="str">
        <f>_xlfn.XLOOKUP(B1208,M_YT_LIVE!A:A,M_YT_LIVE!F:F,"ERROR",0,1)</f>
        <v>音源</v>
      </c>
      <c r="W1208" s="13">
        <f t="shared" si="56"/>
        <v>796</v>
      </c>
      <c r="X1208" s="12" t="str">
        <f>_xlfn.XLOOKUP($B1208,M_YT_LIVE!$A:$A,M_YT_LIVE!$D:$D)</f>
        <v>https://www.youtube.com/live/klsCzXR7fdY?si=mNcCv4SglRHHCRHx</v>
      </c>
      <c r="Z1208" s="16" t="str">
        <f>HYPERLINK($X1208&amp;SUBSTITUTE(マスタ!$C$3,"XXXXX",$W1208))</f>
        <v>https://www.youtube.com/live/klsCzXR7fdY?si=mNcCv4SglRHHCRHx&amp;t=796s</v>
      </c>
      <c r="AA1208" s="12" t="str">
        <f t="shared" si="59"/>
        <v>KANA-BOONシルエット</v>
      </c>
    </row>
    <row r="1209" spans="1:27" x14ac:dyDescent="0.4">
      <c r="A1209" s="14">
        <f t="shared" si="58"/>
        <v>1208</v>
      </c>
      <c r="B1209" s="14">
        <v>158</v>
      </c>
      <c r="C1209" s="21" t="s">
        <v>2527</v>
      </c>
      <c r="D1209" s="14" t="s">
        <v>302</v>
      </c>
      <c r="E1209" s="14" t="s">
        <v>303</v>
      </c>
      <c r="G1209" s="1" t="str">
        <f>_xlfn.XLOOKUP(B1209,M_YT_LIVE!A:A,M_YT_LIVE!F:F,"ERROR",0,1)</f>
        <v>音源</v>
      </c>
      <c r="W1209" s="13">
        <f t="shared" si="56"/>
        <v>1253</v>
      </c>
      <c r="X1209" s="12" t="str">
        <f>_xlfn.XLOOKUP($B1209,M_YT_LIVE!$A:$A,M_YT_LIVE!$D:$D)</f>
        <v>https://www.youtube.com/live/klsCzXR7fdY?si=mNcCv4SglRHHCRHx</v>
      </c>
      <c r="Z1209" s="16" t="str">
        <f>HYPERLINK($X1209&amp;SUBSTITUTE(マスタ!$C$3,"XXXXX",$W1209))</f>
        <v>https://www.youtube.com/live/klsCzXR7fdY?si=mNcCv4SglRHHCRHx&amp;t=1253s</v>
      </c>
      <c r="AA1209" s="12" t="str">
        <f t="shared" si="59"/>
        <v>Kemu feat.Gumi地球最後の告白を</v>
      </c>
    </row>
    <row r="1210" spans="1:27" x14ac:dyDescent="0.4">
      <c r="A1210" s="14">
        <f t="shared" si="58"/>
        <v>1209</v>
      </c>
      <c r="B1210" s="14">
        <v>158</v>
      </c>
      <c r="C1210" s="21" t="s">
        <v>2528</v>
      </c>
      <c r="D1210" s="14" t="s">
        <v>2529</v>
      </c>
      <c r="E1210" s="14" t="s">
        <v>2530</v>
      </c>
      <c r="G1210" s="1" t="str">
        <f>_xlfn.XLOOKUP(B1210,M_YT_LIVE!A:A,M_YT_LIVE!F:F,"ERROR",0,1)</f>
        <v>音源</v>
      </c>
      <c r="W1210" s="13">
        <f t="shared" si="56"/>
        <v>1933</v>
      </c>
      <c r="X1210" s="12" t="str">
        <f>_xlfn.XLOOKUP($B1210,M_YT_LIVE!$A:$A,M_YT_LIVE!$D:$D)</f>
        <v>https://www.youtube.com/live/klsCzXR7fdY?si=mNcCv4SglRHHCRHx</v>
      </c>
      <c r="Z1210" s="16" t="str">
        <f>HYPERLINK($X1210&amp;SUBSTITUTE(マスタ!$C$3,"XXXXX",$W1210))</f>
        <v>https://www.youtube.com/live/klsCzXR7fdY?si=mNcCv4SglRHHCRHx&amp;t=1933s</v>
      </c>
      <c r="AA1210" s="12" t="str">
        <f t="shared" si="59"/>
        <v>M!LK好きすぎて滅！</v>
      </c>
    </row>
    <row r="1211" spans="1:27" x14ac:dyDescent="0.4">
      <c r="A1211" s="14">
        <f t="shared" si="58"/>
        <v>1210</v>
      </c>
      <c r="B1211" s="14">
        <v>158</v>
      </c>
      <c r="C1211" s="21" t="s">
        <v>113</v>
      </c>
      <c r="D1211" s="14" t="s">
        <v>1483</v>
      </c>
      <c r="E1211" s="14" t="s">
        <v>924</v>
      </c>
      <c r="G1211" s="1" t="str">
        <f>_xlfn.XLOOKUP(B1211,M_YT_LIVE!A:A,M_YT_LIVE!F:F,"ERROR",0,1)</f>
        <v>音源</v>
      </c>
      <c r="W1211" s="13">
        <f t="shared" si="56"/>
        <v>2497</v>
      </c>
      <c r="X1211" s="12" t="str">
        <f>_xlfn.XLOOKUP($B1211,M_YT_LIVE!$A:$A,M_YT_LIVE!$D:$D)</f>
        <v>https://www.youtube.com/live/klsCzXR7fdY?si=mNcCv4SglRHHCRHx</v>
      </c>
      <c r="Z1211" s="16" t="str">
        <f>HYPERLINK($X1211&amp;SUBSTITUTE(マスタ!$C$3,"XXXXX",$W1211))</f>
        <v>https://www.youtube.com/live/klsCzXR7fdY?si=mNcCv4SglRHHCRHx&amp;t=2497s</v>
      </c>
      <c r="AA1211" s="12" t="str">
        <f t="shared" si="59"/>
        <v>幽音しのFrom now on</v>
      </c>
    </row>
    <row r="1212" spans="1:27" x14ac:dyDescent="0.4">
      <c r="A1212" s="14">
        <f t="shared" si="58"/>
        <v>1211</v>
      </c>
      <c r="B1212" s="14"/>
      <c r="C1212" s="18"/>
      <c r="D1212" s="14"/>
      <c r="E1212" s="14"/>
      <c r="G1212" s="1">
        <f>_xlfn.XLOOKUP(B1212,M_YT_LIVE!A:A,M_YT_LIVE!F:F,"ERROR",0,1)</f>
        <v>0</v>
      </c>
      <c r="W1212" s="13" t="e">
        <f t="shared" si="56"/>
        <v>#VALUE!</v>
      </c>
      <c r="X1212" s="12">
        <f>_xlfn.XLOOKUP($B1212,M_YT_LIVE!$A:$A,M_YT_LIVE!$D:$D)</f>
        <v>0</v>
      </c>
      <c r="Z1212" s="16" t="e">
        <f>HYPERLINK($X1212&amp;SUBSTITUTE(マスタ!$C$3,"XXXXX",$W1212))</f>
        <v>#VALUE!</v>
      </c>
      <c r="AA1212" s="12" t="str">
        <f t="shared" si="59"/>
        <v/>
      </c>
    </row>
    <row r="1213" spans="1:27" x14ac:dyDescent="0.4">
      <c r="A1213" s="14">
        <f t="shared" si="58"/>
        <v>1212</v>
      </c>
      <c r="B1213" s="14"/>
      <c r="C1213" s="18"/>
      <c r="D1213" s="14"/>
      <c r="E1213" s="14"/>
      <c r="G1213" s="1">
        <f>_xlfn.XLOOKUP(B1213,M_YT_LIVE!A:A,M_YT_LIVE!F:F,"ERROR",0,1)</f>
        <v>0</v>
      </c>
      <c r="W1213" s="13" t="e">
        <f t="shared" si="56"/>
        <v>#VALUE!</v>
      </c>
      <c r="X1213" s="12">
        <f>_xlfn.XLOOKUP($B1213,M_YT_LIVE!$A:$A,M_YT_LIVE!$D:$D)</f>
        <v>0</v>
      </c>
      <c r="Z1213" s="16" t="e">
        <f>HYPERLINK($X1213&amp;SUBSTITUTE(マスタ!$C$3,"XXXXX",$W1213))</f>
        <v>#VALUE!</v>
      </c>
      <c r="AA1213" s="12" t="str">
        <f t="shared" si="59"/>
        <v/>
      </c>
    </row>
    <row r="1214" spans="1:27" x14ac:dyDescent="0.4">
      <c r="A1214" s="14">
        <f t="shared" si="58"/>
        <v>1213</v>
      </c>
      <c r="B1214" s="14"/>
      <c r="C1214" s="18"/>
      <c r="D1214" s="14"/>
      <c r="E1214" s="14"/>
      <c r="G1214" s="1">
        <f>_xlfn.XLOOKUP(B1214,M_YT_LIVE!A:A,M_YT_LIVE!F:F,"ERROR",0,1)</f>
        <v>0</v>
      </c>
      <c r="W1214" s="13" t="e">
        <f t="shared" si="56"/>
        <v>#VALUE!</v>
      </c>
      <c r="X1214" s="12">
        <f>_xlfn.XLOOKUP($B1214,M_YT_LIVE!$A:$A,M_YT_LIVE!$D:$D)</f>
        <v>0</v>
      </c>
      <c r="Z1214" s="16" t="e">
        <f>HYPERLINK($X1214&amp;SUBSTITUTE(マスタ!$C$3,"XXXXX",$W1214))</f>
        <v>#VALUE!</v>
      </c>
      <c r="AA1214" s="12" t="str">
        <f t="shared" si="59"/>
        <v/>
      </c>
    </row>
    <row r="1215" spans="1:27" x14ac:dyDescent="0.4">
      <c r="A1215" s="14">
        <f t="shared" si="58"/>
        <v>1214</v>
      </c>
      <c r="B1215" s="14"/>
      <c r="C1215" s="18"/>
      <c r="D1215" s="14"/>
      <c r="E1215" s="14"/>
      <c r="G1215" s="1">
        <f>_xlfn.XLOOKUP(B1215,M_YT_LIVE!A:A,M_YT_LIVE!F:F,"ERROR",0,1)</f>
        <v>0</v>
      </c>
      <c r="W1215" s="13" t="e">
        <f t="shared" si="56"/>
        <v>#VALUE!</v>
      </c>
      <c r="X1215" s="12">
        <f>_xlfn.XLOOKUP($B1215,M_YT_LIVE!$A:$A,M_YT_LIVE!$D:$D)</f>
        <v>0</v>
      </c>
      <c r="Z1215" s="16" t="e">
        <f>HYPERLINK($X1215&amp;SUBSTITUTE(マスタ!$C$3,"XXXXX",$W1215))</f>
        <v>#VALUE!</v>
      </c>
      <c r="AA1215" s="12" t="str">
        <f t="shared" si="59"/>
        <v/>
      </c>
    </row>
    <row r="1216" spans="1:27" x14ac:dyDescent="0.4">
      <c r="A1216" s="14">
        <f t="shared" si="58"/>
        <v>1215</v>
      </c>
      <c r="B1216" s="14"/>
      <c r="C1216" s="18"/>
      <c r="D1216" s="14"/>
      <c r="E1216" s="14"/>
      <c r="G1216" s="1">
        <f>_xlfn.XLOOKUP(B1216,M_YT_LIVE!A:A,M_YT_LIVE!F:F,"ERROR",0,1)</f>
        <v>0</v>
      </c>
      <c r="W1216" s="13" t="e">
        <f t="shared" si="56"/>
        <v>#VALUE!</v>
      </c>
      <c r="X1216" s="12">
        <f>_xlfn.XLOOKUP($B1216,M_YT_LIVE!$A:$A,M_YT_LIVE!$D:$D)</f>
        <v>0</v>
      </c>
      <c r="Z1216" s="16" t="e">
        <f>HYPERLINK($X1216&amp;SUBSTITUTE(マスタ!$C$3,"XXXXX",$W1216))</f>
        <v>#VALUE!</v>
      </c>
      <c r="AA1216" s="12" t="str">
        <f t="shared" si="59"/>
        <v/>
      </c>
    </row>
    <row r="1217" spans="1:27" x14ac:dyDescent="0.4">
      <c r="A1217" s="14">
        <f t="shared" si="58"/>
        <v>1216</v>
      </c>
      <c r="B1217" s="14"/>
      <c r="C1217" s="18"/>
      <c r="D1217" s="14"/>
      <c r="E1217" s="14"/>
      <c r="G1217" s="1">
        <f>_xlfn.XLOOKUP(B1217,M_YT_LIVE!A:A,M_YT_LIVE!F:F,"ERROR",0,1)</f>
        <v>0</v>
      </c>
      <c r="W1217" s="13" t="e">
        <f t="shared" si="56"/>
        <v>#VALUE!</v>
      </c>
      <c r="X1217" s="12">
        <f>_xlfn.XLOOKUP($B1217,M_YT_LIVE!$A:$A,M_YT_LIVE!$D:$D)</f>
        <v>0</v>
      </c>
      <c r="Z1217" s="16" t="e">
        <f>HYPERLINK($X1217&amp;SUBSTITUTE(マスタ!$C$3,"XXXXX",$W1217))</f>
        <v>#VALUE!</v>
      </c>
      <c r="AA1217" s="12" t="str">
        <f t="shared" si="59"/>
        <v/>
      </c>
    </row>
    <row r="1218" spans="1:27" x14ac:dyDescent="0.4">
      <c r="A1218" s="14">
        <f t="shared" si="58"/>
        <v>1217</v>
      </c>
      <c r="B1218" s="14"/>
      <c r="C1218" s="18"/>
      <c r="D1218" s="14"/>
      <c r="E1218" s="14"/>
      <c r="G1218" s="1">
        <f>_xlfn.XLOOKUP(B1218,M_YT_LIVE!A:A,M_YT_LIVE!F:F,"ERROR",0,1)</f>
        <v>0</v>
      </c>
      <c r="W1218" s="13" t="e">
        <f t="shared" si="56"/>
        <v>#VALUE!</v>
      </c>
      <c r="X1218" s="12">
        <f>_xlfn.XLOOKUP($B1218,M_YT_LIVE!$A:$A,M_YT_LIVE!$D:$D)</f>
        <v>0</v>
      </c>
      <c r="Z1218" s="16" t="e">
        <f>HYPERLINK($X1218&amp;SUBSTITUTE(マスタ!$C$3,"XXXXX",$W1218))</f>
        <v>#VALUE!</v>
      </c>
      <c r="AA1218" s="12" t="str">
        <f t="shared" si="59"/>
        <v/>
      </c>
    </row>
    <row r="1219" spans="1:27" x14ac:dyDescent="0.4">
      <c r="A1219" s="14">
        <f t="shared" si="58"/>
        <v>1218</v>
      </c>
      <c r="B1219" s="14"/>
      <c r="C1219" s="18"/>
      <c r="D1219" s="14"/>
      <c r="E1219" s="14"/>
      <c r="G1219" s="1">
        <f>_xlfn.XLOOKUP(B1219,M_YT_LIVE!A:A,M_YT_LIVE!F:F,"ERROR",0,1)</f>
        <v>0</v>
      </c>
      <c r="W1219" s="13" t="e">
        <f t="shared" si="56"/>
        <v>#VALUE!</v>
      </c>
      <c r="X1219" s="12">
        <f>_xlfn.XLOOKUP($B1219,M_YT_LIVE!$A:$A,M_YT_LIVE!$D:$D)</f>
        <v>0</v>
      </c>
      <c r="Z1219" s="16" t="e">
        <f>HYPERLINK($X1219&amp;SUBSTITUTE(マスタ!$C$3,"XXXXX",$W1219))</f>
        <v>#VALUE!</v>
      </c>
      <c r="AA1219" s="12" t="str">
        <f t="shared" si="59"/>
        <v/>
      </c>
    </row>
    <row r="1220" spans="1:27" x14ac:dyDescent="0.4">
      <c r="A1220" s="14">
        <f t="shared" si="58"/>
        <v>1219</v>
      </c>
      <c r="B1220" s="14"/>
      <c r="C1220" s="18"/>
      <c r="D1220" s="14"/>
      <c r="E1220" s="14"/>
      <c r="G1220" s="1">
        <f>_xlfn.XLOOKUP(B1220,M_YT_LIVE!A:A,M_YT_LIVE!F:F,"ERROR",0,1)</f>
        <v>0</v>
      </c>
      <c r="W1220" s="13" t="e">
        <f t="shared" ref="W1220:W1283" si="60">TIMEVALUE($C1220)*86400</f>
        <v>#VALUE!</v>
      </c>
      <c r="X1220" s="12">
        <f>_xlfn.XLOOKUP($B1220,M_YT_LIVE!$A:$A,M_YT_LIVE!$D:$D)</f>
        <v>0</v>
      </c>
      <c r="Z1220" s="16" t="e">
        <f>HYPERLINK($X1220&amp;SUBSTITUTE(マスタ!$C$3,"XXXXX",$W1220))</f>
        <v>#VALUE!</v>
      </c>
      <c r="AA1220" s="12" t="str">
        <f t="shared" si="59"/>
        <v/>
      </c>
    </row>
    <row r="1221" spans="1:27" x14ac:dyDescent="0.4">
      <c r="A1221" s="14">
        <f t="shared" si="58"/>
        <v>1220</v>
      </c>
      <c r="B1221" s="14"/>
      <c r="C1221" s="18"/>
      <c r="D1221" s="14"/>
      <c r="E1221" s="14"/>
      <c r="G1221" s="1">
        <f>_xlfn.XLOOKUP(B1221,M_YT_LIVE!A:A,M_YT_LIVE!F:F,"ERROR",0,1)</f>
        <v>0</v>
      </c>
      <c r="W1221" s="13" t="e">
        <f t="shared" si="60"/>
        <v>#VALUE!</v>
      </c>
      <c r="X1221" s="12">
        <f>_xlfn.XLOOKUP($B1221,M_YT_LIVE!$A:$A,M_YT_LIVE!$D:$D)</f>
        <v>0</v>
      </c>
      <c r="Z1221" s="16" t="e">
        <f>HYPERLINK($X1221&amp;SUBSTITUTE(マスタ!$C$3,"XXXXX",$W1221))</f>
        <v>#VALUE!</v>
      </c>
      <c r="AA1221" s="12" t="str">
        <f t="shared" si="59"/>
        <v/>
      </c>
    </row>
    <row r="1222" spans="1:27" x14ac:dyDescent="0.4">
      <c r="A1222" s="14">
        <f t="shared" ref="A1222:A1285" si="61">ROW()-1</f>
        <v>1221</v>
      </c>
      <c r="B1222" s="14"/>
      <c r="C1222" s="18"/>
      <c r="D1222" s="14"/>
      <c r="E1222" s="14"/>
      <c r="G1222" s="1">
        <f>_xlfn.XLOOKUP(B1222,M_YT_LIVE!A:A,M_YT_LIVE!F:F,"ERROR",0,1)</f>
        <v>0</v>
      </c>
      <c r="W1222" s="13" t="e">
        <f t="shared" si="60"/>
        <v>#VALUE!</v>
      </c>
      <c r="X1222" s="12">
        <f>_xlfn.XLOOKUP($B1222,M_YT_LIVE!$A:$A,M_YT_LIVE!$D:$D)</f>
        <v>0</v>
      </c>
      <c r="Z1222" s="16" t="e">
        <f>HYPERLINK($X1222&amp;SUBSTITUTE(マスタ!$C$3,"XXXXX",$W1222))</f>
        <v>#VALUE!</v>
      </c>
      <c r="AA1222" s="12" t="str">
        <f t="shared" si="59"/>
        <v/>
      </c>
    </row>
    <row r="1223" spans="1:27" x14ac:dyDescent="0.4">
      <c r="A1223" s="14">
        <f t="shared" si="61"/>
        <v>1222</v>
      </c>
      <c r="B1223" s="14"/>
      <c r="C1223" s="18"/>
      <c r="D1223" s="14"/>
      <c r="E1223" s="14"/>
      <c r="G1223" s="1">
        <f>_xlfn.XLOOKUP(B1223,M_YT_LIVE!A:A,M_YT_LIVE!F:F,"ERROR",0,1)</f>
        <v>0</v>
      </c>
      <c r="W1223" s="13" t="e">
        <f t="shared" si="60"/>
        <v>#VALUE!</v>
      </c>
      <c r="X1223" s="12">
        <f>_xlfn.XLOOKUP($B1223,M_YT_LIVE!$A:$A,M_YT_LIVE!$D:$D)</f>
        <v>0</v>
      </c>
      <c r="Z1223" s="16" t="e">
        <f>HYPERLINK($X1223&amp;SUBSTITUTE(マスタ!$C$3,"XXXXX",$W1223))</f>
        <v>#VALUE!</v>
      </c>
      <c r="AA1223" s="12" t="str">
        <f t="shared" si="59"/>
        <v/>
      </c>
    </row>
    <row r="1224" spans="1:27" x14ac:dyDescent="0.4">
      <c r="A1224" s="14">
        <f t="shared" si="61"/>
        <v>1223</v>
      </c>
      <c r="B1224" s="14"/>
      <c r="C1224" s="18"/>
      <c r="D1224" s="14"/>
      <c r="E1224" s="14"/>
      <c r="G1224" s="1">
        <f>_xlfn.XLOOKUP(B1224,M_YT_LIVE!A:A,M_YT_LIVE!F:F,"ERROR",0,1)</f>
        <v>0</v>
      </c>
      <c r="W1224" s="13" t="e">
        <f t="shared" si="60"/>
        <v>#VALUE!</v>
      </c>
      <c r="X1224" s="12">
        <f>_xlfn.XLOOKUP($B1224,M_YT_LIVE!$A:$A,M_YT_LIVE!$D:$D)</f>
        <v>0</v>
      </c>
      <c r="Z1224" s="16" t="e">
        <f>HYPERLINK($X1224&amp;SUBSTITUTE(マスタ!$C$3,"XXXXX",$W1224))</f>
        <v>#VALUE!</v>
      </c>
      <c r="AA1224" s="12" t="str">
        <f t="shared" si="59"/>
        <v/>
      </c>
    </row>
    <row r="1225" spans="1:27" x14ac:dyDescent="0.4">
      <c r="A1225" s="14">
        <f t="shared" si="61"/>
        <v>1224</v>
      </c>
      <c r="B1225" s="14"/>
      <c r="C1225" s="18"/>
      <c r="D1225" s="14"/>
      <c r="E1225" s="14"/>
      <c r="G1225" s="1">
        <f>_xlfn.XLOOKUP(B1225,M_YT_LIVE!A:A,M_YT_LIVE!F:F,"ERROR",0,1)</f>
        <v>0</v>
      </c>
      <c r="W1225" s="13" t="e">
        <f t="shared" si="60"/>
        <v>#VALUE!</v>
      </c>
      <c r="X1225" s="12">
        <f>_xlfn.XLOOKUP($B1225,M_YT_LIVE!$A:$A,M_YT_LIVE!$D:$D)</f>
        <v>0</v>
      </c>
      <c r="Z1225" s="16" t="e">
        <f>HYPERLINK($X1225&amp;SUBSTITUTE(マスタ!$C$3,"XXXXX",$W1225))</f>
        <v>#VALUE!</v>
      </c>
      <c r="AA1225" s="12" t="str">
        <f t="shared" si="59"/>
        <v/>
      </c>
    </row>
    <row r="1226" spans="1:27" x14ac:dyDescent="0.4">
      <c r="A1226" s="14">
        <f t="shared" si="61"/>
        <v>1225</v>
      </c>
      <c r="B1226" s="14"/>
      <c r="C1226" s="18"/>
      <c r="D1226" s="14"/>
      <c r="E1226" s="14"/>
      <c r="G1226" s="1">
        <f>_xlfn.XLOOKUP(B1226,M_YT_LIVE!A:A,M_YT_LIVE!F:F,"ERROR",0,1)</f>
        <v>0</v>
      </c>
      <c r="W1226" s="13" t="e">
        <f t="shared" si="60"/>
        <v>#VALUE!</v>
      </c>
      <c r="X1226" s="12">
        <f>_xlfn.XLOOKUP($B1226,M_YT_LIVE!$A:$A,M_YT_LIVE!$D:$D)</f>
        <v>0</v>
      </c>
      <c r="Z1226" s="16" t="e">
        <f>HYPERLINK($X1226&amp;SUBSTITUTE(マスタ!$C$3,"XXXXX",$W1226))</f>
        <v>#VALUE!</v>
      </c>
      <c r="AA1226" s="12" t="str">
        <f t="shared" si="59"/>
        <v/>
      </c>
    </row>
    <row r="1227" spans="1:27" x14ac:dyDescent="0.4">
      <c r="A1227" s="14">
        <f t="shared" si="61"/>
        <v>1226</v>
      </c>
      <c r="B1227" s="14"/>
      <c r="C1227" s="18"/>
      <c r="D1227" s="14"/>
      <c r="E1227" s="14"/>
      <c r="G1227" s="1">
        <f>_xlfn.XLOOKUP(B1227,M_YT_LIVE!A:A,M_YT_LIVE!F:F,"ERROR",0,1)</f>
        <v>0</v>
      </c>
      <c r="W1227" s="13" t="e">
        <f t="shared" si="60"/>
        <v>#VALUE!</v>
      </c>
      <c r="X1227" s="12">
        <f>_xlfn.XLOOKUP($B1227,M_YT_LIVE!$A:$A,M_YT_LIVE!$D:$D)</f>
        <v>0</v>
      </c>
      <c r="Z1227" s="16" t="e">
        <f>HYPERLINK($X1227&amp;SUBSTITUTE(マスタ!$C$3,"XXXXX",$W1227))</f>
        <v>#VALUE!</v>
      </c>
      <c r="AA1227" s="12" t="str">
        <f t="shared" si="59"/>
        <v/>
      </c>
    </row>
    <row r="1228" spans="1:27" x14ac:dyDescent="0.4">
      <c r="A1228" s="14">
        <f t="shared" si="61"/>
        <v>1227</v>
      </c>
      <c r="B1228" s="14"/>
      <c r="C1228" s="18"/>
      <c r="D1228" s="14"/>
      <c r="E1228" s="14"/>
      <c r="G1228" s="1">
        <f>_xlfn.XLOOKUP(B1228,M_YT_LIVE!A:A,M_YT_LIVE!F:F,"ERROR",0,1)</f>
        <v>0</v>
      </c>
      <c r="W1228" s="13" t="e">
        <f t="shared" si="60"/>
        <v>#VALUE!</v>
      </c>
      <c r="X1228" s="12">
        <f>_xlfn.XLOOKUP($B1228,M_YT_LIVE!$A:$A,M_YT_LIVE!$D:$D)</f>
        <v>0</v>
      </c>
      <c r="Z1228" s="16" t="e">
        <f>HYPERLINK($X1228&amp;SUBSTITUTE(マスタ!$C$3,"XXXXX",$W1228))</f>
        <v>#VALUE!</v>
      </c>
      <c r="AA1228" s="12" t="str">
        <f t="shared" si="59"/>
        <v/>
      </c>
    </row>
    <row r="1229" spans="1:27" x14ac:dyDescent="0.4">
      <c r="A1229" s="14">
        <f t="shared" si="61"/>
        <v>1228</v>
      </c>
      <c r="B1229" s="14"/>
      <c r="C1229" s="18"/>
      <c r="D1229" s="14"/>
      <c r="E1229" s="14"/>
      <c r="G1229" s="1">
        <f>_xlfn.XLOOKUP(B1229,M_YT_LIVE!A:A,M_YT_LIVE!F:F,"ERROR",0,1)</f>
        <v>0</v>
      </c>
      <c r="W1229" s="13" t="e">
        <f t="shared" si="60"/>
        <v>#VALUE!</v>
      </c>
      <c r="X1229" s="12">
        <f>_xlfn.XLOOKUP($B1229,M_YT_LIVE!$A:$A,M_YT_LIVE!$D:$D)</f>
        <v>0</v>
      </c>
      <c r="Z1229" s="16" t="e">
        <f>HYPERLINK($X1229&amp;SUBSTITUTE(マスタ!$C$3,"XXXXX",$W1229))</f>
        <v>#VALUE!</v>
      </c>
      <c r="AA1229" s="12" t="str">
        <f t="shared" si="59"/>
        <v/>
      </c>
    </row>
    <row r="1230" spans="1:27" x14ac:dyDescent="0.4">
      <c r="A1230" s="14">
        <f t="shared" si="61"/>
        <v>1229</v>
      </c>
      <c r="B1230" s="14"/>
      <c r="C1230" s="18"/>
      <c r="D1230" s="14"/>
      <c r="E1230" s="14"/>
      <c r="G1230" s="1">
        <f>_xlfn.XLOOKUP(B1230,M_YT_LIVE!A:A,M_YT_LIVE!F:F,"ERROR",0,1)</f>
        <v>0</v>
      </c>
      <c r="W1230" s="13" t="e">
        <f t="shared" si="60"/>
        <v>#VALUE!</v>
      </c>
      <c r="X1230" s="12">
        <f>_xlfn.XLOOKUP($B1230,M_YT_LIVE!$A:$A,M_YT_LIVE!$D:$D)</f>
        <v>0</v>
      </c>
      <c r="Z1230" s="16" t="e">
        <f>HYPERLINK($X1230&amp;SUBSTITUTE(マスタ!$C$3,"XXXXX",$W1230))</f>
        <v>#VALUE!</v>
      </c>
      <c r="AA1230" s="12" t="str">
        <f t="shared" si="59"/>
        <v/>
      </c>
    </row>
    <row r="1231" spans="1:27" x14ac:dyDescent="0.4">
      <c r="A1231" s="14">
        <f t="shared" si="61"/>
        <v>1230</v>
      </c>
      <c r="B1231" s="14"/>
      <c r="C1231" s="18"/>
      <c r="D1231" s="14"/>
      <c r="E1231" s="14"/>
      <c r="G1231" s="1">
        <f>_xlfn.XLOOKUP(B1231,M_YT_LIVE!A:A,M_YT_LIVE!F:F,"ERROR",0,1)</f>
        <v>0</v>
      </c>
      <c r="W1231" s="13" t="e">
        <f t="shared" si="60"/>
        <v>#VALUE!</v>
      </c>
      <c r="X1231" s="12">
        <f>_xlfn.XLOOKUP($B1231,M_YT_LIVE!$A:$A,M_YT_LIVE!$D:$D)</f>
        <v>0</v>
      </c>
      <c r="Z1231" s="16" t="e">
        <f>HYPERLINK($X1231&amp;SUBSTITUTE(マスタ!$C$3,"XXXXX",$W1231))</f>
        <v>#VALUE!</v>
      </c>
      <c r="AA1231" s="12" t="str">
        <f t="shared" si="59"/>
        <v/>
      </c>
    </row>
    <row r="1232" spans="1:27" x14ac:dyDescent="0.4">
      <c r="A1232" s="14">
        <f t="shared" si="61"/>
        <v>1231</v>
      </c>
      <c r="B1232" s="14"/>
      <c r="C1232" s="18"/>
      <c r="D1232" s="14"/>
      <c r="E1232" s="14"/>
      <c r="G1232" s="1">
        <f>_xlfn.XLOOKUP(B1232,M_YT_LIVE!A:A,M_YT_LIVE!F:F,"ERROR",0,1)</f>
        <v>0</v>
      </c>
      <c r="W1232" s="13" t="e">
        <f t="shared" si="60"/>
        <v>#VALUE!</v>
      </c>
      <c r="X1232" s="12">
        <f>_xlfn.XLOOKUP($B1232,M_YT_LIVE!$A:$A,M_YT_LIVE!$D:$D)</f>
        <v>0</v>
      </c>
      <c r="Z1232" s="16" t="e">
        <f>HYPERLINK($X1232&amp;SUBSTITUTE(マスタ!$C$3,"XXXXX",$W1232))</f>
        <v>#VALUE!</v>
      </c>
      <c r="AA1232" s="12" t="str">
        <f t="shared" si="59"/>
        <v/>
      </c>
    </row>
    <row r="1233" spans="1:27" x14ac:dyDescent="0.4">
      <c r="A1233" s="14">
        <f t="shared" si="61"/>
        <v>1232</v>
      </c>
      <c r="B1233" s="14"/>
      <c r="C1233" s="18"/>
      <c r="D1233" s="14"/>
      <c r="E1233" s="14"/>
      <c r="G1233" s="1">
        <f>_xlfn.XLOOKUP(B1233,M_YT_LIVE!A:A,M_YT_LIVE!F:F,"ERROR",0,1)</f>
        <v>0</v>
      </c>
      <c r="W1233" s="13" t="e">
        <f t="shared" si="60"/>
        <v>#VALUE!</v>
      </c>
      <c r="X1233" s="12">
        <f>_xlfn.XLOOKUP($B1233,M_YT_LIVE!$A:$A,M_YT_LIVE!$D:$D)</f>
        <v>0</v>
      </c>
      <c r="Z1233" s="16" t="e">
        <f>HYPERLINK($X1233&amp;SUBSTITUTE(マスタ!$C$3,"XXXXX",$W1233))</f>
        <v>#VALUE!</v>
      </c>
      <c r="AA1233" s="12" t="str">
        <f t="shared" si="59"/>
        <v/>
      </c>
    </row>
    <row r="1234" spans="1:27" x14ac:dyDescent="0.4">
      <c r="A1234" s="14">
        <f t="shared" si="61"/>
        <v>1233</v>
      </c>
      <c r="B1234" s="14"/>
      <c r="C1234" s="18"/>
      <c r="D1234" s="14"/>
      <c r="E1234" s="14"/>
      <c r="G1234" s="1">
        <f>_xlfn.XLOOKUP(B1234,M_YT_LIVE!A:A,M_YT_LIVE!F:F,"ERROR",0,1)</f>
        <v>0</v>
      </c>
      <c r="W1234" s="13" t="e">
        <f t="shared" si="60"/>
        <v>#VALUE!</v>
      </c>
      <c r="X1234" s="12">
        <f>_xlfn.XLOOKUP($B1234,M_YT_LIVE!$A:$A,M_YT_LIVE!$D:$D)</f>
        <v>0</v>
      </c>
      <c r="Z1234" s="16" t="e">
        <f>HYPERLINK($X1234&amp;SUBSTITUTE(マスタ!$C$3,"XXXXX",$W1234))</f>
        <v>#VALUE!</v>
      </c>
      <c r="AA1234" s="12" t="str">
        <f t="shared" si="59"/>
        <v/>
      </c>
    </row>
    <row r="1235" spans="1:27" x14ac:dyDescent="0.4">
      <c r="A1235" s="14">
        <f t="shared" si="61"/>
        <v>1234</v>
      </c>
      <c r="B1235" s="14"/>
      <c r="C1235" s="18"/>
      <c r="D1235" s="14"/>
      <c r="E1235" s="14"/>
      <c r="G1235" s="1">
        <f>_xlfn.XLOOKUP(B1235,M_YT_LIVE!A:A,M_YT_LIVE!F:F,"ERROR",0,1)</f>
        <v>0</v>
      </c>
      <c r="W1235" s="13" t="e">
        <f t="shared" si="60"/>
        <v>#VALUE!</v>
      </c>
      <c r="X1235" s="12">
        <f>_xlfn.XLOOKUP($B1235,M_YT_LIVE!$A:$A,M_YT_LIVE!$D:$D)</f>
        <v>0</v>
      </c>
      <c r="Z1235" s="16" t="e">
        <f>HYPERLINK($X1235&amp;SUBSTITUTE(マスタ!$C$3,"XXXXX",$W1235))</f>
        <v>#VALUE!</v>
      </c>
      <c r="AA1235" s="12" t="str">
        <f t="shared" si="59"/>
        <v/>
      </c>
    </row>
    <row r="1236" spans="1:27" x14ac:dyDescent="0.4">
      <c r="A1236" s="14">
        <f t="shared" si="61"/>
        <v>1235</v>
      </c>
      <c r="B1236" s="14"/>
      <c r="C1236" s="18"/>
      <c r="D1236" s="14"/>
      <c r="E1236" s="14"/>
      <c r="G1236" s="1">
        <f>_xlfn.XLOOKUP(B1236,M_YT_LIVE!A:A,M_YT_LIVE!F:F,"ERROR",0,1)</f>
        <v>0</v>
      </c>
      <c r="W1236" s="13" t="e">
        <f t="shared" si="60"/>
        <v>#VALUE!</v>
      </c>
      <c r="X1236" s="12">
        <f>_xlfn.XLOOKUP($B1236,M_YT_LIVE!$A:$A,M_YT_LIVE!$D:$D)</f>
        <v>0</v>
      </c>
      <c r="Z1236" s="16" t="e">
        <f>HYPERLINK($X1236&amp;SUBSTITUTE(マスタ!$C$3,"XXXXX",$W1236))</f>
        <v>#VALUE!</v>
      </c>
      <c r="AA1236" s="12" t="str">
        <f t="shared" si="59"/>
        <v/>
      </c>
    </row>
    <row r="1237" spans="1:27" x14ac:dyDescent="0.4">
      <c r="A1237" s="14">
        <f t="shared" si="61"/>
        <v>1236</v>
      </c>
      <c r="B1237" s="14"/>
      <c r="C1237" s="18"/>
      <c r="D1237" s="14"/>
      <c r="E1237" s="14"/>
      <c r="G1237" s="1">
        <f>_xlfn.XLOOKUP(B1237,M_YT_LIVE!A:A,M_YT_LIVE!F:F,"ERROR",0,1)</f>
        <v>0</v>
      </c>
      <c r="W1237" s="13" t="e">
        <f t="shared" si="60"/>
        <v>#VALUE!</v>
      </c>
      <c r="X1237" s="12">
        <f>_xlfn.XLOOKUP($B1237,M_YT_LIVE!$A:$A,M_YT_LIVE!$D:$D)</f>
        <v>0</v>
      </c>
      <c r="Z1237" s="16" t="e">
        <f>HYPERLINK($X1237&amp;SUBSTITUTE(マスタ!$C$3,"XXXXX",$W1237))</f>
        <v>#VALUE!</v>
      </c>
      <c r="AA1237" s="12" t="str">
        <f t="shared" si="59"/>
        <v/>
      </c>
    </row>
    <row r="1238" spans="1:27" x14ac:dyDescent="0.4">
      <c r="A1238" s="14">
        <f t="shared" si="61"/>
        <v>1237</v>
      </c>
      <c r="B1238" s="14"/>
      <c r="C1238" s="18"/>
      <c r="D1238" s="14"/>
      <c r="E1238" s="14"/>
      <c r="G1238" s="1">
        <f>_xlfn.XLOOKUP(B1238,M_YT_LIVE!A:A,M_YT_LIVE!F:F,"ERROR",0,1)</f>
        <v>0</v>
      </c>
      <c r="W1238" s="13" t="e">
        <f t="shared" si="60"/>
        <v>#VALUE!</v>
      </c>
      <c r="X1238" s="12">
        <f>_xlfn.XLOOKUP($B1238,M_YT_LIVE!$A:$A,M_YT_LIVE!$D:$D)</f>
        <v>0</v>
      </c>
      <c r="Z1238" s="16" t="e">
        <f>HYPERLINK($X1238&amp;SUBSTITUTE(マスタ!$C$3,"XXXXX",$W1238))</f>
        <v>#VALUE!</v>
      </c>
      <c r="AA1238" s="12" t="str">
        <f t="shared" si="59"/>
        <v/>
      </c>
    </row>
    <row r="1239" spans="1:27" x14ac:dyDescent="0.4">
      <c r="A1239" s="14">
        <f t="shared" si="61"/>
        <v>1238</v>
      </c>
      <c r="B1239" s="14"/>
      <c r="C1239" s="18"/>
      <c r="D1239" s="14"/>
      <c r="E1239" s="14"/>
      <c r="G1239" s="1">
        <f>_xlfn.XLOOKUP(B1239,M_YT_LIVE!A:A,M_YT_LIVE!F:F,"ERROR",0,1)</f>
        <v>0</v>
      </c>
      <c r="W1239" s="13" t="e">
        <f t="shared" si="60"/>
        <v>#VALUE!</v>
      </c>
      <c r="X1239" s="12">
        <f>_xlfn.XLOOKUP($B1239,M_YT_LIVE!$A:$A,M_YT_LIVE!$D:$D)</f>
        <v>0</v>
      </c>
      <c r="Z1239" s="16" t="e">
        <f>HYPERLINK($X1239&amp;SUBSTITUTE(マスタ!$C$3,"XXXXX",$W1239))</f>
        <v>#VALUE!</v>
      </c>
      <c r="AA1239" s="12" t="str">
        <f t="shared" si="59"/>
        <v/>
      </c>
    </row>
    <row r="1240" spans="1:27" x14ac:dyDescent="0.4">
      <c r="A1240" s="14">
        <f t="shared" si="61"/>
        <v>1239</v>
      </c>
      <c r="B1240" s="14"/>
      <c r="C1240" s="18"/>
      <c r="D1240" s="14"/>
      <c r="E1240" s="14"/>
      <c r="G1240" s="1">
        <f>_xlfn.XLOOKUP(B1240,M_YT_LIVE!A:A,M_YT_LIVE!F:F,"ERROR",0,1)</f>
        <v>0</v>
      </c>
      <c r="W1240" s="13" t="e">
        <f t="shared" si="60"/>
        <v>#VALUE!</v>
      </c>
      <c r="X1240" s="12">
        <f>_xlfn.XLOOKUP($B1240,M_YT_LIVE!$A:$A,M_YT_LIVE!$D:$D)</f>
        <v>0</v>
      </c>
      <c r="Z1240" s="16" t="e">
        <f>HYPERLINK($X1240&amp;SUBSTITUTE(マスタ!$C$3,"XXXXX",$W1240))</f>
        <v>#VALUE!</v>
      </c>
      <c r="AA1240" s="12" t="str">
        <f t="shared" si="59"/>
        <v/>
      </c>
    </row>
    <row r="1241" spans="1:27" x14ac:dyDescent="0.4">
      <c r="A1241" s="14">
        <f t="shared" si="61"/>
        <v>1240</v>
      </c>
      <c r="B1241" s="14"/>
      <c r="C1241" s="18"/>
      <c r="D1241" s="14"/>
      <c r="E1241" s="14"/>
      <c r="G1241" s="1">
        <f>_xlfn.XLOOKUP(B1241,M_YT_LIVE!A:A,M_YT_LIVE!F:F,"ERROR",0,1)</f>
        <v>0</v>
      </c>
      <c r="W1241" s="13" t="e">
        <f t="shared" si="60"/>
        <v>#VALUE!</v>
      </c>
      <c r="X1241" s="12">
        <f>_xlfn.XLOOKUP($B1241,M_YT_LIVE!$A:$A,M_YT_LIVE!$D:$D)</f>
        <v>0</v>
      </c>
      <c r="Z1241" s="16" t="e">
        <f>HYPERLINK($X1241&amp;SUBSTITUTE(マスタ!$C$3,"XXXXX",$W1241))</f>
        <v>#VALUE!</v>
      </c>
      <c r="AA1241" s="12" t="str">
        <f t="shared" si="59"/>
        <v/>
      </c>
    </row>
    <row r="1242" spans="1:27" x14ac:dyDescent="0.4">
      <c r="A1242" s="14">
        <f t="shared" si="61"/>
        <v>1241</v>
      </c>
      <c r="B1242" s="14"/>
      <c r="C1242" s="18"/>
      <c r="D1242" s="14"/>
      <c r="E1242" s="14"/>
      <c r="G1242" s="1">
        <f>_xlfn.XLOOKUP(B1242,M_YT_LIVE!A:A,M_YT_LIVE!F:F,"ERROR",0,1)</f>
        <v>0</v>
      </c>
      <c r="W1242" s="13" t="e">
        <f t="shared" si="60"/>
        <v>#VALUE!</v>
      </c>
      <c r="X1242" s="12">
        <f>_xlfn.XLOOKUP($B1242,M_YT_LIVE!$A:$A,M_YT_LIVE!$D:$D)</f>
        <v>0</v>
      </c>
      <c r="Z1242" s="16" t="e">
        <f>HYPERLINK($X1242&amp;SUBSTITUTE(マスタ!$C$3,"XXXXX",$W1242))</f>
        <v>#VALUE!</v>
      </c>
      <c r="AA1242" s="12" t="str">
        <f t="shared" si="59"/>
        <v/>
      </c>
    </row>
    <row r="1243" spans="1:27" x14ac:dyDescent="0.4">
      <c r="A1243" s="14">
        <f t="shared" si="61"/>
        <v>1242</v>
      </c>
      <c r="B1243" s="14"/>
      <c r="C1243" s="18"/>
      <c r="D1243" s="14"/>
      <c r="E1243" s="14"/>
      <c r="G1243" s="1">
        <f>_xlfn.XLOOKUP(B1243,M_YT_LIVE!A:A,M_YT_LIVE!F:F,"ERROR",0,1)</f>
        <v>0</v>
      </c>
      <c r="W1243" s="13" t="e">
        <f t="shared" si="60"/>
        <v>#VALUE!</v>
      </c>
      <c r="X1243" s="12">
        <f>_xlfn.XLOOKUP($B1243,M_YT_LIVE!$A:$A,M_YT_LIVE!$D:$D)</f>
        <v>0</v>
      </c>
      <c r="Z1243" s="16" t="e">
        <f>HYPERLINK($X1243&amp;SUBSTITUTE(マスタ!$C$3,"XXXXX",$W1243))</f>
        <v>#VALUE!</v>
      </c>
      <c r="AA1243" s="12" t="str">
        <f t="shared" si="59"/>
        <v/>
      </c>
    </row>
    <row r="1244" spans="1:27" x14ac:dyDescent="0.4">
      <c r="A1244" s="14">
        <f t="shared" si="61"/>
        <v>1243</v>
      </c>
      <c r="B1244" s="14"/>
      <c r="C1244" s="18"/>
      <c r="D1244" s="14"/>
      <c r="E1244" s="14"/>
      <c r="G1244" s="1">
        <f>_xlfn.XLOOKUP(B1244,M_YT_LIVE!A:A,M_YT_LIVE!F:F,"ERROR",0,1)</f>
        <v>0</v>
      </c>
      <c r="W1244" s="13" t="e">
        <f t="shared" si="60"/>
        <v>#VALUE!</v>
      </c>
      <c r="X1244" s="12">
        <f>_xlfn.XLOOKUP($B1244,M_YT_LIVE!$A:$A,M_YT_LIVE!$D:$D)</f>
        <v>0</v>
      </c>
      <c r="Z1244" s="16" t="e">
        <f>HYPERLINK($X1244&amp;SUBSTITUTE(マスタ!$C$3,"XXXXX",$W1244))</f>
        <v>#VALUE!</v>
      </c>
      <c r="AA1244" s="12" t="str">
        <f t="shared" si="59"/>
        <v/>
      </c>
    </row>
    <row r="1245" spans="1:27" x14ac:dyDescent="0.4">
      <c r="A1245" s="14">
        <f t="shared" si="61"/>
        <v>1244</v>
      </c>
      <c r="B1245" s="14"/>
      <c r="C1245" s="18"/>
      <c r="D1245" s="14"/>
      <c r="E1245" s="14"/>
      <c r="G1245" s="1">
        <f>_xlfn.XLOOKUP(B1245,M_YT_LIVE!A:A,M_YT_LIVE!F:F,"ERROR",0,1)</f>
        <v>0</v>
      </c>
      <c r="W1245" s="13" t="e">
        <f t="shared" si="60"/>
        <v>#VALUE!</v>
      </c>
      <c r="X1245" s="12">
        <f>_xlfn.XLOOKUP($B1245,M_YT_LIVE!$A:$A,M_YT_LIVE!$D:$D)</f>
        <v>0</v>
      </c>
      <c r="Z1245" s="16" t="e">
        <f>HYPERLINK($X1245&amp;SUBSTITUTE(マスタ!$C$3,"XXXXX",$W1245))</f>
        <v>#VALUE!</v>
      </c>
      <c r="AA1245" s="12" t="str">
        <f t="shared" si="59"/>
        <v/>
      </c>
    </row>
    <row r="1246" spans="1:27" x14ac:dyDescent="0.4">
      <c r="A1246" s="14">
        <f t="shared" si="61"/>
        <v>1245</v>
      </c>
      <c r="B1246" s="14"/>
      <c r="C1246" s="18"/>
      <c r="D1246" s="14"/>
      <c r="E1246" s="14"/>
      <c r="G1246" s="1">
        <f>_xlfn.XLOOKUP(B1246,M_YT_LIVE!A:A,M_YT_LIVE!F:F,"ERROR",0,1)</f>
        <v>0</v>
      </c>
      <c r="W1246" s="13" t="e">
        <f t="shared" si="60"/>
        <v>#VALUE!</v>
      </c>
      <c r="X1246" s="12">
        <f>_xlfn.XLOOKUP($B1246,M_YT_LIVE!$A:$A,M_YT_LIVE!$D:$D)</f>
        <v>0</v>
      </c>
      <c r="Z1246" s="16" t="e">
        <f>HYPERLINK($X1246&amp;SUBSTITUTE(マスタ!$C$3,"XXXXX",$W1246))</f>
        <v>#VALUE!</v>
      </c>
      <c r="AA1246" s="12" t="str">
        <f t="shared" si="59"/>
        <v/>
      </c>
    </row>
    <row r="1247" spans="1:27" x14ac:dyDescent="0.4">
      <c r="A1247" s="14">
        <f t="shared" si="61"/>
        <v>1246</v>
      </c>
      <c r="B1247" s="14"/>
      <c r="C1247" s="18"/>
      <c r="D1247" s="14"/>
      <c r="E1247" s="14"/>
      <c r="G1247" s="1">
        <f>_xlfn.XLOOKUP(B1247,M_YT_LIVE!A:A,M_YT_LIVE!F:F,"ERROR",0,1)</f>
        <v>0</v>
      </c>
      <c r="W1247" s="13" t="e">
        <f t="shared" si="60"/>
        <v>#VALUE!</v>
      </c>
      <c r="X1247" s="12">
        <f>_xlfn.XLOOKUP($B1247,M_YT_LIVE!$A:$A,M_YT_LIVE!$D:$D)</f>
        <v>0</v>
      </c>
      <c r="Z1247" s="16" t="e">
        <f>HYPERLINK($X1247&amp;SUBSTITUTE(マスタ!$C$3,"XXXXX",$W1247))</f>
        <v>#VALUE!</v>
      </c>
      <c r="AA1247" s="12" t="str">
        <f t="shared" si="59"/>
        <v/>
      </c>
    </row>
    <row r="1248" spans="1:27" x14ac:dyDescent="0.4">
      <c r="A1248" s="14">
        <f t="shared" si="61"/>
        <v>1247</v>
      </c>
      <c r="B1248" s="14"/>
      <c r="C1248" s="18"/>
      <c r="D1248" s="14"/>
      <c r="E1248" s="14"/>
      <c r="G1248" s="1">
        <f>_xlfn.XLOOKUP(B1248,M_YT_LIVE!A:A,M_YT_LIVE!F:F,"ERROR",0,1)</f>
        <v>0</v>
      </c>
      <c r="W1248" s="13" t="e">
        <f t="shared" si="60"/>
        <v>#VALUE!</v>
      </c>
      <c r="X1248" s="12">
        <f>_xlfn.XLOOKUP($B1248,M_YT_LIVE!$A:$A,M_YT_LIVE!$D:$D)</f>
        <v>0</v>
      </c>
      <c r="Z1248" s="16" t="e">
        <f>HYPERLINK($X1248&amp;SUBSTITUTE(マスタ!$C$3,"XXXXX",$W1248))</f>
        <v>#VALUE!</v>
      </c>
      <c r="AA1248" s="12" t="str">
        <f t="shared" si="59"/>
        <v/>
      </c>
    </row>
    <row r="1249" spans="1:27" x14ac:dyDescent="0.4">
      <c r="A1249" s="14">
        <f t="shared" si="61"/>
        <v>1248</v>
      </c>
      <c r="B1249" s="14"/>
      <c r="C1249" s="18"/>
      <c r="D1249" s="14"/>
      <c r="E1249" s="14"/>
      <c r="G1249" s="1">
        <f>_xlfn.XLOOKUP(B1249,M_YT_LIVE!A:A,M_YT_LIVE!F:F,"ERROR",0,1)</f>
        <v>0</v>
      </c>
      <c r="W1249" s="13" t="e">
        <f t="shared" si="60"/>
        <v>#VALUE!</v>
      </c>
      <c r="X1249" s="12">
        <f>_xlfn.XLOOKUP($B1249,M_YT_LIVE!$A:$A,M_YT_LIVE!$D:$D)</f>
        <v>0</v>
      </c>
      <c r="Z1249" s="16" t="e">
        <f>HYPERLINK($X1249&amp;SUBSTITUTE(マスタ!$C$3,"XXXXX",$W1249))</f>
        <v>#VALUE!</v>
      </c>
      <c r="AA1249" s="12" t="str">
        <f t="shared" si="59"/>
        <v/>
      </c>
    </row>
    <row r="1250" spans="1:27" x14ac:dyDescent="0.4">
      <c r="A1250" s="14">
        <f t="shared" si="61"/>
        <v>1249</v>
      </c>
      <c r="B1250" s="14"/>
      <c r="C1250" s="18"/>
      <c r="D1250" s="14"/>
      <c r="E1250" s="14"/>
      <c r="G1250" s="1">
        <f>_xlfn.XLOOKUP(B1250,M_YT_LIVE!A:A,M_YT_LIVE!F:F,"ERROR",0,1)</f>
        <v>0</v>
      </c>
      <c r="W1250" s="13" t="e">
        <f t="shared" si="60"/>
        <v>#VALUE!</v>
      </c>
      <c r="X1250" s="12">
        <f>_xlfn.XLOOKUP($B1250,M_YT_LIVE!$A:$A,M_YT_LIVE!$D:$D)</f>
        <v>0</v>
      </c>
      <c r="Z1250" s="16" t="e">
        <f>HYPERLINK($X1250&amp;SUBSTITUTE(マスタ!$C$3,"XXXXX",$W1250))</f>
        <v>#VALUE!</v>
      </c>
      <c r="AA1250" s="12" t="str">
        <f t="shared" si="59"/>
        <v/>
      </c>
    </row>
    <row r="1251" spans="1:27" x14ac:dyDescent="0.4">
      <c r="A1251" s="14">
        <f t="shared" si="61"/>
        <v>1250</v>
      </c>
      <c r="B1251" s="14"/>
      <c r="C1251" s="18"/>
      <c r="D1251" s="14"/>
      <c r="E1251" s="14"/>
      <c r="G1251" s="1">
        <f>_xlfn.XLOOKUP(B1251,M_YT_LIVE!A:A,M_YT_LIVE!F:F,"ERROR",0,1)</f>
        <v>0</v>
      </c>
      <c r="W1251" s="13" t="e">
        <f t="shared" si="60"/>
        <v>#VALUE!</v>
      </c>
      <c r="X1251" s="12">
        <f>_xlfn.XLOOKUP($B1251,M_YT_LIVE!$A:$A,M_YT_LIVE!$D:$D)</f>
        <v>0</v>
      </c>
      <c r="Z1251" s="16" t="e">
        <f>HYPERLINK($X1251&amp;SUBSTITUTE(マスタ!$C$3,"XXXXX",$W1251))</f>
        <v>#VALUE!</v>
      </c>
      <c r="AA1251" s="12" t="str">
        <f t="shared" si="59"/>
        <v/>
      </c>
    </row>
    <row r="1252" spans="1:27" x14ac:dyDescent="0.4">
      <c r="A1252" s="14">
        <f t="shared" si="61"/>
        <v>1251</v>
      </c>
      <c r="B1252" s="14"/>
      <c r="C1252" s="18"/>
      <c r="D1252" s="14"/>
      <c r="E1252" s="14"/>
      <c r="G1252" s="1">
        <f>_xlfn.XLOOKUP(B1252,M_YT_LIVE!A:A,M_YT_LIVE!F:F,"ERROR",0,1)</f>
        <v>0</v>
      </c>
      <c r="W1252" s="13" t="e">
        <f t="shared" si="60"/>
        <v>#VALUE!</v>
      </c>
      <c r="X1252" s="12">
        <f>_xlfn.XLOOKUP($B1252,M_YT_LIVE!$A:$A,M_YT_LIVE!$D:$D)</f>
        <v>0</v>
      </c>
      <c r="Z1252" s="16" t="e">
        <f>HYPERLINK($X1252&amp;SUBSTITUTE(マスタ!$C$3,"XXXXX",$W1252))</f>
        <v>#VALUE!</v>
      </c>
      <c r="AA1252" s="12" t="str">
        <f t="shared" si="59"/>
        <v/>
      </c>
    </row>
    <row r="1253" spans="1:27" x14ac:dyDescent="0.4">
      <c r="A1253" s="14">
        <f t="shared" si="61"/>
        <v>1252</v>
      </c>
      <c r="B1253" s="14"/>
      <c r="C1253" s="18"/>
      <c r="D1253" s="14"/>
      <c r="E1253" s="14"/>
      <c r="G1253" s="1">
        <f>_xlfn.XLOOKUP(B1253,M_YT_LIVE!A:A,M_YT_LIVE!F:F,"ERROR",0,1)</f>
        <v>0</v>
      </c>
      <c r="W1253" s="13" t="e">
        <f t="shared" si="60"/>
        <v>#VALUE!</v>
      </c>
      <c r="X1253" s="12">
        <f>_xlfn.XLOOKUP($B1253,M_YT_LIVE!$A:$A,M_YT_LIVE!$D:$D)</f>
        <v>0</v>
      </c>
      <c r="Z1253" s="16" t="e">
        <f>HYPERLINK($X1253&amp;SUBSTITUTE(マスタ!$C$3,"XXXXX",$W1253))</f>
        <v>#VALUE!</v>
      </c>
      <c r="AA1253" s="12" t="str">
        <f t="shared" si="59"/>
        <v/>
      </c>
    </row>
    <row r="1254" spans="1:27" x14ac:dyDescent="0.4">
      <c r="A1254" s="14">
        <f t="shared" si="61"/>
        <v>1253</v>
      </c>
      <c r="B1254" s="14"/>
      <c r="C1254" s="18"/>
      <c r="D1254" s="14"/>
      <c r="E1254" s="14"/>
      <c r="G1254" s="1">
        <f>_xlfn.XLOOKUP(B1254,M_YT_LIVE!A:A,M_YT_LIVE!F:F,"ERROR",0,1)</f>
        <v>0</v>
      </c>
      <c r="W1254" s="13" t="e">
        <f t="shared" si="60"/>
        <v>#VALUE!</v>
      </c>
      <c r="X1254" s="12">
        <f>_xlfn.XLOOKUP($B1254,M_YT_LIVE!$A:$A,M_YT_LIVE!$D:$D)</f>
        <v>0</v>
      </c>
      <c r="Z1254" s="16" t="e">
        <f>HYPERLINK($X1254&amp;SUBSTITUTE(マスタ!$C$3,"XXXXX",$W1254))</f>
        <v>#VALUE!</v>
      </c>
      <c r="AA1254" s="12" t="str">
        <f t="shared" si="59"/>
        <v/>
      </c>
    </row>
    <row r="1255" spans="1:27" x14ac:dyDescent="0.4">
      <c r="A1255" s="14">
        <f t="shared" si="61"/>
        <v>1254</v>
      </c>
      <c r="B1255" s="14"/>
      <c r="C1255" s="18"/>
      <c r="D1255" s="14"/>
      <c r="E1255" s="14"/>
      <c r="G1255" s="1">
        <f>_xlfn.XLOOKUP(B1255,M_YT_LIVE!A:A,M_YT_LIVE!F:F,"ERROR",0,1)</f>
        <v>0</v>
      </c>
      <c r="W1255" s="13" t="e">
        <f t="shared" si="60"/>
        <v>#VALUE!</v>
      </c>
      <c r="X1255" s="12">
        <f>_xlfn.XLOOKUP($B1255,M_YT_LIVE!$A:$A,M_YT_LIVE!$D:$D)</f>
        <v>0</v>
      </c>
      <c r="Z1255" s="16" t="e">
        <f>HYPERLINK($X1255&amp;SUBSTITUTE(マスタ!$C$3,"XXXXX",$W1255))</f>
        <v>#VALUE!</v>
      </c>
      <c r="AA1255" s="12" t="str">
        <f t="shared" si="59"/>
        <v/>
      </c>
    </row>
    <row r="1256" spans="1:27" x14ac:dyDescent="0.4">
      <c r="A1256" s="14">
        <f t="shared" si="61"/>
        <v>1255</v>
      </c>
      <c r="B1256" s="14"/>
      <c r="C1256" s="18"/>
      <c r="D1256" s="14"/>
      <c r="E1256" s="14"/>
      <c r="G1256" s="1">
        <f>_xlfn.XLOOKUP(B1256,M_YT_LIVE!A:A,M_YT_LIVE!F:F,"ERROR",0,1)</f>
        <v>0</v>
      </c>
      <c r="W1256" s="13" t="e">
        <f t="shared" si="60"/>
        <v>#VALUE!</v>
      </c>
      <c r="X1256" s="12">
        <f>_xlfn.XLOOKUP($B1256,M_YT_LIVE!$A:$A,M_YT_LIVE!$D:$D)</f>
        <v>0</v>
      </c>
      <c r="Z1256" s="16" t="e">
        <f>HYPERLINK($X1256&amp;SUBSTITUTE(マスタ!$C$3,"XXXXX",$W1256))</f>
        <v>#VALUE!</v>
      </c>
      <c r="AA1256" s="12" t="str">
        <f t="shared" si="59"/>
        <v/>
      </c>
    </row>
    <row r="1257" spans="1:27" x14ac:dyDescent="0.4">
      <c r="A1257" s="14">
        <f t="shared" si="61"/>
        <v>1256</v>
      </c>
      <c r="B1257" s="14"/>
      <c r="C1257" s="18"/>
      <c r="D1257" s="14"/>
      <c r="E1257" s="14"/>
      <c r="G1257" s="1">
        <f>_xlfn.XLOOKUP(B1257,M_YT_LIVE!A:A,M_YT_LIVE!F:F,"ERROR",0,1)</f>
        <v>0</v>
      </c>
      <c r="W1257" s="13" t="e">
        <f t="shared" si="60"/>
        <v>#VALUE!</v>
      </c>
      <c r="X1257" s="12">
        <f>_xlfn.XLOOKUP($B1257,M_YT_LIVE!$A:$A,M_YT_LIVE!$D:$D)</f>
        <v>0</v>
      </c>
      <c r="Z1257" s="16" t="e">
        <f>HYPERLINK($X1257&amp;SUBSTITUTE(マスタ!$C$3,"XXXXX",$W1257))</f>
        <v>#VALUE!</v>
      </c>
      <c r="AA1257" s="12" t="str">
        <f t="shared" si="59"/>
        <v/>
      </c>
    </row>
    <row r="1258" spans="1:27" x14ac:dyDescent="0.4">
      <c r="A1258" s="14">
        <f t="shared" si="61"/>
        <v>1257</v>
      </c>
      <c r="B1258" s="14"/>
      <c r="C1258" s="18"/>
      <c r="D1258" s="14"/>
      <c r="E1258" s="14"/>
      <c r="G1258" s="1">
        <f>_xlfn.XLOOKUP(B1258,M_YT_LIVE!A:A,M_YT_LIVE!F:F,"ERROR",0,1)</f>
        <v>0</v>
      </c>
      <c r="W1258" s="13" t="e">
        <f t="shared" si="60"/>
        <v>#VALUE!</v>
      </c>
      <c r="X1258" s="12">
        <f>_xlfn.XLOOKUP($B1258,M_YT_LIVE!$A:$A,M_YT_LIVE!$D:$D)</f>
        <v>0</v>
      </c>
      <c r="Z1258" s="16" t="e">
        <f>HYPERLINK($X1258&amp;SUBSTITUTE(マスタ!$C$3,"XXXXX",$W1258))</f>
        <v>#VALUE!</v>
      </c>
      <c r="AA1258" s="12" t="str">
        <f t="shared" si="59"/>
        <v/>
      </c>
    </row>
    <row r="1259" spans="1:27" x14ac:dyDescent="0.4">
      <c r="A1259" s="14">
        <f t="shared" si="61"/>
        <v>1258</v>
      </c>
      <c r="B1259" s="14"/>
      <c r="C1259" s="18"/>
      <c r="D1259" s="14"/>
      <c r="E1259" s="14"/>
      <c r="G1259" s="1">
        <f>_xlfn.XLOOKUP(B1259,M_YT_LIVE!A:A,M_YT_LIVE!F:F,"ERROR",0,1)</f>
        <v>0</v>
      </c>
      <c r="W1259" s="13" t="e">
        <f t="shared" si="60"/>
        <v>#VALUE!</v>
      </c>
      <c r="X1259" s="12">
        <f>_xlfn.XLOOKUP($B1259,M_YT_LIVE!$A:$A,M_YT_LIVE!$D:$D)</f>
        <v>0</v>
      </c>
      <c r="Z1259" s="16" t="e">
        <f>HYPERLINK($X1259&amp;SUBSTITUTE(マスタ!$C$3,"XXXXX",$W1259))</f>
        <v>#VALUE!</v>
      </c>
      <c r="AA1259" s="12" t="str">
        <f t="shared" si="59"/>
        <v/>
      </c>
    </row>
    <row r="1260" spans="1:27" x14ac:dyDescent="0.4">
      <c r="A1260" s="14">
        <f t="shared" si="61"/>
        <v>1259</v>
      </c>
      <c r="B1260" s="14"/>
      <c r="C1260" s="18"/>
      <c r="D1260" s="14"/>
      <c r="E1260" s="14"/>
      <c r="G1260" s="1">
        <f>_xlfn.XLOOKUP(B1260,M_YT_LIVE!A:A,M_YT_LIVE!F:F,"ERROR",0,1)</f>
        <v>0</v>
      </c>
      <c r="W1260" s="13" t="e">
        <f t="shared" si="60"/>
        <v>#VALUE!</v>
      </c>
      <c r="X1260" s="12">
        <f>_xlfn.XLOOKUP($B1260,M_YT_LIVE!$A:$A,M_YT_LIVE!$D:$D)</f>
        <v>0</v>
      </c>
      <c r="Z1260" s="16" t="e">
        <f>HYPERLINK($X1260&amp;SUBSTITUTE(マスタ!$C$3,"XXXXX",$W1260))</f>
        <v>#VALUE!</v>
      </c>
      <c r="AA1260" s="12" t="str">
        <f t="shared" si="59"/>
        <v/>
      </c>
    </row>
    <row r="1261" spans="1:27" x14ac:dyDescent="0.4">
      <c r="A1261" s="14">
        <f t="shared" si="61"/>
        <v>1260</v>
      </c>
      <c r="B1261" s="14"/>
      <c r="C1261" s="18"/>
      <c r="D1261" s="14"/>
      <c r="E1261" s="14"/>
      <c r="G1261" s="1">
        <f>_xlfn.XLOOKUP(B1261,M_YT_LIVE!A:A,M_YT_LIVE!F:F,"ERROR",0,1)</f>
        <v>0</v>
      </c>
      <c r="W1261" s="13" t="e">
        <f t="shared" si="60"/>
        <v>#VALUE!</v>
      </c>
      <c r="X1261" s="12">
        <f>_xlfn.XLOOKUP($B1261,M_YT_LIVE!$A:$A,M_YT_LIVE!$D:$D)</f>
        <v>0</v>
      </c>
      <c r="Z1261" s="16" t="e">
        <f>HYPERLINK($X1261&amp;SUBSTITUTE(マスタ!$C$3,"XXXXX",$W1261))</f>
        <v>#VALUE!</v>
      </c>
      <c r="AA1261" s="12" t="str">
        <f t="shared" si="59"/>
        <v/>
      </c>
    </row>
    <row r="1262" spans="1:27" x14ac:dyDescent="0.4">
      <c r="A1262" s="14">
        <f t="shared" si="61"/>
        <v>1261</v>
      </c>
      <c r="B1262" s="14"/>
      <c r="C1262" s="18"/>
      <c r="D1262" s="14"/>
      <c r="E1262" s="14"/>
      <c r="G1262" s="1">
        <f>_xlfn.XLOOKUP(B1262,M_YT_LIVE!A:A,M_YT_LIVE!F:F,"ERROR",0,1)</f>
        <v>0</v>
      </c>
      <c r="W1262" s="13" t="e">
        <f t="shared" si="60"/>
        <v>#VALUE!</v>
      </c>
      <c r="X1262" s="12">
        <f>_xlfn.XLOOKUP($B1262,M_YT_LIVE!$A:$A,M_YT_LIVE!$D:$D)</f>
        <v>0</v>
      </c>
      <c r="Z1262" s="16" t="e">
        <f>HYPERLINK($X1262&amp;SUBSTITUTE(マスタ!$C$3,"XXXXX",$W1262))</f>
        <v>#VALUE!</v>
      </c>
      <c r="AA1262" s="12" t="str">
        <f t="shared" si="59"/>
        <v/>
      </c>
    </row>
    <row r="1263" spans="1:27" x14ac:dyDescent="0.4">
      <c r="A1263" s="14">
        <f t="shared" si="61"/>
        <v>1262</v>
      </c>
      <c r="B1263" s="14"/>
      <c r="C1263" s="18"/>
      <c r="D1263" s="14"/>
      <c r="E1263" s="14"/>
      <c r="G1263" s="1">
        <f>_xlfn.XLOOKUP(B1263,M_YT_LIVE!A:A,M_YT_LIVE!F:F,"ERROR",0,1)</f>
        <v>0</v>
      </c>
      <c r="W1263" s="13" t="e">
        <f t="shared" si="60"/>
        <v>#VALUE!</v>
      </c>
      <c r="X1263" s="12">
        <f>_xlfn.XLOOKUP($B1263,M_YT_LIVE!$A:$A,M_YT_LIVE!$D:$D)</f>
        <v>0</v>
      </c>
      <c r="Z1263" s="16" t="e">
        <f>HYPERLINK($X1263&amp;SUBSTITUTE(マスタ!$C$3,"XXXXX",$W1263))</f>
        <v>#VALUE!</v>
      </c>
      <c r="AA1263" s="12" t="str">
        <f t="shared" si="59"/>
        <v/>
      </c>
    </row>
    <row r="1264" spans="1:27" x14ac:dyDescent="0.4">
      <c r="A1264" s="14">
        <f t="shared" si="61"/>
        <v>1263</v>
      </c>
      <c r="B1264" s="14"/>
      <c r="C1264" s="18"/>
      <c r="D1264" s="14"/>
      <c r="E1264" s="14"/>
      <c r="G1264" s="1">
        <f>_xlfn.XLOOKUP(B1264,M_YT_LIVE!A:A,M_YT_LIVE!F:F,"ERROR",0,1)</f>
        <v>0</v>
      </c>
      <c r="W1264" s="13" t="e">
        <f t="shared" si="60"/>
        <v>#VALUE!</v>
      </c>
      <c r="X1264" s="12">
        <f>_xlfn.XLOOKUP($B1264,M_YT_LIVE!$A:$A,M_YT_LIVE!$D:$D)</f>
        <v>0</v>
      </c>
      <c r="Z1264" s="16" t="e">
        <f>HYPERLINK($X1264&amp;SUBSTITUTE(マスタ!$C$3,"XXXXX",$W1264))</f>
        <v>#VALUE!</v>
      </c>
      <c r="AA1264" s="12" t="str">
        <f t="shared" si="59"/>
        <v/>
      </c>
    </row>
    <row r="1265" spans="1:27" x14ac:dyDescent="0.4">
      <c r="A1265" s="14">
        <f t="shared" si="61"/>
        <v>1264</v>
      </c>
      <c r="B1265" s="14"/>
      <c r="C1265" s="18"/>
      <c r="D1265" s="14"/>
      <c r="E1265" s="14"/>
      <c r="G1265" s="1">
        <f>_xlfn.XLOOKUP(B1265,M_YT_LIVE!A:A,M_YT_LIVE!F:F,"ERROR",0,1)</f>
        <v>0</v>
      </c>
      <c r="W1265" s="13" t="e">
        <f t="shared" si="60"/>
        <v>#VALUE!</v>
      </c>
      <c r="X1265" s="12">
        <f>_xlfn.XLOOKUP($B1265,M_YT_LIVE!$A:$A,M_YT_LIVE!$D:$D)</f>
        <v>0</v>
      </c>
      <c r="Z1265" s="16" t="e">
        <f>HYPERLINK($X1265&amp;SUBSTITUTE(マスタ!$C$3,"XXXXX",$W1265))</f>
        <v>#VALUE!</v>
      </c>
      <c r="AA1265" s="12" t="str">
        <f t="shared" si="59"/>
        <v/>
      </c>
    </row>
    <row r="1266" spans="1:27" x14ac:dyDescent="0.4">
      <c r="A1266" s="14">
        <f t="shared" si="61"/>
        <v>1265</v>
      </c>
      <c r="B1266" s="14"/>
      <c r="C1266" s="18"/>
      <c r="D1266" s="14"/>
      <c r="E1266" s="14"/>
      <c r="G1266" s="1">
        <f>_xlfn.XLOOKUP(B1266,M_YT_LIVE!A:A,M_YT_LIVE!F:F,"ERROR",0,1)</f>
        <v>0</v>
      </c>
      <c r="W1266" s="13" t="e">
        <f t="shared" si="60"/>
        <v>#VALUE!</v>
      </c>
      <c r="X1266" s="12">
        <f>_xlfn.XLOOKUP($B1266,M_YT_LIVE!$A:$A,M_YT_LIVE!$D:$D)</f>
        <v>0</v>
      </c>
      <c r="Z1266" s="16" t="e">
        <f>HYPERLINK($X1266&amp;SUBSTITUTE(マスタ!$C$3,"XXXXX",$W1266))</f>
        <v>#VALUE!</v>
      </c>
      <c r="AA1266" s="12" t="str">
        <f t="shared" ref="AA1266:AA1329" si="62">TRIM(E1266)&amp;TRIM(D1266)</f>
        <v/>
      </c>
    </row>
    <row r="1267" spans="1:27" x14ac:dyDescent="0.4">
      <c r="A1267" s="14">
        <f t="shared" si="61"/>
        <v>1266</v>
      </c>
      <c r="B1267" s="14"/>
      <c r="C1267" s="18"/>
      <c r="D1267" s="14"/>
      <c r="E1267" s="14"/>
      <c r="G1267" s="1">
        <f>_xlfn.XLOOKUP(B1267,M_YT_LIVE!A:A,M_YT_LIVE!F:F,"ERROR",0,1)</f>
        <v>0</v>
      </c>
      <c r="W1267" s="13" t="e">
        <f t="shared" si="60"/>
        <v>#VALUE!</v>
      </c>
      <c r="X1267" s="12">
        <f>_xlfn.XLOOKUP($B1267,M_YT_LIVE!$A:$A,M_YT_LIVE!$D:$D)</f>
        <v>0</v>
      </c>
      <c r="Z1267" s="16" t="e">
        <f>HYPERLINK($X1267&amp;SUBSTITUTE(マスタ!$C$3,"XXXXX",$W1267))</f>
        <v>#VALUE!</v>
      </c>
      <c r="AA1267" s="12" t="str">
        <f t="shared" si="62"/>
        <v/>
      </c>
    </row>
    <row r="1268" spans="1:27" x14ac:dyDescent="0.4">
      <c r="A1268" s="14">
        <f t="shared" si="61"/>
        <v>1267</v>
      </c>
      <c r="B1268" s="14"/>
      <c r="C1268" s="18"/>
      <c r="D1268" s="14"/>
      <c r="E1268" s="14"/>
      <c r="G1268" s="1">
        <f>_xlfn.XLOOKUP(B1268,M_YT_LIVE!A:A,M_YT_LIVE!F:F,"ERROR",0,1)</f>
        <v>0</v>
      </c>
      <c r="W1268" s="13" t="e">
        <f t="shared" si="60"/>
        <v>#VALUE!</v>
      </c>
      <c r="X1268" s="12">
        <f>_xlfn.XLOOKUP($B1268,M_YT_LIVE!$A:$A,M_YT_LIVE!$D:$D)</f>
        <v>0</v>
      </c>
      <c r="Z1268" s="16" t="e">
        <f>HYPERLINK($X1268&amp;SUBSTITUTE(マスタ!$C$3,"XXXXX",$W1268))</f>
        <v>#VALUE!</v>
      </c>
      <c r="AA1268" s="12" t="str">
        <f t="shared" si="62"/>
        <v/>
      </c>
    </row>
    <row r="1269" spans="1:27" x14ac:dyDescent="0.4">
      <c r="A1269" s="14">
        <f t="shared" si="61"/>
        <v>1268</v>
      </c>
      <c r="B1269" s="14"/>
      <c r="C1269" s="18"/>
      <c r="D1269" s="14"/>
      <c r="E1269" s="14"/>
      <c r="G1269" s="1">
        <f>_xlfn.XLOOKUP(B1269,M_YT_LIVE!A:A,M_YT_LIVE!F:F,"ERROR",0,1)</f>
        <v>0</v>
      </c>
      <c r="W1269" s="13" t="e">
        <f t="shared" si="60"/>
        <v>#VALUE!</v>
      </c>
      <c r="X1269" s="12">
        <f>_xlfn.XLOOKUP($B1269,M_YT_LIVE!$A:$A,M_YT_LIVE!$D:$D)</f>
        <v>0</v>
      </c>
      <c r="Z1269" s="16" t="e">
        <f>HYPERLINK($X1269&amp;SUBSTITUTE(マスタ!$C$3,"XXXXX",$W1269))</f>
        <v>#VALUE!</v>
      </c>
      <c r="AA1269" s="12" t="str">
        <f t="shared" si="62"/>
        <v/>
      </c>
    </row>
    <row r="1270" spans="1:27" x14ac:dyDescent="0.4">
      <c r="A1270" s="14">
        <f t="shared" si="61"/>
        <v>1269</v>
      </c>
      <c r="B1270" s="14"/>
      <c r="C1270" s="18"/>
      <c r="D1270" s="14"/>
      <c r="E1270" s="14"/>
      <c r="G1270" s="1">
        <f>_xlfn.XLOOKUP(B1270,M_YT_LIVE!A:A,M_YT_LIVE!F:F,"ERROR",0,1)</f>
        <v>0</v>
      </c>
      <c r="W1270" s="13" t="e">
        <f t="shared" si="60"/>
        <v>#VALUE!</v>
      </c>
      <c r="X1270" s="12">
        <f>_xlfn.XLOOKUP($B1270,M_YT_LIVE!$A:$A,M_YT_LIVE!$D:$D)</f>
        <v>0</v>
      </c>
      <c r="Z1270" s="16" t="e">
        <f>HYPERLINK($X1270&amp;SUBSTITUTE(マスタ!$C$3,"XXXXX",$W1270))</f>
        <v>#VALUE!</v>
      </c>
      <c r="AA1270" s="12" t="str">
        <f t="shared" si="62"/>
        <v/>
      </c>
    </row>
    <row r="1271" spans="1:27" x14ac:dyDescent="0.4">
      <c r="A1271" s="14">
        <f t="shared" si="61"/>
        <v>1270</v>
      </c>
      <c r="B1271" s="14"/>
      <c r="C1271" s="18"/>
      <c r="D1271" s="14"/>
      <c r="E1271" s="14"/>
      <c r="G1271" s="1">
        <f>_xlfn.XLOOKUP(B1271,M_YT_LIVE!A:A,M_YT_LIVE!F:F,"ERROR",0,1)</f>
        <v>0</v>
      </c>
      <c r="W1271" s="13" t="e">
        <f t="shared" si="60"/>
        <v>#VALUE!</v>
      </c>
      <c r="X1271" s="12">
        <f>_xlfn.XLOOKUP($B1271,M_YT_LIVE!$A:$A,M_YT_LIVE!$D:$D)</f>
        <v>0</v>
      </c>
      <c r="Z1271" s="16" t="e">
        <f>HYPERLINK($X1271&amp;SUBSTITUTE(マスタ!$C$3,"XXXXX",$W1271))</f>
        <v>#VALUE!</v>
      </c>
      <c r="AA1271" s="12" t="str">
        <f t="shared" si="62"/>
        <v/>
      </c>
    </row>
    <row r="1272" spans="1:27" x14ac:dyDescent="0.4">
      <c r="A1272" s="14">
        <f t="shared" si="61"/>
        <v>1271</v>
      </c>
      <c r="B1272" s="14"/>
      <c r="C1272" s="18"/>
      <c r="D1272" s="14"/>
      <c r="E1272" s="14"/>
      <c r="G1272" s="1">
        <f>_xlfn.XLOOKUP(B1272,M_YT_LIVE!A:A,M_YT_LIVE!F:F,"ERROR",0,1)</f>
        <v>0</v>
      </c>
      <c r="W1272" s="13" t="e">
        <f t="shared" si="60"/>
        <v>#VALUE!</v>
      </c>
      <c r="X1272" s="12">
        <f>_xlfn.XLOOKUP($B1272,M_YT_LIVE!$A:$A,M_YT_LIVE!$D:$D)</f>
        <v>0</v>
      </c>
      <c r="Z1272" s="16" t="e">
        <f>HYPERLINK($X1272&amp;SUBSTITUTE(マスタ!$C$3,"XXXXX",$W1272))</f>
        <v>#VALUE!</v>
      </c>
      <c r="AA1272" s="12" t="str">
        <f t="shared" si="62"/>
        <v/>
      </c>
    </row>
    <row r="1273" spans="1:27" x14ac:dyDescent="0.4">
      <c r="A1273" s="14">
        <f t="shared" si="61"/>
        <v>1272</v>
      </c>
      <c r="B1273" s="14"/>
      <c r="C1273" s="18"/>
      <c r="D1273" s="14"/>
      <c r="E1273" s="14"/>
      <c r="G1273" s="1">
        <f>_xlfn.XLOOKUP(B1273,M_YT_LIVE!A:A,M_YT_LIVE!F:F,"ERROR",0,1)</f>
        <v>0</v>
      </c>
      <c r="W1273" s="13" t="e">
        <f t="shared" si="60"/>
        <v>#VALUE!</v>
      </c>
      <c r="X1273" s="12">
        <f>_xlfn.XLOOKUP($B1273,M_YT_LIVE!$A:$A,M_YT_LIVE!$D:$D)</f>
        <v>0</v>
      </c>
      <c r="Z1273" s="16" t="e">
        <f>HYPERLINK($X1273&amp;SUBSTITUTE(マスタ!$C$3,"XXXXX",$W1273))</f>
        <v>#VALUE!</v>
      </c>
      <c r="AA1273" s="12" t="str">
        <f t="shared" si="62"/>
        <v/>
      </c>
    </row>
    <row r="1274" spans="1:27" x14ac:dyDescent="0.4">
      <c r="A1274" s="14">
        <f t="shared" si="61"/>
        <v>1273</v>
      </c>
      <c r="B1274" s="14"/>
      <c r="C1274" s="18"/>
      <c r="D1274" s="14"/>
      <c r="E1274" s="14"/>
      <c r="G1274" s="1">
        <f>_xlfn.XLOOKUP(B1274,M_YT_LIVE!A:A,M_YT_LIVE!F:F,"ERROR",0,1)</f>
        <v>0</v>
      </c>
      <c r="W1274" s="13" t="e">
        <f t="shared" si="60"/>
        <v>#VALUE!</v>
      </c>
      <c r="X1274" s="12">
        <f>_xlfn.XLOOKUP($B1274,M_YT_LIVE!$A:$A,M_YT_LIVE!$D:$D)</f>
        <v>0</v>
      </c>
      <c r="Z1274" s="16" t="e">
        <f>HYPERLINK($X1274&amp;SUBSTITUTE(マスタ!$C$3,"XXXXX",$W1274))</f>
        <v>#VALUE!</v>
      </c>
      <c r="AA1274" s="12" t="str">
        <f t="shared" si="62"/>
        <v/>
      </c>
    </row>
    <row r="1275" spans="1:27" x14ac:dyDescent="0.4">
      <c r="A1275" s="14">
        <f t="shared" si="61"/>
        <v>1274</v>
      </c>
      <c r="B1275" s="14"/>
      <c r="C1275" s="18"/>
      <c r="D1275" s="14"/>
      <c r="E1275" s="14"/>
      <c r="G1275" s="1">
        <f>_xlfn.XLOOKUP(B1275,M_YT_LIVE!A:A,M_YT_LIVE!F:F,"ERROR",0,1)</f>
        <v>0</v>
      </c>
      <c r="W1275" s="13" t="e">
        <f t="shared" si="60"/>
        <v>#VALUE!</v>
      </c>
      <c r="X1275" s="12">
        <f>_xlfn.XLOOKUP($B1275,M_YT_LIVE!$A:$A,M_YT_LIVE!$D:$D)</f>
        <v>0</v>
      </c>
      <c r="Z1275" s="16" t="e">
        <f>HYPERLINK($X1275&amp;SUBSTITUTE(マスタ!$C$3,"XXXXX",$W1275))</f>
        <v>#VALUE!</v>
      </c>
      <c r="AA1275" s="12" t="str">
        <f t="shared" si="62"/>
        <v/>
      </c>
    </row>
    <row r="1276" spans="1:27" x14ac:dyDescent="0.4">
      <c r="A1276" s="14">
        <f t="shared" si="61"/>
        <v>1275</v>
      </c>
      <c r="B1276" s="14"/>
      <c r="C1276" s="18"/>
      <c r="D1276" s="14"/>
      <c r="E1276" s="14"/>
      <c r="G1276" s="1">
        <f>_xlfn.XLOOKUP(B1276,M_YT_LIVE!A:A,M_YT_LIVE!F:F,"ERROR",0,1)</f>
        <v>0</v>
      </c>
      <c r="W1276" s="13" t="e">
        <f t="shared" si="60"/>
        <v>#VALUE!</v>
      </c>
      <c r="X1276" s="12">
        <f>_xlfn.XLOOKUP($B1276,M_YT_LIVE!$A:$A,M_YT_LIVE!$D:$D)</f>
        <v>0</v>
      </c>
      <c r="Z1276" s="16" t="e">
        <f>HYPERLINK($X1276&amp;SUBSTITUTE(マスタ!$C$3,"XXXXX",$W1276))</f>
        <v>#VALUE!</v>
      </c>
      <c r="AA1276" s="12" t="str">
        <f t="shared" si="62"/>
        <v/>
      </c>
    </row>
    <row r="1277" spans="1:27" x14ac:dyDescent="0.4">
      <c r="A1277" s="14">
        <f t="shared" si="61"/>
        <v>1276</v>
      </c>
      <c r="B1277" s="14"/>
      <c r="C1277" s="18"/>
      <c r="D1277" s="14"/>
      <c r="E1277" s="14"/>
      <c r="G1277" s="1">
        <f>_xlfn.XLOOKUP(B1277,M_YT_LIVE!A:A,M_YT_LIVE!F:F,"ERROR",0,1)</f>
        <v>0</v>
      </c>
      <c r="W1277" s="13" t="e">
        <f t="shared" si="60"/>
        <v>#VALUE!</v>
      </c>
      <c r="X1277" s="12">
        <f>_xlfn.XLOOKUP($B1277,M_YT_LIVE!$A:$A,M_YT_LIVE!$D:$D)</f>
        <v>0</v>
      </c>
      <c r="Z1277" s="16" t="e">
        <f>HYPERLINK($X1277&amp;SUBSTITUTE(マスタ!$C$3,"XXXXX",$W1277))</f>
        <v>#VALUE!</v>
      </c>
      <c r="AA1277" s="12" t="str">
        <f t="shared" si="62"/>
        <v/>
      </c>
    </row>
    <row r="1278" spans="1:27" x14ac:dyDescent="0.4">
      <c r="A1278" s="14">
        <f t="shared" si="61"/>
        <v>1277</v>
      </c>
      <c r="B1278" s="14"/>
      <c r="C1278" s="18"/>
      <c r="D1278" s="14"/>
      <c r="E1278" s="14"/>
      <c r="G1278" s="1">
        <f>_xlfn.XLOOKUP(B1278,M_YT_LIVE!A:A,M_YT_LIVE!F:F,"ERROR",0,1)</f>
        <v>0</v>
      </c>
      <c r="W1278" s="13" t="e">
        <f t="shared" si="60"/>
        <v>#VALUE!</v>
      </c>
      <c r="X1278" s="12">
        <f>_xlfn.XLOOKUP($B1278,M_YT_LIVE!$A:$A,M_YT_LIVE!$D:$D)</f>
        <v>0</v>
      </c>
      <c r="Z1278" s="16" t="e">
        <f>HYPERLINK($X1278&amp;SUBSTITUTE(マスタ!$C$3,"XXXXX",$W1278))</f>
        <v>#VALUE!</v>
      </c>
      <c r="AA1278" s="12" t="str">
        <f t="shared" si="62"/>
        <v/>
      </c>
    </row>
    <row r="1279" spans="1:27" x14ac:dyDescent="0.4">
      <c r="A1279" s="14">
        <f t="shared" si="61"/>
        <v>1278</v>
      </c>
      <c r="B1279" s="14"/>
      <c r="C1279" s="18"/>
      <c r="D1279" s="14"/>
      <c r="E1279" s="14"/>
      <c r="G1279" s="1">
        <f>_xlfn.XLOOKUP(B1279,M_YT_LIVE!A:A,M_YT_LIVE!F:F,"ERROR",0,1)</f>
        <v>0</v>
      </c>
      <c r="W1279" s="13" t="e">
        <f t="shared" si="60"/>
        <v>#VALUE!</v>
      </c>
      <c r="X1279" s="12">
        <f>_xlfn.XLOOKUP($B1279,M_YT_LIVE!$A:$A,M_YT_LIVE!$D:$D)</f>
        <v>0</v>
      </c>
      <c r="Z1279" s="16" t="e">
        <f>HYPERLINK($X1279&amp;SUBSTITUTE(マスタ!$C$3,"XXXXX",$W1279))</f>
        <v>#VALUE!</v>
      </c>
      <c r="AA1279" s="12" t="str">
        <f t="shared" si="62"/>
        <v/>
      </c>
    </row>
    <row r="1280" spans="1:27" x14ac:dyDescent="0.4">
      <c r="A1280" s="14">
        <f t="shared" si="61"/>
        <v>1279</v>
      </c>
      <c r="B1280" s="14"/>
      <c r="C1280" s="18"/>
      <c r="D1280" s="14"/>
      <c r="E1280" s="14"/>
      <c r="G1280" s="1">
        <f>_xlfn.XLOOKUP(B1280,M_YT_LIVE!A:A,M_YT_LIVE!F:F,"ERROR",0,1)</f>
        <v>0</v>
      </c>
      <c r="W1280" s="13" t="e">
        <f t="shared" si="60"/>
        <v>#VALUE!</v>
      </c>
      <c r="X1280" s="12">
        <f>_xlfn.XLOOKUP($B1280,M_YT_LIVE!$A:$A,M_YT_LIVE!$D:$D)</f>
        <v>0</v>
      </c>
      <c r="Z1280" s="16" t="e">
        <f>HYPERLINK($X1280&amp;SUBSTITUTE(マスタ!$C$3,"XXXXX",$W1280))</f>
        <v>#VALUE!</v>
      </c>
      <c r="AA1280" s="12" t="str">
        <f t="shared" si="62"/>
        <v/>
      </c>
    </row>
    <row r="1281" spans="1:27" x14ac:dyDescent="0.4">
      <c r="A1281" s="14">
        <f t="shared" si="61"/>
        <v>1280</v>
      </c>
      <c r="B1281" s="14"/>
      <c r="C1281" s="18"/>
      <c r="D1281" s="14"/>
      <c r="E1281" s="14"/>
      <c r="G1281" s="1">
        <f>_xlfn.XLOOKUP(B1281,M_YT_LIVE!A:A,M_YT_LIVE!F:F,"ERROR",0,1)</f>
        <v>0</v>
      </c>
      <c r="W1281" s="13" t="e">
        <f t="shared" si="60"/>
        <v>#VALUE!</v>
      </c>
      <c r="X1281" s="12">
        <f>_xlfn.XLOOKUP($B1281,M_YT_LIVE!$A:$A,M_YT_LIVE!$D:$D)</f>
        <v>0</v>
      </c>
      <c r="Z1281" s="16" t="e">
        <f>HYPERLINK($X1281&amp;SUBSTITUTE(マスタ!$C$3,"XXXXX",$W1281))</f>
        <v>#VALUE!</v>
      </c>
      <c r="AA1281" s="12" t="str">
        <f t="shared" si="62"/>
        <v/>
      </c>
    </row>
    <row r="1282" spans="1:27" x14ac:dyDescent="0.4">
      <c r="A1282" s="14">
        <f t="shared" si="61"/>
        <v>1281</v>
      </c>
      <c r="B1282" s="14"/>
      <c r="C1282" s="18"/>
      <c r="D1282" s="14"/>
      <c r="E1282" s="14"/>
      <c r="G1282" s="1">
        <f>_xlfn.XLOOKUP(B1282,M_YT_LIVE!A:A,M_YT_LIVE!F:F,"ERROR",0,1)</f>
        <v>0</v>
      </c>
      <c r="W1282" s="13" t="e">
        <f t="shared" si="60"/>
        <v>#VALUE!</v>
      </c>
      <c r="X1282" s="12">
        <f>_xlfn.XLOOKUP($B1282,M_YT_LIVE!$A:$A,M_YT_LIVE!$D:$D)</f>
        <v>0</v>
      </c>
      <c r="Z1282" s="16" t="e">
        <f>HYPERLINK($X1282&amp;SUBSTITUTE(マスタ!$C$3,"XXXXX",$W1282))</f>
        <v>#VALUE!</v>
      </c>
      <c r="AA1282" s="12" t="str">
        <f t="shared" si="62"/>
        <v/>
      </c>
    </row>
    <row r="1283" spans="1:27" x14ac:dyDescent="0.4">
      <c r="A1283" s="14">
        <f t="shared" si="61"/>
        <v>1282</v>
      </c>
      <c r="B1283" s="14"/>
      <c r="C1283" s="18"/>
      <c r="D1283" s="14"/>
      <c r="E1283" s="14"/>
      <c r="G1283" s="1">
        <f>_xlfn.XLOOKUP(B1283,M_YT_LIVE!A:A,M_YT_LIVE!F:F,"ERROR",0,1)</f>
        <v>0</v>
      </c>
      <c r="W1283" s="13" t="e">
        <f t="shared" si="60"/>
        <v>#VALUE!</v>
      </c>
      <c r="X1283" s="12">
        <f>_xlfn.XLOOKUP($B1283,M_YT_LIVE!$A:$A,M_YT_LIVE!$D:$D)</f>
        <v>0</v>
      </c>
      <c r="Z1283" s="16" t="e">
        <f>HYPERLINK($X1283&amp;SUBSTITUTE(マスタ!$C$3,"XXXXX",$W1283))</f>
        <v>#VALUE!</v>
      </c>
      <c r="AA1283" s="12" t="str">
        <f t="shared" si="62"/>
        <v/>
      </c>
    </row>
    <row r="1284" spans="1:27" x14ac:dyDescent="0.4">
      <c r="A1284" s="14">
        <f t="shared" si="61"/>
        <v>1283</v>
      </c>
      <c r="B1284" s="14"/>
      <c r="C1284" s="18"/>
      <c r="D1284" s="14"/>
      <c r="E1284" s="14"/>
      <c r="G1284" s="1">
        <f>_xlfn.XLOOKUP(B1284,M_YT_LIVE!A:A,M_YT_LIVE!F:F,"ERROR",0,1)</f>
        <v>0</v>
      </c>
      <c r="W1284" s="13" t="e">
        <f t="shared" ref="W1284:W1347" si="63">TIMEVALUE($C1284)*86400</f>
        <v>#VALUE!</v>
      </c>
      <c r="X1284" s="12">
        <f>_xlfn.XLOOKUP($B1284,M_YT_LIVE!$A:$A,M_YT_LIVE!$D:$D)</f>
        <v>0</v>
      </c>
      <c r="Z1284" s="16" t="e">
        <f>HYPERLINK($X1284&amp;SUBSTITUTE(マスタ!$C$3,"XXXXX",$W1284))</f>
        <v>#VALUE!</v>
      </c>
      <c r="AA1284" s="12" t="str">
        <f t="shared" si="62"/>
        <v/>
      </c>
    </row>
    <row r="1285" spans="1:27" x14ac:dyDescent="0.4">
      <c r="A1285" s="14">
        <f t="shared" si="61"/>
        <v>1284</v>
      </c>
      <c r="B1285" s="14"/>
      <c r="C1285" s="18"/>
      <c r="D1285" s="14"/>
      <c r="E1285" s="14"/>
      <c r="G1285" s="1">
        <f>_xlfn.XLOOKUP(B1285,M_YT_LIVE!A:A,M_YT_LIVE!F:F,"ERROR",0,1)</f>
        <v>0</v>
      </c>
      <c r="W1285" s="13" t="e">
        <f t="shared" si="63"/>
        <v>#VALUE!</v>
      </c>
      <c r="X1285" s="12">
        <f>_xlfn.XLOOKUP($B1285,M_YT_LIVE!$A:$A,M_YT_LIVE!$D:$D)</f>
        <v>0</v>
      </c>
      <c r="Z1285" s="16" t="e">
        <f>HYPERLINK($X1285&amp;SUBSTITUTE(マスタ!$C$3,"XXXXX",$W1285))</f>
        <v>#VALUE!</v>
      </c>
      <c r="AA1285" s="12" t="str">
        <f t="shared" si="62"/>
        <v/>
      </c>
    </row>
    <row r="1286" spans="1:27" x14ac:dyDescent="0.4">
      <c r="A1286" s="14">
        <f t="shared" ref="A1286:A1349" si="64">ROW()-1</f>
        <v>1285</v>
      </c>
      <c r="B1286" s="14"/>
      <c r="C1286" s="18"/>
      <c r="D1286" s="14"/>
      <c r="E1286" s="14"/>
      <c r="G1286" s="1">
        <f>_xlfn.XLOOKUP(B1286,M_YT_LIVE!A:A,M_YT_LIVE!F:F,"ERROR",0,1)</f>
        <v>0</v>
      </c>
      <c r="W1286" s="13" t="e">
        <f t="shared" si="63"/>
        <v>#VALUE!</v>
      </c>
      <c r="X1286" s="12">
        <f>_xlfn.XLOOKUP($B1286,M_YT_LIVE!$A:$A,M_YT_LIVE!$D:$D)</f>
        <v>0</v>
      </c>
      <c r="Z1286" s="16" t="e">
        <f>HYPERLINK($X1286&amp;SUBSTITUTE(マスタ!$C$3,"XXXXX",$W1286))</f>
        <v>#VALUE!</v>
      </c>
      <c r="AA1286" s="12" t="str">
        <f t="shared" si="62"/>
        <v/>
      </c>
    </row>
    <row r="1287" spans="1:27" x14ac:dyDescent="0.4">
      <c r="A1287" s="14">
        <f t="shared" si="64"/>
        <v>1286</v>
      </c>
      <c r="B1287" s="14"/>
      <c r="C1287" s="18"/>
      <c r="D1287" s="14"/>
      <c r="E1287" s="14"/>
      <c r="G1287" s="1">
        <f>_xlfn.XLOOKUP(B1287,M_YT_LIVE!A:A,M_YT_LIVE!F:F,"ERROR",0,1)</f>
        <v>0</v>
      </c>
      <c r="W1287" s="13" t="e">
        <f t="shared" si="63"/>
        <v>#VALUE!</v>
      </c>
      <c r="X1287" s="12">
        <f>_xlfn.XLOOKUP($B1287,M_YT_LIVE!$A:$A,M_YT_LIVE!$D:$D)</f>
        <v>0</v>
      </c>
      <c r="Z1287" s="16" t="e">
        <f>HYPERLINK($X1287&amp;SUBSTITUTE(マスタ!$C$3,"XXXXX",$W1287))</f>
        <v>#VALUE!</v>
      </c>
      <c r="AA1287" s="12" t="str">
        <f t="shared" si="62"/>
        <v/>
      </c>
    </row>
    <row r="1288" spans="1:27" x14ac:dyDescent="0.4">
      <c r="A1288" s="14">
        <f t="shared" si="64"/>
        <v>1287</v>
      </c>
      <c r="B1288" s="14"/>
      <c r="C1288" s="18"/>
      <c r="D1288" s="14"/>
      <c r="E1288" s="14"/>
      <c r="G1288" s="1">
        <f>_xlfn.XLOOKUP(B1288,M_YT_LIVE!A:A,M_YT_LIVE!F:F,"ERROR",0,1)</f>
        <v>0</v>
      </c>
      <c r="W1288" s="13" t="e">
        <f t="shared" si="63"/>
        <v>#VALUE!</v>
      </c>
      <c r="X1288" s="12">
        <f>_xlfn.XLOOKUP($B1288,M_YT_LIVE!$A:$A,M_YT_LIVE!$D:$D)</f>
        <v>0</v>
      </c>
      <c r="Z1288" s="16" t="e">
        <f>HYPERLINK($X1288&amp;SUBSTITUTE(マスタ!$C$3,"XXXXX",$W1288))</f>
        <v>#VALUE!</v>
      </c>
      <c r="AA1288" s="12" t="str">
        <f t="shared" si="62"/>
        <v/>
      </c>
    </row>
    <row r="1289" spans="1:27" x14ac:dyDescent="0.4">
      <c r="A1289" s="14">
        <f t="shared" si="64"/>
        <v>1288</v>
      </c>
      <c r="B1289" s="14"/>
      <c r="C1289" s="18"/>
      <c r="D1289" s="14"/>
      <c r="E1289" s="14"/>
      <c r="G1289" s="1">
        <f>_xlfn.XLOOKUP(B1289,M_YT_LIVE!A:A,M_YT_LIVE!F:F,"ERROR",0,1)</f>
        <v>0</v>
      </c>
      <c r="W1289" s="13" t="e">
        <f t="shared" si="63"/>
        <v>#VALUE!</v>
      </c>
      <c r="X1289" s="12">
        <f>_xlfn.XLOOKUP($B1289,M_YT_LIVE!$A:$A,M_YT_LIVE!$D:$D)</f>
        <v>0</v>
      </c>
      <c r="Z1289" s="16" t="e">
        <f>HYPERLINK($X1289&amp;SUBSTITUTE(マスタ!$C$3,"XXXXX",$W1289))</f>
        <v>#VALUE!</v>
      </c>
      <c r="AA1289" s="12" t="str">
        <f t="shared" si="62"/>
        <v/>
      </c>
    </row>
    <row r="1290" spans="1:27" x14ac:dyDescent="0.4">
      <c r="A1290" s="14">
        <f t="shared" si="64"/>
        <v>1289</v>
      </c>
      <c r="B1290" s="14"/>
      <c r="C1290" s="18"/>
      <c r="D1290" s="14"/>
      <c r="E1290" s="14"/>
      <c r="G1290" s="1">
        <f>_xlfn.XLOOKUP(B1290,M_YT_LIVE!A:A,M_YT_LIVE!F:F,"ERROR",0,1)</f>
        <v>0</v>
      </c>
      <c r="W1290" s="13" t="e">
        <f t="shared" si="63"/>
        <v>#VALUE!</v>
      </c>
      <c r="X1290" s="12">
        <f>_xlfn.XLOOKUP($B1290,M_YT_LIVE!$A:$A,M_YT_LIVE!$D:$D)</f>
        <v>0</v>
      </c>
      <c r="Z1290" s="16" t="e">
        <f>HYPERLINK($X1290&amp;SUBSTITUTE(マスタ!$C$3,"XXXXX",$W1290))</f>
        <v>#VALUE!</v>
      </c>
      <c r="AA1290" s="12" t="str">
        <f t="shared" si="62"/>
        <v/>
      </c>
    </row>
    <row r="1291" spans="1:27" x14ac:dyDescent="0.4">
      <c r="A1291" s="14">
        <f t="shared" si="64"/>
        <v>1290</v>
      </c>
      <c r="B1291" s="14"/>
      <c r="C1291" s="18"/>
      <c r="D1291" s="14"/>
      <c r="E1291" s="14"/>
      <c r="G1291" s="1">
        <f>_xlfn.XLOOKUP(B1291,M_YT_LIVE!A:A,M_YT_LIVE!F:F,"ERROR",0,1)</f>
        <v>0</v>
      </c>
      <c r="W1291" s="13" t="e">
        <f t="shared" si="63"/>
        <v>#VALUE!</v>
      </c>
      <c r="X1291" s="12">
        <f>_xlfn.XLOOKUP($B1291,M_YT_LIVE!$A:$A,M_YT_LIVE!$D:$D)</f>
        <v>0</v>
      </c>
      <c r="Z1291" s="16" t="e">
        <f>HYPERLINK($X1291&amp;SUBSTITUTE(マスタ!$C$3,"XXXXX",$W1291))</f>
        <v>#VALUE!</v>
      </c>
      <c r="AA1291" s="12" t="str">
        <f t="shared" si="62"/>
        <v/>
      </c>
    </row>
    <row r="1292" spans="1:27" x14ac:dyDescent="0.4">
      <c r="A1292" s="14">
        <f t="shared" si="64"/>
        <v>1291</v>
      </c>
      <c r="B1292" s="14"/>
      <c r="C1292" s="18"/>
      <c r="D1292" s="14"/>
      <c r="E1292" s="14"/>
      <c r="G1292" s="1">
        <f>_xlfn.XLOOKUP(B1292,M_YT_LIVE!A:A,M_YT_LIVE!F:F,"ERROR",0,1)</f>
        <v>0</v>
      </c>
      <c r="W1292" s="13" t="e">
        <f t="shared" si="63"/>
        <v>#VALUE!</v>
      </c>
      <c r="X1292" s="12">
        <f>_xlfn.XLOOKUP($B1292,M_YT_LIVE!$A:$A,M_YT_LIVE!$D:$D)</f>
        <v>0</v>
      </c>
      <c r="Z1292" s="16" t="e">
        <f>HYPERLINK($X1292&amp;SUBSTITUTE(マスタ!$C$3,"XXXXX",$W1292))</f>
        <v>#VALUE!</v>
      </c>
      <c r="AA1292" s="12" t="str">
        <f t="shared" si="62"/>
        <v/>
      </c>
    </row>
    <row r="1293" spans="1:27" x14ac:dyDescent="0.4">
      <c r="A1293" s="14">
        <f t="shared" si="64"/>
        <v>1292</v>
      </c>
      <c r="B1293" s="14"/>
      <c r="C1293" s="18"/>
      <c r="D1293" s="14"/>
      <c r="E1293" s="14"/>
      <c r="G1293" s="1">
        <f>_xlfn.XLOOKUP(B1293,M_YT_LIVE!A:A,M_YT_LIVE!F:F,"ERROR",0,1)</f>
        <v>0</v>
      </c>
      <c r="W1293" s="13" t="e">
        <f t="shared" si="63"/>
        <v>#VALUE!</v>
      </c>
      <c r="X1293" s="12">
        <f>_xlfn.XLOOKUP($B1293,M_YT_LIVE!$A:$A,M_YT_LIVE!$D:$D)</f>
        <v>0</v>
      </c>
      <c r="Z1293" s="16" t="e">
        <f>HYPERLINK($X1293&amp;SUBSTITUTE(マスタ!$C$3,"XXXXX",$W1293))</f>
        <v>#VALUE!</v>
      </c>
      <c r="AA1293" s="12" t="str">
        <f t="shared" si="62"/>
        <v/>
      </c>
    </row>
    <row r="1294" spans="1:27" x14ac:dyDescent="0.4">
      <c r="A1294" s="14">
        <f t="shared" si="64"/>
        <v>1293</v>
      </c>
      <c r="B1294" s="14"/>
      <c r="C1294" s="18"/>
      <c r="D1294" s="14"/>
      <c r="E1294" s="14"/>
      <c r="G1294" s="1">
        <f>_xlfn.XLOOKUP(B1294,M_YT_LIVE!A:A,M_YT_LIVE!F:F,"ERROR",0,1)</f>
        <v>0</v>
      </c>
      <c r="W1294" s="13" t="e">
        <f t="shared" si="63"/>
        <v>#VALUE!</v>
      </c>
      <c r="X1294" s="12">
        <f>_xlfn.XLOOKUP($B1294,M_YT_LIVE!$A:$A,M_YT_LIVE!$D:$D)</f>
        <v>0</v>
      </c>
      <c r="Z1294" s="16" t="e">
        <f>HYPERLINK($X1294&amp;SUBSTITUTE(マスタ!$C$3,"XXXXX",$W1294))</f>
        <v>#VALUE!</v>
      </c>
      <c r="AA1294" s="12" t="str">
        <f t="shared" si="62"/>
        <v/>
      </c>
    </row>
    <row r="1295" spans="1:27" x14ac:dyDescent="0.4">
      <c r="A1295" s="14">
        <f t="shared" si="64"/>
        <v>1294</v>
      </c>
      <c r="B1295" s="14"/>
      <c r="C1295" s="18"/>
      <c r="D1295" s="14"/>
      <c r="E1295" s="14"/>
      <c r="G1295" s="1">
        <f>_xlfn.XLOOKUP(B1295,M_YT_LIVE!A:A,M_YT_LIVE!F:F,"ERROR",0,1)</f>
        <v>0</v>
      </c>
      <c r="W1295" s="13" t="e">
        <f t="shared" si="63"/>
        <v>#VALUE!</v>
      </c>
      <c r="X1295" s="12">
        <f>_xlfn.XLOOKUP($B1295,M_YT_LIVE!$A:$A,M_YT_LIVE!$D:$D)</f>
        <v>0</v>
      </c>
      <c r="Z1295" s="16" t="e">
        <f>HYPERLINK($X1295&amp;SUBSTITUTE(マスタ!$C$3,"XXXXX",$W1295))</f>
        <v>#VALUE!</v>
      </c>
      <c r="AA1295" s="12" t="str">
        <f t="shared" si="62"/>
        <v/>
      </c>
    </row>
    <row r="1296" spans="1:27" x14ac:dyDescent="0.4">
      <c r="A1296" s="14">
        <f t="shared" si="64"/>
        <v>1295</v>
      </c>
      <c r="B1296" s="14"/>
      <c r="C1296" s="18"/>
      <c r="D1296" s="14"/>
      <c r="E1296" s="14"/>
      <c r="G1296" s="1">
        <f>_xlfn.XLOOKUP(B1296,M_YT_LIVE!A:A,M_YT_LIVE!F:F,"ERROR",0,1)</f>
        <v>0</v>
      </c>
      <c r="W1296" s="13" t="e">
        <f t="shared" si="63"/>
        <v>#VALUE!</v>
      </c>
      <c r="X1296" s="12">
        <f>_xlfn.XLOOKUP($B1296,M_YT_LIVE!$A:$A,M_YT_LIVE!$D:$D)</f>
        <v>0</v>
      </c>
      <c r="Z1296" s="16" t="e">
        <f>HYPERLINK($X1296&amp;SUBSTITUTE(マスタ!$C$3,"XXXXX",$W1296))</f>
        <v>#VALUE!</v>
      </c>
      <c r="AA1296" s="12" t="str">
        <f t="shared" si="62"/>
        <v/>
      </c>
    </row>
    <row r="1297" spans="1:27" x14ac:dyDescent="0.4">
      <c r="A1297" s="14">
        <f t="shared" si="64"/>
        <v>1296</v>
      </c>
      <c r="B1297" s="14"/>
      <c r="C1297" s="18"/>
      <c r="D1297" s="14"/>
      <c r="E1297" s="14"/>
      <c r="G1297" s="1">
        <f>_xlfn.XLOOKUP(B1297,M_YT_LIVE!A:A,M_YT_LIVE!F:F,"ERROR",0,1)</f>
        <v>0</v>
      </c>
      <c r="W1297" s="13" t="e">
        <f t="shared" si="63"/>
        <v>#VALUE!</v>
      </c>
      <c r="X1297" s="12">
        <f>_xlfn.XLOOKUP($B1297,M_YT_LIVE!$A:$A,M_YT_LIVE!$D:$D)</f>
        <v>0</v>
      </c>
      <c r="Z1297" s="16" t="e">
        <f>HYPERLINK($X1297&amp;SUBSTITUTE(マスタ!$C$3,"XXXXX",$W1297))</f>
        <v>#VALUE!</v>
      </c>
      <c r="AA1297" s="12" t="str">
        <f t="shared" si="62"/>
        <v/>
      </c>
    </row>
    <row r="1298" spans="1:27" x14ac:dyDescent="0.4">
      <c r="A1298" s="14">
        <f t="shared" si="64"/>
        <v>1297</v>
      </c>
      <c r="B1298" s="14"/>
      <c r="C1298" s="18"/>
      <c r="D1298" s="14"/>
      <c r="E1298" s="14"/>
      <c r="G1298" s="1">
        <f>_xlfn.XLOOKUP(B1298,M_YT_LIVE!A:A,M_YT_LIVE!F:F,"ERROR",0,1)</f>
        <v>0</v>
      </c>
      <c r="W1298" s="13" t="e">
        <f t="shared" si="63"/>
        <v>#VALUE!</v>
      </c>
      <c r="X1298" s="12">
        <f>_xlfn.XLOOKUP($B1298,M_YT_LIVE!$A:$A,M_YT_LIVE!$D:$D)</f>
        <v>0</v>
      </c>
      <c r="Z1298" s="16" t="e">
        <f>HYPERLINK($X1298&amp;SUBSTITUTE(マスタ!$C$3,"XXXXX",$W1298))</f>
        <v>#VALUE!</v>
      </c>
      <c r="AA1298" s="12" t="str">
        <f t="shared" si="62"/>
        <v/>
      </c>
    </row>
    <row r="1299" spans="1:27" x14ac:dyDescent="0.4">
      <c r="A1299" s="14">
        <f t="shared" si="64"/>
        <v>1298</v>
      </c>
      <c r="B1299" s="14"/>
      <c r="C1299" s="18"/>
      <c r="D1299" s="14"/>
      <c r="E1299" s="14"/>
      <c r="G1299" s="1">
        <f>_xlfn.XLOOKUP(B1299,M_YT_LIVE!A:A,M_YT_LIVE!F:F,"ERROR",0,1)</f>
        <v>0</v>
      </c>
      <c r="W1299" s="13" t="e">
        <f t="shared" si="63"/>
        <v>#VALUE!</v>
      </c>
      <c r="X1299" s="12">
        <f>_xlfn.XLOOKUP($B1299,M_YT_LIVE!$A:$A,M_YT_LIVE!$D:$D)</f>
        <v>0</v>
      </c>
      <c r="Z1299" s="16" t="e">
        <f>HYPERLINK($X1299&amp;SUBSTITUTE(マスタ!$C$3,"XXXXX",$W1299))</f>
        <v>#VALUE!</v>
      </c>
      <c r="AA1299" s="12" t="str">
        <f t="shared" si="62"/>
        <v/>
      </c>
    </row>
    <row r="1300" spans="1:27" x14ac:dyDescent="0.4">
      <c r="A1300" s="14">
        <f t="shared" si="64"/>
        <v>1299</v>
      </c>
      <c r="B1300" s="14"/>
      <c r="C1300" s="18"/>
      <c r="D1300" s="14"/>
      <c r="E1300" s="14"/>
      <c r="G1300" s="1">
        <f>_xlfn.XLOOKUP(B1300,M_YT_LIVE!A:A,M_YT_LIVE!F:F,"ERROR",0,1)</f>
        <v>0</v>
      </c>
      <c r="W1300" s="13" t="e">
        <f t="shared" si="63"/>
        <v>#VALUE!</v>
      </c>
      <c r="X1300" s="12">
        <f>_xlfn.XLOOKUP($B1300,M_YT_LIVE!$A:$A,M_YT_LIVE!$D:$D)</f>
        <v>0</v>
      </c>
      <c r="Z1300" s="16" t="e">
        <f>HYPERLINK($X1300&amp;SUBSTITUTE(マスタ!$C$3,"XXXXX",$W1300))</f>
        <v>#VALUE!</v>
      </c>
      <c r="AA1300" s="12" t="str">
        <f t="shared" si="62"/>
        <v/>
      </c>
    </row>
    <row r="1301" spans="1:27" x14ac:dyDescent="0.4">
      <c r="A1301" s="14">
        <f t="shared" si="64"/>
        <v>1300</v>
      </c>
      <c r="B1301" s="14"/>
      <c r="C1301" s="18"/>
      <c r="D1301" s="14"/>
      <c r="E1301" s="14"/>
      <c r="G1301" s="1">
        <f>_xlfn.XLOOKUP(B1301,M_YT_LIVE!A:A,M_YT_LIVE!F:F,"ERROR",0,1)</f>
        <v>0</v>
      </c>
      <c r="W1301" s="13" t="e">
        <f t="shared" si="63"/>
        <v>#VALUE!</v>
      </c>
      <c r="X1301" s="12">
        <f>_xlfn.XLOOKUP($B1301,M_YT_LIVE!$A:$A,M_YT_LIVE!$D:$D)</f>
        <v>0</v>
      </c>
      <c r="Z1301" s="16" t="e">
        <f>HYPERLINK($X1301&amp;SUBSTITUTE(マスタ!$C$3,"XXXXX",$W1301))</f>
        <v>#VALUE!</v>
      </c>
      <c r="AA1301" s="12" t="str">
        <f t="shared" si="62"/>
        <v/>
      </c>
    </row>
    <row r="1302" spans="1:27" x14ac:dyDescent="0.4">
      <c r="A1302" s="14">
        <f t="shared" si="64"/>
        <v>1301</v>
      </c>
      <c r="B1302" s="14"/>
      <c r="C1302" s="18"/>
      <c r="D1302" s="14"/>
      <c r="E1302" s="14"/>
      <c r="G1302" s="1">
        <f>_xlfn.XLOOKUP(B1302,M_YT_LIVE!A:A,M_YT_LIVE!F:F,"ERROR",0,1)</f>
        <v>0</v>
      </c>
      <c r="W1302" s="13" t="e">
        <f t="shared" si="63"/>
        <v>#VALUE!</v>
      </c>
      <c r="X1302" s="12">
        <f>_xlfn.XLOOKUP($B1302,M_YT_LIVE!$A:$A,M_YT_LIVE!$D:$D)</f>
        <v>0</v>
      </c>
      <c r="Z1302" s="16" t="e">
        <f>HYPERLINK($X1302&amp;SUBSTITUTE(マスタ!$C$3,"XXXXX",$W1302))</f>
        <v>#VALUE!</v>
      </c>
      <c r="AA1302" s="12" t="str">
        <f t="shared" si="62"/>
        <v/>
      </c>
    </row>
    <row r="1303" spans="1:27" x14ac:dyDescent="0.4">
      <c r="A1303" s="14">
        <f t="shared" si="64"/>
        <v>1302</v>
      </c>
      <c r="B1303" s="14"/>
      <c r="C1303" s="18"/>
      <c r="D1303" s="14"/>
      <c r="E1303" s="14"/>
      <c r="G1303" s="1">
        <f>_xlfn.XLOOKUP(B1303,M_YT_LIVE!A:A,M_YT_LIVE!F:F,"ERROR",0,1)</f>
        <v>0</v>
      </c>
      <c r="W1303" s="13" t="e">
        <f t="shared" si="63"/>
        <v>#VALUE!</v>
      </c>
      <c r="X1303" s="12">
        <f>_xlfn.XLOOKUP($B1303,M_YT_LIVE!$A:$A,M_YT_LIVE!$D:$D)</f>
        <v>0</v>
      </c>
      <c r="Z1303" s="16" t="e">
        <f>HYPERLINK($X1303&amp;SUBSTITUTE(マスタ!$C$3,"XXXXX",$W1303))</f>
        <v>#VALUE!</v>
      </c>
      <c r="AA1303" s="12" t="str">
        <f t="shared" si="62"/>
        <v/>
      </c>
    </row>
    <row r="1304" spans="1:27" x14ac:dyDescent="0.4">
      <c r="A1304" s="14">
        <f t="shared" si="64"/>
        <v>1303</v>
      </c>
      <c r="B1304" s="14"/>
      <c r="C1304" s="18"/>
      <c r="D1304" s="14"/>
      <c r="E1304" s="14"/>
      <c r="G1304" s="1">
        <f>_xlfn.XLOOKUP(B1304,M_YT_LIVE!A:A,M_YT_LIVE!F:F,"ERROR",0,1)</f>
        <v>0</v>
      </c>
      <c r="W1304" s="13" t="e">
        <f t="shared" si="63"/>
        <v>#VALUE!</v>
      </c>
      <c r="X1304" s="12">
        <f>_xlfn.XLOOKUP($B1304,M_YT_LIVE!$A:$A,M_YT_LIVE!$D:$D)</f>
        <v>0</v>
      </c>
      <c r="Z1304" s="16" t="e">
        <f>HYPERLINK($X1304&amp;SUBSTITUTE(マスタ!$C$3,"XXXXX",$W1304))</f>
        <v>#VALUE!</v>
      </c>
      <c r="AA1304" s="12" t="str">
        <f t="shared" si="62"/>
        <v/>
      </c>
    </row>
    <row r="1305" spans="1:27" x14ac:dyDescent="0.4">
      <c r="A1305" s="14">
        <f t="shared" si="64"/>
        <v>1304</v>
      </c>
      <c r="B1305" s="14"/>
      <c r="C1305" s="18"/>
      <c r="D1305" s="14"/>
      <c r="E1305" s="14"/>
      <c r="G1305" s="1">
        <f>_xlfn.XLOOKUP(B1305,M_YT_LIVE!A:A,M_YT_LIVE!F:F,"ERROR",0,1)</f>
        <v>0</v>
      </c>
      <c r="W1305" s="13" t="e">
        <f t="shared" si="63"/>
        <v>#VALUE!</v>
      </c>
      <c r="X1305" s="12">
        <f>_xlfn.XLOOKUP($B1305,M_YT_LIVE!$A:$A,M_YT_LIVE!$D:$D)</f>
        <v>0</v>
      </c>
      <c r="Z1305" s="16" t="e">
        <f>HYPERLINK($X1305&amp;SUBSTITUTE(マスタ!$C$3,"XXXXX",$W1305))</f>
        <v>#VALUE!</v>
      </c>
      <c r="AA1305" s="12" t="str">
        <f t="shared" si="62"/>
        <v/>
      </c>
    </row>
    <row r="1306" spans="1:27" x14ac:dyDescent="0.4">
      <c r="A1306" s="14">
        <f t="shared" si="64"/>
        <v>1305</v>
      </c>
      <c r="B1306" s="14"/>
      <c r="C1306" s="18"/>
      <c r="D1306" s="14"/>
      <c r="E1306" s="14"/>
      <c r="G1306" s="1">
        <f>_xlfn.XLOOKUP(B1306,M_YT_LIVE!A:A,M_YT_LIVE!F:F,"ERROR",0,1)</f>
        <v>0</v>
      </c>
      <c r="W1306" s="13" t="e">
        <f t="shared" si="63"/>
        <v>#VALUE!</v>
      </c>
      <c r="X1306" s="12">
        <f>_xlfn.XLOOKUP($B1306,M_YT_LIVE!$A:$A,M_YT_LIVE!$D:$D)</f>
        <v>0</v>
      </c>
      <c r="Z1306" s="16" t="e">
        <f>HYPERLINK($X1306&amp;SUBSTITUTE(マスタ!$C$3,"XXXXX",$W1306))</f>
        <v>#VALUE!</v>
      </c>
      <c r="AA1306" s="12" t="str">
        <f t="shared" si="62"/>
        <v/>
      </c>
    </row>
    <row r="1307" spans="1:27" x14ac:dyDescent="0.4">
      <c r="A1307" s="14">
        <f t="shared" si="64"/>
        <v>1306</v>
      </c>
      <c r="B1307" s="14"/>
      <c r="C1307" s="18"/>
      <c r="D1307" s="14"/>
      <c r="E1307" s="14"/>
      <c r="G1307" s="1">
        <f>_xlfn.XLOOKUP(B1307,M_YT_LIVE!A:A,M_YT_LIVE!F:F,"ERROR",0,1)</f>
        <v>0</v>
      </c>
      <c r="W1307" s="13" t="e">
        <f t="shared" si="63"/>
        <v>#VALUE!</v>
      </c>
      <c r="X1307" s="12">
        <f>_xlfn.XLOOKUP($B1307,M_YT_LIVE!$A:$A,M_YT_LIVE!$D:$D)</f>
        <v>0</v>
      </c>
      <c r="Z1307" s="16" t="e">
        <f>HYPERLINK($X1307&amp;SUBSTITUTE(マスタ!$C$3,"XXXXX",$W1307))</f>
        <v>#VALUE!</v>
      </c>
      <c r="AA1307" s="12" t="str">
        <f t="shared" si="62"/>
        <v/>
      </c>
    </row>
    <row r="1308" spans="1:27" x14ac:dyDescent="0.4">
      <c r="A1308" s="14">
        <f t="shared" si="64"/>
        <v>1307</v>
      </c>
      <c r="B1308" s="14"/>
      <c r="C1308" s="18"/>
      <c r="D1308" s="14"/>
      <c r="E1308" s="14"/>
      <c r="G1308" s="1">
        <f>_xlfn.XLOOKUP(B1308,M_YT_LIVE!A:A,M_YT_LIVE!F:F,"ERROR",0,1)</f>
        <v>0</v>
      </c>
      <c r="W1308" s="13" t="e">
        <f t="shared" si="63"/>
        <v>#VALUE!</v>
      </c>
      <c r="X1308" s="12">
        <f>_xlfn.XLOOKUP($B1308,M_YT_LIVE!$A:$A,M_YT_LIVE!$D:$D)</f>
        <v>0</v>
      </c>
      <c r="Z1308" s="16" t="e">
        <f>HYPERLINK($X1308&amp;SUBSTITUTE(マスタ!$C$3,"XXXXX",$W1308))</f>
        <v>#VALUE!</v>
      </c>
      <c r="AA1308" s="12" t="str">
        <f t="shared" si="62"/>
        <v/>
      </c>
    </row>
    <row r="1309" spans="1:27" x14ac:dyDescent="0.4">
      <c r="A1309" s="14">
        <f t="shared" si="64"/>
        <v>1308</v>
      </c>
      <c r="B1309" s="14"/>
      <c r="C1309" s="18"/>
      <c r="D1309" s="14"/>
      <c r="E1309" s="14"/>
      <c r="G1309" s="1">
        <f>_xlfn.XLOOKUP(B1309,M_YT_LIVE!A:A,M_YT_LIVE!F:F,"ERROR",0,1)</f>
        <v>0</v>
      </c>
      <c r="W1309" s="13" t="e">
        <f t="shared" si="63"/>
        <v>#VALUE!</v>
      </c>
      <c r="X1309" s="12">
        <f>_xlfn.XLOOKUP($B1309,M_YT_LIVE!$A:$A,M_YT_LIVE!$D:$D)</f>
        <v>0</v>
      </c>
      <c r="Z1309" s="16" t="e">
        <f>HYPERLINK($X1309&amp;SUBSTITUTE(マスタ!$C$3,"XXXXX",$W1309))</f>
        <v>#VALUE!</v>
      </c>
      <c r="AA1309" s="12" t="str">
        <f t="shared" si="62"/>
        <v/>
      </c>
    </row>
    <row r="1310" spans="1:27" x14ac:dyDescent="0.4">
      <c r="A1310" s="14">
        <f t="shared" si="64"/>
        <v>1309</v>
      </c>
      <c r="B1310" s="14"/>
      <c r="C1310" s="18"/>
      <c r="D1310" s="14"/>
      <c r="E1310" s="14"/>
      <c r="G1310" s="1">
        <f>_xlfn.XLOOKUP(B1310,M_YT_LIVE!A:A,M_YT_LIVE!F:F,"ERROR",0,1)</f>
        <v>0</v>
      </c>
      <c r="W1310" s="13" t="e">
        <f t="shared" si="63"/>
        <v>#VALUE!</v>
      </c>
      <c r="X1310" s="12">
        <f>_xlfn.XLOOKUP($B1310,M_YT_LIVE!$A:$A,M_YT_LIVE!$D:$D)</f>
        <v>0</v>
      </c>
      <c r="Z1310" s="16" t="e">
        <f>HYPERLINK($X1310&amp;SUBSTITUTE(マスタ!$C$3,"XXXXX",$W1310))</f>
        <v>#VALUE!</v>
      </c>
      <c r="AA1310" s="12" t="str">
        <f t="shared" si="62"/>
        <v/>
      </c>
    </row>
    <row r="1311" spans="1:27" x14ac:dyDescent="0.4">
      <c r="A1311" s="14">
        <f t="shared" si="64"/>
        <v>1310</v>
      </c>
      <c r="B1311" s="14"/>
      <c r="C1311" s="18"/>
      <c r="D1311" s="14"/>
      <c r="E1311" s="14"/>
      <c r="G1311" s="1">
        <f>_xlfn.XLOOKUP(B1311,M_YT_LIVE!A:A,M_YT_LIVE!F:F,"ERROR",0,1)</f>
        <v>0</v>
      </c>
      <c r="W1311" s="13" t="e">
        <f t="shared" si="63"/>
        <v>#VALUE!</v>
      </c>
      <c r="X1311" s="12">
        <f>_xlfn.XLOOKUP($B1311,M_YT_LIVE!$A:$A,M_YT_LIVE!$D:$D)</f>
        <v>0</v>
      </c>
      <c r="Z1311" s="16" t="e">
        <f>HYPERLINK($X1311&amp;SUBSTITUTE(マスタ!$C$3,"XXXXX",$W1311))</f>
        <v>#VALUE!</v>
      </c>
      <c r="AA1311" s="12" t="str">
        <f t="shared" si="62"/>
        <v/>
      </c>
    </row>
    <row r="1312" spans="1:27" x14ac:dyDescent="0.4">
      <c r="A1312" s="14">
        <f t="shared" si="64"/>
        <v>1311</v>
      </c>
      <c r="B1312" s="14"/>
      <c r="C1312" s="18"/>
      <c r="D1312" s="14"/>
      <c r="E1312" s="14"/>
      <c r="G1312" s="1">
        <f>_xlfn.XLOOKUP(B1312,M_YT_LIVE!A:A,M_YT_LIVE!F:F,"ERROR",0,1)</f>
        <v>0</v>
      </c>
      <c r="W1312" s="13" t="e">
        <f t="shared" si="63"/>
        <v>#VALUE!</v>
      </c>
      <c r="X1312" s="12">
        <f>_xlfn.XLOOKUP($B1312,M_YT_LIVE!$A:$A,M_YT_LIVE!$D:$D)</f>
        <v>0</v>
      </c>
      <c r="Z1312" s="16" t="e">
        <f>HYPERLINK($X1312&amp;SUBSTITUTE(マスタ!$C$3,"XXXXX",$W1312))</f>
        <v>#VALUE!</v>
      </c>
      <c r="AA1312" s="12" t="str">
        <f t="shared" si="62"/>
        <v/>
      </c>
    </row>
    <row r="1313" spans="1:27" x14ac:dyDescent="0.4">
      <c r="A1313" s="14">
        <f t="shared" si="64"/>
        <v>1312</v>
      </c>
      <c r="B1313" s="14"/>
      <c r="C1313" s="18"/>
      <c r="D1313" s="14"/>
      <c r="E1313" s="14"/>
      <c r="G1313" s="1">
        <f>_xlfn.XLOOKUP(B1313,M_YT_LIVE!A:A,M_YT_LIVE!F:F,"ERROR",0,1)</f>
        <v>0</v>
      </c>
      <c r="W1313" s="13" t="e">
        <f t="shared" si="63"/>
        <v>#VALUE!</v>
      </c>
      <c r="X1313" s="12">
        <f>_xlfn.XLOOKUP($B1313,M_YT_LIVE!$A:$A,M_YT_LIVE!$D:$D)</f>
        <v>0</v>
      </c>
      <c r="Z1313" s="16" t="e">
        <f>HYPERLINK($X1313&amp;SUBSTITUTE(マスタ!$C$3,"XXXXX",$W1313))</f>
        <v>#VALUE!</v>
      </c>
      <c r="AA1313" s="12" t="str">
        <f t="shared" si="62"/>
        <v/>
      </c>
    </row>
    <row r="1314" spans="1:27" x14ac:dyDescent="0.4">
      <c r="A1314" s="14">
        <f t="shared" si="64"/>
        <v>1313</v>
      </c>
      <c r="B1314" s="14"/>
      <c r="C1314" s="18"/>
      <c r="D1314" s="14"/>
      <c r="E1314" s="14"/>
      <c r="G1314" s="1">
        <f>_xlfn.XLOOKUP(B1314,M_YT_LIVE!A:A,M_YT_LIVE!F:F,"ERROR",0,1)</f>
        <v>0</v>
      </c>
      <c r="W1314" s="13" t="e">
        <f t="shared" si="63"/>
        <v>#VALUE!</v>
      </c>
      <c r="X1314" s="12">
        <f>_xlfn.XLOOKUP($B1314,M_YT_LIVE!$A:$A,M_YT_LIVE!$D:$D)</f>
        <v>0</v>
      </c>
      <c r="Z1314" s="16" t="e">
        <f>HYPERLINK($X1314&amp;SUBSTITUTE(マスタ!$C$3,"XXXXX",$W1314))</f>
        <v>#VALUE!</v>
      </c>
      <c r="AA1314" s="12" t="str">
        <f t="shared" si="62"/>
        <v/>
      </c>
    </row>
    <row r="1315" spans="1:27" x14ac:dyDescent="0.4">
      <c r="A1315" s="14">
        <f t="shared" si="64"/>
        <v>1314</v>
      </c>
      <c r="B1315" s="14"/>
      <c r="C1315" s="18"/>
      <c r="D1315" s="14"/>
      <c r="E1315" s="14"/>
      <c r="G1315" s="1">
        <f>_xlfn.XLOOKUP(B1315,M_YT_LIVE!A:A,M_YT_LIVE!F:F,"ERROR",0,1)</f>
        <v>0</v>
      </c>
      <c r="W1315" s="13" t="e">
        <f t="shared" si="63"/>
        <v>#VALUE!</v>
      </c>
      <c r="X1315" s="12">
        <f>_xlfn.XLOOKUP($B1315,M_YT_LIVE!$A:$A,M_YT_LIVE!$D:$D)</f>
        <v>0</v>
      </c>
      <c r="Z1315" s="16" t="e">
        <f>HYPERLINK($X1315&amp;SUBSTITUTE(マスタ!$C$3,"XXXXX",$W1315))</f>
        <v>#VALUE!</v>
      </c>
      <c r="AA1315" s="12" t="str">
        <f t="shared" si="62"/>
        <v/>
      </c>
    </row>
    <row r="1316" spans="1:27" x14ac:dyDescent="0.4">
      <c r="A1316" s="14">
        <f t="shared" si="64"/>
        <v>1315</v>
      </c>
      <c r="B1316" s="14"/>
      <c r="C1316" s="18"/>
      <c r="D1316" s="14"/>
      <c r="E1316" s="14"/>
      <c r="G1316" s="1">
        <f>_xlfn.XLOOKUP(B1316,M_YT_LIVE!A:A,M_YT_LIVE!F:F,"ERROR",0,1)</f>
        <v>0</v>
      </c>
      <c r="W1316" s="13" t="e">
        <f t="shared" si="63"/>
        <v>#VALUE!</v>
      </c>
      <c r="X1316" s="12">
        <f>_xlfn.XLOOKUP($B1316,M_YT_LIVE!$A:$A,M_YT_LIVE!$D:$D)</f>
        <v>0</v>
      </c>
      <c r="Z1316" s="16" t="e">
        <f>HYPERLINK($X1316&amp;SUBSTITUTE(マスタ!$C$3,"XXXXX",$W1316))</f>
        <v>#VALUE!</v>
      </c>
      <c r="AA1316" s="12" t="str">
        <f t="shared" si="62"/>
        <v/>
      </c>
    </row>
    <row r="1317" spans="1:27" x14ac:dyDescent="0.4">
      <c r="A1317" s="14">
        <f t="shared" si="64"/>
        <v>1316</v>
      </c>
      <c r="B1317" s="14"/>
      <c r="C1317" s="18"/>
      <c r="D1317" s="14"/>
      <c r="E1317" s="14"/>
      <c r="G1317" s="1">
        <f>_xlfn.XLOOKUP(B1317,M_YT_LIVE!A:A,M_YT_LIVE!F:F,"ERROR",0,1)</f>
        <v>0</v>
      </c>
      <c r="W1317" s="13" t="e">
        <f t="shared" si="63"/>
        <v>#VALUE!</v>
      </c>
      <c r="X1317" s="12">
        <f>_xlfn.XLOOKUP($B1317,M_YT_LIVE!$A:$A,M_YT_LIVE!$D:$D)</f>
        <v>0</v>
      </c>
      <c r="Z1317" s="16" t="e">
        <f>HYPERLINK($X1317&amp;SUBSTITUTE(マスタ!$C$3,"XXXXX",$W1317))</f>
        <v>#VALUE!</v>
      </c>
      <c r="AA1317" s="12" t="str">
        <f t="shared" si="62"/>
        <v/>
      </c>
    </row>
    <row r="1318" spans="1:27" x14ac:dyDescent="0.4">
      <c r="A1318" s="14">
        <f t="shared" si="64"/>
        <v>1317</v>
      </c>
      <c r="B1318" s="14"/>
      <c r="C1318" s="18"/>
      <c r="D1318" s="14"/>
      <c r="E1318" s="14"/>
      <c r="G1318" s="1">
        <f>_xlfn.XLOOKUP(B1318,M_YT_LIVE!A:A,M_YT_LIVE!F:F,"ERROR",0,1)</f>
        <v>0</v>
      </c>
      <c r="W1318" s="13" t="e">
        <f t="shared" si="63"/>
        <v>#VALUE!</v>
      </c>
      <c r="X1318" s="12">
        <f>_xlfn.XLOOKUP($B1318,M_YT_LIVE!$A:$A,M_YT_LIVE!$D:$D)</f>
        <v>0</v>
      </c>
      <c r="Z1318" s="16" t="e">
        <f>HYPERLINK($X1318&amp;SUBSTITUTE(マスタ!$C$3,"XXXXX",$W1318))</f>
        <v>#VALUE!</v>
      </c>
      <c r="AA1318" s="12" t="str">
        <f t="shared" si="62"/>
        <v/>
      </c>
    </row>
    <row r="1319" spans="1:27" x14ac:dyDescent="0.4">
      <c r="A1319" s="14">
        <f t="shared" si="64"/>
        <v>1318</v>
      </c>
      <c r="B1319" s="14"/>
      <c r="C1319" s="18"/>
      <c r="D1319" s="14"/>
      <c r="E1319" s="14"/>
      <c r="G1319" s="1">
        <f>_xlfn.XLOOKUP(B1319,M_YT_LIVE!A:A,M_YT_LIVE!F:F,"ERROR",0,1)</f>
        <v>0</v>
      </c>
      <c r="W1319" s="13" t="e">
        <f t="shared" si="63"/>
        <v>#VALUE!</v>
      </c>
      <c r="X1319" s="12">
        <f>_xlfn.XLOOKUP($B1319,M_YT_LIVE!$A:$A,M_YT_LIVE!$D:$D)</f>
        <v>0</v>
      </c>
      <c r="Z1319" s="16" t="e">
        <f>HYPERLINK($X1319&amp;SUBSTITUTE(マスタ!$C$3,"XXXXX",$W1319))</f>
        <v>#VALUE!</v>
      </c>
      <c r="AA1319" s="12" t="str">
        <f t="shared" si="62"/>
        <v/>
      </c>
    </row>
    <row r="1320" spans="1:27" x14ac:dyDescent="0.4">
      <c r="A1320" s="14">
        <f t="shared" si="64"/>
        <v>1319</v>
      </c>
      <c r="B1320" s="14"/>
      <c r="C1320" s="18"/>
      <c r="D1320" s="14"/>
      <c r="E1320" s="14"/>
      <c r="G1320" s="1">
        <f>_xlfn.XLOOKUP(B1320,M_YT_LIVE!A:A,M_YT_LIVE!F:F,"ERROR",0,1)</f>
        <v>0</v>
      </c>
      <c r="W1320" s="13" t="e">
        <f t="shared" si="63"/>
        <v>#VALUE!</v>
      </c>
      <c r="X1320" s="12">
        <f>_xlfn.XLOOKUP($B1320,M_YT_LIVE!$A:$A,M_YT_LIVE!$D:$D)</f>
        <v>0</v>
      </c>
      <c r="Z1320" s="16" t="e">
        <f>HYPERLINK($X1320&amp;SUBSTITUTE(マスタ!$C$3,"XXXXX",$W1320))</f>
        <v>#VALUE!</v>
      </c>
      <c r="AA1320" s="12" t="str">
        <f t="shared" si="62"/>
        <v/>
      </c>
    </row>
    <row r="1321" spans="1:27" x14ac:dyDescent="0.4">
      <c r="A1321" s="14">
        <f t="shared" si="64"/>
        <v>1320</v>
      </c>
      <c r="B1321" s="14"/>
      <c r="C1321" s="18"/>
      <c r="D1321" s="14"/>
      <c r="E1321" s="14"/>
      <c r="G1321" s="1">
        <f>_xlfn.XLOOKUP(B1321,M_YT_LIVE!A:A,M_YT_LIVE!F:F,"ERROR",0,1)</f>
        <v>0</v>
      </c>
      <c r="W1321" s="13" t="e">
        <f t="shared" si="63"/>
        <v>#VALUE!</v>
      </c>
      <c r="X1321" s="12">
        <f>_xlfn.XLOOKUP($B1321,M_YT_LIVE!$A:$A,M_YT_LIVE!$D:$D)</f>
        <v>0</v>
      </c>
      <c r="Z1321" s="16" t="e">
        <f>HYPERLINK($X1321&amp;SUBSTITUTE(マスタ!$C$3,"XXXXX",$W1321))</f>
        <v>#VALUE!</v>
      </c>
      <c r="AA1321" s="12" t="str">
        <f t="shared" si="62"/>
        <v/>
      </c>
    </row>
    <row r="1322" spans="1:27" x14ac:dyDescent="0.4">
      <c r="A1322" s="14">
        <f t="shared" si="64"/>
        <v>1321</v>
      </c>
      <c r="B1322" s="14"/>
      <c r="C1322" s="18"/>
      <c r="D1322" s="14"/>
      <c r="E1322" s="14"/>
      <c r="G1322" s="1">
        <f>_xlfn.XLOOKUP(B1322,M_YT_LIVE!A:A,M_YT_LIVE!F:F,"ERROR",0,1)</f>
        <v>0</v>
      </c>
      <c r="W1322" s="13" t="e">
        <f t="shared" si="63"/>
        <v>#VALUE!</v>
      </c>
      <c r="X1322" s="12">
        <f>_xlfn.XLOOKUP($B1322,M_YT_LIVE!$A:$A,M_YT_LIVE!$D:$D)</f>
        <v>0</v>
      </c>
      <c r="Z1322" s="16" t="e">
        <f>HYPERLINK($X1322&amp;SUBSTITUTE(マスタ!$C$3,"XXXXX",$W1322))</f>
        <v>#VALUE!</v>
      </c>
      <c r="AA1322" s="12" t="str">
        <f t="shared" si="62"/>
        <v/>
      </c>
    </row>
    <row r="1323" spans="1:27" x14ac:dyDescent="0.4">
      <c r="A1323" s="14">
        <f t="shared" si="64"/>
        <v>1322</v>
      </c>
      <c r="B1323" s="14"/>
      <c r="C1323" s="18"/>
      <c r="D1323" s="14"/>
      <c r="E1323" s="14"/>
      <c r="G1323" s="1">
        <f>_xlfn.XLOOKUP(B1323,M_YT_LIVE!A:A,M_YT_LIVE!F:F,"ERROR",0,1)</f>
        <v>0</v>
      </c>
      <c r="W1323" s="13" t="e">
        <f t="shared" si="63"/>
        <v>#VALUE!</v>
      </c>
      <c r="X1323" s="12">
        <f>_xlfn.XLOOKUP($B1323,M_YT_LIVE!$A:$A,M_YT_LIVE!$D:$D)</f>
        <v>0</v>
      </c>
      <c r="Z1323" s="16" t="e">
        <f>HYPERLINK($X1323&amp;SUBSTITUTE(マスタ!$C$3,"XXXXX",$W1323))</f>
        <v>#VALUE!</v>
      </c>
      <c r="AA1323" s="12" t="str">
        <f t="shared" si="62"/>
        <v/>
      </c>
    </row>
    <row r="1324" spans="1:27" x14ac:dyDescent="0.4">
      <c r="A1324" s="14">
        <f t="shared" si="64"/>
        <v>1323</v>
      </c>
      <c r="B1324" s="14"/>
      <c r="C1324" s="18"/>
      <c r="D1324" s="14"/>
      <c r="E1324" s="14"/>
      <c r="G1324" s="1">
        <f>_xlfn.XLOOKUP(B1324,M_YT_LIVE!A:A,M_YT_LIVE!F:F,"ERROR",0,1)</f>
        <v>0</v>
      </c>
      <c r="W1324" s="13" t="e">
        <f t="shared" si="63"/>
        <v>#VALUE!</v>
      </c>
      <c r="X1324" s="12">
        <f>_xlfn.XLOOKUP($B1324,M_YT_LIVE!$A:$A,M_YT_LIVE!$D:$D)</f>
        <v>0</v>
      </c>
      <c r="Z1324" s="16" t="e">
        <f>HYPERLINK($X1324&amp;SUBSTITUTE(マスタ!$C$3,"XXXXX",$W1324))</f>
        <v>#VALUE!</v>
      </c>
      <c r="AA1324" s="12" t="str">
        <f t="shared" si="62"/>
        <v/>
      </c>
    </row>
    <row r="1325" spans="1:27" x14ac:dyDescent="0.4">
      <c r="A1325" s="14">
        <f t="shared" si="64"/>
        <v>1324</v>
      </c>
      <c r="B1325" s="14"/>
      <c r="C1325" s="18"/>
      <c r="D1325" s="14"/>
      <c r="E1325" s="14"/>
      <c r="G1325" s="1">
        <f>_xlfn.XLOOKUP(B1325,M_YT_LIVE!A:A,M_YT_LIVE!F:F,"ERROR",0,1)</f>
        <v>0</v>
      </c>
      <c r="W1325" s="13" t="e">
        <f t="shared" si="63"/>
        <v>#VALUE!</v>
      </c>
      <c r="X1325" s="12">
        <f>_xlfn.XLOOKUP($B1325,M_YT_LIVE!$A:$A,M_YT_LIVE!$D:$D)</f>
        <v>0</v>
      </c>
      <c r="Z1325" s="16" t="e">
        <f>HYPERLINK($X1325&amp;SUBSTITUTE(マスタ!$C$3,"XXXXX",$W1325))</f>
        <v>#VALUE!</v>
      </c>
      <c r="AA1325" s="12" t="str">
        <f t="shared" si="62"/>
        <v/>
      </c>
    </row>
    <row r="1326" spans="1:27" x14ac:dyDescent="0.4">
      <c r="A1326" s="14">
        <f t="shared" si="64"/>
        <v>1325</v>
      </c>
      <c r="B1326" s="14"/>
      <c r="C1326" s="18"/>
      <c r="D1326" s="14"/>
      <c r="E1326" s="14"/>
      <c r="G1326" s="1">
        <f>_xlfn.XLOOKUP(B1326,M_YT_LIVE!A:A,M_YT_LIVE!F:F,"ERROR",0,1)</f>
        <v>0</v>
      </c>
      <c r="W1326" s="13" t="e">
        <f t="shared" si="63"/>
        <v>#VALUE!</v>
      </c>
      <c r="X1326" s="12">
        <f>_xlfn.XLOOKUP($B1326,M_YT_LIVE!$A:$A,M_YT_LIVE!$D:$D)</f>
        <v>0</v>
      </c>
      <c r="Z1326" s="16" t="e">
        <f>HYPERLINK($X1326&amp;SUBSTITUTE(マスタ!$C$3,"XXXXX",$W1326))</f>
        <v>#VALUE!</v>
      </c>
      <c r="AA1326" s="12" t="str">
        <f t="shared" si="62"/>
        <v/>
      </c>
    </row>
    <row r="1327" spans="1:27" x14ac:dyDescent="0.4">
      <c r="A1327" s="14">
        <f t="shared" si="64"/>
        <v>1326</v>
      </c>
      <c r="B1327" s="14"/>
      <c r="C1327" s="18"/>
      <c r="D1327" s="14"/>
      <c r="E1327" s="14"/>
      <c r="G1327" s="1">
        <f>_xlfn.XLOOKUP(B1327,M_YT_LIVE!A:A,M_YT_LIVE!F:F,"ERROR",0,1)</f>
        <v>0</v>
      </c>
      <c r="W1327" s="13" t="e">
        <f t="shared" si="63"/>
        <v>#VALUE!</v>
      </c>
      <c r="X1327" s="12">
        <f>_xlfn.XLOOKUP($B1327,M_YT_LIVE!$A:$A,M_YT_LIVE!$D:$D)</f>
        <v>0</v>
      </c>
      <c r="Z1327" s="16" t="e">
        <f>HYPERLINK($X1327&amp;SUBSTITUTE(マスタ!$C$3,"XXXXX",$W1327))</f>
        <v>#VALUE!</v>
      </c>
      <c r="AA1327" s="12" t="str">
        <f t="shared" si="62"/>
        <v/>
      </c>
    </row>
    <row r="1328" spans="1:27" x14ac:dyDescent="0.4">
      <c r="A1328" s="14">
        <f t="shared" si="64"/>
        <v>1327</v>
      </c>
      <c r="B1328" s="14"/>
      <c r="C1328" s="18"/>
      <c r="D1328" s="14"/>
      <c r="E1328" s="14"/>
      <c r="G1328" s="1">
        <f>_xlfn.XLOOKUP(B1328,M_YT_LIVE!A:A,M_YT_LIVE!F:F,"ERROR",0,1)</f>
        <v>0</v>
      </c>
      <c r="W1328" s="13" t="e">
        <f t="shared" si="63"/>
        <v>#VALUE!</v>
      </c>
      <c r="X1328" s="12">
        <f>_xlfn.XLOOKUP($B1328,M_YT_LIVE!$A:$A,M_YT_LIVE!$D:$D)</f>
        <v>0</v>
      </c>
      <c r="Z1328" s="16" t="e">
        <f>HYPERLINK($X1328&amp;SUBSTITUTE(マスタ!$C$3,"XXXXX",$W1328))</f>
        <v>#VALUE!</v>
      </c>
      <c r="AA1328" s="12" t="str">
        <f t="shared" si="62"/>
        <v/>
      </c>
    </row>
    <row r="1329" spans="1:27" x14ac:dyDescent="0.4">
      <c r="A1329" s="14">
        <f t="shared" si="64"/>
        <v>1328</v>
      </c>
      <c r="B1329" s="14"/>
      <c r="C1329" s="18"/>
      <c r="D1329" s="14"/>
      <c r="E1329" s="14"/>
      <c r="G1329" s="1">
        <f>_xlfn.XLOOKUP(B1329,M_YT_LIVE!A:A,M_YT_LIVE!F:F,"ERROR",0,1)</f>
        <v>0</v>
      </c>
      <c r="W1329" s="13" t="e">
        <f t="shared" si="63"/>
        <v>#VALUE!</v>
      </c>
      <c r="X1329" s="12">
        <f>_xlfn.XLOOKUP($B1329,M_YT_LIVE!$A:$A,M_YT_LIVE!$D:$D)</f>
        <v>0</v>
      </c>
      <c r="Z1329" s="16" t="e">
        <f>HYPERLINK($X1329&amp;SUBSTITUTE(マスタ!$C$3,"XXXXX",$W1329))</f>
        <v>#VALUE!</v>
      </c>
      <c r="AA1329" s="12" t="str">
        <f t="shared" si="62"/>
        <v/>
      </c>
    </row>
    <row r="1330" spans="1:27" x14ac:dyDescent="0.4">
      <c r="A1330" s="14">
        <f t="shared" si="64"/>
        <v>1329</v>
      </c>
      <c r="B1330" s="14"/>
      <c r="C1330" s="18"/>
      <c r="D1330" s="14"/>
      <c r="E1330" s="14"/>
      <c r="G1330" s="1">
        <f>_xlfn.XLOOKUP(B1330,M_YT_LIVE!A:A,M_YT_LIVE!F:F,"ERROR",0,1)</f>
        <v>0</v>
      </c>
      <c r="W1330" s="13" t="e">
        <f t="shared" si="63"/>
        <v>#VALUE!</v>
      </c>
      <c r="X1330" s="12">
        <f>_xlfn.XLOOKUP($B1330,M_YT_LIVE!$A:$A,M_YT_LIVE!$D:$D)</f>
        <v>0</v>
      </c>
      <c r="Z1330" s="16" t="e">
        <f>HYPERLINK($X1330&amp;SUBSTITUTE(マスタ!$C$3,"XXXXX",$W1330))</f>
        <v>#VALUE!</v>
      </c>
      <c r="AA1330" s="12" t="str">
        <f t="shared" ref="AA1330:AA1393" si="65">TRIM(E1330)&amp;TRIM(D1330)</f>
        <v/>
      </c>
    </row>
    <row r="1331" spans="1:27" x14ac:dyDescent="0.4">
      <c r="A1331" s="14">
        <f t="shared" si="64"/>
        <v>1330</v>
      </c>
      <c r="B1331" s="14"/>
      <c r="C1331" s="18"/>
      <c r="D1331" s="14"/>
      <c r="E1331" s="14"/>
      <c r="G1331" s="1">
        <f>_xlfn.XLOOKUP(B1331,M_YT_LIVE!A:A,M_YT_LIVE!F:F,"ERROR",0,1)</f>
        <v>0</v>
      </c>
      <c r="W1331" s="13" t="e">
        <f t="shared" si="63"/>
        <v>#VALUE!</v>
      </c>
      <c r="X1331" s="12">
        <f>_xlfn.XLOOKUP($B1331,M_YT_LIVE!$A:$A,M_YT_LIVE!$D:$D)</f>
        <v>0</v>
      </c>
      <c r="Z1331" s="16" t="e">
        <f>HYPERLINK($X1331&amp;SUBSTITUTE(マスタ!$C$3,"XXXXX",$W1331))</f>
        <v>#VALUE!</v>
      </c>
      <c r="AA1331" s="12" t="str">
        <f t="shared" si="65"/>
        <v/>
      </c>
    </row>
    <row r="1332" spans="1:27" x14ac:dyDescent="0.4">
      <c r="A1332" s="14">
        <f t="shared" si="64"/>
        <v>1331</v>
      </c>
      <c r="B1332" s="14"/>
      <c r="C1332" s="18"/>
      <c r="D1332" s="14"/>
      <c r="E1332" s="14"/>
      <c r="G1332" s="1">
        <f>_xlfn.XLOOKUP(B1332,M_YT_LIVE!A:A,M_YT_LIVE!F:F,"ERROR",0,1)</f>
        <v>0</v>
      </c>
      <c r="W1332" s="13" t="e">
        <f t="shared" si="63"/>
        <v>#VALUE!</v>
      </c>
      <c r="X1332" s="12">
        <f>_xlfn.XLOOKUP($B1332,M_YT_LIVE!$A:$A,M_YT_LIVE!$D:$D)</f>
        <v>0</v>
      </c>
      <c r="Z1332" s="16" t="e">
        <f>HYPERLINK($X1332&amp;SUBSTITUTE(マスタ!$C$3,"XXXXX",$W1332))</f>
        <v>#VALUE!</v>
      </c>
      <c r="AA1332" s="12" t="str">
        <f t="shared" si="65"/>
        <v/>
      </c>
    </row>
    <row r="1333" spans="1:27" x14ac:dyDescent="0.4">
      <c r="A1333" s="14">
        <f t="shared" si="64"/>
        <v>1332</v>
      </c>
      <c r="B1333" s="14"/>
      <c r="C1333" s="18"/>
      <c r="D1333" s="14"/>
      <c r="E1333" s="14"/>
      <c r="G1333" s="1">
        <f>_xlfn.XLOOKUP(B1333,M_YT_LIVE!A:A,M_YT_LIVE!F:F,"ERROR",0,1)</f>
        <v>0</v>
      </c>
      <c r="W1333" s="13" t="e">
        <f t="shared" si="63"/>
        <v>#VALUE!</v>
      </c>
      <c r="X1333" s="12">
        <f>_xlfn.XLOOKUP($B1333,M_YT_LIVE!$A:$A,M_YT_LIVE!$D:$D)</f>
        <v>0</v>
      </c>
      <c r="Z1333" s="16" t="e">
        <f>HYPERLINK($X1333&amp;SUBSTITUTE(マスタ!$C$3,"XXXXX",$W1333))</f>
        <v>#VALUE!</v>
      </c>
      <c r="AA1333" s="12" t="str">
        <f t="shared" si="65"/>
        <v/>
      </c>
    </row>
    <row r="1334" spans="1:27" x14ac:dyDescent="0.4">
      <c r="A1334" s="14">
        <f t="shared" si="64"/>
        <v>1333</v>
      </c>
      <c r="B1334" s="14"/>
      <c r="C1334" s="18"/>
      <c r="D1334" s="14"/>
      <c r="E1334" s="14"/>
      <c r="G1334" s="1">
        <f>_xlfn.XLOOKUP(B1334,M_YT_LIVE!A:A,M_YT_LIVE!F:F,"ERROR",0,1)</f>
        <v>0</v>
      </c>
      <c r="W1334" s="13" t="e">
        <f t="shared" si="63"/>
        <v>#VALUE!</v>
      </c>
      <c r="X1334" s="12">
        <f>_xlfn.XLOOKUP($B1334,M_YT_LIVE!$A:$A,M_YT_LIVE!$D:$D)</f>
        <v>0</v>
      </c>
      <c r="Z1334" s="16" t="e">
        <f>HYPERLINK($X1334&amp;SUBSTITUTE(マスタ!$C$3,"XXXXX",$W1334))</f>
        <v>#VALUE!</v>
      </c>
      <c r="AA1334" s="12" t="str">
        <f t="shared" si="65"/>
        <v/>
      </c>
    </row>
    <row r="1335" spans="1:27" x14ac:dyDescent="0.4">
      <c r="A1335" s="14">
        <f t="shared" si="64"/>
        <v>1334</v>
      </c>
      <c r="B1335" s="14"/>
      <c r="C1335" s="18"/>
      <c r="D1335" s="14"/>
      <c r="E1335" s="14"/>
      <c r="G1335" s="1">
        <f>_xlfn.XLOOKUP(B1335,M_YT_LIVE!A:A,M_YT_LIVE!F:F,"ERROR",0,1)</f>
        <v>0</v>
      </c>
      <c r="W1335" s="13" t="e">
        <f t="shared" si="63"/>
        <v>#VALUE!</v>
      </c>
      <c r="X1335" s="12">
        <f>_xlfn.XLOOKUP($B1335,M_YT_LIVE!$A:$A,M_YT_LIVE!$D:$D)</f>
        <v>0</v>
      </c>
      <c r="Z1335" s="16" t="e">
        <f>HYPERLINK($X1335&amp;SUBSTITUTE(マスタ!$C$3,"XXXXX",$W1335))</f>
        <v>#VALUE!</v>
      </c>
      <c r="AA1335" s="12" t="str">
        <f t="shared" si="65"/>
        <v/>
      </c>
    </row>
    <row r="1336" spans="1:27" x14ac:dyDescent="0.4">
      <c r="A1336" s="14">
        <f t="shared" si="64"/>
        <v>1335</v>
      </c>
      <c r="B1336" s="14"/>
      <c r="C1336" s="18"/>
      <c r="D1336" s="14"/>
      <c r="E1336" s="14"/>
      <c r="G1336" s="1">
        <f>_xlfn.XLOOKUP(B1336,M_YT_LIVE!A:A,M_YT_LIVE!F:F,"ERROR",0,1)</f>
        <v>0</v>
      </c>
      <c r="W1336" s="13" t="e">
        <f t="shared" si="63"/>
        <v>#VALUE!</v>
      </c>
      <c r="X1336" s="12">
        <f>_xlfn.XLOOKUP($B1336,M_YT_LIVE!$A:$A,M_YT_LIVE!$D:$D)</f>
        <v>0</v>
      </c>
      <c r="Z1336" s="16" t="e">
        <f>HYPERLINK($X1336&amp;SUBSTITUTE(マスタ!$C$3,"XXXXX",$W1336))</f>
        <v>#VALUE!</v>
      </c>
      <c r="AA1336" s="12" t="str">
        <f t="shared" si="65"/>
        <v/>
      </c>
    </row>
    <row r="1337" spans="1:27" x14ac:dyDescent="0.4">
      <c r="A1337" s="14">
        <f t="shared" si="64"/>
        <v>1336</v>
      </c>
      <c r="B1337" s="14"/>
      <c r="C1337" s="18"/>
      <c r="D1337" s="14"/>
      <c r="E1337" s="14"/>
      <c r="G1337" s="1">
        <f>_xlfn.XLOOKUP(B1337,M_YT_LIVE!A:A,M_YT_LIVE!F:F,"ERROR",0,1)</f>
        <v>0</v>
      </c>
      <c r="W1337" s="13" t="e">
        <f t="shared" si="63"/>
        <v>#VALUE!</v>
      </c>
      <c r="X1337" s="12">
        <f>_xlfn.XLOOKUP($B1337,M_YT_LIVE!$A:$A,M_YT_LIVE!$D:$D)</f>
        <v>0</v>
      </c>
      <c r="Z1337" s="16" t="e">
        <f>HYPERLINK($X1337&amp;SUBSTITUTE(マスタ!$C$3,"XXXXX",$W1337))</f>
        <v>#VALUE!</v>
      </c>
      <c r="AA1337" s="12" t="str">
        <f t="shared" si="65"/>
        <v/>
      </c>
    </row>
    <row r="1338" spans="1:27" x14ac:dyDescent="0.4">
      <c r="A1338" s="14">
        <f t="shared" si="64"/>
        <v>1337</v>
      </c>
      <c r="B1338" s="14"/>
      <c r="C1338" s="18"/>
      <c r="D1338" s="14"/>
      <c r="E1338" s="14"/>
      <c r="G1338" s="1">
        <f>_xlfn.XLOOKUP(B1338,M_YT_LIVE!A:A,M_YT_LIVE!F:F,"ERROR",0,1)</f>
        <v>0</v>
      </c>
      <c r="W1338" s="13" t="e">
        <f t="shared" si="63"/>
        <v>#VALUE!</v>
      </c>
      <c r="X1338" s="12">
        <f>_xlfn.XLOOKUP($B1338,M_YT_LIVE!$A:$A,M_YT_LIVE!$D:$D)</f>
        <v>0</v>
      </c>
      <c r="Z1338" s="16" t="e">
        <f>HYPERLINK($X1338&amp;SUBSTITUTE(マスタ!$C$3,"XXXXX",$W1338))</f>
        <v>#VALUE!</v>
      </c>
      <c r="AA1338" s="12" t="str">
        <f t="shared" si="65"/>
        <v/>
      </c>
    </row>
    <row r="1339" spans="1:27" x14ac:dyDescent="0.4">
      <c r="A1339" s="14">
        <f t="shared" si="64"/>
        <v>1338</v>
      </c>
      <c r="B1339" s="14"/>
      <c r="C1339" s="18"/>
      <c r="D1339" s="14"/>
      <c r="E1339" s="14"/>
      <c r="G1339" s="1">
        <f>_xlfn.XLOOKUP(B1339,M_YT_LIVE!A:A,M_YT_LIVE!F:F,"ERROR",0,1)</f>
        <v>0</v>
      </c>
      <c r="W1339" s="13" t="e">
        <f t="shared" si="63"/>
        <v>#VALUE!</v>
      </c>
      <c r="X1339" s="12">
        <f>_xlfn.XLOOKUP($B1339,M_YT_LIVE!$A:$A,M_YT_LIVE!$D:$D)</f>
        <v>0</v>
      </c>
      <c r="Z1339" s="16" t="e">
        <f>HYPERLINK($X1339&amp;SUBSTITUTE(マスタ!$C$3,"XXXXX",$W1339))</f>
        <v>#VALUE!</v>
      </c>
      <c r="AA1339" s="12" t="str">
        <f t="shared" si="65"/>
        <v/>
      </c>
    </row>
    <row r="1340" spans="1:27" x14ac:dyDescent="0.4">
      <c r="A1340" s="14">
        <f t="shared" si="64"/>
        <v>1339</v>
      </c>
      <c r="B1340" s="14"/>
      <c r="C1340" s="18"/>
      <c r="D1340" s="14"/>
      <c r="E1340" s="14"/>
      <c r="G1340" s="1">
        <f>_xlfn.XLOOKUP(B1340,M_YT_LIVE!A:A,M_YT_LIVE!F:F,"ERROR",0,1)</f>
        <v>0</v>
      </c>
      <c r="W1340" s="13" t="e">
        <f t="shared" si="63"/>
        <v>#VALUE!</v>
      </c>
      <c r="X1340" s="12">
        <f>_xlfn.XLOOKUP($B1340,M_YT_LIVE!$A:$A,M_YT_LIVE!$D:$D)</f>
        <v>0</v>
      </c>
      <c r="Z1340" s="16" t="e">
        <f>HYPERLINK($X1340&amp;SUBSTITUTE(マスタ!$C$3,"XXXXX",$W1340))</f>
        <v>#VALUE!</v>
      </c>
      <c r="AA1340" s="12" t="str">
        <f t="shared" si="65"/>
        <v/>
      </c>
    </row>
    <row r="1341" spans="1:27" x14ac:dyDescent="0.4">
      <c r="A1341" s="14">
        <f t="shared" si="64"/>
        <v>1340</v>
      </c>
      <c r="B1341" s="14"/>
      <c r="C1341" s="18"/>
      <c r="D1341" s="14"/>
      <c r="E1341" s="14"/>
      <c r="G1341" s="1">
        <f>_xlfn.XLOOKUP(B1341,M_YT_LIVE!A:A,M_YT_LIVE!F:F,"ERROR",0,1)</f>
        <v>0</v>
      </c>
      <c r="W1341" s="13" t="e">
        <f t="shared" si="63"/>
        <v>#VALUE!</v>
      </c>
      <c r="X1341" s="12">
        <f>_xlfn.XLOOKUP($B1341,M_YT_LIVE!$A:$A,M_YT_LIVE!$D:$D)</f>
        <v>0</v>
      </c>
      <c r="Z1341" s="16" t="e">
        <f>HYPERLINK($X1341&amp;SUBSTITUTE(マスタ!$C$3,"XXXXX",$W1341))</f>
        <v>#VALUE!</v>
      </c>
      <c r="AA1341" s="12" t="str">
        <f t="shared" si="65"/>
        <v/>
      </c>
    </row>
    <row r="1342" spans="1:27" x14ac:dyDescent="0.4">
      <c r="A1342" s="14">
        <f t="shared" si="64"/>
        <v>1341</v>
      </c>
      <c r="B1342" s="14"/>
      <c r="C1342" s="18"/>
      <c r="D1342" s="14"/>
      <c r="E1342" s="14"/>
      <c r="G1342" s="1">
        <f>_xlfn.XLOOKUP(B1342,M_YT_LIVE!A:A,M_YT_LIVE!F:F,"ERROR",0,1)</f>
        <v>0</v>
      </c>
      <c r="W1342" s="13" t="e">
        <f t="shared" si="63"/>
        <v>#VALUE!</v>
      </c>
      <c r="X1342" s="12">
        <f>_xlfn.XLOOKUP($B1342,M_YT_LIVE!$A:$A,M_YT_LIVE!$D:$D)</f>
        <v>0</v>
      </c>
      <c r="Z1342" s="16" t="e">
        <f>HYPERLINK($X1342&amp;SUBSTITUTE(マスタ!$C$3,"XXXXX",$W1342))</f>
        <v>#VALUE!</v>
      </c>
      <c r="AA1342" s="12" t="str">
        <f t="shared" si="65"/>
        <v/>
      </c>
    </row>
    <row r="1343" spans="1:27" x14ac:dyDescent="0.4">
      <c r="A1343" s="14">
        <f t="shared" si="64"/>
        <v>1342</v>
      </c>
      <c r="B1343" s="14"/>
      <c r="C1343" s="18"/>
      <c r="D1343" s="14"/>
      <c r="E1343" s="14"/>
      <c r="G1343" s="1">
        <f>_xlfn.XLOOKUP(B1343,M_YT_LIVE!A:A,M_YT_LIVE!F:F,"ERROR",0,1)</f>
        <v>0</v>
      </c>
      <c r="W1343" s="13" t="e">
        <f t="shared" si="63"/>
        <v>#VALUE!</v>
      </c>
      <c r="X1343" s="12">
        <f>_xlfn.XLOOKUP($B1343,M_YT_LIVE!$A:$A,M_YT_LIVE!$D:$D)</f>
        <v>0</v>
      </c>
      <c r="Z1343" s="16" t="e">
        <f>HYPERLINK($X1343&amp;SUBSTITUTE(マスタ!$C$3,"XXXXX",$W1343))</f>
        <v>#VALUE!</v>
      </c>
      <c r="AA1343" s="12" t="str">
        <f t="shared" si="65"/>
        <v/>
      </c>
    </row>
    <row r="1344" spans="1:27" x14ac:dyDescent="0.4">
      <c r="A1344" s="14">
        <f t="shared" si="64"/>
        <v>1343</v>
      </c>
      <c r="B1344" s="14"/>
      <c r="C1344" s="18"/>
      <c r="D1344" s="14"/>
      <c r="E1344" s="14"/>
      <c r="G1344" s="1">
        <f>_xlfn.XLOOKUP(B1344,M_YT_LIVE!A:A,M_YT_LIVE!F:F,"ERROR",0,1)</f>
        <v>0</v>
      </c>
      <c r="W1344" s="13" t="e">
        <f t="shared" si="63"/>
        <v>#VALUE!</v>
      </c>
      <c r="X1344" s="12">
        <f>_xlfn.XLOOKUP($B1344,M_YT_LIVE!$A:$A,M_YT_LIVE!$D:$D)</f>
        <v>0</v>
      </c>
      <c r="Z1344" s="16" t="e">
        <f>HYPERLINK($X1344&amp;SUBSTITUTE(マスタ!$C$3,"XXXXX",$W1344))</f>
        <v>#VALUE!</v>
      </c>
      <c r="AA1344" s="12" t="str">
        <f t="shared" si="65"/>
        <v/>
      </c>
    </row>
    <row r="1345" spans="1:27" x14ac:dyDescent="0.4">
      <c r="A1345" s="14">
        <f t="shared" si="64"/>
        <v>1344</v>
      </c>
      <c r="B1345" s="14"/>
      <c r="C1345" s="18"/>
      <c r="D1345" s="14"/>
      <c r="E1345" s="14"/>
      <c r="G1345" s="1">
        <f>_xlfn.XLOOKUP(B1345,M_YT_LIVE!A:A,M_YT_LIVE!F:F,"ERROR",0,1)</f>
        <v>0</v>
      </c>
      <c r="W1345" s="13" t="e">
        <f t="shared" si="63"/>
        <v>#VALUE!</v>
      </c>
      <c r="X1345" s="12">
        <f>_xlfn.XLOOKUP($B1345,M_YT_LIVE!$A:$A,M_YT_LIVE!$D:$D)</f>
        <v>0</v>
      </c>
      <c r="Z1345" s="16" t="e">
        <f>HYPERLINK($X1345&amp;SUBSTITUTE(マスタ!$C$3,"XXXXX",$W1345))</f>
        <v>#VALUE!</v>
      </c>
      <c r="AA1345" s="12" t="str">
        <f t="shared" si="65"/>
        <v/>
      </c>
    </row>
    <row r="1346" spans="1:27" x14ac:dyDescent="0.4">
      <c r="A1346" s="14">
        <f t="shared" si="64"/>
        <v>1345</v>
      </c>
      <c r="B1346" s="14"/>
      <c r="C1346" s="18"/>
      <c r="D1346" s="14"/>
      <c r="E1346" s="14"/>
      <c r="G1346" s="1">
        <f>_xlfn.XLOOKUP(B1346,M_YT_LIVE!A:A,M_YT_LIVE!F:F,"ERROR",0,1)</f>
        <v>0</v>
      </c>
      <c r="W1346" s="13" t="e">
        <f t="shared" si="63"/>
        <v>#VALUE!</v>
      </c>
      <c r="X1346" s="12">
        <f>_xlfn.XLOOKUP($B1346,M_YT_LIVE!$A:$A,M_YT_LIVE!$D:$D)</f>
        <v>0</v>
      </c>
      <c r="Z1346" s="16" t="e">
        <f>HYPERLINK($X1346&amp;SUBSTITUTE(マスタ!$C$3,"XXXXX",$W1346))</f>
        <v>#VALUE!</v>
      </c>
      <c r="AA1346" s="12" t="str">
        <f t="shared" si="65"/>
        <v/>
      </c>
    </row>
    <row r="1347" spans="1:27" x14ac:dyDescent="0.4">
      <c r="A1347" s="14">
        <f t="shared" si="64"/>
        <v>1346</v>
      </c>
      <c r="B1347" s="14"/>
      <c r="C1347" s="18"/>
      <c r="D1347" s="14"/>
      <c r="E1347" s="14"/>
      <c r="G1347" s="1">
        <f>_xlfn.XLOOKUP(B1347,M_YT_LIVE!A:A,M_YT_LIVE!F:F,"ERROR",0,1)</f>
        <v>0</v>
      </c>
      <c r="W1347" s="13" t="e">
        <f t="shared" si="63"/>
        <v>#VALUE!</v>
      </c>
      <c r="X1347" s="12">
        <f>_xlfn.XLOOKUP($B1347,M_YT_LIVE!$A:$A,M_YT_LIVE!$D:$D)</f>
        <v>0</v>
      </c>
      <c r="Z1347" s="16" t="e">
        <f>HYPERLINK($X1347&amp;SUBSTITUTE(マスタ!$C$3,"XXXXX",$W1347))</f>
        <v>#VALUE!</v>
      </c>
      <c r="AA1347" s="12" t="str">
        <f t="shared" si="65"/>
        <v/>
      </c>
    </row>
    <row r="1348" spans="1:27" x14ac:dyDescent="0.4">
      <c r="A1348" s="14">
        <f t="shared" si="64"/>
        <v>1347</v>
      </c>
      <c r="B1348" s="14"/>
      <c r="C1348" s="18"/>
      <c r="D1348" s="14"/>
      <c r="E1348" s="14"/>
      <c r="G1348" s="1">
        <f>_xlfn.XLOOKUP(B1348,M_YT_LIVE!A:A,M_YT_LIVE!F:F,"ERROR",0,1)</f>
        <v>0</v>
      </c>
      <c r="W1348" s="13" t="e">
        <f t="shared" ref="W1348:W1411" si="66">TIMEVALUE($C1348)*86400</f>
        <v>#VALUE!</v>
      </c>
      <c r="X1348" s="12">
        <f>_xlfn.XLOOKUP($B1348,M_YT_LIVE!$A:$A,M_YT_LIVE!$D:$D)</f>
        <v>0</v>
      </c>
      <c r="Z1348" s="16" t="e">
        <f>HYPERLINK($X1348&amp;SUBSTITUTE(マスタ!$C$3,"XXXXX",$W1348))</f>
        <v>#VALUE!</v>
      </c>
      <c r="AA1348" s="12" t="str">
        <f t="shared" si="65"/>
        <v/>
      </c>
    </row>
    <row r="1349" spans="1:27" x14ac:dyDescent="0.4">
      <c r="A1349" s="14">
        <f t="shared" si="64"/>
        <v>1348</v>
      </c>
      <c r="B1349" s="14"/>
      <c r="C1349" s="18"/>
      <c r="D1349" s="14"/>
      <c r="E1349" s="14"/>
      <c r="G1349" s="1">
        <f>_xlfn.XLOOKUP(B1349,M_YT_LIVE!A:A,M_YT_LIVE!F:F,"ERROR",0,1)</f>
        <v>0</v>
      </c>
      <c r="W1349" s="13" t="e">
        <f t="shared" si="66"/>
        <v>#VALUE!</v>
      </c>
      <c r="X1349" s="12">
        <f>_xlfn.XLOOKUP($B1349,M_YT_LIVE!$A:$A,M_YT_LIVE!$D:$D)</f>
        <v>0</v>
      </c>
      <c r="Z1349" s="16" t="e">
        <f>HYPERLINK($X1349&amp;SUBSTITUTE(マスタ!$C$3,"XXXXX",$W1349))</f>
        <v>#VALUE!</v>
      </c>
      <c r="AA1349" s="12" t="str">
        <f t="shared" si="65"/>
        <v/>
      </c>
    </row>
    <row r="1350" spans="1:27" x14ac:dyDescent="0.4">
      <c r="A1350" s="14">
        <f t="shared" ref="A1350:A1413" si="67">ROW()-1</f>
        <v>1349</v>
      </c>
      <c r="B1350" s="14"/>
      <c r="C1350" s="18"/>
      <c r="D1350" s="14"/>
      <c r="E1350" s="14"/>
      <c r="G1350" s="1">
        <f>_xlfn.XLOOKUP(B1350,M_YT_LIVE!A:A,M_YT_LIVE!F:F,"ERROR",0,1)</f>
        <v>0</v>
      </c>
      <c r="W1350" s="13" t="e">
        <f t="shared" si="66"/>
        <v>#VALUE!</v>
      </c>
      <c r="X1350" s="12">
        <f>_xlfn.XLOOKUP($B1350,M_YT_LIVE!$A:$A,M_YT_LIVE!$D:$D)</f>
        <v>0</v>
      </c>
      <c r="Z1350" s="16" t="e">
        <f>HYPERLINK($X1350&amp;SUBSTITUTE(マスタ!$C$3,"XXXXX",$W1350))</f>
        <v>#VALUE!</v>
      </c>
      <c r="AA1350" s="12" t="str">
        <f t="shared" si="65"/>
        <v/>
      </c>
    </row>
    <row r="1351" spans="1:27" x14ac:dyDescent="0.4">
      <c r="A1351" s="14">
        <f t="shared" si="67"/>
        <v>1350</v>
      </c>
      <c r="B1351" s="14"/>
      <c r="C1351" s="18"/>
      <c r="D1351" s="14"/>
      <c r="E1351" s="14"/>
      <c r="G1351" s="1">
        <f>_xlfn.XLOOKUP(B1351,M_YT_LIVE!A:A,M_YT_LIVE!F:F,"ERROR",0,1)</f>
        <v>0</v>
      </c>
      <c r="W1351" s="13" t="e">
        <f t="shared" si="66"/>
        <v>#VALUE!</v>
      </c>
      <c r="X1351" s="12">
        <f>_xlfn.XLOOKUP($B1351,M_YT_LIVE!$A:$A,M_YT_LIVE!$D:$D)</f>
        <v>0</v>
      </c>
      <c r="Z1351" s="16" t="e">
        <f>HYPERLINK($X1351&amp;SUBSTITUTE(マスタ!$C$3,"XXXXX",$W1351))</f>
        <v>#VALUE!</v>
      </c>
      <c r="AA1351" s="12" t="str">
        <f t="shared" si="65"/>
        <v/>
      </c>
    </row>
    <row r="1352" spans="1:27" x14ac:dyDescent="0.4">
      <c r="A1352" s="14">
        <f t="shared" si="67"/>
        <v>1351</v>
      </c>
      <c r="B1352" s="14"/>
      <c r="C1352" s="18"/>
      <c r="D1352" s="14"/>
      <c r="E1352" s="14"/>
      <c r="G1352" s="1">
        <f>_xlfn.XLOOKUP(B1352,M_YT_LIVE!A:A,M_YT_LIVE!F:F,"ERROR",0,1)</f>
        <v>0</v>
      </c>
      <c r="W1352" s="13" t="e">
        <f t="shared" si="66"/>
        <v>#VALUE!</v>
      </c>
      <c r="X1352" s="12">
        <f>_xlfn.XLOOKUP($B1352,M_YT_LIVE!$A:$A,M_YT_LIVE!$D:$D)</f>
        <v>0</v>
      </c>
      <c r="Z1352" s="16" t="e">
        <f>HYPERLINK($X1352&amp;SUBSTITUTE(マスタ!$C$3,"XXXXX",$W1352))</f>
        <v>#VALUE!</v>
      </c>
      <c r="AA1352" s="12" t="str">
        <f t="shared" si="65"/>
        <v/>
      </c>
    </row>
    <row r="1353" spans="1:27" x14ac:dyDescent="0.4">
      <c r="A1353" s="14">
        <f t="shared" si="67"/>
        <v>1352</v>
      </c>
      <c r="B1353" s="14"/>
      <c r="C1353" s="18"/>
      <c r="D1353" s="14"/>
      <c r="E1353" s="14"/>
      <c r="G1353" s="1">
        <f>_xlfn.XLOOKUP(B1353,M_YT_LIVE!A:A,M_YT_LIVE!F:F,"ERROR",0,1)</f>
        <v>0</v>
      </c>
      <c r="W1353" s="13" t="e">
        <f t="shared" si="66"/>
        <v>#VALUE!</v>
      </c>
      <c r="X1353" s="12">
        <f>_xlfn.XLOOKUP($B1353,M_YT_LIVE!$A:$A,M_YT_LIVE!$D:$D)</f>
        <v>0</v>
      </c>
      <c r="Z1353" s="16" t="e">
        <f>HYPERLINK($X1353&amp;SUBSTITUTE(マスタ!$C$3,"XXXXX",$W1353))</f>
        <v>#VALUE!</v>
      </c>
      <c r="AA1353" s="12" t="str">
        <f t="shared" si="65"/>
        <v/>
      </c>
    </row>
    <row r="1354" spans="1:27" x14ac:dyDescent="0.4">
      <c r="A1354" s="14">
        <f t="shared" si="67"/>
        <v>1353</v>
      </c>
      <c r="B1354" s="14"/>
      <c r="C1354" s="18"/>
      <c r="D1354" s="14"/>
      <c r="E1354" s="14"/>
      <c r="G1354" s="1">
        <f>_xlfn.XLOOKUP(B1354,M_YT_LIVE!A:A,M_YT_LIVE!F:F,"ERROR",0,1)</f>
        <v>0</v>
      </c>
      <c r="W1354" s="13" t="e">
        <f t="shared" si="66"/>
        <v>#VALUE!</v>
      </c>
      <c r="X1354" s="12">
        <f>_xlfn.XLOOKUP($B1354,M_YT_LIVE!$A:$A,M_YT_LIVE!$D:$D)</f>
        <v>0</v>
      </c>
      <c r="Z1354" s="16" t="e">
        <f>HYPERLINK($X1354&amp;SUBSTITUTE(マスタ!$C$3,"XXXXX",$W1354))</f>
        <v>#VALUE!</v>
      </c>
      <c r="AA1354" s="12" t="str">
        <f t="shared" si="65"/>
        <v/>
      </c>
    </row>
    <row r="1355" spans="1:27" x14ac:dyDescent="0.4">
      <c r="A1355" s="14">
        <f t="shared" si="67"/>
        <v>1354</v>
      </c>
      <c r="B1355" s="14"/>
      <c r="C1355" s="18"/>
      <c r="D1355" s="14"/>
      <c r="E1355" s="14"/>
      <c r="G1355" s="1">
        <f>_xlfn.XLOOKUP(B1355,M_YT_LIVE!A:A,M_YT_LIVE!F:F,"ERROR",0,1)</f>
        <v>0</v>
      </c>
      <c r="W1355" s="13" t="e">
        <f t="shared" si="66"/>
        <v>#VALUE!</v>
      </c>
      <c r="X1355" s="12">
        <f>_xlfn.XLOOKUP($B1355,M_YT_LIVE!$A:$A,M_YT_LIVE!$D:$D)</f>
        <v>0</v>
      </c>
      <c r="Z1355" s="16" t="e">
        <f>HYPERLINK($X1355&amp;SUBSTITUTE(マスタ!$C$3,"XXXXX",$W1355))</f>
        <v>#VALUE!</v>
      </c>
      <c r="AA1355" s="12" t="str">
        <f t="shared" si="65"/>
        <v/>
      </c>
    </row>
    <row r="1356" spans="1:27" x14ac:dyDescent="0.4">
      <c r="A1356" s="14">
        <f t="shared" si="67"/>
        <v>1355</v>
      </c>
      <c r="B1356" s="14"/>
      <c r="C1356" s="18"/>
      <c r="D1356" s="14"/>
      <c r="E1356" s="14"/>
      <c r="G1356" s="1">
        <f>_xlfn.XLOOKUP(B1356,M_YT_LIVE!A:A,M_YT_LIVE!F:F,"ERROR",0,1)</f>
        <v>0</v>
      </c>
      <c r="W1356" s="13" t="e">
        <f t="shared" si="66"/>
        <v>#VALUE!</v>
      </c>
      <c r="X1356" s="12">
        <f>_xlfn.XLOOKUP($B1356,M_YT_LIVE!$A:$A,M_YT_LIVE!$D:$D)</f>
        <v>0</v>
      </c>
      <c r="Z1356" s="16" t="e">
        <f>HYPERLINK($X1356&amp;SUBSTITUTE(マスタ!$C$3,"XXXXX",$W1356))</f>
        <v>#VALUE!</v>
      </c>
      <c r="AA1356" s="12" t="str">
        <f t="shared" si="65"/>
        <v/>
      </c>
    </row>
    <row r="1357" spans="1:27" x14ac:dyDescent="0.4">
      <c r="A1357" s="14">
        <f t="shared" si="67"/>
        <v>1356</v>
      </c>
      <c r="B1357" s="14"/>
      <c r="C1357" s="18"/>
      <c r="D1357" s="14"/>
      <c r="E1357" s="14"/>
      <c r="G1357" s="1">
        <f>_xlfn.XLOOKUP(B1357,M_YT_LIVE!A:A,M_YT_LIVE!F:F,"ERROR",0,1)</f>
        <v>0</v>
      </c>
      <c r="W1357" s="13" t="e">
        <f t="shared" si="66"/>
        <v>#VALUE!</v>
      </c>
      <c r="X1357" s="12">
        <f>_xlfn.XLOOKUP($B1357,M_YT_LIVE!$A:$A,M_YT_LIVE!$D:$D)</f>
        <v>0</v>
      </c>
      <c r="Z1357" s="16" t="e">
        <f>HYPERLINK($X1357&amp;SUBSTITUTE(マスタ!$C$3,"XXXXX",$W1357))</f>
        <v>#VALUE!</v>
      </c>
      <c r="AA1357" s="12" t="str">
        <f t="shared" si="65"/>
        <v/>
      </c>
    </row>
    <row r="1358" spans="1:27" x14ac:dyDescent="0.4">
      <c r="A1358" s="14">
        <f t="shared" si="67"/>
        <v>1357</v>
      </c>
      <c r="B1358" s="14"/>
      <c r="C1358" s="18"/>
      <c r="D1358" s="14"/>
      <c r="E1358" s="14"/>
      <c r="G1358" s="1">
        <f>_xlfn.XLOOKUP(B1358,M_YT_LIVE!A:A,M_YT_LIVE!F:F,"ERROR",0,1)</f>
        <v>0</v>
      </c>
      <c r="W1358" s="13" t="e">
        <f t="shared" si="66"/>
        <v>#VALUE!</v>
      </c>
      <c r="X1358" s="12">
        <f>_xlfn.XLOOKUP($B1358,M_YT_LIVE!$A:$A,M_YT_LIVE!$D:$D)</f>
        <v>0</v>
      </c>
      <c r="Z1358" s="16" t="e">
        <f>HYPERLINK($X1358&amp;SUBSTITUTE(マスタ!$C$3,"XXXXX",$W1358))</f>
        <v>#VALUE!</v>
      </c>
      <c r="AA1358" s="12" t="str">
        <f t="shared" si="65"/>
        <v/>
      </c>
    </row>
    <row r="1359" spans="1:27" x14ac:dyDescent="0.4">
      <c r="A1359" s="14">
        <f t="shared" si="67"/>
        <v>1358</v>
      </c>
      <c r="B1359" s="14"/>
      <c r="C1359" s="18"/>
      <c r="D1359" s="14"/>
      <c r="E1359" s="14"/>
      <c r="G1359" s="1">
        <f>_xlfn.XLOOKUP(B1359,M_YT_LIVE!A:A,M_YT_LIVE!F:F,"ERROR",0,1)</f>
        <v>0</v>
      </c>
      <c r="W1359" s="13" t="e">
        <f t="shared" si="66"/>
        <v>#VALUE!</v>
      </c>
      <c r="X1359" s="12">
        <f>_xlfn.XLOOKUP($B1359,M_YT_LIVE!$A:$A,M_YT_LIVE!$D:$D)</f>
        <v>0</v>
      </c>
      <c r="Z1359" s="16" t="e">
        <f>HYPERLINK($X1359&amp;SUBSTITUTE(マスタ!$C$3,"XXXXX",$W1359))</f>
        <v>#VALUE!</v>
      </c>
      <c r="AA1359" s="12" t="str">
        <f t="shared" si="65"/>
        <v/>
      </c>
    </row>
    <row r="1360" spans="1:27" x14ac:dyDescent="0.4">
      <c r="A1360" s="14">
        <f t="shared" si="67"/>
        <v>1359</v>
      </c>
      <c r="B1360" s="14"/>
      <c r="C1360" s="18"/>
      <c r="D1360" s="14"/>
      <c r="E1360" s="14"/>
      <c r="G1360" s="1">
        <f>_xlfn.XLOOKUP(B1360,M_YT_LIVE!A:A,M_YT_LIVE!F:F,"ERROR",0,1)</f>
        <v>0</v>
      </c>
      <c r="W1360" s="13" t="e">
        <f t="shared" si="66"/>
        <v>#VALUE!</v>
      </c>
      <c r="X1360" s="12">
        <f>_xlfn.XLOOKUP($B1360,M_YT_LIVE!$A:$A,M_YT_LIVE!$D:$D)</f>
        <v>0</v>
      </c>
      <c r="Z1360" s="16" t="e">
        <f>HYPERLINK($X1360&amp;SUBSTITUTE(マスタ!$C$3,"XXXXX",$W1360))</f>
        <v>#VALUE!</v>
      </c>
      <c r="AA1360" s="12" t="str">
        <f t="shared" si="65"/>
        <v/>
      </c>
    </row>
    <row r="1361" spans="1:27" x14ac:dyDescent="0.4">
      <c r="A1361" s="14">
        <f t="shared" si="67"/>
        <v>1360</v>
      </c>
      <c r="B1361" s="14"/>
      <c r="C1361" s="18"/>
      <c r="D1361" s="14"/>
      <c r="E1361" s="14"/>
      <c r="G1361" s="1">
        <f>_xlfn.XLOOKUP(B1361,M_YT_LIVE!A:A,M_YT_LIVE!F:F,"ERROR",0,1)</f>
        <v>0</v>
      </c>
      <c r="W1361" s="13" t="e">
        <f t="shared" si="66"/>
        <v>#VALUE!</v>
      </c>
      <c r="X1361" s="12">
        <f>_xlfn.XLOOKUP($B1361,M_YT_LIVE!$A:$A,M_YT_LIVE!$D:$D)</f>
        <v>0</v>
      </c>
      <c r="Z1361" s="16" t="e">
        <f>HYPERLINK($X1361&amp;SUBSTITUTE(マスタ!$C$3,"XXXXX",$W1361))</f>
        <v>#VALUE!</v>
      </c>
      <c r="AA1361" s="12" t="str">
        <f t="shared" si="65"/>
        <v/>
      </c>
    </row>
    <row r="1362" spans="1:27" x14ac:dyDescent="0.4">
      <c r="A1362" s="14">
        <f t="shared" si="67"/>
        <v>1361</v>
      </c>
      <c r="B1362" s="14"/>
      <c r="C1362" s="18"/>
      <c r="D1362" s="14"/>
      <c r="E1362" s="14"/>
      <c r="G1362" s="1">
        <f>_xlfn.XLOOKUP(B1362,M_YT_LIVE!A:A,M_YT_LIVE!F:F,"ERROR",0,1)</f>
        <v>0</v>
      </c>
      <c r="W1362" s="13" t="e">
        <f t="shared" si="66"/>
        <v>#VALUE!</v>
      </c>
      <c r="X1362" s="12">
        <f>_xlfn.XLOOKUP($B1362,M_YT_LIVE!$A:$A,M_YT_LIVE!$D:$D)</f>
        <v>0</v>
      </c>
      <c r="Z1362" s="16" t="e">
        <f>HYPERLINK($X1362&amp;SUBSTITUTE(マスタ!$C$3,"XXXXX",$W1362))</f>
        <v>#VALUE!</v>
      </c>
      <c r="AA1362" s="12" t="str">
        <f t="shared" si="65"/>
        <v/>
      </c>
    </row>
    <row r="1363" spans="1:27" x14ac:dyDescent="0.4">
      <c r="A1363" s="14">
        <f t="shared" si="67"/>
        <v>1362</v>
      </c>
      <c r="B1363" s="14"/>
      <c r="C1363" s="18"/>
      <c r="D1363" s="14"/>
      <c r="E1363" s="14"/>
      <c r="G1363" s="1">
        <f>_xlfn.XLOOKUP(B1363,M_YT_LIVE!A:A,M_YT_LIVE!F:F,"ERROR",0,1)</f>
        <v>0</v>
      </c>
      <c r="W1363" s="13" t="e">
        <f t="shared" si="66"/>
        <v>#VALUE!</v>
      </c>
      <c r="X1363" s="12">
        <f>_xlfn.XLOOKUP($B1363,M_YT_LIVE!$A:$A,M_YT_LIVE!$D:$D)</f>
        <v>0</v>
      </c>
      <c r="Z1363" s="16" t="e">
        <f>HYPERLINK($X1363&amp;SUBSTITUTE(マスタ!$C$3,"XXXXX",$W1363))</f>
        <v>#VALUE!</v>
      </c>
      <c r="AA1363" s="12" t="str">
        <f t="shared" si="65"/>
        <v/>
      </c>
    </row>
    <row r="1364" spans="1:27" x14ac:dyDescent="0.4">
      <c r="A1364" s="14">
        <f t="shared" si="67"/>
        <v>1363</v>
      </c>
      <c r="B1364" s="14"/>
      <c r="C1364" s="18"/>
      <c r="D1364" s="14"/>
      <c r="E1364" s="14"/>
      <c r="G1364" s="1">
        <f>_xlfn.XLOOKUP(B1364,M_YT_LIVE!A:A,M_YT_LIVE!F:F,"ERROR",0,1)</f>
        <v>0</v>
      </c>
      <c r="W1364" s="13" t="e">
        <f t="shared" si="66"/>
        <v>#VALUE!</v>
      </c>
      <c r="X1364" s="12">
        <f>_xlfn.XLOOKUP($B1364,M_YT_LIVE!$A:$A,M_YT_LIVE!$D:$D)</f>
        <v>0</v>
      </c>
      <c r="Z1364" s="16" t="e">
        <f>HYPERLINK($X1364&amp;SUBSTITUTE(マスタ!$C$3,"XXXXX",$W1364))</f>
        <v>#VALUE!</v>
      </c>
      <c r="AA1364" s="12" t="str">
        <f t="shared" si="65"/>
        <v/>
      </c>
    </row>
    <row r="1365" spans="1:27" x14ac:dyDescent="0.4">
      <c r="A1365" s="14">
        <f t="shared" si="67"/>
        <v>1364</v>
      </c>
      <c r="B1365" s="14"/>
      <c r="C1365" s="18"/>
      <c r="D1365" s="14"/>
      <c r="E1365" s="14"/>
      <c r="G1365" s="1">
        <f>_xlfn.XLOOKUP(B1365,M_YT_LIVE!A:A,M_YT_LIVE!F:F,"ERROR",0,1)</f>
        <v>0</v>
      </c>
      <c r="W1365" s="13" t="e">
        <f t="shared" si="66"/>
        <v>#VALUE!</v>
      </c>
      <c r="X1365" s="12">
        <f>_xlfn.XLOOKUP($B1365,M_YT_LIVE!$A:$A,M_YT_LIVE!$D:$D)</f>
        <v>0</v>
      </c>
      <c r="Z1365" s="16" t="e">
        <f>HYPERLINK($X1365&amp;SUBSTITUTE(マスタ!$C$3,"XXXXX",$W1365))</f>
        <v>#VALUE!</v>
      </c>
      <c r="AA1365" s="12" t="str">
        <f t="shared" si="65"/>
        <v/>
      </c>
    </row>
    <row r="1366" spans="1:27" x14ac:dyDescent="0.4">
      <c r="A1366" s="14">
        <f t="shared" si="67"/>
        <v>1365</v>
      </c>
      <c r="B1366" s="14"/>
      <c r="C1366" s="18"/>
      <c r="D1366" s="14"/>
      <c r="E1366" s="14"/>
      <c r="G1366" s="1">
        <f>_xlfn.XLOOKUP(B1366,M_YT_LIVE!A:A,M_YT_LIVE!F:F,"ERROR",0,1)</f>
        <v>0</v>
      </c>
      <c r="W1366" s="13" t="e">
        <f t="shared" si="66"/>
        <v>#VALUE!</v>
      </c>
      <c r="X1366" s="12">
        <f>_xlfn.XLOOKUP($B1366,M_YT_LIVE!$A:$A,M_YT_LIVE!$D:$D)</f>
        <v>0</v>
      </c>
      <c r="Z1366" s="16" t="e">
        <f>HYPERLINK($X1366&amp;SUBSTITUTE(マスタ!$C$3,"XXXXX",$W1366))</f>
        <v>#VALUE!</v>
      </c>
      <c r="AA1366" s="12" t="str">
        <f t="shared" si="65"/>
        <v/>
      </c>
    </row>
    <row r="1367" spans="1:27" x14ac:dyDescent="0.4">
      <c r="A1367" s="14">
        <f t="shared" si="67"/>
        <v>1366</v>
      </c>
      <c r="B1367" s="14"/>
      <c r="C1367" s="18"/>
      <c r="D1367" s="14"/>
      <c r="E1367" s="14"/>
      <c r="G1367" s="1">
        <f>_xlfn.XLOOKUP(B1367,M_YT_LIVE!A:A,M_YT_LIVE!F:F,"ERROR",0,1)</f>
        <v>0</v>
      </c>
      <c r="W1367" s="13" t="e">
        <f t="shared" si="66"/>
        <v>#VALUE!</v>
      </c>
      <c r="X1367" s="12">
        <f>_xlfn.XLOOKUP($B1367,M_YT_LIVE!$A:$A,M_YT_LIVE!$D:$D)</f>
        <v>0</v>
      </c>
      <c r="Z1367" s="16" t="e">
        <f>HYPERLINK($X1367&amp;SUBSTITUTE(マスタ!$C$3,"XXXXX",$W1367))</f>
        <v>#VALUE!</v>
      </c>
      <c r="AA1367" s="12" t="str">
        <f t="shared" si="65"/>
        <v/>
      </c>
    </row>
    <row r="1368" spans="1:27" x14ac:dyDescent="0.4">
      <c r="A1368" s="14">
        <f t="shared" si="67"/>
        <v>1367</v>
      </c>
      <c r="B1368" s="14"/>
      <c r="C1368" s="18"/>
      <c r="D1368" s="14"/>
      <c r="E1368" s="14"/>
      <c r="G1368" s="1">
        <f>_xlfn.XLOOKUP(B1368,M_YT_LIVE!A:A,M_YT_LIVE!F:F,"ERROR",0,1)</f>
        <v>0</v>
      </c>
      <c r="W1368" s="13" t="e">
        <f t="shared" si="66"/>
        <v>#VALUE!</v>
      </c>
      <c r="X1368" s="12">
        <f>_xlfn.XLOOKUP($B1368,M_YT_LIVE!$A:$A,M_YT_LIVE!$D:$D)</f>
        <v>0</v>
      </c>
      <c r="Z1368" s="16" t="e">
        <f>HYPERLINK($X1368&amp;SUBSTITUTE(マスタ!$C$3,"XXXXX",$W1368))</f>
        <v>#VALUE!</v>
      </c>
      <c r="AA1368" s="12" t="str">
        <f t="shared" si="65"/>
        <v/>
      </c>
    </row>
    <row r="1369" spans="1:27" x14ac:dyDescent="0.4">
      <c r="A1369" s="14">
        <f t="shared" si="67"/>
        <v>1368</v>
      </c>
      <c r="B1369" s="14"/>
      <c r="C1369" s="18"/>
      <c r="D1369" s="14"/>
      <c r="E1369" s="14"/>
      <c r="G1369" s="1">
        <f>_xlfn.XLOOKUP(B1369,M_YT_LIVE!A:A,M_YT_LIVE!F:F,"ERROR",0,1)</f>
        <v>0</v>
      </c>
      <c r="W1369" s="13" t="e">
        <f t="shared" si="66"/>
        <v>#VALUE!</v>
      </c>
      <c r="X1369" s="12">
        <f>_xlfn.XLOOKUP($B1369,M_YT_LIVE!$A:$A,M_YT_LIVE!$D:$D)</f>
        <v>0</v>
      </c>
      <c r="Z1369" s="16" t="e">
        <f>HYPERLINK($X1369&amp;SUBSTITUTE(マスタ!$C$3,"XXXXX",$W1369))</f>
        <v>#VALUE!</v>
      </c>
      <c r="AA1369" s="12" t="str">
        <f t="shared" si="65"/>
        <v/>
      </c>
    </row>
    <row r="1370" spans="1:27" x14ac:dyDescent="0.4">
      <c r="A1370" s="14">
        <f t="shared" si="67"/>
        <v>1369</v>
      </c>
      <c r="B1370" s="14"/>
      <c r="C1370" s="18"/>
      <c r="D1370" s="14"/>
      <c r="E1370" s="14"/>
      <c r="G1370" s="1">
        <f>_xlfn.XLOOKUP(B1370,M_YT_LIVE!A:A,M_YT_LIVE!F:F,"ERROR",0,1)</f>
        <v>0</v>
      </c>
      <c r="W1370" s="13" t="e">
        <f t="shared" si="66"/>
        <v>#VALUE!</v>
      </c>
      <c r="X1370" s="12">
        <f>_xlfn.XLOOKUP($B1370,M_YT_LIVE!$A:$A,M_YT_LIVE!$D:$D)</f>
        <v>0</v>
      </c>
      <c r="Z1370" s="16" t="e">
        <f>HYPERLINK($X1370&amp;SUBSTITUTE(マスタ!$C$3,"XXXXX",$W1370))</f>
        <v>#VALUE!</v>
      </c>
      <c r="AA1370" s="12" t="str">
        <f t="shared" si="65"/>
        <v/>
      </c>
    </row>
    <row r="1371" spans="1:27" x14ac:dyDescent="0.4">
      <c r="A1371" s="14">
        <f t="shared" si="67"/>
        <v>1370</v>
      </c>
      <c r="B1371" s="14"/>
      <c r="C1371" s="18"/>
      <c r="D1371" s="14"/>
      <c r="E1371" s="14"/>
      <c r="G1371" s="1">
        <f>_xlfn.XLOOKUP(B1371,M_YT_LIVE!A:A,M_YT_LIVE!F:F,"ERROR",0,1)</f>
        <v>0</v>
      </c>
      <c r="W1371" s="13" t="e">
        <f t="shared" si="66"/>
        <v>#VALUE!</v>
      </c>
      <c r="X1371" s="12">
        <f>_xlfn.XLOOKUP($B1371,M_YT_LIVE!$A:$A,M_YT_LIVE!$D:$D)</f>
        <v>0</v>
      </c>
      <c r="Z1371" s="16" t="e">
        <f>HYPERLINK($X1371&amp;SUBSTITUTE(マスタ!$C$3,"XXXXX",$W1371))</f>
        <v>#VALUE!</v>
      </c>
      <c r="AA1371" s="12" t="str">
        <f t="shared" si="65"/>
        <v/>
      </c>
    </row>
    <row r="1372" spans="1:27" x14ac:dyDescent="0.4">
      <c r="A1372" s="14">
        <f t="shared" si="67"/>
        <v>1371</v>
      </c>
      <c r="B1372" s="14"/>
      <c r="C1372" s="18"/>
      <c r="D1372" s="14"/>
      <c r="E1372" s="14"/>
      <c r="G1372" s="1">
        <f>_xlfn.XLOOKUP(B1372,M_YT_LIVE!A:A,M_YT_LIVE!F:F,"ERROR",0,1)</f>
        <v>0</v>
      </c>
      <c r="W1372" s="13" t="e">
        <f t="shared" si="66"/>
        <v>#VALUE!</v>
      </c>
      <c r="X1372" s="12">
        <f>_xlfn.XLOOKUP($B1372,M_YT_LIVE!$A:$A,M_YT_LIVE!$D:$D)</f>
        <v>0</v>
      </c>
      <c r="Z1372" s="16" t="e">
        <f>HYPERLINK($X1372&amp;SUBSTITUTE(マスタ!$C$3,"XXXXX",$W1372))</f>
        <v>#VALUE!</v>
      </c>
      <c r="AA1372" s="12" t="str">
        <f t="shared" si="65"/>
        <v/>
      </c>
    </row>
    <row r="1373" spans="1:27" x14ac:dyDescent="0.4">
      <c r="A1373" s="14">
        <f t="shared" si="67"/>
        <v>1372</v>
      </c>
      <c r="B1373" s="14"/>
      <c r="C1373" s="18"/>
      <c r="D1373" s="14"/>
      <c r="E1373" s="14"/>
      <c r="G1373" s="1">
        <f>_xlfn.XLOOKUP(B1373,M_YT_LIVE!A:A,M_YT_LIVE!F:F,"ERROR",0,1)</f>
        <v>0</v>
      </c>
      <c r="W1373" s="13" t="e">
        <f t="shared" si="66"/>
        <v>#VALUE!</v>
      </c>
      <c r="X1373" s="12">
        <f>_xlfn.XLOOKUP($B1373,M_YT_LIVE!$A:$A,M_YT_LIVE!$D:$D)</f>
        <v>0</v>
      </c>
      <c r="Z1373" s="16" t="e">
        <f>HYPERLINK($X1373&amp;SUBSTITUTE(マスタ!$C$3,"XXXXX",$W1373))</f>
        <v>#VALUE!</v>
      </c>
      <c r="AA1373" s="12" t="str">
        <f t="shared" si="65"/>
        <v/>
      </c>
    </row>
    <row r="1374" spans="1:27" x14ac:dyDescent="0.4">
      <c r="A1374" s="14">
        <f t="shared" si="67"/>
        <v>1373</v>
      </c>
      <c r="B1374" s="14"/>
      <c r="C1374" s="18"/>
      <c r="D1374" s="14"/>
      <c r="E1374" s="14"/>
      <c r="G1374" s="1">
        <f>_xlfn.XLOOKUP(B1374,M_YT_LIVE!A:A,M_YT_LIVE!F:F,"ERROR",0,1)</f>
        <v>0</v>
      </c>
      <c r="W1374" s="13" t="e">
        <f t="shared" si="66"/>
        <v>#VALUE!</v>
      </c>
      <c r="X1374" s="12">
        <f>_xlfn.XLOOKUP($B1374,M_YT_LIVE!$A:$A,M_YT_LIVE!$D:$D)</f>
        <v>0</v>
      </c>
      <c r="Z1374" s="16" t="e">
        <f>HYPERLINK($X1374&amp;SUBSTITUTE(マスタ!$C$3,"XXXXX",$W1374))</f>
        <v>#VALUE!</v>
      </c>
      <c r="AA1374" s="12" t="str">
        <f t="shared" si="65"/>
        <v/>
      </c>
    </row>
    <row r="1375" spans="1:27" x14ac:dyDescent="0.4">
      <c r="A1375" s="14">
        <f t="shared" si="67"/>
        <v>1374</v>
      </c>
      <c r="B1375" s="14"/>
      <c r="C1375" s="18"/>
      <c r="D1375" s="14"/>
      <c r="E1375" s="14"/>
      <c r="G1375" s="1">
        <f>_xlfn.XLOOKUP(B1375,M_YT_LIVE!A:A,M_YT_LIVE!F:F,"ERROR",0,1)</f>
        <v>0</v>
      </c>
      <c r="W1375" s="13" t="e">
        <f t="shared" si="66"/>
        <v>#VALUE!</v>
      </c>
      <c r="X1375" s="12">
        <f>_xlfn.XLOOKUP($B1375,M_YT_LIVE!$A:$A,M_YT_LIVE!$D:$D)</f>
        <v>0</v>
      </c>
      <c r="Z1375" s="16" t="e">
        <f>HYPERLINK($X1375&amp;SUBSTITUTE(マスタ!$C$3,"XXXXX",$W1375))</f>
        <v>#VALUE!</v>
      </c>
      <c r="AA1375" s="12" t="str">
        <f t="shared" si="65"/>
        <v/>
      </c>
    </row>
    <row r="1376" spans="1:27" x14ac:dyDescent="0.4">
      <c r="A1376" s="14">
        <f t="shared" si="67"/>
        <v>1375</v>
      </c>
      <c r="B1376" s="14"/>
      <c r="C1376" s="18"/>
      <c r="D1376" s="14"/>
      <c r="E1376" s="14"/>
      <c r="G1376" s="1">
        <f>_xlfn.XLOOKUP(B1376,M_YT_LIVE!A:A,M_YT_LIVE!F:F,"ERROR",0,1)</f>
        <v>0</v>
      </c>
      <c r="W1376" s="13" t="e">
        <f t="shared" si="66"/>
        <v>#VALUE!</v>
      </c>
      <c r="X1376" s="12">
        <f>_xlfn.XLOOKUP($B1376,M_YT_LIVE!$A:$A,M_YT_LIVE!$D:$D)</f>
        <v>0</v>
      </c>
      <c r="Z1376" s="16" t="e">
        <f>HYPERLINK($X1376&amp;SUBSTITUTE(マスタ!$C$3,"XXXXX",$W1376))</f>
        <v>#VALUE!</v>
      </c>
      <c r="AA1376" s="12" t="str">
        <f t="shared" si="65"/>
        <v/>
      </c>
    </row>
    <row r="1377" spans="1:27" x14ac:dyDescent="0.4">
      <c r="A1377" s="14">
        <f t="shared" si="67"/>
        <v>1376</v>
      </c>
      <c r="B1377" s="14"/>
      <c r="C1377" s="18"/>
      <c r="D1377" s="14"/>
      <c r="E1377" s="14"/>
      <c r="G1377" s="1">
        <f>_xlfn.XLOOKUP(B1377,M_YT_LIVE!A:A,M_YT_LIVE!F:F,"ERROR",0,1)</f>
        <v>0</v>
      </c>
      <c r="W1377" s="13" t="e">
        <f t="shared" si="66"/>
        <v>#VALUE!</v>
      </c>
      <c r="X1377" s="12">
        <f>_xlfn.XLOOKUP($B1377,M_YT_LIVE!$A:$A,M_YT_LIVE!$D:$D)</f>
        <v>0</v>
      </c>
      <c r="Z1377" s="16" t="e">
        <f>HYPERLINK($X1377&amp;SUBSTITUTE(マスタ!$C$3,"XXXXX",$W1377))</f>
        <v>#VALUE!</v>
      </c>
      <c r="AA1377" s="12" t="str">
        <f t="shared" si="65"/>
        <v/>
      </c>
    </row>
    <row r="1378" spans="1:27" x14ac:dyDescent="0.4">
      <c r="A1378" s="14">
        <f t="shared" si="67"/>
        <v>1377</v>
      </c>
      <c r="B1378" s="14"/>
      <c r="C1378" s="18"/>
      <c r="D1378" s="14"/>
      <c r="E1378" s="14"/>
      <c r="G1378" s="1">
        <f>_xlfn.XLOOKUP(B1378,M_YT_LIVE!A:A,M_YT_LIVE!F:F,"ERROR",0,1)</f>
        <v>0</v>
      </c>
      <c r="W1378" s="13" t="e">
        <f t="shared" si="66"/>
        <v>#VALUE!</v>
      </c>
      <c r="X1378" s="12">
        <f>_xlfn.XLOOKUP($B1378,M_YT_LIVE!$A:$A,M_YT_LIVE!$D:$D)</f>
        <v>0</v>
      </c>
      <c r="Z1378" s="16" t="e">
        <f>HYPERLINK($X1378&amp;SUBSTITUTE(マスタ!$C$3,"XXXXX",$W1378))</f>
        <v>#VALUE!</v>
      </c>
      <c r="AA1378" s="12" t="str">
        <f t="shared" si="65"/>
        <v/>
      </c>
    </row>
    <row r="1379" spans="1:27" x14ac:dyDescent="0.4">
      <c r="A1379" s="14">
        <f t="shared" si="67"/>
        <v>1378</v>
      </c>
      <c r="B1379" s="14"/>
      <c r="C1379" s="18"/>
      <c r="D1379" s="14"/>
      <c r="E1379" s="14"/>
      <c r="G1379" s="1">
        <f>_xlfn.XLOOKUP(B1379,M_YT_LIVE!A:A,M_YT_LIVE!F:F,"ERROR",0,1)</f>
        <v>0</v>
      </c>
      <c r="W1379" s="13" t="e">
        <f t="shared" si="66"/>
        <v>#VALUE!</v>
      </c>
      <c r="X1379" s="12">
        <f>_xlfn.XLOOKUP($B1379,M_YT_LIVE!$A:$A,M_YT_LIVE!$D:$D)</f>
        <v>0</v>
      </c>
      <c r="Z1379" s="16" t="e">
        <f>HYPERLINK($X1379&amp;SUBSTITUTE(マスタ!$C$3,"XXXXX",$W1379))</f>
        <v>#VALUE!</v>
      </c>
      <c r="AA1379" s="12" t="str">
        <f t="shared" si="65"/>
        <v/>
      </c>
    </row>
    <row r="1380" spans="1:27" x14ac:dyDescent="0.4">
      <c r="A1380" s="14">
        <f t="shared" si="67"/>
        <v>1379</v>
      </c>
      <c r="B1380" s="14"/>
      <c r="C1380" s="18"/>
      <c r="D1380" s="14"/>
      <c r="E1380" s="14"/>
      <c r="G1380" s="1">
        <f>_xlfn.XLOOKUP(B1380,M_YT_LIVE!A:A,M_YT_LIVE!F:F,"ERROR",0,1)</f>
        <v>0</v>
      </c>
      <c r="W1380" s="13" t="e">
        <f t="shared" si="66"/>
        <v>#VALUE!</v>
      </c>
      <c r="X1380" s="12">
        <f>_xlfn.XLOOKUP($B1380,M_YT_LIVE!$A:$A,M_YT_LIVE!$D:$D)</f>
        <v>0</v>
      </c>
      <c r="Z1380" s="16" t="e">
        <f>HYPERLINK($X1380&amp;SUBSTITUTE(マスタ!$C$3,"XXXXX",$W1380))</f>
        <v>#VALUE!</v>
      </c>
      <c r="AA1380" s="12" t="str">
        <f t="shared" si="65"/>
        <v/>
      </c>
    </row>
    <row r="1381" spans="1:27" x14ac:dyDescent="0.4">
      <c r="A1381" s="14">
        <f t="shared" si="67"/>
        <v>1380</v>
      </c>
      <c r="B1381" s="14"/>
      <c r="C1381" s="18"/>
      <c r="D1381" s="14"/>
      <c r="E1381" s="14"/>
      <c r="G1381" s="1">
        <f>_xlfn.XLOOKUP(B1381,M_YT_LIVE!A:A,M_YT_LIVE!F:F,"ERROR",0,1)</f>
        <v>0</v>
      </c>
      <c r="W1381" s="13" t="e">
        <f t="shared" si="66"/>
        <v>#VALUE!</v>
      </c>
      <c r="X1381" s="12">
        <f>_xlfn.XLOOKUP($B1381,M_YT_LIVE!$A:$A,M_YT_LIVE!$D:$D)</f>
        <v>0</v>
      </c>
      <c r="Z1381" s="16" t="e">
        <f>HYPERLINK($X1381&amp;SUBSTITUTE(マスタ!$C$3,"XXXXX",$W1381))</f>
        <v>#VALUE!</v>
      </c>
      <c r="AA1381" s="12" t="str">
        <f t="shared" si="65"/>
        <v/>
      </c>
    </row>
    <row r="1382" spans="1:27" x14ac:dyDescent="0.4">
      <c r="A1382" s="14">
        <f t="shared" si="67"/>
        <v>1381</v>
      </c>
      <c r="B1382" s="14"/>
      <c r="C1382" s="18"/>
      <c r="D1382" s="14"/>
      <c r="E1382" s="14"/>
      <c r="G1382" s="1">
        <f>_xlfn.XLOOKUP(B1382,M_YT_LIVE!A:A,M_YT_LIVE!F:F,"ERROR",0,1)</f>
        <v>0</v>
      </c>
      <c r="W1382" s="13" t="e">
        <f t="shared" si="66"/>
        <v>#VALUE!</v>
      </c>
      <c r="X1382" s="12">
        <f>_xlfn.XLOOKUP($B1382,M_YT_LIVE!$A:$A,M_YT_LIVE!$D:$D)</f>
        <v>0</v>
      </c>
      <c r="Z1382" s="16" t="e">
        <f>HYPERLINK($X1382&amp;SUBSTITUTE(マスタ!$C$3,"XXXXX",$W1382))</f>
        <v>#VALUE!</v>
      </c>
      <c r="AA1382" s="12" t="str">
        <f t="shared" si="65"/>
        <v/>
      </c>
    </row>
    <row r="1383" spans="1:27" x14ac:dyDescent="0.4">
      <c r="A1383" s="14">
        <f t="shared" si="67"/>
        <v>1382</v>
      </c>
      <c r="B1383" s="14"/>
      <c r="C1383" s="18"/>
      <c r="D1383" s="14"/>
      <c r="E1383" s="14"/>
      <c r="G1383" s="1">
        <f>_xlfn.XLOOKUP(B1383,M_YT_LIVE!A:A,M_YT_LIVE!F:F,"ERROR",0,1)</f>
        <v>0</v>
      </c>
      <c r="W1383" s="13" t="e">
        <f t="shared" si="66"/>
        <v>#VALUE!</v>
      </c>
      <c r="X1383" s="12">
        <f>_xlfn.XLOOKUP($B1383,M_YT_LIVE!$A:$A,M_YT_LIVE!$D:$D)</f>
        <v>0</v>
      </c>
      <c r="Z1383" s="16" t="e">
        <f>HYPERLINK($X1383&amp;SUBSTITUTE(マスタ!$C$3,"XXXXX",$W1383))</f>
        <v>#VALUE!</v>
      </c>
      <c r="AA1383" s="12" t="str">
        <f t="shared" si="65"/>
        <v/>
      </c>
    </row>
    <row r="1384" spans="1:27" x14ac:dyDescent="0.4">
      <c r="A1384" s="14">
        <f t="shared" si="67"/>
        <v>1383</v>
      </c>
      <c r="B1384" s="14"/>
      <c r="C1384" s="18"/>
      <c r="D1384" s="14"/>
      <c r="E1384" s="14"/>
      <c r="G1384" s="1">
        <f>_xlfn.XLOOKUP(B1384,M_YT_LIVE!A:A,M_YT_LIVE!F:F,"ERROR",0,1)</f>
        <v>0</v>
      </c>
      <c r="W1384" s="13" t="e">
        <f t="shared" si="66"/>
        <v>#VALUE!</v>
      </c>
      <c r="X1384" s="12">
        <f>_xlfn.XLOOKUP($B1384,M_YT_LIVE!$A:$A,M_YT_LIVE!$D:$D)</f>
        <v>0</v>
      </c>
      <c r="Z1384" s="16" t="e">
        <f>HYPERLINK($X1384&amp;SUBSTITUTE(マスタ!$C$3,"XXXXX",$W1384))</f>
        <v>#VALUE!</v>
      </c>
      <c r="AA1384" s="12" t="str">
        <f t="shared" si="65"/>
        <v/>
      </c>
    </row>
    <row r="1385" spans="1:27" x14ac:dyDescent="0.4">
      <c r="A1385" s="14">
        <f t="shared" si="67"/>
        <v>1384</v>
      </c>
      <c r="B1385" s="14"/>
      <c r="C1385" s="18"/>
      <c r="D1385" s="14"/>
      <c r="E1385" s="14"/>
      <c r="G1385" s="1">
        <f>_xlfn.XLOOKUP(B1385,M_YT_LIVE!A:A,M_YT_LIVE!F:F,"ERROR",0,1)</f>
        <v>0</v>
      </c>
      <c r="W1385" s="13" t="e">
        <f t="shared" si="66"/>
        <v>#VALUE!</v>
      </c>
      <c r="X1385" s="12">
        <f>_xlfn.XLOOKUP($B1385,M_YT_LIVE!$A:$A,M_YT_LIVE!$D:$D)</f>
        <v>0</v>
      </c>
      <c r="Z1385" s="16" t="e">
        <f>HYPERLINK($X1385&amp;SUBSTITUTE(マスタ!$C$3,"XXXXX",$W1385))</f>
        <v>#VALUE!</v>
      </c>
      <c r="AA1385" s="12" t="str">
        <f t="shared" si="65"/>
        <v/>
      </c>
    </row>
    <row r="1386" spans="1:27" x14ac:dyDescent="0.4">
      <c r="A1386" s="14">
        <f t="shared" si="67"/>
        <v>1385</v>
      </c>
      <c r="B1386" s="14"/>
      <c r="C1386" s="18"/>
      <c r="D1386" s="14"/>
      <c r="E1386" s="14"/>
      <c r="G1386" s="1">
        <f>_xlfn.XLOOKUP(B1386,M_YT_LIVE!A:A,M_YT_LIVE!F:F,"ERROR",0,1)</f>
        <v>0</v>
      </c>
      <c r="W1386" s="13" t="e">
        <f t="shared" si="66"/>
        <v>#VALUE!</v>
      </c>
      <c r="X1386" s="12">
        <f>_xlfn.XLOOKUP($B1386,M_YT_LIVE!$A:$A,M_YT_LIVE!$D:$D)</f>
        <v>0</v>
      </c>
      <c r="Z1386" s="16" t="e">
        <f>HYPERLINK($X1386&amp;SUBSTITUTE(マスタ!$C$3,"XXXXX",$W1386))</f>
        <v>#VALUE!</v>
      </c>
      <c r="AA1386" s="12" t="str">
        <f t="shared" si="65"/>
        <v/>
      </c>
    </row>
    <row r="1387" spans="1:27" x14ac:dyDescent="0.4">
      <c r="A1387" s="14">
        <f t="shared" si="67"/>
        <v>1386</v>
      </c>
      <c r="B1387" s="14"/>
      <c r="C1387" s="18"/>
      <c r="D1387" s="14"/>
      <c r="E1387" s="14"/>
      <c r="G1387" s="1">
        <f>_xlfn.XLOOKUP(B1387,M_YT_LIVE!A:A,M_YT_LIVE!F:F,"ERROR",0,1)</f>
        <v>0</v>
      </c>
      <c r="W1387" s="13" t="e">
        <f t="shared" si="66"/>
        <v>#VALUE!</v>
      </c>
      <c r="X1387" s="12">
        <f>_xlfn.XLOOKUP($B1387,M_YT_LIVE!$A:$A,M_YT_LIVE!$D:$D)</f>
        <v>0</v>
      </c>
      <c r="Z1387" s="16" t="e">
        <f>HYPERLINK($X1387&amp;SUBSTITUTE(マスタ!$C$3,"XXXXX",$W1387))</f>
        <v>#VALUE!</v>
      </c>
      <c r="AA1387" s="12" t="str">
        <f t="shared" si="65"/>
        <v/>
      </c>
    </row>
    <row r="1388" spans="1:27" x14ac:dyDescent="0.4">
      <c r="A1388" s="14">
        <f t="shared" si="67"/>
        <v>1387</v>
      </c>
      <c r="B1388" s="14"/>
      <c r="C1388" s="18"/>
      <c r="D1388" s="14"/>
      <c r="E1388" s="14"/>
      <c r="G1388" s="1">
        <f>_xlfn.XLOOKUP(B1388,M_YT_LIVE!A:A,M_YT_LIVE!F:F,"ERROR",0,1)</f>
        <v>0</v>
      </c>
      <c r="W1388" s="13" t="e">
        <f t="shared" si="66"/>
        <v>#VALUE!</v>
      </c>
      <c r="X1388" s="12">
        <f>_xlfn.XLOOKUP($B1388,M_YT_LIVE!$A:$A,M_YT_LIVE!$D:$D)</f>
        <v>0</v>
      </c>
      <c r="Z1388" s="16" t="e">
        <f>HYPERLINK($X1388&amp;SUBSTITUTE(マスタ!$C$3,"XXXXX",$W1388))</f>
        <v>#VALUE!</v>
      </c>
      <c r="AA1388" s="12" t="str">
        <f t="shared" si="65"/>
        <v/>
      </c>
    </row>
    <row r="1389" spans="1:27" x14ac:dyDescent="0.4">
      <c r="A1389" s="14">
        <f t="shared" si="67"/>
        <v>1388</v>
      </c>
      <c r="B1389" s="14"/>
      <c r="C1389" s="18"/>
      <c r="D1389" s="14"/>
      <c r="E1389" s="14"/>
      <c r="G1389" s="1">
        <f>_xlfn.XLOOKUP(B1389,M_YT_LIVE!A:A,M_YT_LIVE!F:F,"ERROR",0,1)</f>
        <v>0</v>
      </c>
      <c r="W1389" s="13" t="e">
        <f t="shared" si="66"/>
        <v>#VALUE!</v>
      </c>
      <c r="X1389" s="12">
        <f>_xlfn.XLOOKUP($B1389,M_YT_LIVE!$A:$A,M_YT_LIVE!$D:$D)</f>
        <v>0</v>
      </c>
      <c r="Z1389" s="16" t="e">
        <f>HYPERLINK($X1389&amp;SUBSTITUTE(マスタ!$C$3,"XXXXX",$W1389))</f>
        <v>#VALUE!</v>
      </c>
      <c r="AA1389" s="12" t="str">
        <f t="shared" si="65"/>
        <v/>
      </c>
    </row>
    <row r="1390" spans="1:27" x14ac:dyDescent="0.4">
      <c r="A1390" s="14">
        <f t="shared" si="67"/>
        <v>1389</v>
      </c>
      <c r="B1390" s="14"/>
      <c r="C1390" s="18"/>
      <c r="D1390" s="14"/>
      <c r="E1390" s="14"/>
      <c r="G1390" s="1">
        <f>_xlfn.XLOOKUP(B1390,M_YT_LIVE!A:A,M_YT_LIVE!F:F,"ERROR",0,1)</f>
        <v>0</v>
      </c>
      <c r="W1390" s="13" t="e">
        <f t="shared" si="66"/>
        <v>#VALUE!</v>
      </c>
      <c r="X1390" s="12">
        <f>_xlfn.XLOOKUP($B1390,M_YT_LIVE!$A:$A,M_YT_LIVE!$D:$D)</f>
        <v>0</v>
      </c>
      <c r="Z1390" s="16" t="e">
        <f>HYPERLINK($X1390&amp;SUBSTITUTE(マスタ!$C$3,"XXXXX",$W1390))</f>
        <v>#VALUE!</v>
      </c>
      <c r="AA1390" s="12" t="str">
        <f t="shared" si="65"/>
        <v/>
      </c>
    </row>
    <row r="1391" spans="1:27" x14ac:dyDescent="0.4">
      <c r="A1391" s="14">
        <f t="shared" si="67"/>
        <v>1390</v>
      </c>
      <c r="B1391" s="14"/>
      <c r="C1391" s="18"/>
      <c r="D1391" s="14"/>
      <c r="E1391" s="14"/>
      <c r="G1391" s="1">
        <f>_xlfn.XLOOKUP(B1391,M_YT_LIVE!A:A,M_YT_LIVE!F:F,"ERROR",0,1)</f>
        <v>0</v>
      </c>
      <c r="W1391" s="13" t="e">
        <f t="shared" si="66"/>
        <v>#VALUE!</v>
      </c>
      <c r="X1391" s="12">
        <f>_xlfn.XLOOKUP($B1391,M_YT_LIVE!$A:$A,M_YT_LIVE!$D:$D)</f>
        <v>0</v>
      </c>
      <c r="Z1391" s="16" t="e">
        <f>HYPERLINK($X1391&amp;SUBSTITUTE(マスタ!$C$3,"XXXXX",$W1391))</f>
        <v>#VALUE!</v>
      </c>
      <c r="AA1391" s="12" t="str">
        <f t="shared" si="65"/>
        <v/>
      </c>
    </row>
    <row r="1392" spans="1:27" x14ac:dyDescent="0.4">
      <c r="A1392" s="14">
        <f t="shared" si="67"/>
        <v>1391</v>
      </c>
      <c r="B1392" s="14"/>
      <c r="C1392" s="18"/>
      <c r="D1392" s="14"/>
      <c r="E1392" s="14"/>
      <c r="G1392" s="1">
        <f>_xlfn.XLOOKUP(B1392,M_YT_LIVE!A:A,M_YT_LIVE!F:F,"ERROR",0,1)</f>
        <v>0</v>
      </c>
      <c r="W1392" s="13" t="e">
        <f t="shared" si="66"/>
        <v>#VALUE!</v>
      </c>
      <c r="X1392" s="12">
        <f>_xlfn.XLOOKUP($B1392,M_YT_LIVE!$A:$A,M_YT_LIVE!$D:$D)</f>
        <v>0</v>
      </c>
      <c r="Z1392" s="16" t="e">
        <f>HYPERLINK($X1392&amp;SUBSTITUTE(マスタ!$C$3,"XXXXX",$W1392))</f>
        <v>#VALUE!</v>
      </c>
      <c r="AA1392" s="12" t="str">
        <f t="shared" si="65"/>
        <v/>
      </c>
    </row>
    <row r="1393" spans="1:27" x14ac:dyDescent="0.4">
      <c r="A1393" s="14">
        <f t="shared" si="67"/>
        <v>1392</v>
      </c>
      <c r="B1393" s="14"/>
      <c r="C1393" s="18"/>
      <c r="D1393" s="14"/>
      <c r="E1393" s="14"/>
      <c r="G1393" s="1">
        <f>_xlfn.XLOOKUP(B1393,M_YT_LIVE!A:A,M_YT_LIVE!F:F,"ERROR",0,1)</f>
        <v>0</v>
      </c>
      <c r="W1393" s="13" t="e">
        <f t="shared" si="66"/>
        <v>#VALUE!</v>
      </c>
      <c r="X1393" s="12">
        <f>_xlfn.XLOOKUP($B1393,M_YT_LIVE!$A:$A,M_YT_LIVE!$D:$D)</f>
        <v>0</v>
      </c>
      <c r="Z1393" s="16" t="e">
        <f>HYPERLINK($X1393&amp;SUBSTITUTE(マスタ!$C$3,"XXXXX",$W1393))</f>
        <v>#VALUE!</v>
      </c>
      <c r="AA1393" s="12" t="str">
        <f t="shared" si="65"/>
        <v/>
      </c>
    </row>
    <row r="1394" spans="1:27" x14ac:dyDescent="0.4">
      <c r="A1394" s="14">
        <f t="shared" si="67"/>
        <v>1393</v>
      </c>
      <c r="B1394" s="14"/>
      <c r="C1394" s="18"/>
      <c r="D1394" s="14"/>
      <c r="E1394" s="14"/>
      <c r="G1394" s="1">
        <f>_xlfn.XLOOKUP(B1394,M_YT_LIVE!A:A,M_YT_LIVE!F:F,"ERROR",0,1)</f>
        <v>0</v>
      </c>
      <c r="W1394" s="13" t="e">
        <f t="shared" si="66"/>
        <v>#VALUE!</v>
      </c>
      <c r="X1394" s="12">
        <f>_xlfn.XLOOKUP($B1394,M_YT_LIVE!$A:$A,M_YT_LIVE!$D:$D)</f>
        <v>0</v>
      </c>
      <c r="Z1394" s="16" t="e">
        <f>HYPERLINK($X1394&amp;SUBSTITUTE(マスタ!$C$3,"XXXXX",$W1394))</f>
        <v>#VALUE!</v>
      </c>
      <c r="AA1394" s="12" t="str">
        <f t="shared" ref="AA1394:AA1457" si="68">TRIM(E1394)&amp;TRIM(D1394)</f>
        <v/>
      </c>
    </row>
    <row r="1395" spans="1:27" x14ac:dyDescent="0.4">
      <c r="A1395" s="14">
        <f t="shared" si="67"/>
        <v>1394</v>
      </c>
      <c r="B1395" s="14"/>
      <c r="C1395" s="18"/>
      <c r="D1395" s="14"/>
      <c r="E1395" s="14"/>
      <c r="G1395" s="1">
        <f>_xlfn.XLOOKUP(B1395,M_YT_LIVE!A:A,M_YT_LIVE!F:F,"ERROR",0,1)</f>
        <v>0</v>
      </c>
      <c r="W1395" s="13" t="e">
        <f t="shared" si="66"/>
        <v>#VALUE!</v>
      </c>
      <c r="X1395" s="12">
        <f>_xlfn.XLOOKUP($B1395,M_YT_LIVE!$A:$A,M_YT_LIVE!$D:$D)</f>
        <v>0</v>
      </c>
      <c r="Z1395" s="16" t="e">
        <f>HYPERLINK($X1395&amp;SUBSTITUTE(マスタ!$C$3,"XXXXX",$W1395))</f>
        <v>#VALUE!</v>
      </c>
      <c r="AA1395" s="12" t="str">
        <f t="shared" si="68"/>
        <v/>
      </c>
    </row>
    <row r="1396" spans="1:27" x14ac:dyDescent="0.4">
      <c r="A1396" s="14">
        <f t="shared" si="67"/>
        <v>1395</v>
      </c>
      <c r="B1396" s="14"/>
      <c r="C1396" s="18"/>
      <c r="D1396" s="14"/>
      <c r="E1396" s="14"/>
      <c r="G1396" s="1">
        <f>_xlfn.XLOOKUP(B1396,M_YT_LIVE!A:A,M_YT_LIVE!F:F,"ERROR",0,1)</f>
        <v>0</v>
      </c>
      <c r="W1396" s="13" t="e">
        <f t="shared" si="66"/>
        <v>#VALUE!</v>
      </c>
      <c r="X1396" s="12">
        <f>_xlfn.XLOOKUP($B1396,M_YT_LIVE!$A:$A,M_YT_LIVE!$D:$D)</f>
        <v>0</v>
      </c>
      <c r="Z1396" s="16" t="e">
        <f>HYPERLINK($X1396&amp;SUBSTITUTE(マスタ!$C$3,"XXXXX",$W1396))</f>
        <v>#VALUE!</v>
      </c>
      <c r="AA1396" s="12" t="str">
        <f t="shared" si="68"/>
        <v/>
      </c>
    </row>
    <row r="1397" spans="1:27" x14ac:dyDescent="0.4">
      <c r="A1397" s="14">
        <f t="shared" si="67"/>
        <v>1396</v>
      </c>
      <c r="B1397" s="14"/>
      <c r="C1397" s="18"/>
      <c r="D1397" s="14"/>
      <c r="E1397" s="14"/>
      <c r="G1397" s="1">
        <f>_xlfn.XLOOKUP(B1397,M_YT_LIVE!A:A,M_YT_LIVE!F:F,"ERROR",0,1)</f>
        <v>0</v>
      </c>
      <c r="W1397" s="13" t="e">
        <f t="shared" si="66"/>
        <v>#VALUE!</v>
      </c>
      <c r="X1397" s="12">
        <f>_xlfn.XLOOKUP($B1397,M_YT_LIVE!$A:$A,M_YT_LIVE!$D:$D)</f>
        <v>0</v>
      </c>
      <c r="Z1397" s="16" t="e">
        <f>HYPERLINK($X1397&amp;SUBSTITUTE(マスタ!$C$3,"XXXXX",$W1397))</f>
        <v>#VALUE!</v>
      </c>
      <c r="AA1397" s="12" t="str">
        <f t="shared" si="68"/>
        <v/>
      </c>
    </row>
    <row r="1398" spans="1:27" x14ac:dyDescent="0.4">
      <c r="A1398" s="14">
        <f t="shared" si="67"/>
        <v>1397</v>
      </c>
      <c r="B1398" s="14"/>
      <c r="C1398" s="18"/>
      <c r="D1398" s="14"/>
      <c r="E1398" s="14"/>
      <c r="G1398" s="1">
        <f>_xlfn.XLOOKUP(B1398,M_YT_LIVE!A:A,M_YT_LIVE!F:F,"ERROR",0,1)</f>
        <v>0</v>
      </c>
      <c r="W1398" s="13" t="e">
        <f t="shared" si="66"/>
        <v>#VALUE!</v>
      </c>
      <c r="X1398" s="12">
        <f>_xlfn.XLOOKUP($B1398,M_YT_LIVE!$A:$A,M_YT_LIVE!$D:$D)</f>
        <v>0</v>
      </c>
      <c r="Z1398" s="16" t="e">
        <f>HYPERLINK($X1398&amp;SUBSTITUTE(マスタ!$C$3,"XXXXX",$W1398))</f>
        <v>#VALUE!</v>
      </c>
      <c r="AA1398" s="12" t="str">
        <f t="shared" si="68"/>
        <v/>
      </c>
    </row>
    <row r="1399" spans="1:27" x14ac:dyDescent="0.4">
      <c r="A1399" s="14">
        <f t="shared" si="67"/>
        <v>1398</v>
      </c>
      <c r="B1399" s="14"/>
      <c r="C1399" s="18"/>
      <c r="D1399" s="14"/>
      <c r="E1399" s="14"/>
      <c r="G1399" s="1">
        <f>_xlfn.XLOOKUP(B1399,M_YT_LIVE!A:A,M_YT_LIVE!F:F,"ERROR",0,1)</f>
        <v>0</v>
      </c>
      <c r="W1399" s="13" t="e">
        <f t="shared" si="66"/>
        <v>#VALUE!</v>
      </c>
      <c r="X1399" s="12">
        <f>_xlfn.XLOOKUP($B1399,M_YT_LIVE!$A:$A,M_YT_LIVE!$D:$D)</f>
        <v>0</v>
      </c>
      <c r="Z1399" s="16" t="e">
        <f>HYPERLINK($X1399&amp;SUBSTITUTE(マスタ!$C$3,"XXXXX",$W1399))</f>
        <v>#VALUE!</v>
      </c>
      <c r="AA1399" s="12" t="str">
        <f t="shared" si="68"/>
        <v/>
      </c>
    </row>
    <row r="1400" spans="1:27" x14ac:dyDescent="0.4">
      <c r="A1400" s="14">
        <f t="shared" si="67"/>
        <v>1399</v>
      </c>
      <c r="B1400" s="14"/>
      <c r="C1400" s="18"/>
      <c r="D1400" s="14"/>
      <c r="E1400" s="14"/>
      <c r="G1400" s="1">
        <f>_xlfn.XLOOKUP(B1400,M_YT_LIVE!A:A,M_YT_LIVE!F:F,"ERROR",0,1)</f>
        <v>0</v>
      </c>
      <c r="W1400" s="13" t="e">
        <f t="shared" si="66"/>
        <v>#VALUE!</v>
      </c>
      <c r="X1400" s="12">
        <f>_xlfn.XLOOKUP($B1400,M_YT_LIVE!$A:$A,M_YT_LIVE!$D:$D)</f>
        <v>0</v>
      </c>
      <c r="Z1400" s="16" t="e">
        <f>HYPERLINK($X1400&amp;SUBSTITUTE(マスタ!$C$3,"XXXXX",$W1400))</f>
        <v>#VALUE!</v>
      </c>
      <c r="AA1400" s="12" t="str">
        <f t="shared" si="68"/>
        <v/>
      </c>
    </row>
    <row r="1401" spans="1:27" x14ac:dyDescent="0.4">
      <c r="A1401" s="14">
        <f t="shared" si="67"/>
        <v>1400</v>
      </c>
      <c r="B1401" s="14"/>
      <c r="C1401" s="18"/>
      <c r="D1401" s="14"/>
      <c r="E1401" s="14"/>
      <c r="G1401" s="1">
        <f>_xlfn.XLOOKUP(B1401,M_YT_LIVE!A:A,M_YT_LIVE!F:F,"ERROR",0,1)</f>
        <v>0</v>
      </c>
      <c r="W1401" s="13" t="e">
        <f t="shared" si="66"/>
        <v>#VALUE!</v>
      </c>
      <c r="X1401" s="12">
        <f>_xlfn.XLOOKUP($B1401,M_YT_LIVE!$A:$A,M_YT_LIVE!$D:$D)</f>
        <v>0</v>
      </c>
      <c r="Z1401" s="16" t="e">
        <f>HYPERLINK($X1401&amp;SUBSTITUTE(マスタ!$C$3,"XXXXX",$W1401))</f>
        <v>#VALUE!</v>
      </c>
      <c r="AA1401" s="12" t="str">
        <f t="shared" si="68"/>
        <v/>
      </c>
    </row>
    <row r="1402" spans="1:27" x14ac:dyDescent="0.4">
      <c r="A1402" s="14">
        <f t="shared" si="67"/>
        <v>1401</v>
      </c>
      <c r="B1402" s="14"/>
      <c r="C1402" s="18"/>
      <c r="D1402" s="14"/>
      <c r="E1402" s="14"/>
      <c r="G1402" s="1">
        <f>_xlfn.XLOOKUP(B1402,M_YT_LIVE!A:A,M_YT_LIVE!F:F,"ERROR",0,1)</f>
        <v>0</v>
      </c>
      <c r="W1402" s="13" t="e">
        <f t="shared" si="66"/>
        <v>#VALUE!</v>
      </c>
      <c r="X1402" s="12">
        <f>_xlfn.XLOOKUP($B1402,M_YT_LIVE!$A:$A,M_YT_LIVE!$D:$D)</f>
        <v>0</v>
      </c>
      <c r="Z1402" s="16" t="e">
        <f>HYPERLINK($X1402&amp;SUBSTITUTE(マスタ!$C$3,"XXXXX",$W1402))</f>
        <v>#VALUE!</v>
      </c>
      <c r="AA1402" s="12" t="str">
        <f t="shared" si="68"/>
        <v/>
      </c>
    </row>
    <row r="1403" spans="1:27" x14ac:dyDescent="0.4">
      <c r="A1403" s="14">
        <f t="shared" si="67"/>
        <v>1402</v>
      </c>
      <c r="B1403" s="14"/>
      <c r="C1403" s="18"/>
      <c r="D1403" s="14"/>
      <c r="E1403" s="14"/>
      <c r="G1403" s="1">
        <f>_xlfn.XLOOKUP(B1403,M_YT_LIVE!A:A,M_YT_LIVE!F:F,"ERROR",0,1)</f>
        <v>0</v>
      </c>
      <c r="W1403" s="13" t="e">
        <f t="shared" si="66"/>
        <v>#VALUE!</v>
      </c>
      <c r="X1403" s="12">
        <f>_xlfn.XLOOKUP($B1403,M_YT_LIVE!$A:$A,M_YT_LIVE!$D:$D)</f>
        <v>0</v>
      </c>
      <c r="Z1403" s="16" t="e">
        <f>HYPERLINK($X1403&amp;SUBSTITUTE(マスタ!$C$3,"XXXXX",$W1403))</f>
        <v>#VALUE!</v>
      </c>
      <c r="AA1403" s="12" t="str">
        <f t="shared" si="68"/>
        <v/>
      </c>
    </row>
    <row r="1404" spans="1:27" x14ac:dyDescent="0.4">
      <c r="A1404" s="14">
        <f t="shared" si="67"/>
        <v>1403</v>
      </c>
      <c r="B1404" s="14"/>
      <c r="C1404" s="18"/>
      <c r="D1404" s="14"/>
      <c r="E1404" s="14"/>
      <c r="G1404" s="1">
        <f>_xlfn.XLOOKUP(B1404,M_YT_LIVE!A:A,M_YT_LIVE!F:F,"ERROR",0,1)</f>
        <v>0</v>
      </c>
      <c r="W1404" s="13" t="e">
        <f t="shared" si="66"/>
        <v>#VALUE!</v>
      </c>
      <c r="X1404" s="12">
        <f>_xlfn.XLOOKUP($B1404,M_YT_LIVE!$A:$A,M_YT_LIVE!$D:$D)</f>
        <v>0</v>
      </c>
      <c r="Z1404" s="16" t="e">
        <f>HYPERLINK($X1404&amp;SUBSTITUTE(マスタ!$C$3,"XXXXX",$W1404))</f>
        <v>#VALUE!</v>
      </c>
      <c r="AA1404" s="12" t="str">
        <f t="shared" si="68"/>
        <v/>
      </c>
    </row>
    <row r="1405" spans="1:27" x14ac:dyDescent="0.4">
      <c r="A1405" s="14">
        <f t="shared" si="67"/>
        <v>1404</v>
      </c>
      <c r="B1405" s="14"/>
      <c r="C1405" s="18"/>
      <c r="D1405" s="14"/>
      <c r="E1405" s="14"/>
      <c r="G1405" s="1">
        <f>_xlfn.XLOOKUP(B1405,M_YT_LIVE!A:A,M_YT_LIVE!F:F,"ERROR",0,1)</f>
        <v>0</v>
      </c>
      <c r="W1405" s="13" t="e">
        <f t="shared" si="66"/>
        <v>#VALUE!</v>
      </c>
      <c r="X1405" s="12">
        <f>_xlfn.XLOOKUP($B1405,M_YT_LIVE!$A:$A,M_YT_LIVE!$D:$D)</f>
        <v>0</v>
      </c>
      <c r="Z1405" s="16" t="e">
        <f>HYPERLINK($X1405&amp;SUBSTITUTE(マスタ!$C$3,"XXXXX",$W1405))</f>
        <v>#VALUE!</v>
      </c>
      <c r="AA1405" s="12" t="str">
        <f t="shared" si="68"/>
        <v/>
      </c>
    </row>
    <row r="1406" spans="1:27" x14ac:dyDescent="0.4">
      <c r="A1406" s="14">
        <f t="shared" si="67"/>
        <v>1405</v>
      </c>
      <c r="B1406" s="14"/>
      <c r="C1406" s="18"/>
      <c r="D1406" s="14"/>
      <c r="E1406" s="14"/>
      <c r="G1406" s="1">
        <f>_xlfn.XLOOKUP(B1406,M_YT_LIVE!A:A,M_YT_LIVE!F:F,"ERROR",0,1)</f>
        <v>0</v>
      </c>
      <c r="W1406" s="13" t="e">
        <f t="shared" si="66"/>
        <v>#VALUE!</v>
      </c>
      <c r="X1406" s="12">
        <f>_xlfn.XLOOKUP($B1406,M_YT_LIVE!$A:$A,M_YT_LIVE!$D:$D)</f>
        <v>0</v>
      </c>
      <c r="Z1406" s="16" t="e">
        <f>HYPERLINK($X1406&amp;SUBSTITUTE(マスタ!$C$3,"XXXXX",$W1406))</f>
        <v>#VALUE!</v>
      </c>
      <c r="AA1406" s="12" t="str">
        <f t="shared" si="68"/>
        <v/>
      </c>
    </row>
    <row r="1407" spans="1:27" x14ac:dyDescent="0.4">
      <c r="A1407" s="14">
        <f t="shared" si="67"/>
        <v>1406</v>
      </c>
      <c r="B1407" s="14"/>
      <c r="C1407" s="18"/>
      <c r="D1407" s="14"/>
      <c r="E1407" s="14"/>
      <c r="G1407" s="1">
        <f>_xlfn.XLOOKUP(B1407,M_YT_LIVE!A:A,M_YT_LIVE!F:F,"ERROR",0,1)</f>
        <v>0</v>
      </c>
      <c r="W1407" s="13" t="e">
        <f t="shared" si="66"/>
        <v>#VALUE!</v>
      </c>
      <c r="X1407" s="12">
        <f>_xlfn.XLOOKUP($B1407,M_YT_LIVE!$A:$A,M_YT_LIVE!$D:$D)</f>
        <v>0</v>
      </c>
      <c r="Z1407" s="16" t="e">
        <f>HYPERLINK($X1407&amp;SUBSTITUTE(マスタ!$C$3,"XXXXX",$W1407))</f>
        <v>#VALUE!</v>
      </c>
      <c r="AA1407" s="12" t="str">
        <f t="shared" si="68"/>
        <v/>
      </c>
    </row>
    <row r="1408" spans="1:27" x14ac:dyDescent="0.4">
      <c r="A1408" s="14">
        <f t="shared" si="67"/>
        <v>1407</v>
      </c>
      <c r="B1408" s="14"/>
      <c r="C1408" s="18"/>
      <c r="D1408" s="14"/>
      <c r="E1408" s="14"/>
      <c r="G1408" s="1">
        <f>_xlfn.XLOOKUP(B1408,M_YT_LIVE!A:A,M_YT_LIVE!F:F,"ERROR",0,1)</f>
        <v>0</v>
      </c>
      <c r="W1408" s="13" t="e">
        <f t="shared" si="66"/>
        <v>#VALUE!</v>
      </c>
      <c r="X1408" s="12">
        <f>_xlfn.XLOOKUP($B1408,M_YT_LIVE!$A:$A,M_YT_LIVE!$D:$D)</f>
        <v>0</v>
      </c>
      <c r="Z1408" s="16" t="e">
        <f>HYPERLINK($X1408&amp;SUBSTITUTE(マスタ!$C$3,"XXXXX",$W1408))</f>
        <v>#VALUE!</v>
      </c>
      <c r="AA1408" s="12" t="str">
        <f t="shared" si="68"/>
        <v/>
      </c>
    </row>
    <row r="1409" spans="1:27" x14ac:dyDescent="0.4">
      <c r="A1409" s="14">
        <f t="shared" si="67"/>
        <v>1408</v>
      </c>
      <c r="B1409" s="14"/>
      <c r="C1409" s="18"/>
      <c r="D1409" s="14"/>
      <c r="E1409" s="14"/>
      <c r="G1409" s="1">
        <f>_xlfn.XLOOKUP(B1409,M_YT_LIVE!A:A,M_YT_LIVE!F:F,"ERROR",0,1)</f>
        <v>0</v>
      </c>
      <c r="W1409" s="13" t="e">
        <f t="shared" si="66"/>
        <v>#VALUE!</v>
      </c>
      <c r="X1409" s="12">
        <f>_xlfn.XLOOKUP($B1409,M_YT_LIVE!$A:$A,M_YT_LIVE!$D:$D)</f>
        <v>0</v>
      </c>
      <c r="Z1409" s="16" t="e">
        <f>HYPERLINK($X1409&amp;SUBSTITUTE(マスタ!$C$3,"XXXXX",$W1409))</f>
        <v>#VALUE!</v>
      </c>
      <c r="AA1409" s="12" t="str">
        <f t="shared" si="68"/>
        <v/>
      </c>
    </row>
    <row r="1410" spans="1:27" x14ac:dyDescent="0.4">
      <c r="A1410" s="14">
        <f t="shared" si="67"/>
        <v>1409</v>
      </c>
      <c r="B1410" s="14"/>
      <c r="C1410" s="18"/>
      <c r="D1410" s="14"/>
      <c r="E1410" s="14"/>
      <c r="G1410" s="1">
        <f>_xlfn.XLOOKUP(B1410,M_YT_LIVE!A:A,M_YT_LIVE!F:F,"ERROR",0,1)</f>
        <v>0</v>
      </c>
      <c r="W1410" s="13" t="e">
        <f t="shared" si="66"/>
        <v>#VALUE!</v>
      </c>
      <c r="X1410" s="12">
        <f>_xlfn.XLOOKUP($B1410,M_YT_LIVE!$A:$A,M_YT_LIVE!$D:$D)</f>
        <v>0</v>
      </c>
      <c r="Z1410" s="16" t="e">
        <f>HYPERLINK($X1410&amp;SUBSTITUTE(マスタ!$C$3,"XXXXX",$W1410))</f>
        <v>#VALUE!</v>
      </c>
      <c r="AA1410" s="12" t="str">
        <f t="shared" si="68"/>
        <v/>
      </c>
    </row>
    <row r="1411" spans="1:27" x14ac:dyDescent="0.4">
      <c r="A1411" s="14">
        <f t="shared" si="67"/>
        <v>1410</v>
      </c>
      <c r="B1411" s="14"/>
      <c r="C1411" s="18"/>
      <c r="D1411" s="14"/>
      <c r="E1411" s="14"/>
      <c r="G1411" s="1">
        <f>_xlfn.XLOOKUP(B1411,M_YT_LIVE!A:A,M_YT_LIVE!F:F,"ERROR",0,1)</f>
        <v>0</v>
      </c>
      <c r="W1411" s="13" t="e">
        <f t="shared" si="66"/>
        <v>#VALUE!</v>
      </c>
      <c r="X1411" s="12">
        <f>_xlfn.XLOOKUP($B1411,M_YT_LIVE!$A:$A,M_YT_LIVE!$D:$D)</f>
        <v>0</v>
      </c>
      <c r="Z1411" s="16" t="e">
        <f>HYPERLINK($X1411&amp;SUBSTITUTE(マスタ!$C$3,"XXXXX",$W1411))</f>
        <v>#VALUE!</v>
      </c>
      <c r="AA1411" s="12" t="str">
        <f t="shared" si="68"/>
        <v/>
      </c>
    </row>
    <row r="1412" spans="1:27" x14ac:dyDescent="0.4">
      <c r="A1412" s="14">
        <f t="shared" si="67"/>
        <v>1411</v>
      </c>
      <c r="B1412" s="14"/>
      <c r="C1412" s="18"/>
      <c r="D1412" s="14"/>
      <c r="E1412" s="14"/>
      <c r="G1412" s="1">
        <f>_xlfn.XLOOKUP(B1412,M_YT_LIVE!A:A,M_YT_LIVE!F:F,"ERROR",0,1)</f>
        <v>0</v>
      </c>
      <c r="W1412" s="13" t="e">
        <f t="shared" ref="W1412:W1475" si="69">TIMEVALUE($C1412)*86400</f>
        <v>#VALUE!</v>
      </c>
      <c r="X1412" s="12">
        <f>_xlfn.XLOOKUP($B1412,M_YT_LIVE!$A:$A,M_YT_LIVE!$D:$D)</f>
        <v>0</v>
      </c>
      <c r="Z1412" s="16" t="e">
        <f>HYPERLINK($X1412&amp;SUBSTITUTE(マスタ!$C$3,"XXXXX",$W1412))</f>
        <v>#VALUE!</v>
      </c>
      <c r="AA1412" s="12" t="str">
        <f t="shared" si="68"/>
        <v/>
      </c>
    </row>
    <row r="1413" spans="1:27" x14ac:dyDescent="0.4">
      <c r="A1413" s="14">
        <f t="shared" si="67"/>
        <v>1412</v>
      </c>
      <c r="B1413" s="14"/>
      <c r="C1413" s="18"/>
      <c r="D1413" s="14"/>
      <c r="E1413" s="14"/>
      <c r="G1413" s="1">
        <f>_xlfn.XLOOKUP(B1413,M_YT_LIVE!A:A,M_YT_LIVE!F:F,"ERROR",0,1)</f>
        <v>0</v>
      </c>
      <c r="W1413" s="13" t="e">
        <f t="shared" si="69"/>
        <v>#VALUE!</v>
      </c>
      <c r="X1413" s="12">
        <f>_xlfn.XLOOKUP($B1413,M_YT_LIVE!$A:$A,M_YT_LIVE!$D:$D)</f>
        <v>0</v>
      </c>
      <c r="Z1413" s="16" t="e">
        <f>HYPERLINK($X1413&amp;SUBSTITUTE(マスタ!$C$3,"XXXXX",$W1413))</f>
        <v>#VALUE!</v>
      </c>
      <c r="AA1413" s="12" t="str">
        <f t="shared" si="68"/>
        <v/>
      </c>
    </row>
    <row r="1414" spans="1:27" x14ac:dyDescent="0.4">
      <c r="A1414" s="14">
        <f t="shared" ref="A1414:A1477" si="70">ROW()-1</f>
        <v>1413</v>
      </c>
      <c r="B1414" s="14"/>
      <c r="C1414" s="18"/>
      <c r="D1414" s="14"/>
      <c r="E1414" s="14"/>
      <c r="G1414" s="1">
        <f>_xlfn.XLOOKUP(B1414,M_YT_LIVE!A:A,M_YT_LIVE!F:F,"ERROR",0,1)</f>
        <v>0</v>
      </c>
      <c r="W1414" s="13" t="e">
        <f t="shared" si="69"/>
        <v>#VALUE!</v>
      </c>
      <c r="X1414" s="12">
        <f>_xlfn.XLOOKUP($B1414,M_YT_LIVE!$A:$A,M_YT_LIVE!$D:$D)</f>
        <v>0</v>
      </c>
      <c r="Z1414" s="16" t="e">
        <f>HYPERLINK($X1414&amp;SUBSTITUTE(マスタ!$C$3,"XXXXX",$W1414))</f>
        <v>#VALUE!</v>
      </c>
      <c r="AA1414" s="12" t="str">
        <f t="shared" si="68"/>
        <v/>
      </c>
    </row>
    <row r="1415" spans="1:27" x14ac:dyDescent="0.4">
      <c r="A1415" s="14">
        <f t="shared" si="70"/>
        <v>1414</v>
      </c>
      <c r="B1415" s="14"/>
      <c r="C1415" s="18"/>
      <c r="D1415" s="14"/>
      <c r="E1415" s="14"/>
      <c r="G1415" s="1">
        <f>_xlfn.XLOOKUP(B1415,M_YT_LIVE!A:A,M_YT_LIVE!F:F,"ERROR",0,1)</f>
        <v>0</v>
      </c>
      <c r="W1415" s="13" t="e">
        <f t="shared" si="69"/>
        <v>#VALUE!</v>
      </c>
      <c r="X1415" s="12">
        <f>_xlfn.XLOOKUP($B1415,M_YT_LIVE!$A:$A,M_YT_LIVE!$D:$D)</f>
        <v>0</v>
      </c>
      <c r="Z1415" s="16" t="e">
        <f>HYPERLINK($X1415&amp;SUBSTITUTE(マスタ!$C$3,"XXXXX",$W1415))</f>
        <v>#VALUE!</v>
      </c>
      <c r="AA1415" s="12" t="str">
        <f t="shared" si="68"/>
        <v/>
      </c>
    </row>
    <row r="1416" spans="1:27" x14ac:dyDescent="0.4">
      <c r="A1416" s="14">
        <f t="shared" si="70"/>
        <v>1415</v>
      </c>
      <c r="B1416" s="14"/>
      <c r="C1416" s="18"/>
      <c r="D1416" s="14"/>
      <c r="E1416" s="14"/>
      <c r="G1416" s="1">
        <f>_xlfn.XLOOKUP(B1416,M_YT_LIVE!A:A,M_YT_LIVE!F:F,"ERROR",0,1)</f>
        <v>0</v>
      </c>
      <c r="W1416" s="13" t="e">
        <f t="shared" si="69"/>
        <v>#VALUE!</v>
      </c>
      <c r="X1416" s="12">
        <f>_xlfn.XLOOKUP($B1416,M_YT_LIVE!$A:$A,M_YT_LIVE!$D:$D)</f>
        <v>0</v>
      </c>
      <c r="Z1416" s="16" t="e">
        <f>HYPERLINK($X1416&amp;SUBSTITUTE(マスタ!$C$3,"XXXXX",$W1416))</f>
        <v>#VALUE!</v>
      </c>
      <c r="AA1416" s="12" t="str">
        <f t="shared" si="68"/>
        <v/>
      </c>
    </row>
    <row r="1417" spans="1:27" x14ac:dyDescent="0.4">
      <c r="A1417" s="14">
        <f t="shared" si="70"/>
        <v>1416</v>
      </c>
      <c r="B1417" s="14"/>
      <c r="C1417" s="18"/>
      <c r="D1417" s="14"/>
      <c r="E1417" s="14"/>
      <c r="G1417" s="1">
        <f>_xlfn.XLOOKUP(B1417,M_YT_LIVE!A:A,M_YT_LIVE!F:F,"ERROR",0,1)</f>
        <v>0</v>
      </c>
      <c r="W1417" s="13" t="e">
        <f t="shared" si="69"/>
        <v>#VALUE!</v>
      </c>
      <c r="X1417" s="12">
        <f>_xlfn.XLOOKUP($B1417,M_YT_LIVE!$A:$A,M_YT_LIVE!$D:$D)</f>
        <v>0</v>
      </c>
      <c r="Z1417" s="16" t="e">
        <f>HYPERLINK($X1417&amp;SUBSTITUTE(マスタ!$C$3,"XXXXX",$W1417))</f>
        <v>#VALUE!</v>
      </c>
      <c r="AA1417" s="12" t="str">
        <f t="shared" si="68"/>
        <v/>
      </c>
    </row>
    <row r="1418" spans="1:27" x14ac:dyDescent="0.4">
      <c r="A1418" s="14">
        <f t="shared" si="70"/>
        <v>1417</v>
      </c>
      <c r="B1418" s="14"/>
      <c r="C1418" s="18"/>
      <c r="D1418" s="14"/>
      <c r="E1418" s="14"/>
      <c r="G1418" s="1">
        <f>_xlfn.XLOOKUP(B1418,M_YT_LIVE!A:A,M_YT_LIVE!F:F,"ERROR",0,1)</f>
        <v>0</v>
      </c>
      <c r="W1418" s="13" t="e">
        <f t="shared" si="69"/>
        <v>#VALUE!</v>
      </c>
      <c r="X1418" s="12">
        <f>_xlfn.XLOOKUP($B1418,M_YT_LIVE!$A:$A,M_YT_LIVE!$D:$D)</f>
        <v>0</v>
      </c>
      <c r="Z1418" s="16" t="e">
        <f>HYPERLINK($X1418&amp;SUBSTITUTE(マスタ!$C$3,"XXXXX",$W1418))</f>
        <v>#VALUE!</v>
      </c>
      <c r="AA1418" s="12" t="str">
        <f t="shared" si="68"/>
        <v/>
      </c>
    </row>
    <row r="1419" spans="1:27" x14ac:dyDescent="0.4">
      <c r="A1419" s="14">
        <f t="shared" si="70"/>
        <v>1418</v>
      </c>
      <c r="B1419" s="14"/>
      <c r="C1419" s="18"/>
      <c r="D1419" s="14"/>
      <c r="E1419" s="14"/>
      <c r="G1419" s="1">
        <f>_xlfn.XLOOKUP(B1419,M_YT_LIVE!A:A,M_YT_LIVE!F:F,"ERROR",0,1)</f>
        <v>0</v>
      </c>
      <c r="W1419" s="13" t="e">
        <f t="shared" si="69"/>
        <v>#VALUE!</v>
      </c>
      <c r="X1419" s="12">
        <f>_xlfn.XLOOKUP($B1419,M_YT_LIVE!$A:$A,M_YT_LIVE!$D:$D)</f>
        <v>0</v>
      </c>
      <c r="Z1419" s="16" t="e">
        <f>HYPERLINK($X1419&amp;SUBSTITUTE(マスタ!$C$3,"XXXXX",$W1419))</f>
        <v>#VALUE!</v>
      </c>
      <c r="AA1419" s="12" t="str">
        <f t="shared" si="68"/>
        <v/>
      </c>
    </row>
    <row r="1420" spans="1:27" x14ac:dyDescent="0.4">
      <c r="A1420" s="14">
        <f t="shared" si="70"/>
        <v>1419</v>
      </c>
      <c r="B1420" s="14"/>
      <c r="C1420" s="18"/>
      <c r="D1420" s="14"/>
      <c r="E1420" s="14"/>
      <c r="G1420" s="1">
        <f>_xlfn.XLOOKUP(B1420,M_YT_LIVE!A:A,M_YT_LIVE!F:F,"ERROR",0,1)</f>
        <v>0</v>
      </c>
      <c r="W1420" s="13" t="e">
        <f t="shared" si="69"/>
        <v>#VALUE!</v>
      </c>
      <c r="X1420" s="12">
        <f>_xlfn.XLOOKUP($B1420,M_YT_LIVE!$A:$A,M_YT_LIVE!$D:$D)</f>
        <v>0</v>
      </c>
      <c r="Z1420" s="16" t="e">
        <f>HYPERLINK($X1420&amp;SUBSTITUTE(マスタ!$C$3,"XXXXX",$W1420))</f>
        <v>#VALUE!</v>
      </c>
      <c r="AA1420" s="12" t="str">
        <f t="shared" si="68"/>
        <v/>
      </c>
    </row>
    <row r="1421" spans="1:27" x14ac:dyDescent="0.4">
      <c r="A1421" s="14">
        <f t="shared" si="70"/>
        <v>1420</v>
      </c>
      <c r="B1421" s="14"/>
      <c r="C1421" s="18"/>
      <c r="D1421" s="14"/>
      <c r="E1421" s="14"/>
      <c r="G1421" s="1">
        <f>_xlfn.XLOOKUP(B1421,M_YT_LIVE!A:A,M_YT_LIVE!F:F,"ERROR",0,1)</f>
        <v>0</v>
      </c>
      <c r="W1421" s="13" t="e">
        <f t="shared" si="69"/>
        <v>#VALUE!</v>
      </c>
      <c r="X1421" s="12">
        <f>_xlfn.XLOOKUP($B1421,M_YT_LIVE!$A:$A,M_YT_LIVE!$D:$D)</f>
        <v>0</v>
      </c>
      <c r="Z1421" s="16" t="e">
        <f>HYPERLINK($X1421&amp;SUBSTITUTE(マスタ!$C$3,"XXXXX",$W1421))</f>
        <v>#VALUE!</v>
      </c>
      <c r="AA1421" s="12" t="str">
        <f t="shared" si="68"/>
        <v/>
      </c>
    </row>
    <row r="1422" spans="1:27" x14ac:dyDescent="0.4">
      <c r="A1422" s="14">
        <f t="shared" si="70"/>
        <v>1421</v>
      </c>
      <c r="B1422" s="14"/>
      <c r="C1422" s="18"/>
      <c r="D1422" s="14"/>
      <c r="E1422" s="14"/>
      <c r="G1422" s="1">
        <f>_xlfn.XLOOKUP(B1422,M_YT_LIVE!A:A,M_YT_LIVE!F:F,"ERROR",0,1)</f>
        <v>0</v>
      </c>
      <c r="W1422" s="13" t="e">
        <f t="shared" si="69"/>
        <v>#VALUE!</v>
      </c>
      <c r="X1422" s="12">
        <f>_xlfn.XLOOKUP($B1422,M_YT_LIVE!$A:$A,M_YT_LIVE!$D:$D)</f>
        <v>0</v>
      </c>
      <c r="Z1422" s="16" t="e">
        <f>HYPERLINK($X1422&amp;SUBSTITUTE(マスタ!$C$3,"XXXXX",$W1422))</f>
        <v>#VALUE!</v>
      </c>
      <c r="AA1422" s="12" t="str">
        <f t="shared" si="68"/>
        <v/>
      </c>
    </row>
    <row r="1423" spans="1:27" x14ac:dyDescent="0.4">
      <c r="A1423" s="14">
        <f t="shared" si="70"/>
        <v>1422</v>
      </c>
      <c r="B1423" s="14"/>
      <c r="C1423" s="18"/>
      <c r="D1423" s="14"/>
      <c r="E1423" s="14"/>
      <c r="G1423" s="1">
        <f>_xlfn.XLOOKUP(B1423,M_YT_LIVE!A:A,M_YT_LIVE!F:F,"ERROR",0,1)</f>
        <v>0</v>
      </c>
      <c r="W1423" s="13" t="e">
        <f t="shared" si="69"/>
        <v>#VALUE!</v>
      </c>
      <c r="X1423" s="12">
        <f>_xlfn.XLOOKUP($B1423,M_YT_LIVE!$A:$A,M_YT_LIVE!$D:$D)</f>
        <v>0</v>
      </c>
      <c r="Z1423" s="16" t="e">
        <f>HYPERLINK($X1423&amp;SUBSTITUTE(マスタ!$C$3,"XXXXX",$W1423))</f>
        <v>#VALUE!</v>
      </c>
      <c r="AA1423" s="12" t="str">
        <f t="shared" si="68"/>
        <v/>
      </c>
    </row>
    <row r="1424" spans="1:27" x14ac:dyDescent="0.4">
      <c r="A1424" s="14">
        <f t="shared" si="70"/>
        <v>1423</v>
      </c>
      <c r="B1424" s="14"/>
      <c r="C1424" s="18"/>
      <c r="D1424" s="14"/>
      <c r="E1424" s="14"/>
      <c r="G1424" s="1">
        <f>_xlfn.XLOOKUP(B1424,M_YT_LIVE!A:A,M_YT_LIVE!F:F,"ERROR",0,1)</f>
        <v>0</v>
      </c>
      <c r="W1424" s="13" t="e">
        <f t="shared" si="69"/>
        <v>#VALUE!</v>
      </c>
      <c r="X1424" s="12">
        <f>_xlfn.XLOOKUP($B1424,M_YT_LIVE!$A:$A,M_YT_LIVE!$D:$D)</f>
        <v>0</v>
      </c>
      <c r="Z1424" s="16" t="e">
        <f>HYPERLINK($X1424&amp;SUBSTITUTE(マスタ!$C$3,"XXXXX",$W1424))</f>
        <v>#VALUE!</v>
      </c>
      <c r="AA1424" s="12" t="str">
        <f t="shared" si="68"/>
        <v/>
      </c>
    </row>
    <row r="1425" spans="1:27" x14ac:dyDescent="0.4">
      <c r="A1425" s="14">
        <f t="shared" si="70"/>
        <v>1424</v>
      </c>
      <c r="B1425" s="14"/>
      <c r="C1425" s="18"/>
      <c r="D1425" s="14"/>
      <c r="E1425" s="14"/>
      <c r="G1425" s="1">
        <f>_xlfn.XLOOKUP(B1425,M_YT_LIVE!A:A,M_YT_LIVE!F:F,"ERROR",0,1)</f>
        <v>0</v>
      </c>
      <c r="W1425" s="13" t="e">
        <f t="shared" si="69"/>
        <v>#VALUE!</v>
      </c>
      <c r="X1425" s="12">
        <f>_xlfn.XLOOKUP($B1425,M_YT_LIVE!$A:$A,M_YT_LIVE!$D:$D)</f>
        <v>0</v>
      </c>
      <c r="Z1425" s="16" t="e">
        <f>HYPERLINK($X1425&amp;SUBSTITUTE(マスタ!$C$3,"XXXXX",$W1425))</f>
        <v>#VALUE!</v>
      </c>
      <c r="AA1425" s="12" t="str">
        <f t="shared" si="68"/>
        <v/>
      </c>
    </row>
    <row r="1426" spans="1:27" x14ac:dyDescent="0.4">
      <c r="A1426" s="14">
        <f t="shared" si="70"/>
        <v>1425</v>
      </c>
      <c r="B1426" s="14"/>
      <c r="C1426" s="18"/>
      <c r="D1426" s="14"/>
      <c r="E1426" s="14"/>
      <c r="G1426" s="1">
        <f>_xlfn.XLOOKUP(B1426,M_YT_LIVE!A:A,M_YT_LIVE!F:F,"ERROR",0,1)</f>
        <v>0</v>
      </c>
      <c r="W1426" s="13" t="e">
        <f t="shared" si="69"/>
        <v>#VALUE!</v>
      </c>
      <c r="X1426" s="12">
        <f>_xlfn.XLOOKUP($B1426,M_YT_LIVE!$A:$A,M_YT_LIVE!$D:$D)</f>
        <v>0</v>
      </c>
      <c r="Z1426" s="16" t="e">
        <f>HYPERLINK($X1426&amp;SUBSTITUTE(マスタ!$C$3,"XXXXX",$W1426))</f>
        <v>#VALUE!</v>
      </c>
      <c r="AA1426" s="12" t="str">
        <f t="shared" si="68"/>
        <v/>
      </c>
    </row>
    <row r="1427" spans="1:27" x14ac:dyDescent="0.4">
      <c r="A1427" s="14">
        <f t="shared" si="70"/>
        <v>1426</v>
      </c>
      <c r="B1427" s="14"/>
      <c r="C1427" s="18"/>
      <c r="D1427" s="14"/>
      <c r="E1427" s="14"/>
      <c r="G1427" s="1">
        <f>_xlfn.XLOOKUP(B1427,M_YT_LIVE!A:A,M_YT_LIVE!F:F,"ERROR",0,1)</f>
        <v>0</v>
      </c>
      <c r="W1427" s="13" t="e">
        <f t="shared" si="69"/>
        <v>#VALUE!</v>
      </c>
      <c r="X1427" s="12">
        <f>_xlfn.XLOOKUP($B1427,M_YT_LIVE!$A:$A,M_YT_LIVE!$D:$D)</f>
        <v>0</v>
      </c>
      <c r="Z1427" s="16" t="e">
        <f>HYPERLINK($X1427&amp;SUBSTITUTE(マスタ!$C$3,"XXXXX",$W1427))</f>
        <v>#VALUE!</v>
      </c>
      <c r="AA1427" s="12" t="str">
        <f t="shared" si="68"/>
        <v/>
      </c>
    </row>
    <row r="1428" spans="1:27" x14ac:dyDescent="0.4">
      <c r="A1428" s="14">
        <f t="shared" si="70"/>
        <v>1427</v>
      </c>
      <c r="B1428" s="14"/>
      <c r="C1428" s="18"/>
      <c r="D1428" s="14"/>
      <c r="E1428" s="14"/>
      <c r="G1428" s="1">
        <f>_xlfn.XLOOKUP(B1428,M_YT_LIVE!A:A,M_YT_LIVE!F:F,"ERROR",0,1)</f>
        <v>0</v>
      </c>
      <c r="W1428" s="13" t="e">
        <f t="shared" si="69"/>
        <v>#VALUE!</v>
      </c>
      <c r="X1428" s="12">
        <f>_xlfn.XLOOKUP($B1428,M_YT_LIVE!$A:$A,M_YT_LIVE!$D:$D)</f>
        <v>0</v>
      </c>
      <c r="Z1428" s="16" t="e">
        <f>HYPERLINK($X1428&amp;SUBSTITUTE(マスタ!$C$3,"XXXXX",$W1428))</f>
        <v>#VALUE!</v>
      </c>
      <c r="AA1428" s="12" t="str">
        <f t="shared" si="68"/>
        <v/>
      </c>
    </row>
    <row r="1429" spans="1:27" x14ac:dyDescent="0.4">
      <c r="A1429" s="14">
        <f t="shared" si="70"/>
        <v>1428</v>
      </c>
      <c r="B1429" s="14"/>
      <c r="C1429" s="18"/>
      <c r="D1429" s="14"/>
      <c r="E1429" s="14"/>
      <c r="G1429" s="1">
        <f>_xlfn.XLOOKUP(B1429,M_YT_LIVE!A:A,M_YT_LIVE!F:F,"ERROR",0,1)</f>
        <v>0</v>
      </c>
      <c r="W1429" s="13" t="e">
        <f t="shared" si="69"/>
        <v>#VALUE!</v>
      </c>
      <c r="X1429" s="12">
        <f>_xlfn.XLOOKUP($B1429,M_YT_LIVE!$A:$A,M_YT_LIVE!$D:$D)</f>
        <v>0</v>
      </c>
      <c r="Z1429" s="16" t="e">
        <f>HYPERLINK($X1429&amp;SUBSTITUTE(マスタ!$C$3,"XXXXX",$W1429))</f>
        <v>#VALUE!</v>
      </c>
      <c r="AA1429" s="12" t="str">
        <f t="shared" si="68"/>
        <v/>
      </c>
    </row>
    <row r="1430" spans="1:27" x14ac:dyDescent="0.4">
      <c r="A1430" s="14">
        <f t="shared" si="70"/>
        <v>1429</v>
      </c>
      <c r="B1430" s="14"/>
      <c r="C1430" s="18"/>
      <c r="D1430" s="14"/>
      <c r="E1430" s="14"/>
      <c r="G1430" s="1">
        <f>_xlfn.XLOOKUP(B1430,M_YT_LIVE!A:A,M_YT_LIVE!F:F,"ERROR",0,1)</f>
        <v>0</v>
      </c>
      <c r="W1430" s="13" t="e">
        <f t="shared" si="69"/>
        <v>#VALUE!</v>
      </c>
      <c r="X1430" s="12">
        <f>_xlfn.XLOOKUP($B1430,M_YT_LIVE!$A:$A,M_YT_LIVE!$D:$D)</f>
        <v>0</v>
      </c>
      <c r="Z1430" s="16" t="e">
        <f>HYPERLINK($X1430&amp;SUBSTITUTE(マスタ!$C$3,"XXXXX",$W1430))</f>
        <v>#VALUE!</v>
      </c>
      <c r="AA1430" s="12" t="str">
        <f t="shared" si="68"/>
        <v/>
      </c>
    </row>
    <row r="1431" spans="1:27" x14ac:dyDescent="0.4">
      <c r="A1431" s="14">
        <f t="shared" si="70"/>
        <v>1430</v>
      </c>
      <c r="B1431" s="14"/>
      <c r="C1431" s="18"/>
      <c r="D1431" s="14"/>
      <c r="E1431" s="14"/>
      <c r="G1431" s="1">
        <f>_xlfn.XLOOKUP(B1431,M_YT_LIVE!A:A,M_YT_LIVE!F:F,"ERROR",0,1)</f>
        <v>0</v>
      </c>
      <c r="W1431" s="13" t="e">
        <f t="shared" si="69"/>
        <v>#VALUE!</v>
      </c>
      <c r="X1431" s="12">
        <f>_xlfn.XLOOKUP($B1431,M_YT_LIVE!$A:$A,M_YT_LIVE!$D:$D)</f>
        <v>0</v>
      </c>
      <c r="Z1431" s="16" t="e">
        <f>HYPERLINK($X1431&amp;SUBSTITUTE(マスタ!$C$3,"XXXXX",$W1431))</f>
        <v>#VALUE!</v>
      </c>
      <c r="AA1431" s="12" t="str">
        <f t="shared" si="68"/>
        <v/>
      </c>
    </row>
    <row r="1432" spans="1:27" x14ac:dyDescent="0.4">
      <c r="A1432" s="14">
        <f t="shared" si="70"/>
        <v>1431</v>
      </c>
      <c r="B1432" s="14"/>
      <c r="C1432" s="18"/>
      <c r="D1432" s="14"/>
      <c r="E1432" s="14"/>
      <c r="G1432" s="1">
        <f>_xlfn.XLOOKUP(B1432,M_YT_LIVE!A:A,M_YT_LIVE!F:F,"ERROR",0,1)</f>
        <v>0</v>
      </c>
      <c r="W1432" s="13" t="e">
        <f t="shared" si="69"/>
        <v>#VALUE!</v>
      </c>
      <c r="X1432" s="12">
        <f>_xlfn.XLOOKUP($B1432,M_YT_LIVE!$A:$A,M_YT_LIVE!$D:$D)</f>
        <v>0</v>
      </c>
      <c r="Z1432" s="16" t="e">
        <f>HYPERLINK($X1432&amp;SUBSTITUTE(マスタ!$C$3,"XXXXX",$W1432))</f>
        <v>#VALUE!</v>
      </c>
      <c r="AA1432" s="12" t="str">
        <f t="shared" si="68"/>
        <v/>
      </c>
    </row>
    <row r="1433" spans="1:27" x14ac:dyDescent="0.4">
      <c r="A1433" s="14">
        <f t="shared" si="70"/>
        <v>1432</v>
      </c>
      <c r="B1433" s="14"/>
      <c r="C1433" s="18"/>
      <c r="D1433" s="14"/>
      <c r="E1433" s="14"/>
      <c r="G1433" s="1">
        <f>_xlfn.XLOOKUP(B1433,M_YT_LIVE!A:A,M_YT_LIVE!F:F,"ERROR",0,1)</f>
        <v>0</v>
      </c>
      <c r="W1433" s="13" t="e">
        <f t="shared" si="69"/>
        <v>#VALUE!</v>
      </c>
      <c r="X1433" s="12">
        <f>_xlfn.XLOOKUP($B1433,M_YT_LIVE!$A:$A,M_YT_LIVE!$D:$D)</f>
        <v>0</v>
      </c>
      <c r="Z1433" s="16" t="e">
        <f>HYPERLINK($X1433&amp;SUBSTITUTE(マスタ!$C$3,"XXXXX",$W1433))</f>
        <v>#VALUE!</v>
      </c>
      <c r="AA1433" s="12" t="str">
        <f t="shared" si="68"/>
        <v/>
      </c>
    </row>
    <row r="1434" spans="1:27" x14ac:dyDescent="0.4">
      <c r="A1434" s="14">
        <f t="shared" si="70"/>
        <v>1433</v>
      </c>
      <c r="B1434" s="14"/>
      <c r="C1434" s="18"/>
      <c r="D1434" s="14"/>
      <c r="E1434" s="14"/>
      <c r="G1434" s="1">
        <f>_xlfn.XLOOKUP(B1434,M_YT_LIVE!A:A,M_YT_LIVE!F:F,"ERROR",0,1)</f>
        <v>0</v>
      </c>
      <c r="W1434" s="13" t="e">
        <f t="shared" si="69"/>
        <v>#VALUE!</v>
      </c>
      <c r="X1434" s="12">
        <f>_xlfn.XLOOKUP($B1434,M_YT_LIVE!$A:$A,M_YT_LIVE!$D:$D)</f>
        <v>0</v>
      </c>
      <c r="Z1434" s="16" t="e">
        <f>HYPERLINK($X1434&amp;SUBSTITUTE(マスタ!$C$3,"XXXXX",$W1434))</f>
        <v>#VALUE!</v>
      </c>
      <c r="AA1434" s="12" t="str">
        <f t="shared" si="68"/>
        <v/>
      </c>
    </row>
    <row r="1435" spans="1:27" x14ac:dyDescent="0.4">
      <c r="A1435" s="14">
        <f t="shared" si="70"/>
        <v>1434</v>
      </c>
      <c r="B1435" s="14"/>
      <c r="C1435" s="18"/>
      <c r="D1435" s="14"/>
      <c r="E1435" s="14"/>
      <c r="G1435" s="1">
        <f>_xlfn.XLOOKUP(B1435,M_YT_LIVE!A:A,M_YT_LIVE!F:F,"ERROR",0,1)</f>
        <v>0</v>
      </c>
      <c r="W1435" s="13" t="e">
        <f t="shared" si="69"/>
        <v>#VALUE!</v>
      </c>
      <c r="X1435" s="12">
        <f>_xlfn.XLOOKUP($B1435,M_YT_LIVE!$A:$A,M_YT_LIVE!$D:$D)</f>
        <v>0</v>
      </c>
      <c r="Z1435" s="16" t="e">
        <f>HYPERLINK($X1435&amp;SUBSTITUTE(マスタ!$C$3,"XXXXX",$W1435))</f>
        <v>#VALUE!</v>
      </c>
      <c r="AA1435" s="12" t="str">
        <f t="shared" si="68"/>
        <v/>
      </c>
    </row>
    <row r="1436" spans="1:27" x14ac:dyDescent="0.4">
      <c r="A1436" s="14">
        <f t="shared" si="70"/>
        <v>1435</v>
      </c>
      <c r="B1436" s="14"/>
      <c r="C1436" s="18"/>
      <c r="D1436" s="14"/>
      <c r="E1436" s="14"/>
      <c r="G1436" s="1">
        <f>_xlfn.XLOOKUP(B1436,M_YT_LIVE!A:A,M_YT_LIVE!F:F,"ERROR",0,1)</f>
        <v>0</v>
      </c>
      <c r="W1436" s="13" t="e">
        <f t="shared" si="69"/>
        <v>#VALUE!</v>
      </c>
      <c r="X1436" s="12">
        <f>_xlfn.XLOOKUP($B1436,M_YT_LIVE!$A:$A,M_YT_LIVE!$D:$D)</f>
        <v>0</v>
      </c>
      <c r="Z1436" s="16" t="e">
        <f>HYPERLINK($X1436&amp;SUBSTITUTE(マスタ!$C$3,"XXXXX",$W1436))</f>
        <v>#VALUE!</v>
      </c>
      <c r="AA1436" s="12" t="str">
        <f t="shared" si="68"/>
        <v/>
      </c>
    </row>
    <row r="1437" spans="1:27" x14ac:dyDescent="0.4">
      <c r="A1437" s="14">
        <f t="shared" si="70"/>
        <v>1436</v>
      </c>
      <c r="B1437" s="14"/>
      <c r="C1437" s="18"/>
      <c r="D1437" s="14"/>
      <c r="E1437" s="14"/>
      <c r="G1437" s="1">
        <f>_xlfn.XLOOKUP(B1437,M_YT_LIVE!A:A,M_YT_LIVE!F:F,"ERROR",0,1)</f>
        <v>0</v>
      </c>
      <c r="W1437" s="13" t="e">
        <f t="shared" si="69"/>
        <v>#VALUE!</v>
      </c>
      <c r="X1437" s="12">
        <f>_xlfn.XLOOKUP($B1437,M_YT_LIVE!$A:$A,M_YT_LIVE!$D:$D)</f>
        <v>0</v>
      </c>
      <c r="Z1437" s="16" t="e">
        <f>HYPERLINK($X1437&amp;SUBSTITUTE(マスタ!$C$3,"XXXXX",$W1437))</f>
        <v>#VALUE!</v>
      </c>
      <c r="AA1437" s="12" t="str">
        <f t="shared" si="68"/>
        <v/>
      </c>
    </row>
    <row r="1438" spans="1:27" x14ac:dyDescent="0.4">
      <c r="A1438" s="14">
        <f t="shared" si="70"/>
        <v>1437</v>
      </c>
      <c r="B1438" s="14"/>
      <c r="C1438" s="18"/>
      <c r="D1438" s="14"/>
      <c r="E1438" s="14"/>
      <c r="G1438" s="1">
        <f>_xlfn.XLOOKUP(B1438,M_YT_LIVE!A:A,M_YT_LIVE!F:F,"ERROR",0,1)</f>
        <v>0</v>
      </c>
      <c r="W1438" s="13" t="e">
        <f t="shared" si="69"/>
        <v>#VALUE!</v>
      </c>
      <c r="X1438" s="12">
        <f>_xlfn.XLOOKUP($B1438,M_YT_LIVE!$A:$A,M_YT_LIVE!$D:$D)</f>
        <v>0</v>
      </c>
      <c r="Z1438" s="16" t="e">
        <f>HYPERLINK($X1438&amp;SUBSTITUTE(マスタ!$C$3,"XXXXX",$W1438))</f>
        <v>#VALUE!</v>
      </c>
      <c r="AA1438" s="12" t="str">
        <f t="shared" si="68"/>
        <v/>
      </c>
    </row>
    <row r="1439" spans="1:27" x14ac:dyDescent="0.4">
      <c r="A1439" s="14">
        <f t="shared" si="70"/>
        <v>1438</v>
      </c>
      <c r="B1439" s="14"/>
      <c r="C1439" s="18"/>
      <c r="D1439" s="14"/>
      <c r="E1439" s="14"/>
      <c r="G1439" s="1">
        <f>_xlfn.XLOOKUP(B1439,M_YT_LIVE!A:A,M_YT_LIVE!F:F,"ERROR",0,1)</f>
        <v>0</v>
      </c>
      <c r="W1439" s="13" t="e">
        <f t="shared" si="69"/>
        <v>#VALUE!</v>
      </c>
      <c r="X1439" s="12">
        <f>_xlfn.XLOOKUP($B1439,M_YT_LIVE!$A:$A,M_YT_LIVE!$D:$D)</f>
        <v>0</v>
      </c>
      <c r="Z1439" s="16" t="e">
        <f>HYPERLINK($X1439&amp;SUBSTITUTE(マスタ!$C$3,"XXXXX",$W1439))</f>
        <v>#VALUE!</v>
      </c>
      <c r="AA1439" s="12" t="str">
        <f t="shared" si="68"/>
        <v/>
      </c>
    </row>
    <row r="1440" spans="1:27" x14ac:dyDescent="0.4">
      <c r="A1440" s="14">
        <f t="shared" si="70"/>
        <v>1439</v>
      </c>
      <c r="B1440" s="14"/>
      <c r="C1440" s="18"/>
      <c r="D1440" s="14"/>
      <c r="E1440" s="14"/>
      <c r="G1440" s="1">
        <f>_xlfn.XLOOKUP(B1440,M_YT_LIVE!A:A,M_YT_LIVE!F:F,"ERROR",0,1)</f>
        <v>0</v>
      </c>
      <c r="W1440" s="13" t="e">
        <f t="shared" si="69"/>
        <v>#VALUE!</v>
      </c>
      <c r="X1440" s="12">
        <f>_xlfn.XLOOKUP($B1440,M_YT_LIVE!$A:$A,M_YT_LIVE!$D:$D)</f>
        <v>0</v>
      </c>
      <c r="Z1440" s="16" t="e">
        <f>HYPERLINK($X1440&amp;SUBSTITUTE(マスタ!$C$3,"XXXXX",$W1440))</f>
        <v>#VALUE!</v>
      </c>
      <c r="AA1440" s="12" t="str">
        <f t="shared" si="68"/>
        <v/>
      </c>
    </row>
    <row r="1441" spans="1:27" x14ac:dyDescent="0.4">
      <c r="A1441" s="14">
        <f t="shared" si="70"/>
        <v>1440</v>
      </c>
      <c r="B1441" s="14"/>
      <c r="C1441" s="18"/>
      <c r="D1441" s="14"/>
      <c r="E1441" s="14"/>
      <c r="G1441" s="1">
        <f>_xlfn.XLOOKUP(B1441,M_YT_LIVE!A:A,M_YT_LIVE!F:F,"ERROR",0,1)</f>
        <v>0</v>
      </c>
      <c r="W1441" s="13" t="e">
        <f t="shared" si="69"/>
        <v>#VALUE!</v>
      </c>
      <c r="X1441" s="12">
        <f>_xlfn.XLOOKUP($B1441,M_YT_LIVE!$A:$A,M_YT_LIVE!$D:$D)</f>
        <v>0</v>
      </c>
      <c r="Z1441" s="16" t="e">
        <f>HYPERLINK($X1441&amp;SUBSTITUTE(マスタ!$C$3,"XXXXX",$W1441))</f>
        <v>#VALUE!</v>
      </c>
      <c r="AA1441" s="12" t="str">
        <f t="shared" si="68"/>
        <v/>
      </c>
    </row>
    <row r="1442" spans="1:27" x14ac:dyDescent="0.4">
      <c r="A1442" s="14">
        <f t="shared" si="70"/>
        <v>1441</v>
      </c>
      <c r="B1442" s="14"/>
      <c r="C1442" s="18"/>
      <c r="D1442" s="14"/>
      <c r="E1442" s="14"/>
      <c r="G1442" s="1">
        <f>_xlfn.XLOOKUP(B1442,M_YT_LIVE!A:A,M_YT_LIVE!F:F,"ERROR",0,1)</f>
        <v>0</v>
      </c>
      <c r="W1442" s="13" t="e">
        <f t="shared" si="69"/>
        <v>#VALUE!</v>
      </c>
      <c r="X1442" s="12">
        <f>_xlfn.XLOOKUP($B1442,M_YT_LIVE!$A:$A,M_YT_LIVE!$D:$D)</f>
        <v>0</v>
      </c>
      <c r="Z1442" s="16" t="e">
        <f>HYPERLINK($X1442&amp;SUBSTITUTE(マスタ!$C$3,"XXXXX",$W1442))</f>
        <v>#VALUE!</v>
      </c>
      <c r="AA1442" s="12" t="str">
        <f t="shared" si="68"/>
        <v/>
      </c>
    </row>
    <row r="1443" spans="1:27" x14ac:dyDescent="0.4">
      <c r="A1443" s="14">
        <f t="shared" si="70"/>
        <v>1442</v>
      </c>
      <c r="B1443" s="14"/>
      <c r="C1443" s="18"/>
      <c r="D1443" s="14"/>
      <c r="E1443" s="14"/>
      <c r="G1443" s="1">
        <f>_xlfn.XLOOKUP(B1443,M_YT_LIVE!A:A,M_YT_LIVE!F:F,"ERROR",0,1)</f>
        <v>0</v>
      </c>
      <c r="W1443" s="13" t="e">
        <f t="shared" si="69"/>
        <v>#VALUE!</v>
      </c>
      <c r="X1443" s="12">
        <f>_xlfn.XLOOKUP($B1443,M_YT_LIVE!$A:$A,M_YT_LIVE!$D:$D)</f>
        <v>0</v>
      </c>
      <c r="Z1443" s="16" t="e">
        <f>HYPERLINK($X1443&amp;SUBSTITUTE(マスタ!$C$3,"XXXXX",$W1443))</f>
        <v>#VALUE!</v>
      </c>
      <c r="AA1443" s="12" t="str">
        <f t="shared" si="68"/>
        <v/>
      </c>
    </row>
    <row r="1444" spans="1:27" x14ac:dyDescent="0.4">
      <c r="A1444" s="14">
        <f t="shared" si="70"/>
        <v>1443</v>
      </c>
      <c r="B1444" s="14"/>
      <c r="C1444" s="18"/>
      <c r="D1444" s="14"/>
      <c r="E1444" s="14"/>
      <c r="G1444" s="1">
        <f>_xlfn.XLOOKUP(B1444,M_YT_LIVE!A:A,M_YT_LIVE!F:F,"ERROR",0,1)</f>
        <v>0</v>
      </c>
      <c r="W1444" s="13" t="e">
        <f t="shared" si="69"/>
        <v>#VALUE!</v>
      </c>
      <c r="X1444" s="12">
        <f>_xlfn.XLOOKUP($B1444,M_YT_LIVE!$A:$A,M_YT_LIVE!$D:$D)</f>
        <v>0</v>
      </c>
      <c r="Z1444" s="16" t="e">
        <f>HYPERLINK($X1444&amp;SUBSTITUTE(マスタ!$C$3,"XXXXX",$W1444))</f>
        <v>#VALUE!</v>
      </c>
      <c r="AA1444" s="12" t="str">
        <f t="shared" si="68"/>
        <v/>
      </c>
    </row>
    <row r="1445" spans="1:27" x14ac:dyDescent="0.4">
      <c r="A1445" s="14">
        <f t="shared" si="70"/>
        <v>1444</v>
      </c>
      <c r="B1445" s="14"/>
      <c r="C1445" s="18"/>
      <c r="D1445" s="14"/>
      <c r="E1445" s="14"/>
      <c r="G1445" s="1">
        <f>_xlfn.XLOOKUP(B1445,M_YT_LIVE!A:A,M_YT_LIVE!F:F,"ERROR",0,1)</f>
        <v>0</v>
      </c>
      <c r="W1445" s="13" t="e">
        <f t="shared" si="69"/>
        <v>#VALUE!</v>
      </c>
      <c r="X1445" s="12">
        <f>_xlfn.XLOOKUP($B1445,M_YT_LIVE!$A:$A,M_YT_LIVE!$D:$D)</f>
        <v>0</v>
      </c>
      <c r="Z1445" s="16" t="e">
        <f>HYPERLINK($X1445&amp;SUBSTITUTE(マスタ!$C$3,"XXXXX",$W1445))</f>
        <v>#VALUE!</v>
      </c>
      <c r="AA1445" s="12" t="str">
        <f t="shared" si="68"/>
        <v/>
      </c>
    </row>
    <row r="1446" spans="1:27" x14ac:dyDescent="0.4">
      <c r="A1446" s="14">
        <f t="shared" si="70"/>
        <v>1445</v>
      </c>
      <c r="B1446" s="14"/>
      <c r="C1446" s="18"/>
      <c r="D1446" s="14"/>
      <c r="E1446" s="14"/>
      <c r="G1446" s="1">
        <f>_xlfn.XLOOKUP(B1446,M_YT_LIVE!A:A,M_YT_LIVE!F:F,"ERROR",0,1)</f>
        <v>0</v>
      </c>
      <c r="W1446" s="13" t="e">
        <f t="shared" si="69"/>
        <v>#VALUE!</v>
      </c>
      <c r="X1446" s="12">
        <f>_xlfn.XLOOKUP($B1446,M_YT_LIVE!$A:$A,M_YT_LIVE!$D:$D)</f>
        <v>0</v>
      </c>
      <c r="Z1446" s="16" t="e">
        <f>HYPERLINK($X1446&amp;SUBSTITUTE(マスタ!$C$3,"XXXXX",$W1446))</f>
        <v>#VALUE!</v>
      </c>
      <c r="AA1446" s="12" t="str">
        <f t="shared" si="68"/>
        <v/>
      </c>
    </row>
    <row r="1447" spans="1:27" x14ac:dyDescent="0.4">
      <c r="A1447" s="14">
        <f t="shared" si="70"/>
        <v>1446</v>
      </c>
      <c r="B1447" s="14"/>
      <c r="C1447" s="18"/>
      <c r="D1447" s="14"/>
      <c r="E1447" s="14"/>
      <c r="G1447" s="1">
        <f>_xlfn.XLOOKUP(B1447,M_YT_LIVE!A:A,M_YT_LIVE!F:F,"ERROR",0,1)</f>
        <v>0</v>
      </c>
      <c r="W1447" s="13" t="e">
        <f t="shared" si="69"/>
        <v>#VALUE!</v>
      </c>
      <c r="X1447" s="12">
        <f>_xlfn.XLOOKUP($B1447,M_YT_LIVE!$A:$A,M_YT_LIVE!$D:$D)</f>
        <v>0</v>
      </c>
      <c r="Z1447" s="16" t="e">
        <f>HYPERLINK($X1447&amp;SUBSTITUTE(マスタ!$C$3,"XXXXX",$W1447))</f>
        <v>#VALUE!</v>
      </c>
      <c r="AA1447" s="12" t="str">
        <f t="shared" si="68"/>
        <v/>
      </c>
    </row>
    <row r="1448" spans="1:27" x14ac:dyDescent="0.4">
      <c r="A1448" s="14">
        <f t="shared" si="70"/>
        <v>1447</v>
      </c>
      <c r="B1448" s="14"/>
      <c r="C1448" s="18"/>
      <c r="D1448" s="14"/>
      <c r="E1448" s="14"/>
      <c r="G1448" s="1">
        <f>_xlfn.XLOOKUP(B1448,M_YT_LIVE!A:A,M_YT_LIVE!F:F,"ERROR",0,1)</f>
        <v>0</v>
      </c>
      <c r="W1448" s="13" t="e">
        <f t="shared" si="69"/>
        <v>#VALUE!</v>
      </c>
      <c r="X1448" s="12">
        <f>_xlfn.XLOOKUP($B1448,M_YT_LIVE!$A:$A,M_YT_LIVE!$D:$D)</f>
        <v>0</v>
      </c>
      <c r="Z1448" s="16" t="e">
        <f>HYPERLINK($X1448&amp;SUBSTITUTE(マスタ!$C$3,"XXXXX",$W1448))</f>
        <v>#VALUE!</v>
      </c>
      <c r="AA1448" s="12" t="str">
        <f t="shared" si="68"/>
        <v/>
      </c>
    </row>
    <row r="1449" spans="1:27" x14ac:dyDescent="0.4">
      <c r="A1449" s="14">
        <f t="shared" si="70"/>
        <v>1448</v>
      </c>
      <c r="B1449" s="14"/>
      <c r="C1449" s="18"/>
      <c r="D1449" s="14"/>
      <c r="E1449" s="14"/>
      <c r="G1449" s="1">
        <f>_xlfn.XLOOKUP(B1449,M_YT_LIVE!A:A,M_YT_LIVE!F:F,"ERROR",0,1)</f>
        <v>0</v>
      </c>
      <c r="W1449" s="13" t="e">
        <f t="shared" si="69"/>
        <v>#VALUE!</v>
      </c>
      <c r="X1449" s="12">
        <f>_xlfn.XLOOKUP($B1449,M_YT_LIVE!$A:$A,M_YT_LIVE!$D:$D)</f>
        <v>0</v>
      </c>
      <c r="Z1449" s="16" t="e">
        <f>HYPERLINK($X1449&amp;SUBSTITUTE(マスタ!$C$3,"XXXXX",$W1449))</f>
        <v>#VALUE!</v>
      </c>
      <c r="AA1449" s="12" t="str">
        <f t="shared" si="68"/>
        <v/>
      </c>
    </row>
    <row r="1450" spans="1:27" x14ac:dyDescent="0.4">
      <c r="A1450" s="14">
        <f t="shared" si="70"/>
        <v>1449</v>
      </c>
      <c r="B1450" s="14"/>
      <c r="C1450" s="18"/>
      <c r="D1450" s="14"/>
      <c r="E1450" s="14"/>
      <c r="G1450" s="1">
        <f>_xlfn.XLOOKUP(B1450,M_YT_LIVE!A:A,M_YT_LIVE!F:F,"ERROR",0,1)</f>
        <v>0</v>
      </c>
      <c r="W1450" s="13" t="e">
        <f t="shared" si="69"/>
        <v>#VALUE!</v>
      </c>
      <c r="X1450" s="12">
        <f>_xlfn.XLOOKUP($B1450,M_YT_LIVE!$A:$A,M_YT_LIVE!$D:$D)</f>
        <v>0</v>
      </c>
      <c r="Z1450" s="16" t="e">
        <f>HYPERLINK($X1450&amp;SUBSTITUTE(マスタ!$C$3,"XXXXX",$W1450))</f>
        <v>#VALUE!</v>
      </c>
      <c r="AA1450" s="12" t="str">
        <f t="shared" si="68"/>
        <v/>
      </c>
    </row>
    <row r="1451" spans="1:27" x14ac:dyDescent="0.4">
      <c r="A1451" s="14">
        <f t="shared" si="70"/>
        <v>1450</v>
      </c>
      <c r="B1451" s="14"/>
      <c r="C1451" s="18"/>
      <c r="D1451" s="14"/>
      <c r="E1451" s="14"/>
      <c r="G1451" s="1">
        <f>_xlfn.XLOOKUP(B1451,M_YT_LIVE!A:A,M_YT_LIVE!F:F,"ERROR",0,1)</f>
        <v>0</v>
      </c>
      <c r="W1451" s="13" t="e">
        <f t="shared" si="69"/>
        <v>#VALUE!</v>
      </c>
      <c r="X1451" s="12">
        <f>_xlfn.XLOOKUP($B1451,M_YT_LIVE!$A:$A,M_YT_LIVE!$D:$D)</f>
        <v>0</v>
      </c>
      <c r="Z1451" s="16" t="e">
        <f>HYPERLINK($X1451&amp;SUBSTITUTE(マスタ!$C$3,"XXXXX",$W1451))</f>
        <v>#VALUE!</v>
      </c>
      <c r="AA1451" s="12" t="str">
        <f t="shared" si="68"/>
        <v/>
      </c>
    </row>
    <row r="1452" spans="1:27" x14ac:dyDescent="0.4">
      <c r="A1452" s="14">
        <f t="shared" si="70"/>
        <v>1451</v>
      </c>
      <c r="B1452" s="14"/>
      <c r="C1452" s="18"/>
      <c r="D1452" s="14"/>
      <c r="E1452" s="14"/>
      <c r="G1452" s="1">
        <f>_xlfn.XLOOKUP(B1452,M_YT_LIVE!A:A,M_YT_LIVE!F:F,"ERROR",0,1)</f>
        <v>0</v>
      </c>
      <c r="W1452" s="13" t="e">
        <f t="shared" si="69"/>
        <v>#VALUE!</v>
      </c>
      <c r="X1452" s="12">
        <f>_xlfn.XLOOKUP($B1452,M_YT_LIVE!$A:$A,M_YT_LIVE!$D:$D)</f>
        <v>0</v>
      </c>
      <c r="Z1452" s="16" t="e">
        <f>HYPERLINK($X1452&amp;SUBSTITUTE(マスタ!$C$3,"XXXXX",$W1452))</f>
        <v>#VALUE!</v>
      </c>
      <c r="AA1452" s="12" t="str">
        <f t="shared" si="68"/>
        <v/>
      </c>
    </row>
    <row r="1453" spans="1:27" x14ac:dyDescent="0.4">
      <c r="A1453" s="14">
        <f t="shared" si="70"/>
        <v>1452</v>
      </c>
      <c r="B1453" s="14"/>
      <c r="C1453" s="18"/>
      <c r="D1453" s="14"/>
      <c r="E1453" s="14"/>
      <c r="G1453" s="1">
        <f>_xlfn.XLOOKUP(B1453,M_YT_LIVE!A:A,M_YT_LIVE!F:F,"ERROR",0,1)</f>
        <v>0</v>
      </c>
      <c r="W1453" s="13" t="e">
        <f t="shared" si="69"/>
        <v>#VALUE!</v>
      </c>
      <c r="X1453" s="12">
        <f>_xlfn.XLOOKUP($B1453,M_YT_LIVE!$A:$A,M_YT_LIVE!$D:$D)</f>
        <v>0</v>
      </c>
      <c r="Z1453" s="16" t="e">
        <f>HYPERLINK($X1453&amp;SUBSTITUTE(マスタ!$C$3,"XXXXX",$W1453))</f>
        <v>#VALUE!</v>
      </c>
      <c r="AA1453" s="12" t="str">
        <f t="shared" si="68"/>
        <v/>
      </c>
    </row>
    <row r="1454" spans="1:27" x14ac:dyDescent="0.4">
      <c r="A1454" s="14">
        <f t="shared" si="70"/>
        <v>1453</v>
      </c>
      <c r="B1454" s="14"/>
      <c r="C1454" s="18"/>
      <c r="D1454" s="14"/>
      <c r="E1454" s="14"/>
      <c r="G1454" s="1">
        <f>_xlfn.XLOOKUP(B1454,M_YT_LIVE!A:A,M_YT_LIVE!F:F,"ERROR",0,1)</f>
        <v>0</v>
      </c>
      <c r="W1454" s="13" t="e">
        <f t="shared" si="69"/>
        <v>#VALUE!</v>
      </c>
      <c r="X1454" s="12">
        <f>_xlfn.XLOOKUP($B1454,M_YT_LIVE!$A:$A,M_YT_LIVE!$D:$D)</f>
        <v>0</v>
      </c>
      <c r="Z1454" s="16" t="e">
        <f>HYPERLINK($X1454&amp;SUBSTITUTE(マスタ!$C$3,"XXXXX",$W1454))</f>
        <v>#VALUE!</v>
      </c>
      <c r="AA1454" s="12" t="str">
        <f t="shared" si="68"/>
        <v/>
      </c>
    </row>
    <row r="1455" spans="1:27" x14ac:dyDescent="0.4">
      <c r="A1455" s="14">
        <f t="shared" si="70"/>
        <v>1454</v>
      </c>
      <c r="B1455" s="14"/>
      <c r="C1455" s="18"/>
      <c r="D1455" s="14"/>
      <c r="E1455" s="14"/>
      <c r="G1455" s="1">
        <f>_xlfn.XLOOKUP(B1455,M_YT_LIVE!A:A,M_YT_LIVE!F:F,"ERROR",0,1)</f>
        <v>0</v>
      </c>
      <c r="W1455" s="13" t="e">
        <f t="shared" si="69"/>
        <v>#VALUE!</v>
      </c>
      <c r="X1455" s="12">
        <f>_xlfn.XLOOKUP($B1455,M_YT_LIVE!$A:$A,M_YT_LIVE!$D:$D)</f>
        <v>0</v>
      </c>
      <c r="Z1455" s="16" t="e">
        <f>HYPERLINK($X1455&amp;SUBSTITUTE(マスタ!$C$3,"XXXXX",$W1455))</f>
        <v>#VALUE!</v>
      </c>
      <c r="AA1455" s="12" t="str">
        <f t="shared" si="68"/>
        <v/>
      </c>
    </row>
    <row r="1456" spans="1:27" x14ac:dyDescent="0.4">
      <c r="A1456" s="14">
        <f t="shared" si="70"/>
        <v>1455</v>
      </c>
      <c r="B1456" s="14"/>
      <c r="C1456" s="18"/>
      <c r="D1456" s="14"/>
      <c r="E1456" s="14"/>
      <c r="G1456" s="1">
        <f>_xlfn.XLOOKUP(B1456,M_YT_LIVE!A:A,M_YT_LIVE!F:F,"ERROR",0,1)</f>
        <v>0</v>
      </c>
      <c r="W1456" s="13" t="e">
        <f t="shared" si="69"/>
        <v>#VALUE!</v>
      </c>
      <c r="X1456" s="12">
        <f>_xlfn.XLOOKUP($B1456,M_YT_LIVE!$A:$A,M_YT_LIVE!$D:$D)</f>
        <v>0</v>
      </c>
      <c r="Z1456" s="16" t="e">
        <f>HYPERLINK($X1456&amp;SUBSTITUTE(マスタ!$C$3,"XXXXX",$W1456))</f>
        <v>#VALUE!</v>
      </c>
      <c r="AA1456" s="12" t="str">
        <f t="shared" si="68"/>
        <v/>
      </c>
    </row>
    <row r="1457" spans="1:27" x14ac:dyDescent="0.4">
      <c r="A1457" s="14">
        <f t="shared" si="70"/>
        <v>1456</v>
      </c>
      <c r="B1457" s="14"/>
      <c r="C1457" s="18"/>
      <c r="D1457" s="14"/>
      <c r="E1457" s="14"/>
      <c r="G1457" s="1">
        <f>_xlfn.XLOOKUP(B1457,M_YT_LIVE!A:A,M_YT_LIVE!F:F,"ERROR",0,1)</f>
        <v>0</v>
      </c>
      <c r="W1457" s="13" t="e">
        <f t="shared" si="69"/>
        <v>#VALUE!</v>
      </c>
      <c r="X1457" s="12">
        <f>_xlfn.XLOOKUP($B1457,M_YT_LIVE!$A:$A,M_YT_LIVE!$D:$D)</f>
        <v>0</v>
      </c>
      <c r="Z1457" s="16" t="e">
        <f>HYPERLINK($X1457&amp;SUBSTITUTE(マスタ!$C$3,"XXXXX",$W1457))</f>
        <v>#VALUE!</v>
      </c>
      <c r="AA1457" s="12" t="str">
        <f t="shared" si="68"/>
        <v/>
      </c>
    </row>
    <row r="1458" spans="1:27" x14ac:dyDescent="0.4">
      <c r="A1458" s="14">
        <f t="shared" si="70"/>
        <v>1457</v>
      </c>
      <c r="B1458" s="14"/>
      <c r="C1458" s="18"/>
      <c r="D1458" s="14"/>
      <c r="E1458" s="14"/>
      <c r="G1458" s="1">
        <f>_xlfn.XLOOKUP(B1458,M_YT_LIVE!A:A,M_YT_LIVE!F:F,"ERROR",0,1)</f>
        <v>0</v>
      </c>
      <c r="W1458" s="13" t="e">
        <f t="shared" si="69"/>
        <v>#VALUE!</v>
      </c>
      <c r="X1458" s="12">
        <f>_xlfn.XLOOKUP($B1458,M_YT_LIVE!$A:$A,M_YT_LIVE!$D:$D)</f>
        <v>0</v>
      </c>
      <c r="Z1458" s="16" t="e">
        <f>HYPERLINK($X1458&amp;SUBSTITUTE(マスタ!$C$3,"XXXXX",$W1458))</f>
        <v>#VALUE!</v>
      </c>
      <c r="AA1458" s="12" t="str">
        <f t="shared" ref="AA1458:AA1521" si="71">TRIM(E1458)&amp;TRIM(D1458)</f>
        <v/>
      </c>
    </row>
    <row r="1459" spans="1:27" x14ac:dyDescent="0.4">
      <c r="A1459" s="14">
        <f t="shared" si="70"/>
        <v>1458</v>
      </c>
      <c r="B1459" s="14"/>
      <c r="C1459" s="18"/>
      <c r="D1459" s="14"/>
      <c r="E1459" s="14"/>
      <c r="G1459" s="1">
        <f>_xlfn.XLOOKUP(B1459,M_YT_LIVE!A:A,M_YT_LIVE!F:F,"ERROR",0,1)</f>
        <v>0</v>
      </c>
      <c r="W1459" s="13" t="e">
        <f t="shared" si="69"/>
        <v>#VALUE!</v>
      </c>
      <c r="X1459" s="12">
        <f>_xlfn.XLOOKUP($B1459,M_YT_LIVE!$A:$A,M_YT_LIVE!$D:$D)</f>
        <v>0</v>
      </c>
      <c r="Z1459" s="16" t="e">
        <f>HYPERLINK($X1459&amp;SUBSTITUTE(マスタ!$C$3,"XXXXX",$W1459))</f>
        <v>#VALUE!</v>
      </c>
      <c r="AA1459" s="12" t="str">
        <f t="shared" si="71"/>
        <v/>
      </c>
    </row>
    <row r="1460" spans="1:27" x14ac:dyDescent="0.4">
      <c r="A1460" s="14">
        <f t="shared" si="70"/>
        <v>1459</v>
      </c>
      <c r="B1460" s="14"/>
      <c r="C1460" s="18"/>
      <c r="D1460" s="14"/>
      <c r="E1460" s="14"/>
      <c r="G1460" s="1">
        <f>_xlfn.XLOOKUP(B1460,M_YT_LIVE!A:A,M_YT_LIVE!F:F,"ERROR",0,1)</f>
        <v>0</v>
      </c>
      <c r="W1460" s="13" t="e">
        <f t="shared" si="69"/>
        <v>#VALUE!</v>
      </c>
      <c r="X1460" s="12">
        <f>_xlfn.XLOOKUP($B1460,M_YT_LIVE!$A:$A,M_YT_LIVE!$D:$D)</f>
        <v>0</v>
      </c>
      <c r="Z1460" s="16" t="e">
        <f>HYPERLINK($X1460&amp;SUBSTITUTE(マスタ!$C$3,"XXXXX",$W1460))</f>
        <v>#VALUE!</v>
      </c>
      <c r="AA1460" s="12" t="str">
        <f t="shared" si="71"/>
        <v/>
      </c>
    </row>
    <row r="1461" spans="1:27" x14ac:dyDescent="0.4">
      <c r="A1461" s="14">
        <f t="shared" si="70"/>
        <v>1460</v>
      </c>
      <c r="B1461" s="14"/>
      <c r="C1461" s="18"/>
      <c r="D1461" s="14"/>
      <c r="E1461" s="14"/>
      <c r="G1461" s="1">
        <f>_xlfn.XLOOKUP(B1461,M_YT_LIVE!A:A,M_YT_LIVE!F:F,"ERROR",0,1)</f>
        <v>0</v>
      </c>
      <c r="W1461" s="13" t="e">
        <f t="shared" si="69"/>
        <v>#VALUE!</v>
      </c>
      <c r="X1461" s="12">
        <f>_xlfn.XLOOKUP($B1461,M_YT_LIVE!$A:$A,M_YT_LIVE!$D:$D)</f>
        <v>0</v>
      </c>
      <c r="Z1461" s="16" t="e">
        <f>HYPERLINK($X1461&amp;SUBSTITUTE(マスタ!$C$3,"XXXXX",$W1461))</f>
        <v>#VALUE!</v>
      </c>
      <c r="AA1461" s="12" t="str">
        <f t="shared" si="71"/>
        <v/>
      </c>
    </row>
    <row r="1462" spans="1:27" x14ac:dyDescent="0.4">
      <c r="A1462" s="14">
        <f t="shared" si="70"/>
        <v>1461</v>
      </c>
      <c r="B1462" s="14"/>
      <c r="C1462" s="18"/>
      <c r="D1462" s="14"/>
      <c r="E1462" s="14"/>
      <c r="G1462" s="1">
        <f>_xlfn.XLOOKUP(B1462,M_YT_LIVE!A:A,M_YT_LIVE!F:F,"ERROR",0,1)</f>
        <v>0</v>
      </c>
      <c r="W1462" s="13" t="e">
        <f t="shared" si="69"/>
        <v>#VALUE!</v>
      </c>
      <c r="X1462" s="12">
        <f>_xlfn.XLOOKUP($B1462,M_YT_LIVE!$A:$A,M_YT_LIVE!$D:$D)</f>
        <v>0</v>
      </c>
      <c r="Z1462" s="16" t="e">
        <f>HYPERLINK($X1462&amp;SUBSTITUTE(マスタ!$C$3,"XXXXX",$W1462))</f>
        <v>#VALUE!</v>
      </c>
      <c r="AA1462" s="12" t="str">
        <f t="shared" si="71"/>
        <v/>
      </c>
    </row>
    <row r="1463" spans="1:27" x14ac:dyDescent="0.4">
      <c r="A1463" s="14">
        <f t="shared" si="70"/>
        <v>1462</v>
      </c>
      <c r="B1463" s="14"/>
      <c r="C1463" s="18"/>
      <c r="D1463" s="14"/>
      <c r="E1463" s="14"/>
      <c r="G1463" s="1">
        <f>_xlfn.XLOOKUP(B1463,M_YT_LIVE!A:A,M_YT_LIVE!F:F,"ERROR",0,1)</f>
        <v>0</v>
      </c>
      <c r="W1463" s="13" t="e">
        <f t="shared" si="69"/>
        <v>#VALUE!</v>
      </c>
      <c r="X1463" s="12">
        <f>_xlfn.XLOOKUP($B1463,M_YT_LIVE!$A:$A,M_YT_LIVE!$D:$D)</f>
        <v>0</v>
      </c>
      <c r="Z1463" s="16" t="e">
        <f>HYPERLINK($X1463&amp;SUBSTITUTE(マスタ!$C$3,"XXXXX",$W1463))</f>
        <v>#VALUE!</v>
      </c>
      <c r="AA1463" s="12" t="str">
        <f t="shared" si="71"/>
        <v/>
      </c>
    </row>
    <row r="1464" spans="1:27" x14ac:dyDescent="0.4">
      <c r="A1464" s="14">
        <f t="shared" si="70"/>
        <v>1463</v>
      </c>
      <c r="B1464" s="14"/>
      <c r="C1464" s="18"/>
      <c r="D1464" s="14"/>
      <c r="E1464" s="14"/>
      <c r="G1464" s="1">
        <f>_xlfn.XLOOKUP(B1464,M_YT_LIVE!A:A,M_YT_LIVE!F:F,"ERROR",0,1)</f>
        <v>0</v>
      </c>
      <c r="W1464" s="13" t="e">
        <f t="shared" si="69"/>
        <v>#VALUE!</v>
      </c>
      <c r="X1464" s="12">
        <f>_xlfn.XLOOKUP($B1464,M_YT_LIVE!$A:$A,M_YT_LIVE!$D:$D)</f>
        <v>0</v>
      </c>
      <c r="Z1464" s="16" t="e">
        <f>HYPERLINK($X1464&amp;SUBSTITUTE(マスタ!$C$3,"XXXXX",$W1464))</f>
        <v>#VALUE!</v>
      </c>
      <c r="AA1464" s="12" t="str">
        <f t="shared" si="71"/>
        <v/>
      </c>
    </row>
    <row r="1465" spans="1:27" x14ac:dyDescent="0.4">
      <c r="A1465" s="14">
        <f t="shared" si="70"/>
        <v>1464</v>
      </c>
      <c r="B1465" s="14"/>
      <c r="C1465" s="18"/>
      <c r="D1465" s="14"/>
      <c r="E1465" s="14"/>
      <c r="G1465" s="1">
        <f>_xlfn.XLOOKUP(B1465,M_YT_LIVE!A:A,M_YT_LIVE!F:F,"ERROR",0,1)</f>
        <v>0</v>
      </c>
      <c r="W1465" s="13" t="e">
        <f t="shared" si="69"/>
        <v>#VALUE!</v>
      </c>
      <c r="X1465" s="12">
        <f>_xlfn.XLOOKUP($B1465,M_YT_LIVE!$A:$A,M_YT_LIVE!$D:$D)</f>
        <v>0</v>
      </c>
      <c r="Z1465" s="16" t="e">
        <f>HYPERLINK($X1465&amp;SUBSTITUTE(マスタ!$C$3,"XXXXX",$W1465))</f>
        <v>#VALUE!</v>
      </c>
      <c r="AA1465" s="12" t="str">
        <f t="shared" si="71"/>
        <v/>
      </c>
    </row>
    <row r="1466" spans="1:27" x14ac:dyDescent="0.4">
      <c r="A1466" s="14">
        <f t="shared" si="70"/>
        <v>1465</v>
      </c>
      <c r="B1466" s="14"/>
      <c r="C1466" s="18"/>
      <c r="D1466" s="14"/>
      <c r="E1466" s="14"/>
      <c r="G1466" s="1">
        <f>_xlfn.XLOOKUP(B1466,M_YT_LIVE!A:A,M_YT_LIVE!F:F,"ERROR",0,1)</f>
        <v>0</v>
      </c>
      <c r="W1466" s="13" t="e">
        <f t="shared" si="69"/>
        <v>#VALUE!</v>
      </c>
      <c r="X1466" s="12">
        <f>_xlfn.XLOOKUP($B1466,M_YT_LIVE!$A:$A,M_YT_LIVE!$D:$D)</f>
        <v>0</v>
      </c>
      <c r="Z1466" s="16" t="e">
        <f>HYPERLINK($X1466&amp;SUBSTITUTE(マスタ!$C$3,"XXXXX",$W1466))</f>
        <v>#VALUE!</v>
      </c>
      <c r="AA1466" s="12" t="str">
        <f t="shared" si="71"/>
        <v/>
      </c>
    </row>
    <row r="1467" spans="1:27" x14ac:dyDescent="0.4">
      <c r="A1467" s="14">
        <f t="shared" si="70"/>
        <v>1466</v>
      </c>
      <c r="B1467" s="14"/>
      <c r="C1467" s="18"/>
      <c r="D1467" s="14"/>
      <c r="E1467" s="14"/>
      <c r="G1467" s="1">
        <f>_xlfn.XLOOKUP(B1467,M_YT_LIVE!A:A,M_YT_LIVE!F:F,"ERROR",0,1)</f>
        <v>0</v>
      </c>
      <c r="W1467" s="13" t="e">
        <f t="shared" si="69"/>
        <v>#VALUE!</v>
      </c>
      <c r="X1467" s="12">
        <f>_xlfn.XLOOKUP($B1467,M_YT_LIVE!$A:$A,M_YT_LIVE!$D:$D)</f>
        <v>0</v>
      </c>
      <c r="Z1467" s="16" t="e">
        <f>HYPERLINK($X1467&amp;SUBSTITUTE(マスタ!$C$3,"XXXXX",$W1467))</f>
        <v>#VALUE!</v>
      </c>
      <c r="AA1467" s="12" t="str">
        <f t="shared" si="71"/>
        <v/>
      </c>
    </row>
    <row r="1468" spans="1:27" x14ac:dyDescent="0.4">
      <c r="A1468" s="14">
        <f t="shared" si="70"/>
        <v>1467</v>
      </c>
      <c r="B1468" s="14"/>
      <c r="C1468" s="18"/>
      <c r="D1468" s="14"/>
      <c r="E1468" s="14"/>
      <c r="G1468" s="1">
        <f>_xlfn.XLOOKUP(B1468,M_YT_LIVE!A:A,M_YT_LIVE!F:F,"ERROR",0,1)</f>
        <v>0</v>
      </c>
      <c r="W1468" s="13" t="e">
        <f t="shared" si="69"/>
        <v>#VALUE!</v>
      </c>
      <c r="X1468" s="12">
        <f>_xlfn.XLOOKUP($B1468,M_YT_LIVE!$A:$A,M_YT_LIVE!$D:$D)</f>
        <v>0</v>
      </c>
      <c r="Z1468" s="16" t="e">
        <f>HYPERLINK($X1468&amp;SUBSTITUTE(マスタ!$C$3,"XXXXX",$W1468))</f>
        <v>#VALUE!</v>
      </c>
      <c r="AA1468" s="12" t="str">
        <f t="shared" si="71"/>
        <v/>
      </c>
    </row>
    <row r="1469" spans="1:27" x14ac:dyDescent="0.4">
      <c r="A1469" s="14">
        <f t="shared" si="70"/>
        <v>1468</v>
      </c>
      <c r="B1469" s="14"/>
      <c r="C1469" s="18"/>
      <c r="D1469" s="14"/>
      <c r="E1469" s="14"/>
      <c r="G1469" s="1">
        <f>_xlfn.XLOOKUP(B1469,M_YT_LIVE!A:A,M_YT_LIVE!F:F,"ERROR",0,1)</f>
        <v>0</v>
      </c>
      <c r="W1469" s="13" t="e">
        <f t="shared" si="69"/>
        <v>#VALUE!</v>
      </c>
      <c r="X1469" s="12">
        <f>_xlfn.XLOOKUP($B1469,M_YT_LIVE!$A:$A,M_YT_LIVE!$D:$D)</f>
        <v>0</v>
      </c>
      <c r="Z1469" s="16" t="e">
        <f>HYPERLINK($X1469&amp;SUBSTITUTE(マスタ!$C$3,"XXXXX",$W1469))</f>
        <v>#VALUE!</v>
      </c>
      <c r="AA1469" s="12" t="str">
        <f t="shared" si="71"/>
        <v/>
      </c>
    </row>
    <row r="1470" spans="1:27" x14ac:dyDescent="0.4">
      <c r="A1470" s="14">
        <f t="shared" si="70"/>
        <v>1469</v>
      </c>
      <c r="B1470" s="14"/>
      <c r="C1470" s="18"/>
      <c r="D1470" s="14"/>
      <c r="E1470" s="14"/>
      <c r="G1470" s="1">
        <f>_xlfn.XLOOKUP(B1470,M_YT_LIVE!A:A,M_YT_LIVE!F:F,"ERROR",0,1)</f>
        <v>0</v>
      </c>
      <c r="W1470" s="13" t="e">
        <f t="shared" si="69"/>
        <v>#VALUE!</v>
      </c>
      <c r="X1470" s="12">
        <f>_xlfn.XLOOKUP($B1470,M_YT_LIVE!$A:$A,M_YT_LIVE!$D:$D)</f>
        <v>0</v>
      </c>
      <c r="Z1470" s="16" t="e">
        <f>HYPERLINK($X1470&amp;SUBSTITUTE(マスタ!$C$3,"XXXXX",$W1470))</f>
        <v>#VALUE!</v>
      </c>
      <c r="AA1470" s="12" t="str">
        <f t="shared" si="71"/>
        <v/>
      </c>
    </row>
    <row r="1471" spans="1:27" x14ac:dyDescent="0.4">
      <c r="A1471" s="14">
        <f t="shared" si="70"/>
        <v>1470</v>
      </c>
      <c r="B1471" s="14"/>
      <c r="C1471" s="18"/>
      <c r="D1471" s="14"/>
      <c r="E1471" s="14"/>
      <c r="G1471" s="1">
        <f>_xlfn.XLOOKUP(B1471,M_YT_LIVE!A:A,M_YT_LIVE!F:F,"ERROR",0,1)</f>
        <v>0</v>
      </c>
      <c r="W1471" s="13" t="e">
        <f t="shared" si="69"/>
        <v>#VALUE!</v>
      </c>
      <c r="X1471" s="12">
        <f>_xlfn.XLOOKUP($B1471,M_YT_LIVE!$A:$A,M_YT_LIVE!$D:$D)</f>
        <v>0</v>
      </c>
      <c r="Z1471" s="16" t="e">
        <f>HYPERLINK($X1471&amp;SUBSTITUTE(マスタ!$C$3,"XXXXX",$W1471))</f>
        <v>#VALUE!</v>
      </c>
      <c r="AA1471" s="12" t="str">
        <f t="shared" si="71"/>
        <v/>
      </c>
    </row>
    <row r="1472" spans="1:27" x14ac:dyDescent="0.4">
      <c r="A1472" s="14">
        <f t="shared" si="70"/>
        <v>1471</v>
      </c>
      <c r="B1472" s="14"/>
      <c r="C1472" s="18"/>
      <c r="D1472" s="14"/>
      <c r="E1472" s="14"/>
      <c r="G1472" s="1">
        <f>_xlfn.XLOOKUP(B1472,M_YT_LIVE!A:A,M_YT_LIVE!F:F,"ERROR",0,1)</f>
        <v>0</v>
      </c>
      <c r="W1472" s="13" t="e">
        <f t="shared" si="69"/>
        <v>#VALUE!</v>
      </c>
      <c r="X1472" s="12">
        <f>_xlfn.XLOOKUP($B1472,M_YT_LIVE!$A:$A,M_YT_LIVE!$D:$D)</f>
        <v>0</v>
      </c>
      <c r="Z1472" s="16" t="e">
        <f>HYPERLINK($X1472&amp;SUBSTITUTE(マスタ!$C$3,"XXXXX",$W1472))</f>
        <v>#VALUE!</v>
      </c>
      <c r="AA1472" s="12" t="str">
        <f t="shared" si="71"/>
        <v/>
      </c>
    </row>
    <row r="1473" spans="1:27" x14ac:dyDescent="0.4">
      <c r="A1473" s="14">
        <f t="shared" si="70"/>
        <v>1472</v>
      </c>
      <c r="B1473" s="14"/>
      <c r="C1473" s="18"/>
      <c r="D1473" s="14"/>
      <c r="E1473" s="14"/>
      <c r="G1473" s="1">
        <f>_xlfn.XLOOKUP(B1473,M_YT_LIVE!A:A,M_YT_LIVE!F:F,"ERROR",0,1)</f>
        <v>0</v>
      </c>
      <c r="W1473" s="13" t="e">
        <f t="shared" si="69"/>
        <v>#VALUE!</v>
      </c>
      <c r="X1473" s="12">
        <f>_xlfn.XLOOKUP($B1473,M_YT_LIVE!$A:$A,M_YT_LIVE!$D:$D)</f>
        <v>0</v>
      </c>
      <c r="Z1473" s="16" t="e">
        <f>HYPERLINK($X1473&amp;SUBSTITUTE(マスタ!$C$3,"XXXXX",$W1473))</f>
        <v>#VALUE!</v>
      </c>
      <c r="AA1473" s="12" t="str">
        <f t="shared" si="71"/>
        <v/>
      </c>
    </row>
    <row r="1474" spans="1:27" x14ac:dyDescent="0.4">
      <c r="A1474" s="14">
        <f t="shared" si="70"/>
        <v>1473</v>
      </c>
      <c r="B1474" s="14"/>
      <c r="C1474" s="18"/>
      <c r="D1474" s="14"/>
      <c r="E1474" s="14"/>
      <c r="G1474" s="1">
        <f>_xlfn.XLOOKUP(B1474,M_YT_LIVE!A:A,M_YT_LIVE!F:F,"ERROR",0,1)</f>
        <v>0</v>
      </c>
      <c r="W1474" s="13" t="e">
        <f t="shared" si="69"/>
        <v>#VALUE!</v>
      </c>
      <c r="X1474" s="12">
        <f>_xlfn.XLOOKUP($B1474,M_YT_LIVE!$A:$A,M_YT_LIVE!$D:$D)</f>
        <v>0</v>
      </c>
      <c r="Z1474" s="16" t="e">
        <f>HYPERLINK($X1474&amp;SUBSTITUTE(マスタ!$C$3,"XXXXX",$W1474))</f>
        <v>#VALUE!</v>
      </c>
      <c r="AA1474" s="12" t="str">
        <f t="shared" si="71"/>
        <v/>
      </c>
    </row>
    <row r="1475" spans="1:27" x14ac:dyDescent="0.4">
      <c r="A1475" s="14">
        <f t="shared" si="70"/>
        <v>1474</v>
      </c>
      <c r="B1475" s="14"/>
      <c r="C1475" s="18"/>
      <c r="D1475" s="14"/>
      <c r="E1475" s="14"/>
      <c r="G1475" s="1">
        <f>_xlfn.XLOOKUP(B1475,M_YT_LIVE!A:A,M_YT_LIVE!F:F,"ERROR",0,1)</f>
        <v>0</v>
      </c>
      <c r="W1475" s="13" t="e">
        <f t="shared" si="69"/>
        <v>#VALUE!</v>
      </c>
      <c r="X1475" s="12">
        <f>_xlfn.XLOOKUP($B1475,M_YT_LIVE!$A:$A,M_YT_LIVE!$D:$D)</f>
        <v>0</v>
      </c>
      <c r="Z1475" s="16" t="e">
        <f>HYPERLINK($X1475&amp;SUBSTITUTE(マスタ!$C$3,"XXXXX",$W1475))</f>
        <v>#VALUE!</v>
      </c>
      <c r="AA1475" s="12" t="str">
        <f t="shared" si="71"/>
        <v/>
      </c>
    </row>
    <row r="1476" spans="1:27" x14ac:dyDescent="0.4">
      <c r="A1476" s="14">
        <f t="shared" si="70"/>
        <v>1475</v>
      </c>
      <c r="B1476" s="14"/>
      <c r="C1476" s="18"/>
      <c r="D1476" s="14"/>
      <c r="E1476" s="14"/>
      <c r="G1476" s="1">
        <f>_xlfn.XLOOKUP(B1476,M_YT_LIVE!A:A,M_YT_LIVE!F:F,"ERROR",0,1)</f>
        <v>0</v>
      </c>
      <c r="W1476" s="13" t="e">
        <f t="shared" ref="W1476:W1539" si="72">TIMEVALUE($C1476)*86400</f>
        <v>#VALUE!</v>
      </c>
      <c r="X1476" s="12">
        <f>_xlfn.XLOOKUP($B1476,M_YT_LIVE!$A:$A,M_YT_LIVE!$D:$D)</f>
        <v>0</v>
      </c>
      <c r="Z1476" s="16" t="e">
        <f>HYPERLINK($X1476&amp;SUBSTITUTE(マスタ!$C$3,"XXXXX",$W1476))</f>
        <v>#VALUE!</v>
      </c>
      <c r="AA1476" s="12" t="str">
        <f t="shared" si="71"/>
        <v/>
      </c>
    </row>
    <row r="1477" spans="1:27" x14ac:dyDescent="0.4">
      <c r="A1477" s="14">
        <f t="shared" si="70"/>
        <v>1476</v>
      </c>
      <c r="B1477" s="14"/>
      <c r="C1477" s="18"/>
      <c r="D1477" s="14"/>
      <c r="E1477" s="14"/>
      <c r="G1477" s="1">
        <f>_xlfn.XLOOKUP(B1477,M_YT_LIVE!A:A,M_YT_LIVE!F:F,"ERROR",0,1)</f>
        <v>0</v>
      </c>
      <c r="W1477" s="13" t="e">
        <f t="shared" si="72"/>
        <v>#VALUE!</v>
      </c>
      <c r="X1477" s="12">
        <f>_xlfn.XLOOKUP($B1477,M_YT_LIVE!$A:$A,M_YT_LIVE!$D:$D)</f>
        <v>0</v>
      </c>
      <c r="Z1477" s="16" t="e">
        <f>HYPERLINK($X1477&amp;SUBSTITUTE(マスタ!$C$3,"XXXXX",$W1477))</f>
        <v>#VALUE!</v>
      </c>
      <c r="AA1477" s="12" t="str">
        <f t="shared" si="71"/>
        <v/>
      </c>
    </row>
    <row r="1478" spans="1:27" x14ac:dyDescent="0.4">
      <c r="A1478" s="14">
        <f t="shared" ref="A1478:A1541" si="73">ROW()-1</f>
        <v>1477</v>
      </c>
      <c r="B1478" s="14"/>
      <c r="C1478" s="18"/>
      <c r="D1478" s="14"/>
      <c r="E1478" s="14"/>
      <c r="G1478" s="1">
        <f>_xlfn.XLOOKUP(B1478,M_YT_LIVE!A:A,M_YT_LIVE!F:F,"ERROR",0,1)</f>
        <v>0</v>
      </c>
      <c r="W1478" s="13" t="e">
        <f t="shared" si="72"/>
        <v>#VALUE!</v>
      </c>
      <c r="X1478" s="12">
        <f>_xlfn.XLOOKUP($B1478,M_YT_LIVE!$A:$A,M_YT_LIVE!$D:$D)</f>
        <v>0</v>
      </c>
      <c r="Z1478" s="16" t="e">
        <f>HYPERLINK($X1478&amp;SUBSTITUTE(マスタ!$C$3,"XXXXX",$W1478))</f>
        <v>#VALUE!</v>
      </c>
      <c r="AA1478" s="12" t="str">
        <f t="shared" si="71"/>
        <v/>
      </c>
    </row>
    <row r="1479" spans="1:27" x14ac:dyDescent="0.4">
      <c r="A1479" s="14">
        <f t="shared" si="73"/>
        <v>1478</v>
      </c>
      <c r="B1479" s="14"/>
      <c r="C1479" s="18"/>
      <c r="D1479" s="14"/>
      <c r="E1479" s="14"/>
      <c r="G1479" s="1">
        <f>_xlfn.XLOOKUP(B1479,M_YT_LIVE!A:A,M_YT_LIVE!F:F,"ERROR",0,1)</f>
        <v>0</v>
      </c>
      <c r="W1479" s="13" t="e">
        <f t="shared" si="72"/>
        <v>#VALUE!</v>
      </c>
      <c r="X1479" s="12">
        <f>_xlfn.XLOOKUP($B1479,M_YT_LIVE!$A:$A,M_YT_LIVE!$D:$D)</f>
        <v>0</v>
      </c>
      <c r="Z1479" s="16" t="e">
        <f>HYPERLINK($X1479&amp;SUBSTITUTE(マスタ!$C$3,"XXXXX",$W1479))</f>
        <v>#VALUE!</v>
      </c>
      <c r="AA1479" s="12" t="str">
        <f t="shared" si="71"/>
        <v/>
      </c>
    </row>
    <row r="1480" spans="1:27" x14ac:dyDescent="0.4">
      <c r="A1480" s="14">
        <f t="shared" si="73"/>
        <v>1479</v>
      </c>
      <c r="B1480" s="14"/>
      <c r="C1480" s="18"/>
      <c r="D1480" s="14"/>
      <c r="E1480" s="14"/>
      <c r="G1480" s="1">
        <f>_xlfn.XLOOKUP(B1480,M_YT_LIVE!A:A,M_YT_LIVE!F:F,"ERROR",0,1)</f>
        <v>0</v>
      </c>
      <c r="W1480" s="13" t="e">
        <f t="shared" si="72"/>
        <v>#VALUE!</v>
      </c>
      <c r="X1480" s="12">
        <f>_xlfn.XLOOKUP($B1480,M_YT_LIVE!$A:$A,M_YT_LIVE!$D:$D)</f>
        <v>0</v>
      </c>
      <c r="Z1480" s="16" t="e">
        <f>HYPERLINK($X1480&amp;SUBSTITUTE(マスタ!$C$3,"XXXXX",$W1480))</f>
        <v>#VALUE!</v>
      </c>
      <c r="AA1480" s="12" t="str">
        <f t="shared" si="71"/>
        <v/>
      </c>
    </row>
    <row r="1481" spans="1:27" x14ac:dyDescent="0.4">
      <c r="A1481" s="14">
        <f t="shared" si="73"/>
        <v>1480</v>
      </c>
      <c r="B1481" s="14"/>
      <c r="C1481" s="18"/>
      <c r="D1481" s="14"/>
      <c r="E1481" s="14"/>
      <c r="G1481" s="1">
        <f>_xlfn.XLOOKUP(B1481,M_YT_LIVE!A:A,M_YT_LIVE!F:F,"ERROR",0,1)</f>
        <v>0</v>
      </c>
      <c r="W1481" s="13" t="e">
        <f t="shared" si="72"/>
        <v>#VALUE!</v>
      </c>
      <c r="X1481" s="12">
        <f>_xlfn.XLOOKUP($B1481,M_YT_LIVE!$A:$A,M_YT_LIVE!$D:$D)</f>
        <v>0</v>
      </c>
      <c r="Z1481" s="16" t="e">
        <f>HYPERLINK($X1481&amp;SUBSTITUTE(マスタ!$C$3,"XXXXX",$W1481))</f>
        <v>#VALUE!</v>
      </c>
      <c r="AA1481" s="12" t="str">
        <f t="shared" si="71"/>
        <v/>
      </c>
    </row>
    <row r="1482" spans="1:27" x14ac:dyDescent="0.4">
      <c r="A1482" s="14">
        <f t="shared" si="73"/>
        <v>1481</v>
      </c>
      <c r="B1482" s="14"/>
      <c r="C1482" s="18"/>
      <c r="D1482" s="14"/>
      <c r="E1482" s="14"/>
      <c r="G1482" s="1">
        <f>_xlfn.XLOOKUP(B1482,M_YT_LIVE!A:A,M_YT_LIVE!F:F,"ERROR",0,1)</f>
        <v>0</v>
      </c>
      <c r="W1482" s="13" t="e">
        <f t="shared" si="72"/>
        <v>#VALUE!</v>
      </c>
      <c r="X1482" s="12">
        <f>_xlfn.XLOOKUP($B1482,M_YT_LIVE!$A:$A,M_YT_LIVE!$D:$D)</f>
        <v>0</v>
      </c>
      <c r="Z1482" s="16" t="e">
        <f>HYPERLINK($X1482&amp;SUBSTITUTE(マスタ!$C$3,"XXXXX",$W1482))</f>
        <v>#VALUE!</v>
      </c>
      <c r="AA1482" s="12" t="str">
        <f t="shared" si="71"/>
        <v/>
      </c>
    </row>
    <row r="1483" spans="1:27" x14ac:dyDescent="0.4">
      <c r="A1483" s="14">
        <f t="shared" si="73"/>
        <v>1482</v>
      </c>
      <c r="B1483" s="14"/>
      <c r="C1483" s="18"/>
      <c r="D1483" s="14"/>
      <c r="E1483" s="14"/>
      <c r="G1483" s="1">
        <f>_xlfn.XLOOKUP(B1483,M_YT_LIVE!A:A,M_YT_LIVE!F:F,"ERROR",0,1)</f>
        <v>0</v>
      </c>
      <c r="W1483" s="13" t="e">
        <f t="shared" si="72"/>
        <v>#VALUE!</v>
      </c>
      <c r="X1483" s="12">
        <f>_xlfn.XLOOKUP($B1483,M_YT_LIVE!$A:$A,M_YT_LIVE!$D:$D)</f>
        <v>0</v>
      </c>
      <c r="Z1483" s="16" t="e">
        <f>HYPERLINK($X1483&amp;SUBSTITUTE(マスタ!$C$3,"XXXXX",$W1483))</f>
        <v>#VALUE!</v>
      </c>
      <c r="AA1483" s="12" t="str">
        <f t="shared" si="71"/>
        <v/>
      </c>
    </row>
    <row r="1484" spans="1:27" x14ac:dyDescent="0.4">
      <c r="A1484" s="14">
        <f t="shared" si="73"/>
        <v>1483</v>
      </c>
      <c r="B1484" s="14"/>
      <c r="C1484" s="18"/>
      <c r="D1484" s="14"/>
      <c r="E1484" s="14"/>
      <c r="G1484" s="1">
        <f>_xlfn.XLOOKUP(B1484,M_YT_LIVE!A:A,M_YT_LIVE!F:F,"ERROR",0,1)</f>
        <v>0</v>
      </c>
      <c r="W1484" s="13" t="e">
        <f t="shared" si="72"/>
        <v>#VALUE!</v>
      </c>
      <c r="X1484" s="12">
        <f>_xlfn.XLOOKUP($B1484,M_YT_LIVE!$A:$A,M_YT_LIVE!$D:$D)</f>
        <v>0</v>
      </c>
      <c r="Z1484" s="16" t="e">
        <f>HYPERLINK($X1484&amp;SUBSTITUTE(マスタ!$C$3,"XXXXX",$W1484))</f>
        <v>#VALUE!</v>
      </c>
      <c r="AA1484" s="12" t="str">
        <f t="shared" si="71"/>
        <v/>
      </c>
    </row>
    <row r="1485" spans="1:27" x14ac:dyDescent="0.4">
      <c r="A1485" s="14">
        <f t="shared" si="73"/>
        <v>1484</v>
      </c>
      <c r="B1485" s="14"/>
      <c r="C1485" s="18"/>
      <c r="D1485" s="14"/>
      <c r="E1485" s="14"/>
      <c r="G1485" s="1">
        <f>_xlfn.XLOOKUP(B1485,M_YT_LIVE!A:A,M_YT_LIVE!F:F,"ERROR",0,1)</f>
        <v>0</v>
      </c>
      <c r="W1485" s="13" t="e">
        <f t="shared" si="72"/>
        <v>#VALUE!</v>
      </c>
      <c r="X1485" s="12">
        <f>_xlfn.XLOOKUP($B1485,M_YT_LIVE!$A:$A,M_YT_LIVE!$D:$D)</f>
        <v>0</v>
      </c>
      <c r="Z1485" s="16" t="e">
        <f>HYPERLINK($X1485&amp;SUBSTITUTE(マスタ!$C$3,"XXXXX",$W1485))</f>
        <v>#VALUE!</v>
      </c>
      <c r="AA1485" s="12" t="str">
        <f t="shared" si="71"/>
        <v/>
      </c>
    </row>
    <row r="1486" spans="1:27" x14ac:dyDescent="0.4">
      <c r="A1486" s="14">
        <f t="shared" si="73"/>
        <v>1485</v>
      </c>
      <c r="B1486" s="14"/>
      <c r="C1486" s="18"/>
      <c r="D1486" s="14"/>
      <c r="E1486" s="14"/>
      <c r="G1486" s="1">
        <f>_xlfn.XLOOKUP(B1486,M_YT_LIVE!A:A,M_YT_LIVE!F:F,"ERROR",0,1)</f>
        <v>0</v>
      </c>
      <c r="W1486" s="13" t="e">
        <f t="shared" si="72"/>
        <v>#VALUE!</v>
      </c>
      <c r="X1486" s="12">
        <f>_xlfn.XLOOKUP($B1486,M_YT_LIVE!$A:$A,M_YT_LIVE!$D:$D)</f>
        <v>0</v>
      </c>
      <c r="Z1486" s="16" t="e">
        <f>HYPERLINK($X1486&amp;SUBSTITUTE(マスタ!$C$3,"XXXXX",$W1486))</f>
        <v>#VALUE!</v>
      </c>
      <c r="AA1486" s="12" t="str">
        <f t="shared" si="71"/>
        <v/>
      </c>
    </row>
    <row r="1487" spans="1:27" x14ac:dyDescent="0.4">
      <c r="A1487" s="14">
        <f t="shared" si="73"/>
        <v>1486</v>
      </c>
      <c r="B1487" s="14"/>
      <c r="C1487" s="18"/>
      <c r="D1487" s="14"/>
      <c r="E1487" s="14"/>
      <c r="G1487" s="1">
        <f>_xlfn.XLOOKUP(B1487,M_YT_LIVE!A:A,M_YT_LIVE!F:F,"ERROR",0,1)</f>
        <v>0</v>
      </c>
      <c r="W1487" s="13" t="e">
        <f t="shared" si="72"/>
        <v>#VALUE!</v>
      </c>
      <c r="X1487" s="12">
        <f>_xlfn.XLOOKUP($B1487,M_YT_LIVE!$A:$A,M_YT_LIVE!$D:$D)</f>
        <v>0</v>
      </c>
      <c r="Z1487" s="16" t="e">
        <f>HYPERLINK($X1487&amp;SUBSTITUTE(マスタ!$C$3,"XXXXX",$W1487))</f>
        <v>#VALUE!</v>
      </c>
      <c r="AA1487" s="12" t="str">
        <f t="shared" si="71"/>
        <v/>
      </c>
    </row>
    <row r="1488" spans="1:27" x14ac:dyDescent="0.4">
      <c r="A1488" s="14">
        <f t="shared" si="73"/>
        <v>1487</v>
      </c>
      <c r="B1488" s="14"/>
      <c r="C1488" s="18"/>
      <c r="D1488" s="14"/>
      <c r="E1488" s="14"/>
      <c r="G1488" s="1">
        <f>_xlfn.XLOOKUP(B1488,M_YT_LIVE!A:A,M_YT_LIVE!F:F,"ERROR",0,1)</f>
        <v>0</v>
      </c>
      <c r="W1488" s="13" t="e">
        <f t="shared" si="72"/>
        <v>#VALUE!</v>
      </c>
      <c r="X1488" s="12">
        <f>_xlfn.XLOOKUP($B1488,M_YT_LIVE!$A:$A,M_YT_LIVE!$D:$D)</f>
        <v>0</v>
      </c>
      <c r="Z1488" s="16" t="e">
        <f>HYPERLINK($X1488&amp;SUBSTITUTE(マスタ!$C$3,"XXXXX",$W1488))</f>
        <v>#VALUE!</v>
      </c>
      <c r="AA1488" s="12" t="str">
        <f t="shared" si="71"/>
        <v/>
      </c>
    </row>
    <row r="1489" spans="1:27" x14ac:dyDescent="0.4">
      <c r="A1489" s="14">
        <f t="shared" si="73"/>
        <v>1488</v>
      </c>
      <c r="B1489" s="14"/>
      <c r="C1489" s="18"/>
      <c r="D1489" s="14"/>
      <c r="E1489" s="14"/>
      <c r="G1489" s="1">
        <f>_xlfn.XLOOKUP(B1489,M_YT_LIVE!A:A,M_YT_LIVE!F:F,"ERROR",0,1)</f>
        <v>0</v>
      </c>
      <c r="W1489" s="13" t="e">
        <f t="shared" si="72"/>
        <v>#VALUE!</v>
      </c>
      <c r="X1489" s="12">
        <f>_xlfn.XLOOKUP($B1489,M_YT_LIVE!$A:$A,M_YT_LIVE!$D:$D)</f>
        <v>0</v>
      </c>
      <c r="Z1489" s="16" t="e">
        <f>HYPERLINK($X1489&amp;SUBSTITUTE(マスタ!$C$3,"XXXXX",$W1489))</f>
        <v>#VALUE!</v>
      </c>
      <c r="AA1489" s="12" t="str">
        <f t="shared" si="71"/>
        <v/>
      </c>
    </row>
    <row r="1490" spans="1:27" x14ac:dyDescent="0.4">
      <c r="A1490" s="14">
        <f t="shared" si="73"/>
        <v>1489</v>
      </c>
      <c r="B1490" s="14"/>
      <c r="C1490" s="18"/>
      <c r="D1490" s="14"/>
      <c r="E1490" s="14"/>
      <c r="G1490" s="1">
        <f>_xlfn.XLOOKUP(B1490,M_YT_LIVE!A:A,M_YT_LIVE!F:F,"ERROR",0,1)</f>
        <v>0</v>
      </c>
      <c r="W1490" s="13" t="e">
        <f t="shared" si="72"/>
        <v>#VALUE!</v>
      </c>
      <c r="X1490" s="12">
        <f>_xlfn.XLOOKUP($B1490,M_YT_LIVE!$A:$A,M_YT_LIVE!$D:$D)</f>
        <v>0</v>
      </c>
      <c r="Z1490" s="16" t="e">
        <f>HYPERLINK($X1490&amp;SUBSTITUTE(マスタ!$C$3,"XXXXX",$W1490))</f>
        <v>#VALUE!</v>
      </c>
      <c r="AA1490" s="12" t="str">
        <f t="shared" si="71"/>
        <v/>
      </c>
    </row>
    <row r="1491" spans="1:27" x14ac:dyDescent="0.4">
      <c r="A1491" s="14">
        <f t="shared" si="73"/>
        <v>1490</v>
      </c>
      <c r="B1491" s="14"/>
      <c r="C1491" s="18"/>
      <c r="D1491" s="14"/>
      <c r="E1491" s="14"/>
      <c r="G1491" s="1">
        <f>_xlfn.XLOOKUP(B1491,M_YT_LIVE!A:A,M_YT_LIVE!F:F,"ERROR",0,1)</f>
        <v>0</v>
      </c>
      <c r="W1491" s="13" t="e">
        <f t="shared" si="72"/>
        <v>#VALUE!</v>
      </c>
      <c r="X1491" s="12">
        <f>_xlfn.XLOOKUP($B1491,M_YT_LIVE!$A:$A,M_YT_LIVE!$D:$D)</f>
        <v>0</v>
      </c>
      <c r="Z1491" s="16" t="e">
        <f>HYPERLINK($X1491&amp;SUBSTITUTE(マスタ!$C$3,"XXXXX",$W1491))</f>
        <v>#VALUE!</v>
      </c>
      <c r="AA1491" s="12" t="str">
        <f t="shared" si="71"/>
        <v/>
      </c>
    </row>
    <row r="1492" spans="1:27" x14ac:dyDescent="0.4">
      <c r="A1492" s="14">
        <f t="shared" si="73"/>
        <v>1491</v>
      </c>
      <c r="B1492" s="14"/>
      <c r="C1492" s="18"/>
      <c r="D1492" s="14"/>
      <c r="E1492" s="14"/>
      <c r="G1492" s="1">
        <f>_xlfn.XLOOKUP(B1492,M_YT_LIVE!A:A,M_YT_LIVE!F:F,"ERROR",0,1)</f>
        <v>0</v>
      </c>
      <c r="W1492" s="13" t="e">
        <f t="shared" si="72"/>
        <v>#VALUE!</v>
      </c>
      <c r="X1492" s="12">
        <f>_xlfn.XLOOKUP($B1492,M_YT_LIVE!$A:$A,M_YT_LIVE!$D:$D)</f>
        <v>0</v>
      </c>
      <c r="Z1492" s="16" t="e">
        <f>HYPERLINK($X1492&amp;SUBSTITUTE(マスタ!$C$3,"XXXXX",$W1492))</f>
        <v>#VALUE!</v>
      </c>
      <c r="AA1492" s="12" t="str">
        <f t="shared" si="71"/>
        <v/>
      </c>
    </row>
    <row r="1493" spans="1:27" x14ac:dyDescent="0.4">
      <c r="A1493" s="14">
        <f t="shared" si="73"/>
        <v>1492</v>
      </c>
      <c r="B1493" s="14"/>
      <c r="C1493" s="18"/>
      <c r="D1493" s="14"/>
      <c r="E1493" s="14"/>
      <c r="G1493" s="1">
        <f>_xlfn.XLOOKUP(B1493,M_YT_LIVE!A:A,M_YT_LIVE!F:F,"ERROR",0,1)</f>
        <v>0</v>
      </c>
      <c r="W1493" s="13" t="e">
        <f t="shared" si="72"/>
        <v>#VALUE!</v>
      </c>
      <c r="X1493" s="12">
        <f>_xlfn.XLOOKUP($B1493,M_YT_LIVE!$A:$A,M_YT_LIVE!$D:$D)</f>
        <v>0</v>
      </c>
      <c r="Z1493" s="16" t="e">
        <f>HYPERLINK($X1493&amp;SUBSTITUTE(マスタ!$C$3,"XXXXX",$W1493))</f>
        <v>#VALUE!</v>
      </c>
      <c r="AA1493" s="12" t="str">
        <f t="shared" si="71"/>
        <v/>
      </c>
    </row>
    <row r="1494" spans="1:27" x14ac:dyDescent="0.4">
      <c r="A1494" s="14">
        <f t="shared" si="73"/>
        <v>1493</v>
      </c>
      <c r="B1494" s="14"/>
      <c r="C1494" s="18"/>
      <c r="D1494" s="14"/>
      <c r="E1494" s="14"/>
      <c r="G1494" s="1">
        <f>_xlfn.XLOOKUP(B1494,M_YT_LIVE!A:A,M_YT_LIVE!F:F,"ERROR",0,1)</f>
        <v>0</v>
      </c>
      <c r="W1494" s="13" t="e">
        <f t="shared" si="72"/>
        <v>#VALUE!</v>
      </c>
      <c r="X1494" s="12">
        <f>_xlfn.XLOOKUP($B1494,M_YT_LIVE!$A:$A,M_YT_LIVE!$D:$D)</f>
        <v>0</v>
      </c>
      <c r="Z1494" s="16" t="e">
        <f>HYPERLINK($X1494&amp;SUBSTITUTE(マスタ!$C$3,"XXXXX",$W1494))</f>
        <v>#VALUE!</v>
      </c>
      <c r="AA1494" s="12" t="str">
        <f t="shared" si="71"/>
        <v/>
      </c>
    </row>
    <row r="1495" spans="1:27" x14ac:dyDescent="0.4">
      <c r="A1495" s="14">
        <f t="shared" si="73"/>
        <v>1494</v>
      </c>
      <c r="B1495" s="14"/>
      <c r="C1495" s="18"/>
      <c r="D1495" s="14"/>
      <c r="E1495" s="14"/>
      <c r="G1495" s="1">
        <f>_xlfn.XLOOKUP(B1495,M_YT_LIVE!A:A,M_YT_LIVE!F:F,"ERROR",0,1)</f>
        <v>0</v>
      </c>
      <c r="W1495" s="13" t="e">
        <f t="shared" si="72"/>
        <v>#VALUE!</v>
      </c>
      <c r="X1495" s="12">
        <f>_xlfn.XLOOKUP($B1495,M_YT_LIVE!$A:$A,M_YT_LIVE!$D:$D)</f>
        <v>0</v>
      </c>
      <c r="Z1495" s="16" t="e">
        <f>HYPERLINK($X1495&amp;SUBSTITUTE(マスタ!$C$3,"XXXXX",$W1495))</f>
        <v>#VALUE!</v>
      </c>
      <c r="AA1495" s="12" t="str">
        <f t="shared" si="71"/>
        <v/>
      </c>
    </row>
    <row r="1496" spans="1:27" x14ac:dyDescent="0.4">
      <c r="A1496" s="14">
        <f t="shared" si="73"/>
        <v>1495</v>
      </c>
      <c r="B1496" s="14"/>
      <c r="C1496" s="18"/>
      <c r="D1496" s="14"/>
      <c r="E1496" s="14"/>
      <c r="G1496" s="1">
        <f>_xlfn.XLOOKUP(B1496,M_YT_LIVE!A:A,M_YT_LIVE!F:F,"ERROR",0,1)</f>
        <v>0</v>
      </c>
      <c r="W1496" s="13" t="e">
        <f t="shared" si="72"/>
        <v>#VALUE!</v>
      </c>
      <c r="X1496" s="12">
        <f>_xlfn.XLOOKUP($B1496,M_YT_LIVE!$A:$A,M_YT_LIVE!$D:$D)</f>
        <v>0</v>
      </c>
      <c r="Z1496" s="16" t="e">
        <f>HYPERLINK($X1496&amp;SUBSTITUTE(マスタ!$C$3,"XXXXX",$W1496))</f>
        <v>#VALUE!</v>
      </c>
      <c r="AA1496" s="12" t="str">
        <f t="shared" si="71"/>
        <v/>
      </c>
    </row>
    <row r="1497" spans="1:27" x14ac:dyDescent="0.4">
      <c r="A1497" s="14">
        <f t="shared" si="73"/>
        <v>1496</v>
      </c>
      <c r="B1497" s="14"/>
      <c r="C1497" s="18"/>
      <c r="D1497" s="14"/>
      <c r="E1497" s="14"/>
      <c r="G1497" s="1">
        <f>_xlfn.XLOOKUP(B1497,M_YT_LIVE!A:A,M_YT_LIVE!F:F,"ERROR",0,1)</f>
        <v>0</v>
      </c>
      <c r="W1497" s="13" t="e">
        <f t="shared" si="72"/>
        <v>#VALUE!</v>
      </c>
      <c r="X1497" s="12">
        <f>_xlfn.XLOOKUP($B1497,M_YT_LIVE!$A:$A,M_YT_LIVE!$D:$D)</f>
        <v>0</v>
      </c>
      <c r="Z1497" s="16" t="e">
        <f>HYPERLINK($X1497&amp;SUBSTITUTE(マスタ!$C$3,"XXXXX",$W1497))</f>
        <v>#VALUE!</v>
      </c>
      <c r="AA1497" s="12" t="str">
        <f t="shared" si="71"/>
        <v/>
      </c>
    </row>
    <row r="1498" spans="1:27" x14ac:dyDescent="0.4">
      <c r="A1498" s="14">
        <f t="shared" si="73"/>
        <v>1497</v>
      </c>
      <c r="B1498" s="14"/>
      <c r="C1498" s="18"/>
      <c r="D1498" s="14"/>
      <c r="E1498" s="14"/>
      <c r="G1498" s="1">
        <f>_xlfn.XLOOKUP(B1498,M_YT_LIVE!A:A,M_YT_LIVE!F:F,"ERROR",0,1)</f>
        <v>0</v>
      </c>
      <c r="W1498" s="13" t="e">
        <f t="shared" si="72"/>
        <v>#VALUE!</v>
      </c>
      <c r="X1498" s="12">
        <f>_xlfn.XLOOKUP($B1498,M_YT_LIVE!$A:$A,M_YT_LIVE!$D:$D)</f>
        <v>0</v>
      </c>
      <c r="Z1498" s="16" t="e">
        <f>HYPERLINK($X1498&amp;SUBSTITUTE(マスタ!$C$3,"XXXXX",$W1498))</f>
        <v>#VALUE!</v>
      </c>
      <c r="AA1498" s="12" t="str">
        <f t="shared" si="71"/>
        <v/>
      </c>
    </row>
    <row r="1499" spans="1:27" x14ac:dyDescent="0.4">
      <c r="A1499" s="14">
        <f t="shared" si="73"/>
        <v>1498</v>
      </c>
      <c r="B1499" s="14"/>
      <c r="C1499" s="18"/>
      <c r="D1499" s="14"/>
      <c r="E1499" s="14"/>
      <c r="G1499" s="1">
        <f>_xlfn.XLOOKUP(B1499,M_YT_LIVE!A:A,M_YT_LIVE!F:F,"ERROR",0,1)</f>
        <v>0</v>
      </c>
      <c r="W1499" s="13" t="e">
        <f t="shared" si="72"/>
        <v>#VALUE!</v>
      </c>
      <c r="X1499" s="12">
        <f>_xlfn.XLOOKUP($B1499,M_YT_LIVE!$A:$A,M_YT_LIVE!$D:$D)</f>
        <v>0</v>
      </c>
      <c r="Z1499" s="16" t="e">
        <f>HYPERLINK($X1499&amp;SUBSTITUTE(マスタ!$C$3,"XXXXX",$W1499))</f>
        <v>#VALUE!</v>
      </c>
      <c r="AA1499" s="12" t="str">
        <f t="shared" si="71"/>
        <v/>
      </c>
    </row>
    <row r="1500" spans="1:27" x14ac:dyDescent="0.4">
      <c r="A1500" s="14">
        <f t="shared" si="73"/>
        <v>1499</v>
      </c>
      <c r="B1500" s="14"/>
      <c r="C1500" s="18"/>
      <c r="D1500" s="14"/>
      <c r="E1500" s="14"/>
      <c r="G1500" s="1">
        <f>_xlfn.XLOOKUP(B1500,M_YT_LIVE!A:A,M_YT_LIVE!F:F,"ERROR",0,1)</f>
        <v>0</v>
      </c>
      <c r="W1500" s="13" t="e">
        <f t="shared" si="72"/>
        <v>#VALUE!</v>
      </c>
      <c r="X1500" s="12">
        <f>_xlfn.XLOOKUP($B1500,M_YT_LIVE!$A:$A,M_YT_LIVE!$D:$D)</f>
        <v>0</v>
      </c>
      <c r="Z1500" s="16" t="e">
        <f>HYPERLINK($X1500&amp;SUBSTITUTE(マスタ!$C$3,"XXXXX",$W1500))</f>
        <v>#VALUE!</v>
      </c>
      <c r="AA1500" s="12" t="str">
        <f t="shared" si="71"/>
        <v/>
      </c>
    </row>
    <row r="1501" spans="1:27" x14ac:dyDescent="0.4">
      <c r="A1501" s="14">
        <f t="shared" si="73"/>
        <v>1500</v>
      </c>
      <c r="B1501" s="14"/>
      <c r="C1501" s="18"/>
      <c r="D1501" s="14"/>
      <c r="E1501" s="14"/>
      <c r="G1501" s="1">
        <f>_xlfn.XLOOKUP(B1501,M_YT_LIVE!A:A,M_YT_LIVE!F:F,"ERROR",0,1)</f>
        <v>0</v>
      </c>
      <c r="W1501" s="13" t="e">
        <f t="shared" si="72"/>
        <v>#VALUE!</v>
      </c>
      <c r="X1501" s="12">
        <f>_xlfn.XLOOKUP($B1501,M_YT_LIVE!$A:$A,M_YT_LIVE!$D:$D)</f>
        <v>0</v>
      </c>
      <c r="Z1501" s="16" t="e">
        <f>HYPERLINK($X1501&amp;SUBSTITUTE(マスタ!$C$3,"XXXXX",$W1501))</f>
        <v>#VALUE!</v>
      </c>
      <c r="AA1501" s="12" t="str">
        <f t="shared" si="71"/>
        <v/>
      </c>
    </row>
    <row r="1502" spans="1:27" x14ac:dyDescent="0.4">
      <c r="A1502" s="14">
        <f t="shared" si="73"/>
        <v>1501</v>
      </c>
      <c r="B1502" s="14"/>
      <c r="C1502" s="18"/>
      <c r="D1502" s="14"/>
      <c r="E1502" s="14"/>
      <c r="G1502" s="1">
        <f>_xlfn.XLOOKUP(B1502,M_YT_LIVE!A:A,M_YT_LIVE!F:F,"ERROR",0,1)</f>
        <v>0</v>
      </c>
      <c r="W1502" s="13" t="e">
        <f t="shared" si="72"/>
        <v>#VALUE!</v>
      </c>
      <c r="X1502" s="12">
        <f>_xlfn.XLOOKUP($B1502,M_YT_LIVE!$A:$A,M_YT_LIVE!$D:$D)</f>
        <v>0</v>
      </c>
      <c r="Z1502" s="16" t="e">
        <f>HYPERLINK($X1502&amp;SUBSTITUTE(マスタ!$C$3,"XXXXX",$W1502))</f>
        <v>#VALUE!</v>
      </c>
      <c r="AA1502" s="12" t="str">
        <f t="shared" si="71"/>
        <v/>
      </c>
    </row>
    <row r="1503" spans="1:27" x14ac:dyDescent="0.4">
      <c r="A1503" s="14">
        <f t="shared" si="73"/>
        <v>1502</v>
      </c>
      <c r="B1503" s="14"/>
      <c r="C1503" s="18"/>
      <c r="D1503" s="14"/>
      <c r="E1503" s="14"/>
      <c r="G1503" s="1">
        <f>_xlfn.XLOOKUP(B1503,M_YT_LIVE!A:A,M_YT_LIVE!F:F,"ERROR",0,1)</f>
        <v>0</v>
      </c>
      <c r="W1503" s="13" t="e">
        <f t="shared" si="72"/>
        <v>#VALUE!</v>
      </c>
      <c r="X1503" s="12">
        <f>_xlfn.XLOOKUP($B1503,M_YT_LIVE!$A:$A,M_YT_LIVE!$D:$D)</f>
        <v>0</v>
      </c>
      <c r="Z1503" s="16" t="e">
        <f>HYPERLINK($X1503&amp;SUBSTITUTE(マスタ!$C$3,"XXXXX",$W1503))</f>
        <v>#VALUE!</v>
      </c>
      <c r="AA1503" s="12" t="str">
        <f t="shared" si="71"/>
        <v/>
      </c>
    </row>
    <row r="1504" spans="1:27" x14ac:dyDescent="0.4">
      <c r="A1504" s="14">
        <f t="shared" si="73"/>
        <v>1503</v>
      </c>
      <c r="B1504" s="14"/>
      <c r="C1504" s="18"/>
      <c r="D1504" s="14"/>
      <c r="E1504" s="14"/>
      <c r="G1504" s="1">
        <f>_xlfn.XLOOKUP(B1504,M_YT_LIVE!A:A,M_YT_LIVE!F:F,"ERROR",0,1)</f>
        <v>0</v>
      </c>
      <c r="W1504" s="13" t="e">
        <f t="shared" si="72"/>
        <v>#VALUE!</v>
      </c>
      <c r="X1504" s="12">
        <f>_xlfn.XLOOKUP($B1504,M_YT_LIVE!$A:$A,M_YT_LIVE!$D:$D)</f>
        <v>0</v>
      </c>
      <c r="Z1504" s="16" t="e">
        <f>HYPERLINK($X1504&amp;SUBSTITUTE(マスタ!$C$3,"XXXXX",$W1504))</f>
        <v>#VALUE!</v>
      </c>
      <c r="AA1504" s="12" t="str">
        <f t="shared" si="71"/>
        <v/>
      </c>
    </row>
    <row r="1505" spans="1:27" x14ac:dyDescent="0.4">
      <c r="A1505" s="14">
        <f t="shared" si="73"/>
        <v>1504</v>
      </c>
      <c r="B1505" s="14"/>
      <c r="C1505" s="18"/>
      <c r="D1505" s="14"/>
      <c r="E1505" s="14"/>
      <c r="G1505" s="1">
        <f>_xlfn.XLOOKUP(B1505,M_YT_LIVE!A:A,M_YT_LIVE!F:F,"ERROR",0,1)</f>
        <v>0</v>
      </c>
      <c r="W1505" s="13" t="e">
        <f t="shared" si="72"/>
        <v>#VALUE!</v>
      </c>
      <c r="X1505" s="12">
        <f>_xlfn.XLOOKUP($B1505,M_YT_LIVE!$A:$A,M_YT_LIVE!$D:$D)</f>
        <v>0</v>
      </c>
      <c r="Z1505" s="16" t="e">
        <f>HYPERLINK($X1505&amp;SUBSTITUTE(マスタ!$C$3,"XXXXX",$W1505))</f>
        <v>#VALUE!</v>
      </c>
      <c r="AA1505" s="12" t="str">
        <f t="shared" si="71"/>
        <v/>
      </c>
    </row>
    <row r="1506" spans="1:27" x14ac:dyDescent="0.4">
      <c r="A1506" s="14">
        <f t="shared" si="73"/>
        <v>1505</v>
      </c>
      <c r="B1506" s="14"/>
      <c r="C1506" s="18"/>
      <c r="D1506" s="14"/>
      <c r="E1506" s="14"/>
      <c r="G1506" s="1">
        <f>_xlfn.XLOOKUP(B1506,M_YT_LIVE!A:A,M_YT_LIVE!F:F,"ERROR",0,1)</f>
        <v>0</v>
      </c>
      <c r="W1506" s="13" t="e">
        <f t="shared" si="72"/>
        <v>#VALUE!</v>
      </c>
      <c r="X1506" s="12">
        <f>_xlfn.XLOOKUP($B1506,M_YT_LIVE!$A:$A,M_YT_LIVE!$D:$D)</f>
        <v>0</v>
      </c>
      <c r="Z1506" s="16" t="e">
        <f>HYPERLINK($X1506&amp;SUBSTITUTE(マスタ!$C$3,"XXXXX",$W1506))</f>
        <v>#VALUE!</v>
      </c>
      <c r="AA1506" s="12" t="str">
        <f t="shared" si="71"/>
        <v/>
      </c>
    </row>
    <row r="1507" spans="1:27" x14ac:dyDescent="0.4">
      <c r="A1507" s="14">
        <f t="shared" si="73"/>
        <v>1506</v>
      </c>
      <c r="B1507" s="14"/>
      <c r="C1507" s="18"/>
      <c r="D1507" s="14"/>
      <c r="E1507" s="14"/>
      <c r="G1507" s="1">
        <f>_xlfn.XLOOKUP(B1507,M_YT_LIVE!A:A,M_YT_LIVE!F:F,"ERROR",0,1)</f>
        <v>0</v>
      </c>
      <c r="W1507" s="13" t="e">
        <f t="shared" si="72"/>
        <v>#VALUE!</v>
      </c>
      <c r="X1507" s="12">
        <f>_xlfn.XLOOKUP($B1507,M_YT_LIVE!$A:$A,M_YT_LIVE!$D:$D)</f>
        <v>0</v>
      </c>
      <c r="Z1507" s="16" t="e">
        <f>HYPERLINK($X1507&amp;SUBSTITUTE(マスタ!$C$3,"XXXXX",$W1507))</f>
        <v>#VALUE!</v>
      </c>
      <c r="AA1507" s="12" t="str">
        <f t="shared" si="71"/>
        <v/>
      </c>
    </row>
    <row r="1508" spans="1:27" x14ac:dyDescent="0.4">
      <c r="A1508" s="14">
        <f t="shared" si="73"/>
        <v>1507</v>
      </c>
      <c r="B1508" s="14"/>
      <c r="C1508" s="18"/>
      <c r="D1508" s="14"/>
      <c r="E1508" s="14"/>
      <c r="G1508" s="1">
        <f>_xlfn.XLOOKUP(B1508,M_YT_LIVE!A:A,M_YT_LIVE!F:F,"ERROR",0,1)</f>
        <v>0</v>
      </c>
      <c r="W1508" s="13" t="e">
        <f t="shared" si="72"/>
        <v>#VALUE!</v>
      </c>
      <c r="X1508" s="12">
        <f>_xlfn.XLOOKUP($B1508,M_YT_LIVE!$A:$A,M_YT_LIVE!$D:$D)</f>
        <v>0</v>
      </c>
      <c r="Z1508" s="16" t="e">
        <f>HYPERLINK($X1508&amp;SUBSTITUTE(マスタ!$C$3,"XXXXX",$W1508))</f>
        <v>#VALUE!</v>
      </c>
      <c r="AA1508" s="12" t="str">
        <f t="shared" si="71"/>
        <v/>
      </c>
    </row>
    <row r="1509" spans="1:27" x14ac:dyDescent="0.4">
      <c r="A1509" s="14">
        <f t="shared" si="73"/>
        <v>1508</v>
      </c>
      <c r="B1509" s="14"/>
      <c r="C1509" s="18"/>
      <c r="D1509" s="14"/>
      <c r="E1509" s="14"/>
      <c r="G1509" s="1">
        <f>_xlfn.XLOOKUP(B1509,M_YT_LIVE!A:A,M_YT_LIVE!F:F,"ERROR",0,1)</f>
        <v>0</v>
      </c>
      <c r="W1509" s="13" t="e">
        <f t="shared" si="72"/>
        <v>#VALUE!</v>
      </c>
      <c r="X1509" s="12">
        <f>_xlfn.XLOOKUP($B1509,M_YT_LIVE!$A:$A,M_YT_LIVE!$D:$D)</f>
        <v>0</v>
      </c>
      <c r="Z1509" s="16" t="e">
        <f>HYPERLINK($X1509&amp;SUBSTITUTE(マスタ!$C$3,"XXXXX",$W1509))</f>
        <v>#VALUE!</v>
      </c>
      <c r="AA1509" s="12" t="str">
        <f t="shared" si="71"/>
        <v/>
      </c>
    </row>
    <row r="1510" spans="1:27" x14ac:dyDescent="0.4">
      <c r="A1510" s="14">
        <f t="shared" si="73"/>
        <v>1509</v>
      </c>
      <c r="B1510" s="14"/>
      <c r="C1510" s="18"/>
      <c r="D1510" s="14"/>
      <c r="E1510" s="14"/>
      <c r="G1510" s="1">
        <f>_xlfn.XLOOKUP(B1510,M_YT_LIVE!A:A,M_YT_LIVE!F:F,"ERROR",0,1)</f>
        <v>0</v>
      </c>
      <c r="W1510" s="13" t="e">
        <f t="shared" si="72"/>
        <v>#VALUE!</v>
      </c>
      <c r="X1510" s="12">
        <f>_xlfn.XLOOKUP($B1510,M_YT_LIVE!$A:$A,M_YT_LIVE!$D:$D)</f>
        <v>0</v>
      </c>
      <c r="Z1510" s="16" t="e">
        <f>HYPERLINK($X1510&amp;SUBSTITUTE(マスタ!$C$3,"XXXXX",$W1510))</f>
        <v>#VALUE!</v>
      </c>
      <c r="AA1510" s="12" t="str">
        <f t="shared" si="71"/>
        <v/>
      </c>
    </row>
    <row r="1511" spans="1:27" x14ac:dyDescent="0.4">
      <c r="A1511" s="14">
        <f t="shared" si="73"/>
        <v>1510</v>
      </c>
      <c r="B1511" s="14"/>
      <c r="C1511" s="18"/>
      <c r="D1511" s="14"/>
      <c r="E1511" s="14"/>
      <c r="G1511" s="1">
        <f>_xlfn.XLOOKUP(B1511,M_YT_LIVE!A:A,M_YT_LIVE!F:F,"ERROR",0,1)</f>
        <v>0</v>
      </c>
      <c r="W1511" s="13" t="e">
        <f t="shared" si="72"/>
        <v>#VALUE!</v>
      </c>
      <c r="X1511" s="12">
        <f>_xlfn.XLOOKUP($B1511,M_YT_LIVE!$A:$A,M_YT_LIVE!$D:$D)</f>
        <v>0</v>
      </c>
      <c r="Z1511" s="16" t="e">
        <f>HYPERLINK($X1511&amp;SUBSTITUTE(マスタ!$C$3,"XXXXX",$W1511))</f>
        <v>#VALUE!</v>
      </c>
      <c r="AA1511" s="12" t="str">
        <f t="shared" si="71"/>
        <v/>
      </c>
    </row>
    <row r="1512" spans="1:27" x14ac:dyDescent="0.4">
      <c r="A1512" s="14">
        <f t="shared" si="73"/>
        <v>1511</v>
      </c>
      <c r="B1512" s="14"/>
      <c r="C1512" s="18"/>
      <c r="D1512" s="14"/>
      <c r="E1512" s="14"/>
      <c r="G1512" s="1">
        <f>_xlfn.XLOOKUP(B1512,M_YT_LIVE!A:A,M_YT_LIVE!F:F,"ERROR",0,1)</f>
        <v>0</v>
      </c>
      <c r="W1512" s="13" t="e">
        <f t="shared" si="72"/>
        <v>#VALUE!</v>
      </c>
      <c r="X1512" s="12">
        <f>_xlfn.XLOOKUP($B1512,M_YT_LIVE!$A:$A,M_YT_LIVE!$D:$D)</f>
        <v>0</v>
      </c>
      <c r="Z1512" s="16" t="e">
        <f>HYPERLINK($X1512&amp;SUBSTITUTE(マスタ!$C$3,"XXXXX",$W1512))</f>
        <v>#VALUE!</v>
      </c>
      <c r="AA1512" s="12" t="str">
        <f t="shared" si="71"/>
        <v/>
      </c>
    </row>
    <row r="1513" spans="1:27" x14ac:dyDescent="0.4">
      <c r="A1513" s="14">
        <f t="shared" si="73"/>
        <v>1512</v>
      </c>
      <c r="B1513" s="14"/>
      <c r="C1513" s="18"/>
      <c r="D1513" s="14"/>
      <c r="E1513" s="14"/>
      <c r="G1513" s="1">
        <f>_xlfn.XLOOKUP(B1513,M_YT_LIVE!A:A,M_YT_LIVE!F:F,"ERROR",0,1)</f>
        <v>0</v>
      </c>
      <c r="W1513" s="13" t="e">
        <f t="shared" si="72"/>
        <v>#VALUE!</v>
      </c>
      <c r="X1513" s="12">
        <f>_xlfn.XLOOKUP($B1513,M_YT_LIVE!$A:$A,M_YT_LIVE!$D:$D)</f>
        <v>0</v>
      </c>
      <c r="Z1513" s="16" t="e">
        <f>HYPERLINK($X1513&amp;SUBSTITUTE(マスタ!$C$3,"XXXXX",$W1513))</f>
        <v>#VALUE!</v>
      </c>
      <c r="AA1513" s="12" t="str">
        <f t="shared" si="71"/>
        <v/>
      </c>
    </row>
    <row r="1514" spans="1:27" x14ac:dyDescent="0.4">
      <c r="A1514" s="14">
        <f t="shared" si="73"/>
        <v>1513</v>
      </c>
      <c r="B1514" s="14"/>
      <c r="C1514" s="18"/>
      <c r="D1514" s="14"/>
      <c r="E1514" s="14"/>
      <c r="G1514" s="1">
        <f>_xlfn.XLOOKUP(B1514,M_YT_LIVE!A:A,M_YT_LIVE!F:F,"ERROR",0,1)</f>
        <v>0</v>
      </c>
      <c r="W1514" s="13" t="e">
        <f t="shared" si="72"/>
        <v>#VALUE!</v>
      </c>
      <c r="X1514" s="12">
        <f>_xlfn.XLOOKUP($B1514,M_YT_LIVE!$A:$A,M_YT_LIVE!$D:$D)</f>
        <v>0</v>
      </c>
      <c r="Z1514" s="16" t="e">
        <f>HYPERLINK($X1514&amp;SUBSTITUTE(マスタ!$C$3,"XXXXX",$W1514))</f>
        <v>#VALUE!</v>
      </c>
      <c r="AA1514" s="12" t="str">
        <f t="shared" si="71"/>
        <v/>
      </c>
    </row>
    <row r="1515" spans="1:27" x14ac:dyDescent="0.4">
      <c r="A1515" s="14">
        <f t="shared" si="73"/>
        <v>1514</v>
      </c>
      <c r="B1515" s="14"/>
      <c r="C1515" s="18"/>
      <c r="D1515" s="14"/>
      <c r="E1515" s="14"/>
      <c r="G1515" s="1">
        <f>_xlfn.XLOOKUP(B1515,M_YT_LIVE!A:A,M_YT_LIVE!F:F,"ERROR",0,1)</f>
        <v>0</v>
      </c>
      <c r="W1515" s="13" t="e">
        <f t="shared" si="72"/>
        <v>#VALUE!</v>
      </c>
      <c r="X1515" s="12">
        <f>_xlfn.XLOOKUP($B1515,M_YT_LIVE!$A:$A,M_YT_LIVE!$D:$D)</f>
        <v>0</v>
      </c>
      <c r="Z1515" s="16" t="e">
        <f>HYPERLINK($X1515&amp;SUBSTITUTE(マスタ!$C$3,"XXXXX",$W1515))</f>
        <v>#VALUE!</v>
      </c>
      <c r="AA1515" s="12" t="str">
        <f t="shared" si="71"/>
        <v/>
      </c>
    </row>
    <row r="1516" spans="1:27" x14ac:dyDescent="0.4">
      <c r="A1516" s="14">
        <f t="shared" si="73"/>
        <v>1515</v>
      </c>
      <c r="B1516" s="14"/>
      <c r="C1516" s="18"/>
      <c r="D1516" s="14"/>
      <c r="E1516" s="14"/>
      <c r="G1516" s="1">
        <f>_xlfn.XLOOKUP(B1516,M_YT_LIVE!A:A,M_YT_LIVE!F:F,"ERROR",0,1)</f>
        <v>0</v>
      </c>
      <c r="W1516" s="13" t="e">
        <f t="shared" si="72"/>
        <v>#VALUE!</v>
      </c>
      <c r="X1516" s="12">
        <f>_xlfn.XLOOKUP($B1516,M_YT_LIVE!$A:$A,M_YT_LIVE!$D:$D)</f>
        <v>0</v>
      </c>
      <c r="Z1516" s="16" t="e">
        <f>HYPERLINK($X1516&amp;SUBSTITUTE(マスタ!$C$3,"XXXXX",$W1516))</f>
        <v>#VALUE!</v>
      </c>
      <c r="AA1516" s="12" t="str">
        <f t="shared" si="71"/>
        <v/>
      </c>
    </row>
    <row r="1517" spans="1:27" x14ac:dyDescent="0.4">
      <c r="A1517" s="14">
        <f t="shared" si="73"/>
        <v>1516</v>
      </c>
      <c r="B1517" s="14"/>
      <c r="C1517" s="18"/>
      <c r="D1517" s="14"/>
      <c r="E1517" s="14"/>
      <c r="G1517" s="1">
        <f>_xlfn.XLOOKUP(B1517,M_YT_LIVE!A:A,M_YT_LIVE!F:F,"ERROR",0,1)</f>
        <v>0</v>
      </c>
      <c r="W1517" s="13" t="e">
        <f t="shared" si="72"/>
        <v>#VALUE!</v>
      </c>
      <c r="X1517" s="12">
        <f>_xlfn.XLOOKUP($B1517,M_YT_LIVE!$A:$A,M_YT_LIVE!$D:$D)</f>
        <v>0</v>
      </c>
      <c r="Z1517" s="16" t="e">
        <f>HYPERLINK($X1517&amp;SUBSTITUTE(マスタ!$C$3,"XXXXX",$W1517))</f>
        <v>#VALUE!</v>
      </c>
      <c r="AA1517" s="12" t="str">
        <f t="shared" si="71"/>
        <v/>
      </c>
    </row>
    <row r="1518" spans="1:27" x14ac:dyDescent="0.4">
      <c r="A1518" s="14">
        <f t="shared" si="73"/>
        <v>1517</v>
      </c>
      <c r="B1518" s="14"/>
      <c r="C1518" s="18"/>
      <c r="D1518" s="14"/>
      <c r="E1518" s="14"/>
      <c r="G1518" s="1">
        <f>_xlfn.XLOOKUP(B1518,M_YT_LIVE!A:A,M_YT_LIVE!F:F,"ERROR",0,1)</f>
        <v>0</v>
      </c>
      <c r="W1518" s="13" t="e">
        <f t="shared" si="72"/>
        <v>#VALUE!</v>
      </c>
      <c r="X1518" s="12">
        <f>_xlfn.XLOOKUP($B1518,M_YT_LIVE!$A:$A,M_YT_LIVE!$D:$D)</f>
        <v>0</v>
      </c>
      <c r="Z1518" s="16" t="e">
        <f>HYPERLINK($X1518&amp;SUBSTITUTE(マスタ!$C$3,"XXXXX",$W1518))</f>
        <v>#VALUE!</v>
      </c>
      <c r="AA1518" s="12" t="str">
        <f t="shared" si="71"/>
        <v/>
      </c>
    </row>
    <row r="1519" spans="1:27" x14ac:dyDescent="0.4">
      <c r="A1519" s="14">
        <f t="shared" si="73"/>
        <v>1518</v>
      </c>
      <c r="B1519" s="14"/>
      <c r="C1519" s="18"/>
      <c r="D1519" s="14"/>
      <c r="E1519" s="14"/>
      <c r="G1519" s="1">
        <f>_xlfn.XLOOKUP(B1519,M_YT_LIVE!A:A,M_YT_LIVE!F:F,"ERROR",0,1)</f>
        <v>0</v>
      </c>
      <c r="W1519" s="13" t="e">
        <f t="shared" si="72"/>
        <v>#VALUE!</v>
      </c>
      <c r="X1519" s="12">
        <f>_xlfn.XLOOKUP($B1519,M_YT_LIVE!$A:$A,M_YT_LIVE!$D:$D)</f>
        <v>0</v>
      </c>
      <c r="Z1519" s="16" t="e">
        <f>HYPERLINK($X1519&amp;SUBSTITUTE(マスタ!$C$3,"XXXXX",$W1519))</f>
        <v>#VALUE!</v>
      </c>
      <c r="AA1519" s="12" t="str">
        <f t="shared" si="71"/>
        <v/>
      </c>
    </row>
    <row r="1520" spans="1:27" x14ac:dyDescent="0.4">
      <c r="A1520" s="14">
        <f t="shared" si="73"/>
        <v>1519</v>
      </c>
      <c r="B1520" s="14"/>
      <c r="C1520" s="18"/>
      <c r="D1520" s="14"/>
      <c r="E1520" s="14"/>
      <c r="G1520" s="1">
        <f>_xlfn.XLOOKUP(B1520,M_YT_LIVE!A:A,M_YT_LIVE!F:F,"ERROR",0,1)</f>
        <v>0</v>
      </c>
      <c r="W1520" s="13" t="e">
        <f t="shared" si="72"/>
        <v>#VALUE!</v>
      </c>
      <c r="X1520" s="12">
        <f>_xlfn.XLOOKUP($B1520,M_YT_LIVE!$A:$A,M_YT_LIVE!$D:$D)</f>
        <v>0</v>
      </c>
      <c r="Z1520" s="16" t="e">
        <f>HYPERLINK($X1520&amp;SUBSTITUTE(マスタ!$C$3,"XXXXX",$W1520))</f>
        <v>#VALUE!</v>
      </c>
      <c r="AA1520" s="12" t="str">
        <f t="shared" si="71"/>
        <v/>
      </c>
    </row>
    <row r="1521" spans="1:27" x14ac:dyDescent="0.4">
      <c r="A1521" s="14">
        <f t="shared" si="73"/>
        <v>1520</v>
      </c>
      <c r="B1521" s="14"/>
      <c r="C1521" s="18"/>
      <c r="D1521" s="14"/>
      <c r="E1521" s="14"/>
      <c r="G1521" s="1">
        <f>_xlfn.XLOOKUP(B1521,M_YT_LIVE!A:A,M_YT_LIVE!F:F,"ERROR",0,1)</f>
        <v>0</v>
      </c>
      <c r="W1521" s="13" t="e">
        <f t="shared" si="72"/>
        <v>#VALUE!</v>
      </c>
      <c r="X1521" s="12">
        <f>_xlfn.XLOOKUP($B1521,M_YT_LIVE!$A:$A,M_YT_LIVE!$D:$D)</f>
        <v>0</v>
      </c>
      <c r="Z1521" s="16" t="e">
        <f>HYPERLINK($X1521&amp;SUBSTITUTE(マスタ!$C$3,"XXXXX",$W1521))</f>
        <v>#VALUE!</v>
      </c>
      <c r="AA1521" s="12" t="str">
        <f t="shared" si="71"/>
        <v/>
      </c>
    </row>
    <row r="1522" spans="1:27" x14ac:dyDescent="0.4">
      <c r="A1522" s="14">
        <f t="shared" si="73"/>
        <v>1521</v>
      </c>
      <c r="B1522" s="14"/>
      <c r="C1522" s="18"/>
      <c r="D1522" s="14"/>
      <c r="E1522" s="14"/>
      <c r="G1522" s="1">
        <f>_xlfn.XLOOKUP(B1522,M_YT_LIVE!A:A,M_YT_LIVE!F:F,"ERROR",0,1)</f>
        <v>0</v>
      </c>
      <c r="W1522" s="13" t="e">
        <f t="shared" si="72"/>
        <v>#VALUE!</v>
      </c>
      <c r="X1522" s="12">
        <f>_xlfn.XLOOKUP($B1522,M_YT_LIVE!$A:$A,M_YT_LIVE!$D:$D)</f>
        <v>0</v>
      </c>
      <c r="Z1522" s="16" t="e">
        <f>HYPERLINK($X1522&amp;SUBSTITUTE(マスタ!$C$3,"XXXXX",$W1522))</f>
        <v>#VALUE!</v>
      </c>
      <c r="AA1522" s="12" t="str">
        <f t="shared" ref="AA1522:AA1585" si="74">TRIM(E1522)&amp;TRIM(D1522)</f>
        <v/>
      </c>
    </row>
    <row r="1523" spans="1:27" x14ac:dyDescent="0.4">
      <c r="A1523" s="14">
        <f t="shared" si="73"/>
        <v>1522</v>
      </c>
      <c r="B1523" s="14"/>
      <c r="C1523" s="18"/>
      <c r="D1523" s="14"/>
      <c r="E1523" s="14"/>
      <c r="G1523" s="1">
        <f>_xlfn.XLOOKUP(B1523,M_YT_LIVE!A:A,M_YT_LIVE!F:F,"ERROR",0,1)</f>
        <v>0</v>
      </c>
      <c r="W1523" s="13" t="e">
        <f t="shared" si="72"/>
        <v>#VALUE!</v>
      </c>
      <c r="X1523" s="12">
        <f>_xlfn.XLOOKUP($B1523,M_YT_LIVE!$A:$A,M_YT_LIVE!$D:$D)</f>
        <v>0</v>
      </c>
      <c r="Z1523" s="16" t="e">
        <f>HYPERLINK($X1523&amp;SUBSTITUTE(マスタ!$C$3,"XXXXX",$W1523))</f>
        <v>#VALUE!</v>
      </c>
      <c r="AA1523" s="12" t="str">
        <f t="shared" si="74"/>
        <v/>
      </c>
    </row>
    <row r="1524" spans="1:27" x14ac:dyDescent="0.4">
      <c r="A1524" s="14">
        <f t="shared" si="73"/>
        <v>1523</v>
      </c>
      <c r="B1524" s="14"/>
      <c r="C1524" s="18"/>
      <c r="D1524" s="14"/>
      <c r="E1524" s="14"/>
      <c r="G1524" s="1">
        <f>_xlfn.XLOOKUP(B1524,M_YT_LIVE!A:A,M_YT_LIVE!F:F,"ERROR",0,1)</f>
        <v>0</v>
      </c>
      <c r="W1524" s="13" t="e">
        <f t="shared" si="72"/>
        <v>#VALUE!</v>
      </c>
      <c r="X1524" s="12">
        <f>_xlfn.XLOOKUP($B1524,M_YT_LIVE!$A:$A,M_YT_LIVE!$D:$D)</f>
        <v>0</v>
      </c>
      <c r="Z1524" s="16" t="e">
        <f>HYPERLINK($X1524&amp;SUBSTITUTE(マスタ!$C$3,"XXXXX",$W1524))</f>
        <v>#VALUE!</v>
      </c>
      <c r="AA1524" s="12" t="str">
        <f t="shared" si="74"/>
        <v/>
      </c>
    </row>
    <row r="1525" spans="1:27" x14ac:dyDescent="0.4">
      <c r="A1525" s="14">
        <f t="shared" si="73"/>
        <v>1524</v>
      </c>
      <c r="B1525" s="14"/>
      <c r="C1525" s="18"/>
      <c r="D1525" s="14"/>
      <c r="E1525" s="14"/>
      <c r="G1525" s="1">
        <f>_xlfn.XLOOKUP(B1525,M_YT_LIVE!A:A,M_YT_LIVE!F:F,"ERROR",0,1)</f>
        <v>0</v>
      </c>
      <c r="W1525" s="13" t="e">
        <f t="shared" si="72"/>
        <v>#VALUE!</v>
      </c>
      <c r="X1525" s="12">
        <f>_xlfn.XLOOKUP($B1525,M_YT_LIVE!$A:$A,M_YT_LIVE!$D:$D)</f>
        <v>0</v>
      </c>
      <c r="Z1525" s="16" t="e">
        <f>HYPERLINK($X1525&amp;SUBSTITUTE(マスタ!$C$3,"XXXXX",$W1525))</f>
        <v>#VALUE!</v>
      </c>
      <c r="AA1525" s="12" t="str">
        <f t="shared" si="74"/>
        <v/>
      </c>
    </row>
    <row r="1526" spans="1:27" x14ac:dyDescent="0.4">
      <c r="A1526" s="14">
        <f t="shared" si="73"/>
        <v>1525</v>
      </c>
      <c r="B1526" s="14"/>
      <c r="C1526" s="18"/>
      <c r="D1526" s="14"/>
      <c r="E1526" s="14"/>
      <c r="G1526" s="1">
        <f>_xlfn.XLOOKUP(B1526,M_YT_LIVE!A:A,M_YT_LIVE!F:F,"ERROR",0,1)</f>
        <v>0</v>
      </c>
      <c r="W1526" s="13" t="e">
        <f t="shared" si="72"/>
        <v>#VALUE!</v>
      </c>
      <c r="X1526" s="12">
        <f>_xlfn.XLOOKUP($B1526,M_YT_LIVE!$A:$A,M_YT_LIVE!$D:$D)</f>
        <v>0</v>
      </c>
      <c r="Z1526" s="16" t="e">
        <f>HYPERLINK($X1526&amp;SUBSTITUTE(マスタ!$C$3,"XXXXX",$W1526))</f>
        <v>#VALUE!</v>
      </c>
      <c r="AA1526" s="12" t="str">
        <f t="shared" si="74"/>
        <v/>
      </c>
    </row>
    <row r="1527" spans="1:27" x14ac:dyDescent="0.4">
      <c r="A1527" s="14">
        <f t="shared" si="73"/>
        <v>1526</v>
      </c>
      <c r="B1527" s="14"/>
      <c r="C1527" s="18"/>
      <c r="D1527" s="14"/>
      <c r="E1527" s="14"/>
      <c r="G1527" s="1">
        <f>_xlfn.XLOOKUP(B1527,M_YT_LIVE!A:A,M_YT_LIVE!F:F,"ERROR",0,1)</f>
        <v>0</v>
      </c>
      <c r="W1527" s="13" t="e">
        <f t="shared" si="72"/>
        <v>#VALUE!</v>
      </c>
      <c r="X1527" s="12">
        <f>_xlfn.XLOOKUP($B1527,M_YT_LIVE!$A:$A,M_YT_LIVE!$D:$D)</f>
        <v>0</v>
      </c>
      <c r="Z1527" s="16" t="e">
        <f>HYPERLINK($X1527&amp;SUBSTITUTE(マスタ!$C$3,"XXXXX",$W1527))</f>
        <v>#VALUE!</v>
      </c>
      <c r="AA1527" s="12" t="str">
        <f t="shared" si="74"/>
        <v/>
      </c>
    </row>
    <row r="1528" spans="1:27" x14ac:dyDescent="0.4">
      <c r="A1528" s="14">
        <f t="shared" si="73"/>
        <v>1527</v>
      </c>
      <c r="B1528" s="14"/>
      <c r="C1528" s="18"/>
      <c r="D1528" s="14"/>
      <c r="E1528" s="14"/>
      <c r="G1528" s="1">
        <f>_xlfn.XLOOKUP(B1528,M_YT_LIVE!A:A,M_YT_LIVE!F:F,"ERROR",0,1)</f>
        <v>0</v>
      </c>
      <c r="W1528" s="13" t="e">
        <f t="shared" si="72"/>
        <v>#VALUE!</v>
      </c>
      <c r="X1528" s="12">
        <f>_xlfn.XLOOKUP($B1528,M_YT_LIVE!$A:$A,M_YT_LIVE!$D:$D)</f>
        <v>0</v>
      </c>
      <c r="Z1528" s="16" t="e">
        <f>HYPERLINK($X1528&amp;SUBSTITUTE(マスタ!$C$3,"XXXXX",$W1528))</f>
        <v>#VALUE!</v>
      </c>
      <c r="AA1528" s="12" t="str">
        <f t="shared" si="74"/>
        <v/>
      </c>
    </row>
    <row r="1529" spans="1:27" x14ac:dyDescent="0.4">
      <c r="A1529" s="14">
        <f t="shared" si="73"/>
        <v>1528</v>
      </c>
      <c r="B1529" s="14"/>
      <c r="C1529" s="18"/>
      <c r="D1529" s="14"/>
      <c r="E1529" s="14"/>
      <c r="G1529" s="1">
        <f>_xlfn.XLOOKUP(B1529,M_YT_LIVE!A:A,M_YT_LIVE!F:F,"ERROR",0,1)</f>
        <v>0</v>
      </c>
      <c r="W1529" s="13" t="e">
        <f t="shared" si="72"/>
        <v>#VALUE!</v>
      </c>
      <c r="X1529" s="12">
        <f>_xlfn.XLOOKUP($B1529,M_YT_LIVE!$A:$A,M_YT_LIVE!$D:$D)</f>
        <v>0</v>
      </c>
      <c r="Z1529" s="16" t="e">
        <f>HYPERLINK($X1529&amp;SUBSTITUTE(マスタ!$C$3,"XXXXX",$W1529))</f>
        <v>#VALUE!</v>
      </c>
      <c r="AA1529" s="12" t="str">
        <f t="shared" si="74"/>
        <v/>
      </c>
    </row>
    <row r="1530" spans="1:27" x14ac:dyDescent="0.4">
      <c r="A1530" s="14">
        <f t="shared" si="73"/>
        <v>1529</v>
      </c>
      <c r="B1530" s="14"/>
      <c r="C1530" s="18"/>
      <c r="D1530" s="14"/>
      <c r="E1530" s="14"/>
      <c r="G1530" s="1">
        <f>_xlfn.XLOOKUP(B1530,M_YT_LIVE!A:A,M_YT_LIVE!F:F,"ERROR",0,1)</f>
        <v>0</v>
      </c>
      <c r="W1530" s="13" t="e">
        <f t="shared" si="72"/>
        <v>#VALUE!</v>
      </c>
      <c r="X1530" s="12">
        <f>_xlfn.XLOOKUP($B1530,M_YT_LIVE!$A:$A,M_YT_LIVE!$D:$D)</f>
        <v>0</v>
      </c>
      <c r="Z1530" s="16" t="e">
        <f>HYPERLINK($X1530&amp;SUBSTITUTE(マスタ!$C$3,"XXXXX",$W1530))</f>
        <v>#VALUE!</v>
      </c>
      <c r="AA1530" s="12" t="str">
        <f t="shared" si="74"/>
        <v/>
      </c>
    </row>
    <row r="1531" spans="1:27" x14ac:dyDescent="0.4">
      <c r="A1531" s="14">
        <f t="shared" si="73"/>
        <v>1530</v>
      </c>
      <c r="B1531" s="14"/>
      <c r="C1531" s="18"/>
      <c r="D1531" s="14"/>
      <c r="E1531" s="14"/>
      <c r="G1531" s="1">
        <f>_xlfn.XLOOKUP(B1531,M_YT_LIVE!A:A,M_YT_LIVE!F:F,"ERROR",0,1)</f>
        <v>0</v>
      </c>
      <c r="W1531" s="13" t="e">
        <f t="shared" si="72"/>
        <v>#VALUE!</v>
      </c>
      <c r="X1531" s="12">
        <f>_xlfn.XLOOKUP($B1531,M_YT_LIVE!$A:$A,M_YT_LIVE!$D:$D)</f>
        <v>0</v>
      </c>
      <c r="Z1531" s="16" t="e">
        <f>HYPERLINK($X1531&amp;SUBSTITUTE(マスタ!$C$3,"XXXXX",$W1531))</f>
        <v>#VALUE!</v>
      </c>
      <c r="AA1531" s="12" t="str">
        <f t="shared" si="74"/>
        <v/>
      </c>
    </row>
    <row r="1532" spans="1:27" x14ac:dyDescent="0.4">
      <c r="A1532" s="14">
        <f t="shared" si="73"/>
        <v>1531</v>
      </c>
      <c r="B1532" s="14"/>
      <c r="C1532" s="18"/>
      <c r="D1532" s="14"/>
      <c r="E1532" s="14"/>
      <c r="G1532" s="1">
        <f>_xlfn.XLOOKUP(B1532,M_YT_LIVE!A:A,M_YT_LIVE!F:F,"ERROR",0,1)</f>
        <v>0</v>
      </c>
      <c r="W1532" s="13" t="e">
        <f t="shared" si="72"/>
        <v>#VALUE!</v>
      </c>
      <c r="X1532" s="12">
        <f>_xlfn.XLOOKUP($B1532,M_YT_LIVE!$A:$A,M_YT_LIVE!$D:$D)</f>
        <v>0</v>
      </c>
      <c r="Z1532" s="16" t="e">
        <f>HYPERLINK($X1532&amp;SUBSTITUTE(マスタ!$C$3,"XXXXX",$W1532))</f>
        <v>#VALUE!</v>
      </c>
      <c r="AA1532" s="12" t="str">
        <f t="shared" si="74"/>
        <v/>
      </c>
    </row>
    <row r="1533" spans="1:27" x14ac:dyDescent="0.4">
      <c r="A1533" s="14">
        <f t="shared" si="73"/>
        <v>1532</v>
      </c>
      <c r="B1533" s="14"/>
      <c r="C1533" s="18"/>
      <c r="D1533" s="14"/>
      <c r="E1533" s="14"/>
      <c r="G1533" s="1">
        <f>_xlfn.XLOOKUP(B1533,M_YT_LIVE!A:A,M_YT_LIVE!F:F,"ERROR",0,1)</f>
        <v>0</v>
      </c>
      <c r="W1533" s="13" t="e">
        <f t="shared" si="72"/>
        <v>#VALUE!</v>
      </c>
      <c r="X1533" s="12">
        <f>_xlfn.XLOOKUP($B1533,M_YT_LIVE!$A:$A,M_YT_LIVE!$D:$D)</f>
        <v>0</v>
      </c>
      <c r="Z1533" s="16" t="e">
        <f>HYPERLINK($X1533&amp;SUBSTITUTE(マスタ!$C$3,"XXXXX",$W1533))</f>
        <v>#VALUE!</v>
      </c>
      <c r="AA1533" s="12" t="str">
        <f t="shared" si="74"/>
        <v/>
      </c>
    </row>
    <row r="1534" spans="1:27" x14ac:dyDescent="0.4">
      <c r="A1534" s="14">
        <f t="shared" si="73"/>
        <v>1533</v>
      </c>
      <c r="B1534" s="14"/>
      <c r="C1534" s="18"/>
      <c r="D1534" s="14"/>
      <c r="E1534" s="14"/>
      <c r="G1534" s="1">
        <f>_xlfn.XLOOKUP(B1534,M_YT_LIVE!A:A,M_YT_LIVE!F:F,"ERROR",0,1)</f>
        <v>0</v>
      </c>
      <c r="W1534" s="13" t="e">
        <f t="shared" si="72"/>
        <v>#VALUE!</v>
      </c>
      <c r="X1534" s="12">
        <f>_xlfn.XLOOKUP($B1534,M_YT_LIVE!$A:$A,M_YT_LIVE!$D:$D)</f>
        <v>0</v>
      </c>
      <c r="Z1534" s="16" t="e">
        <f>HYPERLINK($X1534&amp;SUBSTITUTE(マスタ!$C$3,"XXXXX",$W1534))</f>
        <v>#VALUE!</v>
      </c>
      <c r="AA1534" s="12" t="str">
        <f t="shared" si="74"/>
        <v/>
      </c>
    </row>
    <row r="1535" spans="1:27" x14ac:dyDescent="0.4">
      <c r="A1535" s="14">
        <f t="shared" si="73"/>
        <v>1534</v>
      </c>
      <c r="B1535" s="14"/>
      <c r="C1535" s="18"/>
      <c r="D1535" s="14"/>
      <c r="E1535" s="14"/>
      <c r="G1535" s="1">
        <f>_xlfn.XLOOKUP(B1535,M_YT_LIVE!A:A,M_YT_LIVE!F:F,"ERROR",0,1)</f>
        <v>0</v>
      </c>
      <c r="W1535" s="13" t="e">
        <f t="shared" si="72"/>
        <v>#VALUE!</v>
      </c>
      <c r="X1535" s="12">
        <f>_xlfn.XLOOKUP($B1535,M_YT_LIVE!$A:$A,M_YT_LIVE!$D:$D)</f>
        <v>0</v>
      </c>
      <c r="Z1535" s="16" t="e">
        <f>HYPERLINK($X1535&amp;SUBSTITUTE(マスタ!$C$3,"XXXXX",$W1535))</f>
        <v>#VALUE!</v>
      </c>
      <c r="AA1535" s="12" t="str">
        <f t="shared" si="74"/>
        <v/>
      </c>
    </row>
    <row r="1536" spans="1:27" x14ac:dyDescent="0.4">
      <c r="A1536" s="14">
        <f t="shared" si="73"/>
        <v>1535</v>
      </c>
      <c r="B1536" s="14"/>
      <c r="C1536" s="18"/>
      <c r="D1536" s="14"/>
      <c r="E1536" s="14"/>
      <c r="G1536" s="1">
        <f>_xlfn.XLOOKUP(B1536,M_YT_LIVE!A:A,M_YT_LIVE!F:F,"ERROR",0,1)</f>
        <v>0</v>
      </c>
      <c r="W1536" s="13" t="e">
        <f t="shared" si="72"/>
        <v>#VALUE!</v>
      </c>
      <c r="X1536" s="12">
        <f>_xlfn.XLOOKUP($B1536,M_YT_LIVE!$A:$A,M_YT_LIVE!$D:$D)</f>
        <v>0</v>
      </c>
      <c r="Z1536" s="16" t="e">
        <f>HYPERLINK($X1536&amp;SUBSTITUTE(マスタ!$C$3,"XXXXX",$W1536))</f>
        <v>#VALUE!</v>
      </c>
      <c r="AA1536" s="12" t="str">
        <f t="shared" si="74"/>
        <v/>
      </c>
    </row>
    <row r="1537" spans="1:27" x14ac:dyDescent="0.4">
      <c r="A1537" s="14">
        <f t="shared" si="73"/>
        <v>1536</v>
      </c>
      <c r="B1537" s="14"/>
      <c r="C1537" s="18"/>
      <c r="D1537" s="14"/>
      <c r="E1537" s="14"/>
      <c r="G1537" s="1">
        <f>_xlfn.XLOOKUP(B1537,M_YT_LIVE!A:A,M_YT_LIVE!F:F,"ERROR",0,1)</f>
        <v>0</v>
      </c>
      <c r="W1537" s="13" t="e">
        <f t="shared" si="72"/>
        <v>#VALUE!</v>
      </c>
      <c r="X1537" s="12">
        <f>_xlfn.XLOOKUP($B1537,M_YT_LIVE!$A:$A,M_YT_LIVE!$D:$D)</f>
        <v>0</v>
      </c>
      <c r="Z1537" s="16" t="e">
        <f>HYPERLINK($X1537&amp;SUBSTITUTE(マスタ!$C$3,"XXXXX",$W1537))</f>
        <v>#VALUE!</v>
      </c>
      <c r="AA1537" s="12" t="str">
        <f t="shared" si="74"/>
        <v/>
      </c>
    </row>
    <row r="1538" spans="1:27" x14ac:dyDescent="0.4">
      <c r="A1538" s="14">
        <f t="shared" si="73"/>
        <v>1537</v>
      </c>
      <c r="B1538" s="14"/>
      <c r="C1538" s="18"/>
      <c r="D1538" s="14"/>
      <c r="E1538" s="14"/>
      <c r="G1538" s="1">
        <f>_xlfn.XLOOKUP(B1538,M_YT_LIVE!A:A,M_YT_LIVE!F:F,"ERROR",0,1)</f>
        <v>0</v>
      </c>
      <c r="W1538" s="13" t="e">
        <f t="shared" si="72"/>
        <v>#VALUE!</v>
      </c>
      <c r="X1538" s="12">
        <f>_xlfn.XLOOKUP($B1538,M_YT_LIVE!$A:$A,M_YT_LIVE!$D:$D)</f>
        <v>0</v>
      </c>
      <c r="Z1538" s="16" t="e">
        <f>HYPERLINK($X1538&amp;SUBSTITUTE(マスタ!$C$3,"XXXXX",$W1538))</f>
        <v>#VALUE!</v>
      </c>
      <c r="AA1538" s="12" t="str">
        <f t="shared" si="74"/>
        <v/>
      </c>
    </row>
    <row r="1539" spans="1:27" x14ac:dyDescent="0.4">
      <c r="A1539" s="14">
        <f t="shared" si="73"/>
        <v>1538</v>
      </c>
      <c r="B1539" s="14"/>
      <c r="C1539" s="18"/>
      <c r="D1539" s="14"/>
      <c r="E1539" s="14"/>
      <c r="G1539" s="1">
        <f>_xlfn.XLOOKUP(B1539,M_YT_LIVE!A:A,M_YT_LIVE!F:F,"ERROR",0,1)</f>
        <v>0</v>
      </c>
      <c r="W1539" s="13" t="e">
        <f t="shared" si="72"/>
        <v>#VALUE!</v>
      </c>
      <c r="X1539" s="12">
        <f>_xlfn.XLOOKUP($B1539,M_YT_LIVE!$A:$A,M_YT_LIVE!$D:$D)</f>
        <v>0</v>
      </c>
      <c r="Z1539" s="16" t="e">
        <f>HYPERLINK($X1539&amp;SUBSTITUTE(マスタ!$C$3,"XXXXX",$W1539))</f>
        <v>#VALUE!</v>
      </c>
      <c r="AA1539" s="12" t="str">
        <f t="shared" si="74"/>
        <v/>
      </c>
    </row>
    <row r="1540" spans="1:27" x14ac:dyDescent="0.4">
      <c r="A1540" s="14">
        <f t="shared" si="73"/>
        <v>1539</v>
      </c>
      <c r="B1540" s="14"/>
      <c r="C1540" s="18"/>
      <c r="D1540" s="14"/>
      <c r="E1540" s="14"/>
      <c r="G1540" s="1">
        <f>_xlfn.XLOOKUP(B1540,M_YT_LIVE!A:A,M_YT_LIVE!F:F,"ERROR",0,1)</f>
        <v>0</v>
      </c>
      <c r="W1540" s="13" t="e">
        <f t="shared" ref="W1540:W1600" si="75">TIMEVALUE($C1540)*86400</f>
        <v>#VALUE!</v>
      </c>
      <c r="X1540" s="12">
        <f>_xlfn.XLOOKUP($B1540,M_YT_LIVE!$A:$A,M_YT_LIVE!$D:$D)</f>
        <v>0</v>
      </c>
      <c r="Z1540" s="16" t="e">
        <f>HYPERLINK($X1540&amp;SUBSTITUTE(マスタ!$C$3,"XXXXX",$W1540))</f>
        <v>#VALUE!</v>
      </c>
      <c r="AA1540" s="12" t="str">
        <f t="shared" si="74"/>
        <v/>
      </c>
    </row>
    <row r="1541" spans="1:27" x14ac:dyDescent="0.4">
      <c r="A1541" s="14">
        <f t="shared" si="73"/>
        <v>1540</v>
      </c>
      <c r="B1541" s="14"/>
      <c r="C1541" s="18"/>
      <c r="D1541" s="14"/>
      <c r="E1541" s="14"/>
      <c r="G1541" s="1">
        <f>_xlfn.XLOOKUP(B1541,M_YT_LIVE!A:A,M_YT_LIVE!F:F,"ERROR",0,1)</f>
        <v>0</v>
      </c>
      <c r="W1541" s="13" t="e">
        <f t="shared" si="75"/>
        <v>#VALUE!</v>
      </c>
      <c r="X1541" s="12">
        <f>_xlfn.XLOOKUP($B1541,M_YT_LIVE!$A:$A,M_YT_LIVE!$D:$D)</f>
        <v>0</v>
      </c>
      <c r="Z1541" s="16" t="e">
        <f>HYPERLINK($X1541&amp;SUBSTITUTE(マスタ!$C$3,"XXXXX",$W1541))</f>
        <v>#VALUE!</v>
      </c>
      <c r="AA1541" s="12" t="str">
        <f t="shared" si="74"/>
        <v/>
      </c>
    </row>
    <row r="1542" spans="1:27" x14ac:dyDescent="0.4">
      <c r="A1542" s="14">
        <f t="shared" ref="A1542:A1600" si="76">ROW()-1</f>
        <v>1541</v>
      </c>
      <c r="B1542" s="14"/>
      <c r="C1542" s="18"/>
      <c r="D1542" s="14"/>
      <c r="E1542" s="14"/>
      <c r="G1542" s="1">
        <f>_xlfn.XLOOKUP(B1542,M_YT_LIVE!A:A,M_YT_LIVE!F:F,"ERROR",0,1)</f>
        <v>0</v>
      </c>
      <c r="W1542" s="13" t="e">
        <f t="shared" si="75"/>
        <v>#VALUE!</v>
      </c>
      <c r="X1542" s="12">
        <f>_xlfn.XLOOKUP($B1542,M_YT_LIVE!$A:$A,M_YT_LIVE!$D:$D)</f>
        <v>0</v>
      </c>
      <c r="Z1542" s="16" t="e">
        <f>HYPERLINK($X1542&amp;SUBSTITUTE(マスタ!$C$3,"XXXXX",$W1542))</f>
        <v>#VALUE!</v>
      </c>
      <c r="AA1542" s="12" t="str">
        <f t="shared" si="74"/>
        <v/>
      </c>
    </row>
    <row r="1543" spans="1:27" x14ac:dyDescent="0.4">
      <c r="A1543" s="14">
        <f t="shared" si="76"/>
        <v>1542</v>
      </c>
      <c r="B1543" s="14"/>
      <c r="C1543" s="18"/>
      <c r="D1543" s="14"/>
      <c r="E1543" s="14"/>
      <c r="G1543" s="1">
        <f>_xlfn.XLOOKUP(B1543,M_YT_LIVE!A:A,M_YT_LIVE!F:F,"ERROR",0,1)</f>
        <v>0</v>
      </c>
      <c r="W1543" s="13" t="e">
        <f t="shared" si="75"/>
        <v>#VALUE!</v>
      </c>
      <c r="X1543" s="12">
        <f>_xlfn.XLOOKUP($B1543,M_YT_LIVE!$A:$A,M_YT_LIVE!$D:$D)</f>
        <v>0</v>
      </c>
      <c r="Z1543" s="16" t="e">
        <f>HYPERLINK($X1543&amp;SUBSTITUTE(マスタ!$C$3,"XXXXX",$W1543))</f>
        <v>#VALUE!</v>
      </c>
      <c r="AA1543" s="12" t="str">
        <f t="shared" si="74"/>
        <v/>
      </c>
    </row>
    <row r="1544" spans="1:27" x14ac:dyDescent="0.4">
      <c r="A1544" s="14">
        <f t="shared" si="76"/>
        <v>1543</v>
      </c>
      <c r="B1544" s="14"/>
      <c r="C1544" s="18"/>
      <c r="D1544" s="14"/>
      <c r="E1544" s="14"/>
      <c r="G1544" s="1">
        <f>_xlfn.XLOOKUP(B1544,M_YT_LIVE!A:A,M_YT_LIVE!F:F,"ERROR",0,1)</f>
        <v>0</v>
      </c>
      <c r="W1544" s="13" t="e">
        <f t="shared" si="75"/>
        <v>#VALUE!</v>
      </c>
      <c r="X1544" s="12">
        <f>_xlfn.XLOOKUP($B1544,M_YT_LIVE!$A:$A,M_YT_LIVE!$D:$D)</f>
        <v>0</v>
      </c>
      <c r="Z1544" s="16" t="e">
        <f>HYPERLINK($X1544&amp;SUBSTITUTE(マスタ!$C$3,"XXXXX",$W1544))</f>
        <v>#VALUE!</v>
      </c>
      <c r="AA1544" s="12" t="str">
        <f t="shared" si="74"/>
        <v/>
      </c>
    </row>
    <row r="1545" spans="1:27" x14ac:dyDescent="0.4">
      <c r="A1545" s="14">
        <f t="shared" si="76"/>
        <v>1544</v>
      </c>
      <c r="B1545" s="14"/>
      <c r="C1545" s="18"/>
      <c r="D1545" s="14"/>
      <c r="E1545" s="14"/>
      <c r="G1545" s="1">
        <f>_xlfn.XLOOKUP(B1545,M_YT_LIVE!A:A,M_YT_LIVE!F:F,"ERROR",0,1)</f>
        <v>0</v>
      </c>
      <c r="W1545" s="13" t="e">
        <f t="shared" si="75"/>
        <v>#VALUE!</v>
      </c>
      <c r="X1545" s="12">
        <f>_xlfn.XLOOKUP($B1545,M_YT_LIVE!$A:$A,M_YT_LIVE!$D:$D)</f>
        <v>0</v>
      </c>
      <c r="Z1545" s="16" t="e">
        <f>HYPERLINK($X1545&amp;SUBSTITUTE(マスタ!$C$3,"XXXXX",$W1545))</f>
        <v>#VALUE!</v>
      </c>
      <c r="AA1545" s="12" t="str">
        <f t="shared" si="74"/>
        <v/>
      </c>
    </row>
    <row r="1546" spans="1:27" x14ac:dyDescent="0.4">
      <c r="A1546" s="14">
        <f t="shared" si="76"/>
        <v>1545</v>
      </c>
      <c r="B1546" s="14"/>
      <c r="C1546" s="18"/>
      <c r="D1546" s="14"/>
      <c r="E1546" s="14"/>
      <c r="G1546" s="1">
        <f>_xlfn.XLOOKUP(B1546,M_YT_LIVE!A:A,M_YT_LIVE!F:F,"ERROR",0,1)</f>
        <v>0</v>
      </c>
      <c r="W1546" s="13" t="e">
        <f t="shared" si="75"/>
        <v>#VALUE!</v>
      </c>
      <c r="X1546" s="12">
        <f>_xlfn.XLOOKUP($B1546,M_YT_LIVE!$A:$A,M_YT_LIVE!$D:$D)</f>
        <v>0</v>
      </c>
      <c r="Z1546" s="16" t="e">
        <f>HYPERLINK($X1546&amp;SUBSTITUTE(マスタ!$C$3,"XXXXX",$W1546))</f>
        <v>#VALUE!</v>
      </c>
      <c r="AA1546" s="12" t="str">
        <f t="shared" si="74"/>
        <v/>
      </c>
    </row>
    <row r="1547" spans="1:27" x14ac:dyDescent="0.4">
      <c r="A1547" s="14">
        <f t="shared" si="76"/>
        <v>1546</v>
      </c>
      <c r="B1547" s="14"/>
      <c r="C1547" s="18"/>
      <c r="D1547" s="14"/>
      <c r="E1547" s="14"/>
      <c r="G1547" s="1">
        <f>_xlfn.XLOOKUP(B1547,M_YT_LIVE!A:A,M_YT_LIVE!F:F,"ERROR",0,1)</f>
        <v>0</v>
      </c>
      <c r="W1547" s="13" t="e">
        <f t="shared" si="75"/>
        <v>#VALUE!</v>
      </c>
      <c r="X1547" s="12">
        <f>_xlfn.XLOOKUP($B1547,M_YT_LIVE!$A:$A,M_YT_LIVE!$D:$D)</f>
        <v>0</v>
      </c>
      <c r="Z1547" s="16" t="e">
        <f>HYPERLINK($X1547&amp;SUBSTITUTE(マスタ!$C$3,"XXXXX",$W1547))</f>
        <v>#VALUE!</v>
      </c>
      <c r="AA1547" s="12" t="str">
        <f t="shared" si="74"/>
        <v/>
      </c>
    </row>
    <row r="1548" spans="1:27" x14ac:dyDescent="0.4">
      <c r="A1548" s="14">
        <f t="shared" si="76"/>
        <v>1547</v>
      </c>
      <c r="B1548" s="14"/>
      <c r="C1548" s="18"/>
      <c r="D1548" s="14"/>
      <c r="E1548" s="14"/>
      <c r="G1548" s="1">
        <f>_xlfn.XLOOKUP(B1548,M_YT_LIVE!A:A,M_YT_LIVE!F:F,"ERROR",0,1)</f>
        <v>0</v>
      </c>
      <c r="W1548" s="13" t="e">
        <f t="shared" si="75"/>
        <v>#VALUE!</v>
      </c>
      <c r="X1548" s="12">
        <f>_xlfn.XLOOKUP($B1548,M_YT_LIVE!$A:$A,M_YT_LIVE!$D:$D)</f>
        <v>0</v>
      </c>
      <c r="Z1548" s="16" t="e">
        <f>HYPERLINK($X1548&amp;SUBSTITUTE(マスタ!$C$3,"XXXXX",$W1548))</f>
        <v>#VALUE!</v>
      </c>
      <c r="AA1548" s="12" t="str">
        <f t="shared" si="74"/>
        <v/>
      </c>
    </row>
    <row r="1549" spans="1:27" x14ac:dyDescent="0.4">
      <c r="A1549" s="14">
        <f t="shared" si="76"/>
        <v>1548</v>
      </c>
      <c r="B1549" s="14"/>
      <c r="C1549" s="18"/>
      <c r="D1549" s="14"/>
      <c r="E1549" s="14"/>
      <c r="G1549" s="1">
        <f>_xlfn.XLOOKUP(B1549,M_YT_LIVE!A:A,M_YT_LIVE!F:F,"ERROR",0,1)</f>
        <v>0</v>
      </c>
      <c r="W1549" s="13" t="e">
        <f t="shared" si="75"/>
        <v>#VALUE!</v>
      </c>
      <c r="X1549" s="12">
        <f>_xlfn.XLOOKUP($B1549,M_YT_LIVE!$A:$A,M_YT_LIVE!$D:$D)</f>
        <v>0</v>
      </c>
      <c r="Z1549" s="16" t="e">
        <f>HYPERLINK($X1549&amp;SUBSTITUTE(マスタ!$C$3,"XXXXX",$W1549))</f>
        <v>#VALUE!</v>
      </c>
      <c r="AA1549" s="12" t="str">
        <f t="shared" si="74"/>
        <v/>
      </c>
    </row>
    <row r="1550" spans="1:27" x14ac:dyDescent="0.4">
      <c r="A1550" s="14">
        <f t="shared" si="76"/>
        <v>1549</v>
      </c>
      <c r="B1550" s="14"/>
      <c r="C1550" s="18"/>
      <c r="D1550" s="14"/>
      <c r="E1550" s="14"/>
      <c r="G1550" s="1">
        <f>_xlfn.XLOOKUP(B1550,M_YT_LIVE!A:A,M_YT_LIVE!F:F,"ERROR",0,1)</f>
        <v>0</v>
      </c>
      <c r="W1550" s="13" t="e">
        <f t="shared" si="75"/>
        <v>#VALUE!</v>
      </c>
      <c r="X1550" s="12">
        <f>_xlfn.XLOOKUP($B1550,M_YT_LIVE!$A:$A,M_YT_LIVE!$D:$D)</f>
        <v>0</v>
      </c>
      <c r="Z1550" s="16" t="e">
        <f>HYPERLINK($X1550&amp;SUBSTITUTE(マスタ!$C$3,"XXXXX",$W1550))</f>
        <v>#VALUE!</v>
      </c>
      <c r="AA1550" s="12" t="str">
        <f t="shared" si="74"/>
        <v/>
      </c>
    </row>
    <row r="1551" spans="1:27" x14ac:dyDescent="0.4">
      <c r="A1551" s="14">
        <f t="shared" si="76"/>
        <v>1550</v>
      </c>
      <c r="B1551" s="14"/>
      <c r="C1551" s="18"/>
      <c r="D1551" s="14"/>
      <c r="E1551" s="14"/>
      <c r="G1551" s="1">
        <f>_xlfn.XLOOKUP(B1551,M_YT_LIVE!A:A,M_YT_LIVE!F:F,"ERROR",0,1)</f>
        <v>0</v>
      </c>
      <c r="W1551" s="13" t="e">
        <f t="shared" si="75"/>
        <v>#VALUE!</v>
      </c>
      <c r="X1551" s="12">
        <f>_xlfn.XLOOKUP($B1551,M_YT_LIVE!$A:$A,M_YT_LIVE!$D:$D)</f>
        <v>0</v>
      </c>
      <c r="Z1551" s="16" t="e">
        <f>HYPERLINK($X1551&amp;SUBSTITUTE(マスタ!$C$3,"XXXXX",$W1551))</f>
        <v>#VALUE!</v>
      </c>
      <c r="AA1551" s="12" t="str">
        <f t="shared" si="74"/>
        <v/>
      </c>
    </row>
    <row r="1552" spans="1:27" x14ac:dyDescent="0.4">
      <c r="A1552" s="14">
        <f t="shared" si="76"/>
        <v>1551</v>
      </c>
      <c r="B1552" s="14"/>
      <c r="C1552" s="18"/>
      <c r="D1552" s="14"/>
      <c r="E1552" s="14"/>
      <c r="G1552" s="1">
        <f>_xlfn.XLOOKUP(B1552,M_YT_LIVE!A:A,M_YT_LIVE!F:F,"ERROR",0,1)</f>
        <v>0</v>
      </c>
      <c r="W1552" s="13" t="e">
        <f t="shared" si="75"/>
        <v>#VALUE!</v>
      </c>
      <c r="X1552" s="12">
        <f>_xlfn.XLOOKUP($B1552,M_YT_LIVE!$A:$A,M_YT_LIVE!$D:$D)</f>
        <v>0</v>
      </c>
      <c r="Z1552" s="16" t="e">
        <f>HYPERLINK($X1552&amp;SUBSTITUTE(マスタ!$C$3,"XXXXX",$W1552))</f>
        <v>#VALUE!</v>
      </c>
      <c r="AA1552" s="12" t="str">
        <f t="shared" si="74"/>
        <v/>
      </c>
    </row>
    <row r="1553" spans="1:27" x14ac:dyDescent="0.4">
      <c r="A1553" s="14">
        <f t="shared" si="76"/>
        <v>1552</v>
      </c>
      <c r="B1553" s="14"/>
      <c r="C1553" s="18"/>
      <c r="D1553" s="14"/>
      <c r="E1553" s="14"/>
      <c r="G1553" s="1">
        <f>_xlfn.XLOOKUP(B1553,M_YT_LIVE!A:A,M_YT_LIVE!F:F,"ERROR",0,1)</f>
        <v>0</v>
      </c>
      <c r="W1553" s="13" t="e">
        <f t="shared" si="75"/>
        <v>#VALUE!</v>
      </c>
      <c r="X1553" s="12">
        <f>_xlfn.XLOOKUP($B1553,M_YT_LIVE!$A:$A,M_YT_LIVE!$D:$D)</f>
        <v>0</v>
      </c>
      <c r="Z1553" s="16" t="e">
        <f>HYPERLINK($X1553&amp;SUBSTITUTE(マスタ!$C$3,"XXXXX",$W1553))</f>
        <v>#VALUE!</v>
      </c>
      <c r="AA1553" s="12" t="str">
        <f t="shared" si="74"/>
        <v/>
      </c>
    </row>
    <row r="1554" spans="1:27" x14ac:dyDescent="0.4">
      <c r="A1554" s="14">
        <f t="shared" si="76"/>
        <v>1553</v>
      </c>
      <c r="B1554" s="14"/>
      <c r="C1554" s="18"/>
      <c r="D1554" s="14"/>
      <c r="E1554" s="14"/>
      <c r="G1554" s="1">
        <f>_xlfn.XLOOKUP(B1554,M_YT_LIVE!A:A,M_YT_LIVE!F:F,"ERROR",0,1)</f>
        <v>0</v>
      </c>
      <c r="W1554" s="13" t="e">
        <f t="shared" si="75"/>
        <v>#VALUE!</v>
      </c>
      <c r="X1554" s="12">
        <f>_xlfn.XLOOKUP($B1554,M_YT_LIVE!$A:$A,M_YT_LIVE!$D:$D)</f>
        <v>0</v>
      </c>
      <c r="Z1554" s="16" t="e">
        <f>HYPERLINK($X1554&amp;SUBSTITUTE(マスタ!$C$3,"XXXXX",$W1554))</f>
        <v>#VALUE!</v>
      </c>
      <c r="AA1554" s="12" t="str">
        <f t="shared" si="74"/>
        <v/>
      </c>
    </row>
    <row r="1555" spans="1:27" x14ac:dyDescent="0.4">
      <c r="A1555" s="14">
        <f t="shared" si="76"/>
        <v>1554</v>
      </c>
      <c r="B1555" s="14"/>
      <c r="C1555" s="18"/>
      <c r="D1555" s="14"/>
      <c r="E1555" s="14"/>
      <c r="G1555" s="1">
        <f>_xlfn.XLOOKUP(B1555,M_YT_LIVE!A:A,M_YT_LIVE!F:F,"ERROR",0,1)</f>
        <v>0</v>
      </c>
      <c r="W1555" s="13" t="e">
        <f t="shared" si="75"/>
        <v>#VALUE!</v>
      </c>
      <c r="X1555" s="12">
        <f>_xlfn.XLOOKUP($B1555,M_YT_LIVE!$A:$A,M_YT_LIVE!$D:$D)</f>
        <v>0</v>
      </c>
      <c r="Z1555" s="16" t="e">
        <f>HYPERLINK($X1555&amp;SUBSTITUTE(マスタ!$C$3,"XXXXX",$W1555))</f>
        <v>#VALUE!</v>
      </c>
      <c r="AA1555" s="12" t="str">
        <f t="shared" si="74"/>
        <v/>
      </c>
    </row>
    <row r="1556" spans="1:27" x14ac:dyDescent="0.4">
      <c r="A1556" s="14">
        <f t="shared" si="76"/>
        <v>1555</v>
      </c>
      <c r="B1556" s="14"/>
      <c r="C1556" s="18"/>
      <c r="D1556" s="14"/>
      <c r="E1556" s="14"/>
      <c r="G1556" s="1">
        <f>_xlfn.XLOOKUP(B1556,M_YT_LIVE!A:A,M_YT_LIVE!F:F,"ERROR",0,1)</f>
        <v>0</v>
      </c>
      <c r="W1556" s="13" t="e">
        <f t="shared" si="75"/>
        <v>#VALUE!</v>
      </c>
      <c r="X1556" s="12">
        <f>_xlfn.XLOOKUP($B1556,M_YT_LIVE!$A:$A,M_YT_LIVE!$D:$D)</f>
        <v>0</v>
      </c>
      <c r="Z1556" s="16" t="e">
        <f>HYPERLINK($X1556&amp;SUBSTITUTE(マスタ!$C$3,"XXXXX",$W1556))</f>
        <v>#VALUE!</v>
      </c>
      <c r="AA1556" s="12" t="str">
        <f t="shared" si="74"/>
        <v/>
      </c>
    </row>
    <row r="1557" spans="1:27" x14ac:dyDescent="0.4">
      <c r="A1557" s="14">
        <f t="shared" si="76"/>
        <v>1556</v>
      </c>
      <c r="B1557" s="14"/>
      <c r="C1557" s="18"/>
      <c r="D1557" s="14"/>
      <c r="E1557" s="14"/>
      <c r="G1557" s="1">
        <f>_xlfn.XLOOKUP(B1557,M_YT_LIVE!A:A,M_YT_LIVE!F:F,"ERROR",0,1)</f>
        <v>0</v>
      </c>
      <c r="W1557" s="13" t="e">
        <f t="shared" si="75"/>
        <v>#VALUE!</v>
      </c>
      <c r="X1557" s="12">
        <f>_xlfn.XLOOKUP($B1557,M_YT_LIVE!$A:$A,M_YT_LIVE!$D:$D)</f>
        <v>0</v>
      </c>
      <c r="Z1557" s="16" t="e">
        <f>HYPERLINK($X1557&amp;SUBSTITUTE(マスタ!$C$3,"XXXXX",$W1557))</f>
        <v>#VALUE!</v>
      </c>
      <c r="AA1557" s="12" t="str">
        <f t="shared" si="74"/>
        <v/>
      </c>
    </row>
    <row r="1558" spans="1:27" x14ac:dyDescent="0.4">
      <c r="A1558" s="14">
        <f t="shared" si="76"/>
        <v>1557</v>
      </c>
      <c r="B1558" s="14"/>
      <c r="C1558" s="18"/>
      <c r="D1558" s="14"/>
      <c r="E1558" s="14"/>
      <c r="G1558" s="1">
        <f>_xlfn.XLOOKUP(B1558,M_YT_LIVE!A:A,M_YT_LIVE!F:F,"ERROR",0,1)</f>
        <v>0</v>
      </c>
      <c r="W1558" s="13" t="e">
        <f t="shared" si="75"/>
        <v>#VALUE!</v>
      </c>
      <c r="X1558" s="12">
        <f>_xlfn.XLOOKUP($B1558,M_YT_LIVE!$A:$A,M_YT_LIVE!$D:$D)</f>
        <v>0</v>
      </c>
      <c r="Z1558" s="16" t="e">
        <f>HYPERLINK($X1558&amp;SUBSTITUTE(マスタ!$C$3,"XXXXX",$W1558))</f>
        <v>#VALUE!</v>
      </c>
      <c r="AA1558" s="12" t="str">
        <f t="shared" si="74"/>
        <v/>
      </c>
    </row>
    <row r="1559" spans="1:27" x14ac:dyDescent="0.4">
      <c r="A1559" s="14">
        <f t="shared" si="76"/>
        <v>1558</v>
      </c>
      <c r="B1559" s="14"/>
      <c r="C1559" s="18"/>
      <c r="D1559" s="14"/>
      <c r="E1559" s="14"/>
      <c r="G1559" s="1">
        <f>_xlfn.XLOOKUP(B1559,M_YT_LIVE!A:A,M_YT_LIVE!F:F,"ERROR",0,1)</f>
        <v>0</v>
      </c>
      <c r="W1559" s="13" t="e">
        <f t="shared" si="75"/>
        <v>#VALUE!</v>
      </c>
      <c r="X1559" s="12">
        <f>_xlfn.XLOOKUP($B1559,M_YT_LIVE!$A:$A,M_YT_LIVE!$D:$D)</f>
        <v>0</v>
      </c>
      <c r="Z1559" s="16" t="e">
        <f>HYPERLINK($X1559&amp;SUBSTITUTE(マスタ!$C$3,"XXXXX",$W1559))</f>
        <v>#VALUE!</v>
      </c>
      <c r="AA1559" s="12" t="str">
        <f t="shared" si="74"/>
        <v/>
      </c>
    </row>
    <row r="1560" spans="1:27" x14ac:dyDescent="0.4">
      <c r="A1560" s="14">
        <f t="shared" si="76"/>
        <v>1559</v>
      </c>
      <c r="B1560" s="14"/>
      <c r="C1560" s="18"/>
      <c r="D1560" s="14"/>
      <c r="E1560" s="14"/>
      <c r="G1560" s="1">
        <f>_xlfn.XLOOKUP(B1560,M_YT_LIVE!A:A,M_YT_LIVE!F:F,"ERROR",0,1)</f>
        <v>0</v>
      </c>
      <c r="W1560" s="13" t="e">
        <f t="shared" si="75"/>
        <v>#VALUE!</v>
      </c>
      <c r="X1560" s="12">
        <f>_xlfn.XLOOKUP($B1560,M_YT_LIVE!$A:$A,M_YT_LIVE!$D:$D)</f>
        <v>0</v>
      </c>
      <c r="Z1560" s="16" t="e">
        <f>HYPERLINK($X1560&amp;SUBSTITUTE(マスタ!$C$3,"XXXXX",$W1560))</f>
        <v>#VALUE!</v>
      </c>
      <c r="AA1560" s="12" t="str">
        <f t="shared" si="74"/>
        <v/>
      </c>
    </row>
    <row r="1561" spans="1:27" x14ac:dyDescent="0.4">
      <c r="A1561" s="14">
        <f t="shared" si="76"/>
        <v>1560</v>
      </c>
      <c r="B1561" s="14"/>
      <c r="C1561" s="18"/>
      <c r="D1561" s="14"/>
      <c r="E1561" s="14"/>
      <c r="G1561" s="1">
        <f>_xlfn.XLOOKUP(B1561,M_YT_LIVE!A:A,M_YT_LIVE!F:F,"ERROR",0,1)</f>
        <v>0</v>
      </c>
      <c r="W1561" s="13" t="e">
        <f t="shared" si="75"/>
        <v>#VALUE!</v>
      </c>
      <c r="X1561" s="12">
        <f>_xlfn.XLOOKUP($B1561,M_YT_LIVE!$A:$A,M_YT_LIVE!$D:$D)</f>
        <v>0</v>
      </c>
      <c r="Z1561" s="16" t="e">
        <f>HYPERLINK($X1561&amp;SUBSTITUTE(マスタ!$C$3,"XXXXX",$W1561))</f>
        <v>#VALUE!</v>
      </c>
      <c r="AA1561" s="12" t="str">
        <f t="shared" si="74"/>
        <v/>
      </c>
    </row>
    <row r="1562" spans="1:27" x14ac:dyDescent="0.4">
      <c r="A1562" s="14">
        <f t="shared" si="76"/>
        <v>1561</v>
      </c>
      <c r="B1562" s="14"/>
      <c r="C1562" s="18"/>
      <c r="D1562" s="14"/>
      <c r="E1562" s="14"/>
      <c r="G1562" s="1">
        <f>_xlfn.XLOOKUP(B1562,M_YT_LIVE!A:A,M_YT_LIVE!F:F,"ERROR",0,1)</f>
        <v>0</v>
      </c>
      <c r="W1562" s="13" t="e">
        <f t="shared" si="75"/>
        <v>#VALUE!</v>
      </c>
      <c r="X1562" s="12">
        <f>_xlfn.XLOOKUP($B1562,M_YT_LIVE!$A:$A,M_YT_LIVE!$D:$D)</f>
        <v>0</v>
      </c>
      <c r="Z1562" s="16" t="e">
        <f>HYPERLINK($X1562&amp;SUBSTITUTE(マスタ!$C$3,"XXXXX",$W1562))</f>
        <v>#VALUE!</v>
      </c>
      <c r="AA1562" s="12" t="str">
        <f t="shared" si="74"/>
        <v/>
      </c>
    </row>
    <row r="1563" spans="1:27" x14ac:dyDescent="0.4">
      <c r="A1563" s="14">
        <f t="shared" si="76"/>
        <v>1562</v>
      </c>
      <c r="B1563" s="14"/>
      <c r="C1563" s="18"/>
      <c r="D1563" s="14"/>
      <c r="E1563" s="14"/>
      <c r="G1563" s="1">
        <f>_xlfn.XLOOKUP(B1563,M_YT_LIVE!A:A,M_YT_LIVE!F:F,"ERROR",0,1)</f>
        <v>0</v>
      </c>
      <c r="W1563" s="13" t="e">
        <f t="shared" si="75"/>
        <v>#VALUE!</v>
      </c>
      <c r="X1563" s="12">
        <f>_xlfn.XLOOKUP($B1563,M_YT_LIVE!$A:$A,M_YT_LIVE!$D:$D)</f>
        <v>0</v>
      </c>
      <c r="Z1563" s="16" t="e">
        <f>HYPERLINK($X1563&amp;SUBSTITUTE(マスタ!$C$3,"XXXXX",$W1563))</f>
        <v>#VALUE!</v>
      </c>
      <c r="AA1563" s="12" t="str">
        <f t="shared" si="74"/>
        <v/>
      </c>
    </row>
    <row r="1564" spans="1:27" x14ac:dyDescent="0.4">
      <c r="A1564" s="14">
        <f t="shared" si="76"/>
        <v>1563</v>
      </c>
      <c r="B1564" s="14"/>
      <c r="C1564" s="18"/>
      <c r="D1564" s="14"/>
      <c r="E1564" s="14"/>
      <c r="G1564" s="1">
        <f>_xlfn.XLOOKUP(B1564,M_YT_LIVE!A:A,M_YT_LIVE!F:F,"ERROR",0,1)</f>
        <v>0</v>
      </c>
      <c r="W1564" s="13" t="e">
        <f t="shared" si="75"/>
        <v>#VALUE!</v>
      </c>
      <c r="X1564" s="12">
        <f>_xlfn.XLOOKUP($B1564,M_YT_LIVE!$A:$A,M_YT_LIVE!$D:$D)</f>
        <v>0</v>
      </c>
      <c r="Z1564" s="16" t="e">
        <f>HYPERLINK($X1564&amp;SUBSTITUTE(マスタ!$C$3,"XXXXX",$W1564))</f>
        <v>#VALUE!</v>
      </c>
      <c r="AA1564" s="12" t="str">
        <f t="shared" si="74"/>
        <v/>
      </c>
    </row>
    <row r="1565" spans="1:27" x14ac:dyDescent="0.4">
      <c r="A1565" s="14">
        <f t="shared" si="76"/>
        <v>1564</v>
      </c>
      <c r="B1565" s="14"/>
      <c r="C1565" s="18"/>
      <c r="D1565" s="14"/>
      <c r="E1565" s="14"/>
      <c r="G1565" s="1">
        <f>_xlfn.XLOOKUP(B1565,M_YT_LIVE!A:A,M_YT_LIVE!F:F,"ERROR",0,1)</f>
        <v>0</v>
      </c>
      <c r="W1565" s="13" t="e">
        <f t="shared" si="75"/>
        <v>#VALUE!</v>
      </c>
      <c r="X1565" s="12">
        <f>_xlfn.XLOOKUP($B1565,M_YT_LIVE!$A:$A,M_YT_LIVE!$D:$D)</f>
        <v>0</v>
      </c>
      <c r="Z1565" s="16" t="e">
        <f>HYPERLINK($X1565&amp;SUBSTITUTE(マスタ!$C$3,"XXXXX",$W1565))</f>
        <v>#VALUE!</v>
      </c>
      <c r="AA1565" s="12" t="str">
        <f t="shared" si="74"/>
        <v/>
      </c>
    </row>
    <row r="1566" spans="1:27" x14ac:dyDescent="0.4">
      <c r="A1566" s="14">
        <f t="shared" si="76"/>
        <v>1565</v>
      </c>
      <c r="B1566" s="14"/>
      <c r="C1566" s="18"/>
      <c r="D1566" s="14"/>
      <c r="E1566" s="14"/>
      <c r="G1566" s="1">
        <f>_xlfn.XLOOKUP(B1566,M_YT_LIVE!A:A,M_YT_LIVE!F:F,"ERROR",0,1)</f>
        <v>0</v>
      </c>
      <c r="W1566" s="13" t="e">
        <f t="shared" si="75"/>
        <v>#VALUE!</v>
      </c>
      <c r="X1566" s="12">
        <f>_xlfn.XLOOKUP($B1566,M_YT_LIVE!$A:$A,M_YT_LIVE!$D:$D)</f>
        <v>0</v>
      </c>
      <c r="Z1566" s="16" t="e">
        <f>HYPERLINK($X1566&amp;SUBSTITUTE(マスタ!$C$3,"XXXXX",$W1566))</f>
        <v>#VALUE!</v>
      </c>
      <c r="AA1566" s="12" t="str">
        <f t="shared" si="74"/>
        <v/>
      </c>
    </row>
    <row r="1567" spans="1:27" x14ac:dyDescent="0.4">
      <c r="A1567" s="14">
        <f t="shared" si="76"/>
        <v>1566</v>
      </c>
      <c r="B1567" s="14"/>
      <c r="C1567" s="18"/>
      <c r="D1567" s="14"/>
      <c r="E1567" s="14"/>
      <c r="G1567" s="1">
        <f>_xlfn.XLOOKUP(B1567,M_YT_LIVE!A:A,M_YT_LIVE!F:F,"ERROR",0,1)</f>
        <v>0</v>
      </c>
      <c r="W1567" s="13" t="e">
        <f t="shared" si="75"/>
        <v>#VALUE!</v>
      </c>
      <c r="X1567" s="12">
        <f>_xlfn.XLOOKUP($B1567,M_YT_LIVE!$A:$A,M_YT_LIVE!$D:$D)</f>
        <v>0</v>
      </c>
      <c r="Z1567" s="16" t="e">
        <f>HYPERLINK($X1567&amp;SUBSTITUTE(マスタ!$C$3,"XXXXX",$W1567))</f>
        <v>#VALUE!</v>
      </c>
      <c r="AA1567" s="12" t="str">
        <f t="shared" si="74"/>
        <v/>
      </c>
    </row>
    <row r="1568" spans="1:27" x14ac:dyDescent="0.4">
      <c r="A1568" s="14">
        <f t="shared" si="76"/>
        <v>1567</v>
      </c>
      <c r="B1568" s="14"/>
      <c r="C1568" s="18"/>
      <c r="D1568" s="14"/>
      <c r="E1568" s="14"/>
      <c r="G1568" s="1">
        <f>_xlfn.XLOOKUP(B1568,M_YT_LIVE!A:A,M_YT_LIVE!F:F,"ERROR",0,1)</f>
        <v>0</v>
      </c>
      <c r="W1568" s="13" t="e">
        <f t="shared" si="75"/>
        <v>#VALUE!</v>
      </c>
      <c r="X1568" s="12">
        <f>_xlfn.XLOOKUP($B1568,M_YT_LIVE!$A:$A,M_YT_LIVE!$D:$D)</f>
        <v>0</v>
      </c>
      <c r="Z1568" s="16" t="e">
        <f>HYPERLINK($X1568&amp;SUBSTITUTE(マスタ!$C$3,"XXXXX",$W1568))</f>
        <v>#VALUE!</v>
      </c>
      <c r="AA1568" s="12" t="str">
        <f t="shared" si="74"/>
        <v/>
      </c>
    </row>
    <row r="1569" spans="1:27" x14ac:dyDescent="0.4">
      <c r="A1569" s="14">
        <f t="shared" si="76"/>
        <v>1568</v>
      </c>
      <c r="B1569" s="14"/>
      <c r="C1569" s="18"/>
      <c r="D1569" s="14"/>
      <c r="E1569" s="14"/>
      <c r="G1569" s="1">
        <f>_xlfn.XLOOKUP(B1569,M_YT_LIVE!A:A,M_YT_LIVE!F:F,"ERROR",0,1)</f>
        <v>0</v>
      </c>
      <c r="W1569" s="13" t="e">
        <f t="shared" si="75"/>
        <v>#VALUE!</v>
      </c>
      <c r="X1569" s="12">
        <f>_xlfn.XLOOKUP($B1569,M_YT_LIVE!$A:$A,M_YT_LIVE!$D:$D)</f>
        <v>0</v>
      </c>
      <c r="Z1569" s="16" t="e">
        <f>HYPERLINK($X1569&amp;SUBSTITUTE(マスタ!$C$3,"XXXXX",$W1569))</f>
        <v>#VALUE!</v>
      </c>
      <c r="AA1569" s="12" t="str">
        <f t="shared" si="74"/>
        <v/>
      </c>
    </row>
    <row r="1570" spans="1:27" x14ac:dyDescent="0.4">
      <c r="A1570" s="14">
        <f t="shared" si="76"/>
        <v>1569</v>
      </c>
      <c r="B1570" s="14"/>
      <c r="C1570" s="18"/>
      <c r="D1570" s="14"/>
      <c r="E1570" s="14"/>
      <c r="G1570" s="1">
        <f>_xlfn.XLOOKUP(B1570,M_YT_LIVE!A:A,M_YT_LIVE!F:F,"ERROR",0,1)</f>
        <v>0</v>
      </c>
      <c r="W1570" s="13" t="e">
        <f t="shared" si="75"/>
        <v>#VALUE!</v>
      </c>
      <c r="X1570" s="12">
        <f>_xlfn.XLOOKUP($B1570,M_YT_LIVE!$A:$A,M_YT_LIVE!$D:$D)</f>
        <v>0</v>
      </c>
      <c r="Z1570" s="16" t="e">
        <f>HYPERLINK($X1570&amp;SUBSTITUTE(マスタ!$C$3,"XXXXX",$W1570))</f>
        <v>#VALUE!</v>
      </c>
      <c r="AA1570" s="12" t="str">
        <f t="shared" si="74"/>
        <v/>
      </c>
    </row>
    <row r="1571" spans="1:27" x14ac:dyDescent="0.4">
      <c r="A1571" s="14">
        <f t="shared" si="76"/>
        <v>1570</v>
      </c>
      <c r="B1571" s="14"/>
      <c r="C1571" s="18"/>
      <c r="D1571" s="14"/>
      <c r="E1571" s="14"/>
      <c r="G1571" s="1">
        <f>_xlfn.XLOOKUP(B1571,M_YT_LIVE!A:A,M_YT_LIVE!F:F,"ERROR",0,1)</f>
        <v>0</v>
      </c>
      <c r="W1571" s="13" t="e">
        <f t="shared" si="75"/>
        <v>#VALUE!</v>
      </c>
      <c r="X1571" s="12">
        <f>_xlfn.XLOOKUP($B1571,M_YT_LIVE!$A:$A,M_YT_LIVE!$D:$D)</f>
        <v>0</v>
      </c>
      <c r="Z1571" s="16" t="e">
        <f>HYPERLINK($X1571&amp;SUBSTITUTE(マスタ!$C$3,"XXXXX",$W1571))</f>
        <v>#VALUE!</v>
      </c>
      <c r="AA1571" s="12" t="str">
        <f t="shared" si="74"/>
        <v/>
      </c>
    </row>
    <row r="1572" spans="1:27" x14ac:dyDescent="0.4">
      <c r="A1572" s="14">
        <f t="shared" si="76"/>
        <v>1571</v>
      </c>
      <c r="B1572" s="14"/>
      <c r="C1572" s="18"/>
      <c r="D1572" s="14"/>
      <c r="E1572" s="14"/>
      <c r="G1572" s="1">
        <f>_xlfn.XLOOKUP(B1572,M_YT_LIVE!A:A,M_YT_LIVE!F:F,"ERROR",0,1)</f>
        <v>0</v>
      </c>
      <c r="W1572" s="13" t="e">
        <f t="shared" si="75"/>
        <v>#VALUE!</v>
      </c>
      <c r="X1572" s="12">
        <f>_xlfn.XLOOKUP($B1572,M_YT_LIVE!$A:$A,M_YT_LIVE!$D:$D)</f>
        <v>0</v>
      </c>
      <c r="Z1572" s="16" t="e">
        <f>HYPERLINK($X1572&amp;SUBSTITUTE(マスタ!$C$3,"XXXXX",$W1572))</f>
        <v>#VALUE!</v>
      </c>
      <c r="AA1572" s="12" t="str">
        <f t="shared" si="74"/>
        <v/>
      </c>
    </row>
    <row r="1573" spans="1:27" x14ac:dyDescent="0.4">
      <c r="A1573" s="14">
        <f t="shared" si="76"/>
        <v>1572</v>
      </c>
      <c r="B1573" s="14"/>
      <c r="C1573" s="18"/>
      <c r="D1573" s="14"/>
      <c r="E1573" s="14"/>
      <c r="G1573" s="1">
        <f>_xlfn.XLOOKUP(B1573,M_YT_LIVE!A:A,M_YT_LIVE!F:F,"ERROR",0,1)</f>
        <v>0</v>
      </c>
      <c r="W1573" s="13" t="e">
        <f t="shared" si="75"/>
        <v>#VALUE!</v>
      </c>
      <c r="X1573" s="12">
        <f>_xlfn.XLOOKUP($B1573,M_YT_LIVE!$A:$A,M_YT_LIVE!$D:$D)</f>
        <v>0</v>
      </c>
      <c r="Z1573" s="16" t="e">
        <f>HYPERLINK($X1573&amp;SUBSTITUTE(マスタ!$C$3,"XXXXX",$W1573))</f>
        <v>#VALUE!</v>
      </c>
      <c r="AA1573" s="12" t="str">
        <f t="shared" si="74"/>
        <v/>
      </c>
    </row>
    <row r="1574" spans="1:27" x14ac:dyDescent="0.4">
      <c r="A1574" s="14">
        <f t="shared" si="76"/>
        <v>1573</v>
      </c>
      <c r="B1574" s="14"/>
      <c r="C1574" s="18"/>
      <c r="D1574" s="14"/>
      <c r="E1574" s="14"/>
      <c r="G1574" s="1">
        <f>_xlfn.XLOOKUP(B1574,M_YT_LIVE!A:A,M_YT_LIVE!F:F,"ERROR",0,1)</f>
        <v>0</v>
      </c>
      <c r="W1574" s="13" t="e">
        <f t="shared" si="75"/>
        <v>#VALUE!</v>
      </c>
      <c r="X1574" s="12">
        <f>_xlfn.XLOOKUP($B1574,M_YT_LIVE!$A:$A,M_YT_LIVE!$D:$D)</f>
        <v>0</v>
      </c>
      <c r="Z1574" s="16" t="e">
        <f>HYPERLINK($X1574&amp;SUBSTITUTE(マスタ!$C$3,"XXXXX",$W1574))</f>
        <v>#VALUE!</v>
      </c>
      <c r="AA1574" s="12" t="str">
        <f t="shared" si="74"/>
        <v/>
      </c>
    </row>
    <row r="1575" spans="1:27" x14ac:dyDescent="0.4">
      <c r="A1575" s="14">
        <f t="shared" si="76"/>
        <v>1574</v>
      </c>
      <c r="B1575" s="14"/>
      <c r="C1575" s="18"/>
      <c r="D1575" s="14"/>
      <c r="E1575" s="14"/>
      <c r="G1575" s="1">
        <f>_xlfn.XLOOKUP(B1575,M_YT_LIVE!A:A,M_YT_LIVE!F:F,"ERROR",0,1)</f>
        <v>0</v>
      </c>
      <c r="W1575" s="13" t="e">
        <f t="shared" si="75"/>
        <v>#VALUE!</v>
      </c>
      <c r="X1575" s="12">
        <f>_xlfn.XLOOKUP($B1575,M_YT_LIVE!$A:$A,M_YT_LIVE!$D:$D)</f>
        <v>0</v>
      </c>
      <c r="Z1575" s="16" t="e">
        <f>HYPERLINK($X1575&amp;SUBSTITUTE(マスタ!$C$3,"XXXXX",$W1575))</f>
        <v>#VALUE!</v>
      </c>
      <c r="AA1575" s="12" t="str">
        <f t="shared" si="74"/>
        <v/>
      </c>
    </row>
    <row r="1576" spans="1:27" x14ac:dyDescent="0.4">
      <c r="A1576" s="14">
        <f t="shared" si="76"/>
        <v>1575</v>
      </c>
      <c r="B1576" s="14"/>
      <c r="C1576" s="18"/>
      <c r="D1576" s="14"/>
      <c r="E1576" s="14"/>
      <c r="G1576" s="1">
        <f>_xlfn.XLOOKUP(B1576,M_YT_LIVE!A:A,M_YT_LIVE!F:F,"ERROR",0,1)</f>
        <v>0</v>
      </c>
      <c r="W1576" s="13" t="e">
        <f t="shared" si="75"/>
        <v>#VALUE!</v>
      </c>
      <c r="X1576" s="12">
        <f>_xlfn.XLOOKUP($B1576,M_YT_LIVE!$A:$A,M_YT_LIVE!$D:$D)</f>
        <v>0</v>
      </c>
      <c r="Z1576" s="16" t="e">
        <f>HYPERLINK($X1576&amp;SUBSTITUTE(マスタ!$C$3,"XXXXX",$W1576))</f>
        <v>#VALUE!</v>
      </c>
      <c r="AA1576" s="12" t="str">
        <f t="shared" si="74"/>
        <v/>
      </c>
    </row>
    <row r="1577" spans="1:27" x14ac:dyDescent="0.4">
      <c r="A1577" s="14">
        <f t="shared" si="76"/>
        <v>1576</v>
      </c>
      <c r="B1577" s="14"/>
      <c r="C1577" s="18"/>
      <c r="D1577" s="14"/>
      <c r="E1577" s="14"/>
      <c r="G1577" s="1">
        <f>_xlfn.XLOOKUP(B1577,M_YT_LIVE!A:A,M_YT_LIVE!F:F,"ERROR",0,1)</f>
        <v>0</v>
      </c>
      <c r="W1577" s="13" t="e">
        <f t="shared" si="75"/>
        <v>#VALUE!</v>
      </c>
      <c r="X1577" s="12">
        <f>_xlfn.XLOOKUP($B1577,M_YT_LIVE!$A:$A,M_YT_LIVE!$D:$D)</f>
        <v>0</v>
      </c>
      <c r="Z1577" s="16" t="e">
        <f>HYPERLINK($X1577&amp;SUBSTITUTE(マスタ!$C$3,"XXXXX",$W1577))</f>
        <v>#VALUE!</v>
      </c>
      <c r="AA1577" s="12" t="str">
        <f t="shared" si="74"/>
        <v/>
      </c>
    </row>
    <row r="1578" spans="1:27" x14ac:dyDescent="0.4">
      <c r="A1578" s="14">
        <f t="shared" si="76"/>
        <v>1577</v>
      </c>
      <c r="B1578" s="14"/>
      <c r="C1578" s="18"/>
      <c r="D1578" s="14"/>
      <c r="E1578" s="14"/>
      <c r="G1578" s="1">
        <f>_xlfn.XLOOKUP(B1578,M_YT_LIVE!A:A,M_YT_LIVE!F:F,"ERROR",0,1)</f>
        <v>0</v>
      </c>
      <c r="W1578" s="13" t="e">
        <f t="shared" si="75"/>
        <v>#VALUE!</v>
      </c>
      <c r="X1578" s="12">
        <f>_xlfn.XLOOKUP($B1578,M_YT_LIVE!$A:$A,M_YT_LIVE!$D:$D)</f>
        <v>0</v>
      </c>
      <c r="Z1578" s="16" t="e">
        <f>HYPERLINK($X1578&amp;SUBSTITUTE(マスタ!$C$3,"XXXXX",$W1578))</f>
        <v>#VALUE!</v>
      </c>
      <c r="AA1578" s="12" t="str">
        <f t="shared" si="74"/>
        <v/>
      </c>
    </row>
    <row r="1579" spans="1:27" x14ac:dyDescent="0.4">
      <c r="A1579" s="14">
        <f t="shared" si="76"/>
        <v>1578</v>
      </c>
      <c r="B1579" s="14"/>
      <c r="C1579" s="18"/>
      <c r="D1579" s="14"/>
      <c r="E1579" s="14"/>
      <c r="G1579" s="1">
        <f>_xlfn.XLOOKUP(B1579,M_YT_LIVE!A:A,M_YT_LIVE!F:F,"ERROR",0,1)</f>
        <v>0</v>
      </c>
      <c r="W1579" s="13" t="e">
        <f t="shared" si="75"/>
        <v>#VALUE!</v>
      </c>
      <c r="X1579" s="12">
        <f>_xlfn.XLOOKUP($B1579,M_YT_LIVE!$A:$A,M_YT_LIVE!$D:$D)</f>
        <v>0</v>
      </c>
      <c r="Z1579" s="16" t="e">
        <f>HYPERLINK($X1579&amp;SUBSTITUTE(マスタ!$C$3,"XXXXX",$W1579))</f>
        <v>#VALUE!</v>
      </c>
      <c r="AA1579" s="12" t="str">
        <f t="shared" si="74"/>
        <v/>
      </c>
    </row>
    <row r="1580" spans="1:27" x14ac:dyDescent="0.4">
      <c r="A1580" s="14">
        <f t="shared" si="76"/>
        <v>1579</v>
      </c>
      <c r="B1580" s="14"/>
      <c r="C1580" s="18"/>
      <c r="D1580" s="14"/>
      <c r="E1580" s="14"/>
      <c r="G1580" s="1">
        <f>_xlfn.XLOOKUP(B1580,M_YT_LIVE!A:A,M_YT_LIVE!F:F,"ERROR",0,1)</f>
        <v>0</v>
      </c>
      <c r="W1580" s="13" t="e">
        <f t="shared" si="75"/>
        <v>#VALUE!</v>
      </c>
      <c r="X1580" s="12">
        <f>_xlfn.XLOOKUP($B1580,M_YT_LIVE!$A:$A,M_YT_LIVE!$D:$D)</f>
        <v>0</v>
      </c>
      <c r="Z1580" s="16" t="e">
        <f>HYPERLINK($X1580&amp;SUBSTITUTE(マスタ!$C$3,"XXXXX",$W1580))</f>
        <v>#VALUE!</v>
      </c>
      <c r="AA1580" s="12" t="str">
        <f t="shared" si="74"/>
        <v/>
      </c>
    </row>
    <row r="1581" spans="1:27" x14ac:dyDescent="0.4">
      <c r="A1581" s="14">
        <f t="shared" si="76"/>
        <v>1580</v>
      </c>
      <c r="B1581" s="14"/>
      <c r="C1581" s="18"/>
      <c r="D1581" s="14"/>
      <c r="E1581" s="14"/>
      <c r="G1581" s="1">
        <f>_xlfn.XLOOKUP(B1581,M_YT_LIVE!A:A,M_YT_LIVE!F:F,"ERROR",0,1)</f>
        <v>0</v>
      </c>
      <c r="W1581" s="13" t="e">
        <f t="shared" si="75"/>
        <v>#VALUE!</v>
      </c>
      <c r="X1581" s="12">
        <f>_xlfn.XLOOKUP($B1581,M_YT_LIVE!$A:$A,M_YT_LIVE!$D:$D)</f>
        <v>0</v>
      </c>
      <c r="Z1581" s="16" t="e">
        <f>HYPERLINK($X1581&amp;SUBSTITUTE(マスタ!$C$3,"XXXXX",$W1581))</f>
        <v>#VALUE!</v>
      </c>
      <c r="AA1581" s="12" t="str">
        <f t="shared" si="74"/>
        <v/>
      </c>
    </row>
    <row r="1582" spans="1:27" x14ac:dyDescent="0.4">
      <c r="A1582" s="14">
        <f t="shared" si="76"/>
        <v>1581</v>
      </c>
      <c r="B1582" s="14"/>
      <c r="C1582" s="18"/>
      <c r="D1582" s="14"/>
      <c r="E1582" s="14"/>
      <c r="G1582" s="1">
        <f>_xlfn.XLOOKUP(B1582,M_YT_LIVE!A:A,M_YT_LIVE!F:F,"ERROR",0,1)</f>
        <v>0</v>
      </c>
      <c r="W1582" s="13" t="e">
        <f t="shared" si="75"/>
        <v>#VALUE!</v>
      </c>
      <c r="X1582" s="12">
        <f>_xlfn.XLOOKUP($B1582,M_YT_LIVE!$A:$A,M_YT_LIVE!$D:$D)</f>
        <v>0</v>
      </c>
      <c r="Z1582" s="16" t="e">
        <f>HYPERLINK($X1582&amp;SUBSTITUTE(マスタ!$C$3,"XXXXX",$W1582))</f>
        <v>#VALUE!</v>
      </c>
      <c r="AA1582" s="12" t="str">
        <f t="shared" si="74"/>
        <v/>
      </c>
    </row>
    <row r="1583" spans="1:27" x14ac:dyDescent="0.4">
      <c r="A1583" s="14">
        <f t="shared" si="76"/>
        <v>1582</v>
      </c>
      <c r="B1583" s="14"/>
      <c r="C1583" s="18"/>
      <c r="D1583" s="14"/>
      <c r="E1583" s="14"/>
      <c r="G1583" s="1">
        <f>_xlfn.XLOOKUP(B1583,M_YT_LIVE!A:A,M_YT_LIVE!F:F,"ERROR",0,1)</f>
        <v>0</v>
      </c>
      <c r="W1583" s="13" t="e">
        <f t="shared" si="75"/>
        <v>#VALUE!</v>
      </c>
      <c r="X1583" s="12">
        <f>_xlfn.XLOOKUP($B1583,M_YT_LIVE!$A:$A,M_YT_LIVE!$D:$D)</f>
        <v>0</v>
      </c>
      <c r="Z1583" s="16" t="e">
        <f>HYPERLINK($X1583&amp;SUBSTITUTE(マスタ!$C$3,"XXXXX",$W1583))</f>
        <v>#VALUE!</v>
      </c>
      <c r="AA1583" s="12" t="str">
        <f t="shared" si="74"/>
        <v/>
      </c>
    </row>
    <row r="1584" spans="1:27" x14ac:dyDescent="0.4">
      <c r="A1584" s="14">
        <f t="shared" si="76"/>
        <v>1583</v>
      </c>
      <c r="B1584" s="14"/>
      <c r="C1584" s="18"/>
      <c r="D1584" s="14"/>
      <c r="E1584" s="14"/>
      <c r="G1584" s="1">
        <f>_xlfn.XLOOKUP(B1584,M_YT_LIVE!A:A,M_YT_LIVE!F:F,"ERROR",0,1)</f>
        <v>0</v>
      </c>
      <c r="W1584" s="13" t="e">
        <f t="shared" si="75"/>
        <v>#VALUE!</v>
      </c>
      <c r="X1584" s="12">
        <f>_xlfn.XLOOKUP($B1584,M_YT_LIVE!$A:$A,M_YT_LIVE!$D:$D)</f>
        <v>0</v>
      </c>
      <c r="Z1584" s="16" t="e">
        <f>HYPERLINK($X1584&amp;SUBSTITUTE(マスタ!$C$3,"XXXXX",$W1584))</f>
        <v>#VALUE!</v>
      </c>
      <c r="AA1584" s="12" t="str">
        <f t="shared" si="74"/>
        <v/>
      </c>
    </row>
    <row r="1585" spans="1:27" x14ac:dyDescent="0.4">
      <c r="A1585" s="14">
        <f t="shared" si="76"/>
        <v>1584</v>
      </c>
      <c r="B1585" s="14"/>
      <c r="C1585" s="18"/>
      <c r="D1585" s="14"/>
      <c r="E1585" s="14"/>
      <c r="G1585" s="1">
        <f>_xlfn.XLOOKUP(B1585,M_YT_LIVE!A:A,M_YT_LIVE!F:F,"ERROR",0,1)</f>
        <v>0</v>
      </c>
      <c r="W1585" s="13" t="e">
        <f t="shared" si="75"/>
        <v>#VALUE!</v>
      </c>
      <c r="X1585" s="12">
        <f>_xlfn.XLOOKUP($B1585,M_YT_LIVE!$A:$A,M_YT_LIVE!$D:$D)</f>
        <v>0</v>
      </c>
      <c r="Z1585" s="16" t="e">
        <f>HYPERLINK($X1585&amp;SUBSTITUTE(マスタ!$C$3,"XXXXX",$W1585))</f>
        <v>#VALUE!</v>
      </c>
      <c r="AA1585" s="12" t="str">
        <f t="shared" si="74"/>
        <v/>
      </c>
    </row>
    <row r="1586" spans="1:27" x14ac:dyDescent="0.4">
      <c r="A1586" s="14">
        <f t="shared" si="76"/>
        <v>1585</v>
      </c>
      <c r="B1586" s="14"/>
      <c r="C1586" s="18"/>
      <c r="D1586" s="14"/>
      <c r="E1586" s="14"/>
      <c r="G1586" s="1">
        <f>_xlfn.XLOOKUP(B1586,M_YT_LIVE!A:A,M_YT_LIVE!F:F,"ERROR",0,1)</f>
        <v>0</v>
      </c>
      <c r="W1586" s="13" t="e">
        <f t="shared" si="75"/>
        <v>#VALUE!</v>
      </c>
      <c r="X1586" s="12">
        <f>_xlfn.XLOOKUP($B1586,M_YT_LIVE!$A:$A,M_YT_LIVE!$D:$D)</f>
        <v>0</v>
      </c>
      <c r="Z1586" s="16" t="e">
        <f>HYPERLINK($X1586&amp;SUBSTITUTE(マスタ!$C$3,"XXXXX",$W1586))</f>
        <v>#VALUE!</v>
      </c>
      <c r="AA1586" s="12" t="str">
        <f t="shared" ref="AA1586:AA1600" si="77">TRIM(E1586)&amp;TRIM(D1586)</f>
        <v/>
      </c>
    </row>
    <row r="1587" spans="1:27" x14ac:dyDescent="0.4">
      <c r="A1587" s="14">
        <f t="shared" si="76"/>
        <v>1586</v>
      </c>
      <c r="B1587" s="14"/>
      <c r="C1587" s="18"/>
      <c r="D1587" s="14"/>
      <c r="E1587" s="14"/>
      <c r="G1587" s="1">
        <f>_xlfn.XLOOKUP(B1587,M_YT_LIVE!A:A,M_YT_LIVE!F:F,"ERROR",0,1)</f>
        <v>0</v>
      </c>
      <c r="W1587" s="13" t="e">
        <f t="shared" si="75"/>
        <v>#VALUE!</v>
      </c>
      <c r="X1587" s="12">
        <f>_xlfn.XLOOKUP($B1587,M_YT_LIVE!$A:$A,M_YT_LIVE!$D:$D)</f>
        <v>0</v>
      </c>
      <c r="Z1587" s="16" t="e">
        <f>HYPERLINK($X1587&amp;SUBSTITUTE(マスタ!$C$3,"XXXXX",$W1587))</f>
        <v>#VALUE!</v>
      </c>
      <c r="AA1587" s="12" t="str">
        <f t="shared" si="77"/>
        <v/>
      </c>
    </row>
    <row r="1588" spans="1:27" x14ac:dyDescent="0.4">
      <c r="A1588" s="14">
        <f t="shared" si="76"/>
        <v>1587</v>
      </c>
      <c r="B1588" s="14"/>
      <c r="C1588" s="18"/>
      <c r="D1588" s="14"/>
      <c r="E1588" s="14"/>
      <c r="G1588" s="1">
        <f>_xlfn.XLOOKUP(B1588,M_YT_LIVE!A:A,M_YT_LIVE!F:F,"ERROR",0,1)</f>
        <v>0</v>
      </c>
      <c r="W1588" s="13" t="e">
        <f t="shared" si="75"/>
        <v>#VALUE!</v>
      </c>
      <c r="X1588" s="12">
        <f>_xlfn.XLOOKUP($B1588,M_YT_LIVE!$A:$A,M_YT_LIVE!$D:$D)</f>
        <v>0</v>
      </c>
      <c r="Z1588" s="16" t="e">
        <f>HYPERLINK($X1588&amp;SUBSTITUTE(マスタ!$C$3,"XXXXX",$W1588))</f>
        <v>#VALUE!</v>
      </c>
      <c r="AA1588" s="12" t="str">
        <f t="shared" si="77"/>
        <v/>
      </c>
    </row>
    <row r="1589" spans="1:27" x14ac:dyDescent="0.4">
      <c r="A1589" s="14">
        <f t="shared" si="76"/>
        <v>1588</v>
      </c>
      <c r="B1589" s="14"/>
      <c r="C1589" s="18"/>
      <c r="D1589" s="14"/>
      <c r="E1589" s="14"/>
      <c r="G1589" s="1">
        <f>_xlfn.XLOOKUP(B1589,M_YT_LIVE!A:A,M_YT_LIVE!F:F,"ERROR",0,1)</f>
        <v>0</v>
      </c>
      <c r="W1589" s="13" t="e">
        <f t="shared" si="75"/>
        <v>#VALUE!</v>
      </c>
      <c r="X1589" s="12">
        <f>_xlfn.XLOOKUP($B1589,M_YT_LIVE!$A:$A,M_YT_LIVE!$D:$D)</f>
        <v>0</v>
      </c>
      <c r="Z1589" s="16" t="e">
        <f>HYPERLINK($X1589&amp;SUBSTITUTE(マスタ!$C$3,"XXXXX",$W1589))</f>
        <v>#VALUE!</v>
      </c>
      <c r="AA1589" s="12" t="str">
        <f t="shared" si="77"/>
        <v/>
      </c>
    </row>
    <row r="1590" spans="1:27" x14ac:dyDescent="0.4">
      <c r="A1590" s="14">
        <f t="shared" si="76"/>
        <v>1589</v>
      </c>
      <c r="B1590" s="14"/>
      <c r="C1590" s="18"/>
      <c r="D1590" s="14"/>
      <c r="E1590" s="14"/>
      <c r="G1590" s="1">
        <f>_xlfn.XLOOKUP(B1590,M_YT_LIVE!A:A,M_YT_LIVE!F:F,"ERROR",0,1)</f>
        <v>0</v>
      </c>
      <c r="W1590" s="13" t="e">
        <f t="shared" si="75"/>
        <v>#VALUE!</v>
      </c>
      <c r="X1590" s="12">
        <f>_xlfn.XLOOKUP($B1590,M_YT_LIVE!$A:$A,M_YT_LIVE!$D:$D)</f>
        <v>0</v>
      </c>
      <c r="Z1590" s="16" t="e">
        <f>HYPERLINK($X1590&amp;SUBSTITUTE(マスタ!$C$3,"XXXXX",$W1590))</f>
        <v>#VALUE!</v>
      </c>
      <c r="AA1590" s="12" t="str">
        <f t="shared" si="77"/>
        <v/>
      </c>
    </row>
    <row r="1591" spans="1:27" x14ac:dyDescent="0.4">
      <c r="A1591" s="14">
        <f t="shared" si="76"/>
        <v>1590</v>
      </c>
      <c r="B1591" s="14"/>
      <c r="C1591" s="18"/>
      <c r="D1591" s="14"/>
      <c r="E1591" s="14"/>
      <c r="G1591" s="1">
        <f>_xlfn.XLOOKUP(B1591,M_YT_LIVE!A:A,M_YT_LIVE!F:F,"ERROR",0,1)</f>
        <v>0</v>
      </c>
      <c r="W1591" s="13" t="e">
        <f t="shared" si="75"/>
        <v>#VALUE!</v>
      </c>
      <c r="X1591" s="12">
        <f>_xlfn.XLOOKUP($B1591,M_YT_LIVE!$A:$A,M_YT_LIVE!$D:$D)</f>
        <v>0</v>
      </c>
      <c r="Z1591" s="16" t="e">
        <f>HYPERLINK($X1591&amp;SUBSTITUTE(マスタ!$C$3,"XXXXX",$W1591))</f>
        <v>#VALUE!</v>
      </c>
      <c r="AA1591" s="12" t="str">
        <f t="shared" si="77"/>
        <v/>
      </c>
    </row>
    <row r="1592" spans="1:27" x14ac:dyDescent="0.4">
      <c r="A1592" s="14">
        <f t="shared" si="76"/>
        <v>1591</v>
      </c>
      <c r="B1592" s="14"/>
      <c r="C1592" s="18"/>
      <c r="D1592" s="14"/>
      <c r="E1592" s="14"/>
      <c r="G1592" s="1">
        <f>_xlfn.XLOOKUP(B1592,M_YT_LIVE!A:A,M_YT_LIVE!F:F,"ERROR",0,1)</f>
        <v>0</v>
      </c>
      <c r="W1592" s="13" t="e">
        <f t="shared" si="75"/>
        <v>#VALUE!</v>
      </c>
      <c r="X1592" s="12">
        <f>_xlfn.XLOOKUP($B1592,M_YT_LIVE!$A:$A,M_YT_LIVE!$D:$D)</f>
        <v>0</v>
      </c>
      <c r="Z1592" s="16" t="e">
        <f>HYPERLINK($X1592&amp;SUBSTITUTE(マスタ!$C$3,"XXXXX",$W1592))</f>
        <v>#VALUE!</v>
      </c>
      <c r="AA1592" s="12" t="str">
        <f t="shared" si="77"/>
        <v/>
      </c>
    </row>
    <row r="1593" spans="1:27" x14ac:dyDescent="0.4">
      <c r="A1593" s="14">
        <f t="shared" si="76"/>
        <v>1592</v>
      </c>
      <c r="B1593" s="14"/>
      <c r="C1593" s="18"/>
      <c r="D1593" s="14"/>
      <c r="E1593" s="14"/>
      <c r="G1593" s="1">
        <f>_xlfn.XLOOKUP(B1593,M_YT_LIVE!A:A,M_YT_LIVE!F:F,"ERROR",0,1)</f>
        <v>0</v>
      </c>
      <c r="W1593" s="13" t="e">
        <f t="shared" si="75"/>
        <v>#VALUE!</v>
      </c>
      <c r="X1593" s="12">
        <f>_xlfn.XLOOKUP($B1593,M_YT_LIVE!$A:$A,M_YT_LIVE!$D:$D)</f>
        <v>0</v>
      </c>
      <c r="Z1593" s="16" t="e">
        <f>HYPERLINK($X1593&amp;SUBSTITUTE(マスタ!$C$3,"XXXXX",$W1593))</f>
        <v>#VALUE!</v>
      </c>
      <c r="AA1593" s="12" t="str">
        <f t="shared" si="77"/>
        <v/>
      </c>
    </row>
    <row r="1594" spans="1:27" x14ac:dyDescent="0.4">
      <c r="A1594" s="14">
        <f t="shared" si="76"/>
        <v>1593</v>
      </c>
      <c r="B1594" s="14"/>
      <c r="C1594" s="18"/>
      <c r="D1594" s="14"/>
      <c r="E1594" s="14"/>
      <c r="G1594" s="1">
        <f>_xlfn.XLOOKUP(B1594,M_YT_LIVE!A:A,M_YT_LIVE!F:F,"ERROR",0,1)</f>
        <v>0</v>
      </c>
      <c r="W1594" s="13" t="e">
        <f t="shared" si="75"/>
        <v>#VALUE!</v>
      </c>
      <c r="X1594" s="12">
        <f>_xlfn.XLOOKUP($B1594,M_YT_LIVE!$A:$A,M_YT_LIVE!$D:$D)</f>
        <v>0</v>
      </c>
      <c r="Z1594" s="16" t="e">
        <f>HYPERLINK($X1594&amp;SUBSTITUTE(マスタ!$C$3,"XXXXX",$W1594))</f>
        <v>#VALUE!</v>
      </c>
      <c r="AA1594" s="12" t="str">
        <f t="shared" si="77"/>
        <v/>
      </c>
    </row>
    <row r="1595" spans="1:27" x14ac:dyDescent="0.4">
      <c r="A1595" s="14">
        <f t="shared" si="76"/>
        <v>1594</v>
      </c>
      <c r="B1595" s="14"/>
      <c r="C1595" s="18"/>
      <c r="D1595" s="14"/>
      <c r="E1595" s="14"/>
      <c r="G1595" s="1">
        <f>_xlfn.XLOOKUP(B1595,M_YT_LIVE!A:A,M_YT_LIVE!F:F,"ERROR",0,1)</f>
        <v>0</v>
      </c>
      <c r="W1595" s="13" t="e">
        <f t="shared" si="75"/>
        <v>#VALUE!</v>
      </c>
      <c r="X1595" s="12">
        <f>_xlfn.XLOOKUP($B1595,M_YT_LIVE!$A:$A,M_YT_LIVE!$D:$D)</f>
        <v>0</v>
      </c>
      <c r="Z1595" s="16" t="e">
        <f>HYPERLINK($X1595&amp;SUBSTITUTE(マスタ!$C$3,"XXXXX",$W1595))</f>
        <v>#VALUE!</v>
      </c>
      <c r="AA1595" s="12" t="str">
        <f t="shared" si="77"/>
        <v/>
      </c>
    </row>
    <row r="1596" spans="1:27" x14ac:dyDescent="0.4">
      <c r="A1596" s="14">
        <f t="shared" si="76"/>
        <v>1595</v>
      </c>
      <c r="B1596" s="14"/>
      <c r="C1596" s="18"/>
      <c r="D1596" s="14"/>
      <c r="E1596" s="14"/>
      <c r="G1596" s="1">
        <f>_xlfn.XLOOKUP(B1596,M_YT_LIVE!A:A,M_YT_LIVE!F:F,"ERROR",0,1)</f>
        <v>0</v>
      </c>
      <c r="W1596" s="13" t="e">
        <f t="shared" si="75"/>
        <v>#VALUE!</v>
      </c>
      <c r="X1596" s="12">
        <f>_xlfn.XLOOKUP($B1596,M_YT_LIVE!$A:$A,M_YT_LIVE!$D:$D)</f>
        <v>0</v>
      </c>
      <c r="Z1596" s="16" t="e">
        <f>HYPERLINK($X1596&amp;SUBSTITUTE(マスタ!$C$3,"XXXXX",$W1596))</f>
        <v>#VALUE!</v>
      </c>
      <c r="AA1596" s="12" t="str">
        <f t="shared" si="77"/>
        <v/>
      </c>
    </row>
    <row r="1597" spans="1:27" x14ac:dyDescent="0.4">
      <c r="A1597" s="14">
        <f t="shared" si="76"/>
        <v>1596</v>
      </c>
      <c r="B1597" s="14"/>
      <c r="C1597" s="18"/>
      <c r="D1597" s="14"/>
      <c r="E1597" s="14"/>
      <c r="G1597" s="1">
        <f>_xlfn.XLOOKUP(B1597,M_YT_LIVE!A:A,M_YT_LIVE!F:F,"ERROR",0,1)</f>
        <v>0</v>
      </c>
      <c r="W1597" s="13" t="e">
        <f t="shared" si="75"/>
        <v>#VALUE!</v>
      </c>
      <c r="X1597" s="12">
        <f>_xlfn.XLOOKUP($B1597,M_YT_LIVE!$A:$A,M_YT_LIVE!$D:$D)</f>
        <v>0</v>
      </c>
      <c r="Z1597" s="16" t="e">
        <f>HYPERLINK($X1597&amp;SUBSTITUTE(マスタ!$C$3,"XXXXX",$W1597))</f>
        <v>#VALUE!</v>
      </c>
      <c r="AA1597" s="12" t="str">
        <f t="shared" si="77"/>
        <v/>
      </c>
    </row>
    <row r="1598" spans="1:27" x14ac:dyDescent="0.4">
      <c r="A1598" s="14">
        <f t="shared" si="76"/>
        <v>1597</v>
      </c>
      <c r="B1598" s="14"/>
      <c r="C1598" s="18"/>
      <c r="D1598" s="14"/>
      <c r="E1598" s="14"/>
      <c r="G1598" s="1">
        <f>_xlfn.XLOOKUP(B1598,M_YT_LIVE!A:A,M_YT_LIVE!F:F,"ERROR",0,1)</f>
        <v>0</v>
      </c>
      <c r="W1598" s="13" t="e">
        <f t="shared" si="75"/>
        <v>#VALUE!</v>
      </c>
      <c r="X1598" s="12">
        <f>_xlfn.XLOOKUP($B1598,M_YT_LIVE!$A:$A,M_YT_LIVE!$D:$D)</f>
        <v>0</v>
      </c>
      <c r="Z1598" s="16" t="e">
        <f>HYPERLINK($X1598&amp;SUBSTITUTE(マスタ!$C$3,"XXXXX",$W1598))</f>
        <v>#VALUE!</v>
      </c>
      <c r="AA1598" s="12" t="str">
        <f t="shared" si="77"/>
        <v/>
      </c>
    </row>
    <row r="1599" spans="1:27" x14ac:dyDescent="0.4">
      <c r="A1599" s="14">
        <f t="shared" si="76"/>
        <v>1598</v>
      </c>
      <c r="B1599" s="14"/>
      <c r="C1599" s="18"/>
      <c r="D1599" s="14"/>
      <c r="E1599" s="14"/>
      <c r="G1599" s="1">
        <f>_xlfn.XLOOKUP(B1599,M_YT_LIVE!A:A,M_YT_LIVE!F:F,"ERROR",0,1)</f>
        <v>0</v>
      </c>
      <c r="W1599" s="13" t="e">
        <f t="shared" si="75"/>
        <v>#VALUE!</v>
      </c>
      <c r="X1599" s="12">
        <f>_xlfn.XLOOKUP($B1599,M_YT_LIVE!$A:$A,M_YT_LIVE!$D:$D)</f>
        <v>0</v>
      </c>
      <c r="Z1599" s="16" t="e">
        <f>HYPERLINK($X1599&amp;SUBSTITUTE(マスタ!$C$3,"XXXXX",$W1599))</f>
        <v>#VALUE!</v>
      </c>
      <c r="AA1599" s="12" t="str">
        <f t="shared" si="77"/>
        <v/>
      </c>
    </row>
    <row r="1600" spans="1:27" x14ac:dyDescent="0.4">
      <c r="A1600" s="14">
        <f t="shared" si="76"/>
        <v>1599</v>
      </c>
      <c r="B1600" s="14"/>
      <c r="C1600" s="18"/>
      <c r="D1600" s="14"/>
      <c r="E1600" s="14"/>
      <c r="G1600" s="1">
        <f>_xlfn.XLOOKUP(B1600,M_YT_LIVE!A:A,M_YT_LIVE!F:F,"ERROR",0,1)</f>
        <v>0</v>
      </c>
      <c r="W1600" s="13" t="e">
        <f t="shared" si="75"/>
        <v>#VALUE!</v>
      </c>
      <c r="X1600" s="12">
        <f>_xlfn.XLOOKUP($B1600,M_YT_LIVE!$A:$A,M_YT_LIVE!$D:$D)</f>
        <v>0</v>
      </c>
      <c r="Z1600" s="16" t="e">
        <f>HYPERLINK($X1600&amp;SUBSTITUTE(マスタ!$C$3,"XXXXX",$W1600))</f>
        <v>#VALUE!</v>
      </c>
      <c r="AA1600" s="12" t="str">
        <f t="shared" si="7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2026-02-16T15:46:10Z</dcterms:modified>
</cp:coreProperties>
</file>